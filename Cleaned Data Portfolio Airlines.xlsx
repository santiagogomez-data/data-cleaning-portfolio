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SANTIAGO\Analisis de datos\"/>
    </mc:Choice>
  </mc:AlternateContent>
  <bookViews>
    <workbookView xWindow="0" yWindow="0" windowWidth="28800" windowHeight="12315" firstSheet="4" activeTab="4"/>
  </bookViews>
  <sheets>
    <sheet name="Portada" sheetId="8" r:id="rId1"/>
    <sheet name="Tablas y Filtros" sheetId="2" r:id="rId2"/>
    <sheet name="Eco Mercado" sheetId="4" r:id="rId3"/>
    <sheet name="Hoja2" sheetId="10" r:id="rId4"/>
    <sheet name="Reclamo de equipaje rediseñado" sheetId="12" r:id="rId5"/>
    <sheet name="Validacion reclamo de equipaje" sheetId="13" r:id="rId6"/>
  </sheets>
  <definedNames>
    <definedName name="_xlnm._FilterDatabase" localSheetId="5" hidden="1">'Validacion reclamo de equipaje'!$L$1:$M$19</definedName>
  </definedNames>
  <calcPr calcId="152511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B1810" i="12"/>
  <c r="B1811" i="12"/>
  <c r="B1812" i="12"/>
  <c r="B1813" i="12"/>
  <c r="B1814" i="12"/>
  <c r="B1815" i="12"/>
  <c r="B1816" i="12"/>
  <c r="B1817" i="12"/>
  <c r="B1818" i="12"/>
  <c r="B1819" i="12"/>
  <c r="B1820" i="12"/>
  <c r="B1821" i="12"/>
  <c r="B1822" i="12"/>
  <c r="B1823" i="12"/>
  <c r="B1824" i="12"/>
  <c r="B1825" i="12"/>
  <c r="B1826" i="12"/>
  <c r="B1827" i="12"/>
  <c r="B1828" i="12"/>
  <c r="B1829" i="12"/>
  <c r="B1830" i="12"/>
  <c r="B1831" i="12"/>
  <c r="B1832" i="12"/>
  <c r="B1833" i="12"/>
  <c r="B1834" i="12"/>
  <c r="B1835" i="12"/>
  <c r="B1836" i="12"/>
  <c r="B1837" i="12"/>
  <c r="B1838" i="12"/>
  <c r="B1839" i="12"/>
  <c r="B1840" i="12"/>
  <c r="B1841" i="12"/>
  <c r="B1842" i="12"/>
  <c r="B1843" i="12"/>
  <c r="B1844" i="12"/>
  <c r="B1845" i="12"/>
  <c r="B1846" i="12"/>
  <c r="B1847" i="12"/>
  <c r="B1848" i="12"/>
  <c r="B1849" i="12"/>
  <c r="B1850" i="12"/>
  <c r="B1851" i="12"/>
  <c r="B1852" i="12"/>
  <c r="B1853" i="12"/>
  <c r="B1854" i="12"/>
  <c r="B1855" i="12"/>
  <c r="B1856" i="12"/>
  <c r="B1857" i="12"/>
  <c r="B1858" i="12"/>
  <c r="B1859" i="12"/>
  <c r="B1860" i="12"/>
  <c r="B1861" i="12"/>
  <c r="B1862" i="12"/>
  <c r="B1863" i="12"/>
  <c r="B1864" i="12"/>
  <c r="B1865" i="12"/>
  <c r="B1866" i="12"/>
  <c r="B1867" i="12"/>
  <c r="B1868" i="12"/>
  <c r="B1869" i="12"/>
  <c r="B1870" i="12"/>
  <c r="B1871" i="12"/>
  <c r="B1872" i="12"/>
  <c r="B1873" i="12"/>
  <c r="B1874" i="12"/>
  <c r="B1875" i="12"/>
  <c r="B1876" i="12"/>
  <c r="B1877" i="12"/>
  <c r="B1878" i="12"/>
  <c r="B1879" i="12"/>
  <c r="B1880" i="12"/>
  <c r="B1881" i="12"/>
  <c r="B1882" i="12"/>
  <c r="B1883" i="12"/>
  <c r="B1884" i="12"/>
  <c r="B1885" i="12"/>
  <c r="B1886" i="12"/>
  <c r="B1887" i="12"/>
  <c r="B1888" i="12"/>
  <c r="B1889" i="12"/>
  <c r="B1890" i="12"/>
  <c r="B1891" i="12"/>
  <c r="B1892" i="12"/>
  <c r="B1893" i="12"/>
  <c r="B1894" i="12"/>
  <c r="B1895" i="12"/>
  <c r="B1896" i="12"/>
  <c r="B1897" i="12"/>
  <c r="B1898" i="12"/>
  <c r="B1899" i="12"/>
  <c r="B1900" i="12"/>
  <c r="B1901" i="12"/>
  <c r="B1902" i="12"/>
  <c r="B1903" i="12"/>
  <c r="B1904" i="12"/>
  <c r="B1905" i="12"/>
  <c r="B1906" i="12"/>
  <c r="B1907" i="12"/>
  <c r="B1908" i="12"/>
  <c r="B1909" i="12"/>
  <c r="B1910" i="12"/>
  <c r="B1911" i="12"/>
  <c r="B1912" i="12"/>
  <c r="B1913" i="12"/>
  <c r="B1914" i="12"/>
  <c r="B1915" i="12"/>
  <c r="B1916" i="12"/>
  <c r="B1917" i="12"/>
  <c r="B1918" i="12"/>
  <c r="B1919" i="12"/>
  <c r="B1920" i="12"/>
  <c r="B1921" i="12"/>
  <c r="B1922" i="12"/>
  <c r="B1923" i="12"/>
  <c r="B1924" i="12"/>
  <c r="B1925" i="12"/>
  <c r="B1926" i="12"/>
  <c r="B1927" i="12"/>
  <c r="B1928" i="12"/>
  <c r="B1929" i="12"/>
  <c r="B1930" i="12"/>
  <c r="B1931" i="12"/>
  <c r="B1932" i="12"/>
  <c r="B1933" i="12"/>
  <c r="B1934" i="12"/>
  <c r="B1935" i="12"/>
  <c r="B1936" i="12"/>
  <c r="B1937" i="12"/>
  <c r="B1938" i="12"/>
  <c r="B1939" i="12"/>
  <c r="B1940" i="12"/>
  <c r="B1941" i="12"/>
  <c r="B1942" i="12"/>
  <c r="B1943" i="12"/>
  <c r="B1944" i="12"/>
  <c r="B1945" i="12"/>
  <c r="B1946" i="12"/>
  <c r="B1947" i="12"/>
  <c r="B1948" i="12"/>
  <c r="B1949" i="12"/>
  <c r="B1950" i="12"/>
  <c r="B1951" i="12"/>
  <c r="B1952" i="12"/>
  <c r="B1953" i="12"/>
  <c r="B1954" i="12"/>
  <c r="B1955" i="12"/>
  <c r="B1956" i="12"/>
  <c r="B1957" i="12"/>
  <c r="B1958" i="12"/>
  <c r="B1959" i="12"/>
  <c r="B1960" i="12"/>
  <c r="B1961" i="12"/>
  <c r="B1962" i="12"/>
  <c r="B1963" i="12"/>
  <c r="B1964" i="12"/>
  <c r="B1965" i="12"/>
  <c r="B1966" i="12"/>
  <c r="B1967" i="12"/>
  <c r="B1968" i="12"/>
  <c r="B1969" i="12"/>
  <c r="B1970" i="12"/>
  <c r="B1971" i="12"/>
  <c r="B1972" i="12"/>
  <c r="B1973" i="12"/>
  <c r="B1974" i="12"/>
  <c r="B1975" i="12"/>
  <c r="B1976" i="12"/>
  <c r="B1977" i="12"/>
  <c r="B1978" i="12"/>
  <c r="B1979" i="12"/>
  <c r="B1980" i="12"/>
  <c r="B1981" i="12"/>
  <c r="B1982" i="12"/>
  <c r="B1983" i="12"/>
  <c r="B1984" i="12"/>
  <c r="B1985" i="12"/>
  <c r="B1986" i="12"/>
  <c r="B1987" i="12"/>
  <c r="B1988" i="12"/>
  <c r="B1989" i="12"/>
  <c r="B1990" i="12"/>
  <c r="B1991" i="12"/>
  <c r="B1992" i="12"/>
  <c r="B1993" i="12"/>
  <c r="B1994" i="12"/>
  <c r="B1995" i="12"/>
  <c r="B1996" i="12"/>
  <c r="B1997" i="12"/>
  <c r="B1998" i="12"/>
  <c r="B1999" i="12"/>
  <c r="B2000" i="12"/>
  <c r="B2001" i="12"/>
  <c r="B2002" i="12"/>
  <c r="B2003" i="12"/>
  <c r="B2004" i="12"/>
  <c r="B2005" i="12"/>
  <c r="B2006" i="12"/>
  <c r="B2007" i="12"/>
  <c r="B2008" i="12"/>
  <c r="B2009" i="12"/>
  <c r="B2010" i="12"/>
  <c r="B2011" i="12"/>
  <c r="B2012" i="12"/>
  <c r="B2013" i="12"/>
  <c r="B2014" i="12"/>
  <c r="B2015" i="12"/>
  <c r="B2016" i="12"/>
  <c r="B2017" i="12"/>
  <c r="B2018" i="12"/>
  <c r="B2019" i="12"/>
  <c r="B2020" i="12"/>
  <c r="B2021" i="12"/>
  <c r="B2022" i="12"/>
  <c r="B2023" i="12"/>
  <c r="B2024" i="12"/>
  <c r="B2025" i="12"/>
  <c r="B2026" i="12"/>
  <c r="B2027" i="12"/>
  <c r="B2028" i="12"/>
  <c r="B2029" i="12"/>
  <c r="B2030" i="12"/>
  <c r="B2031" i="12"/>
  <c r="B2032" i="12"/>
  <c r="B2033" i="12"/>
  <c r="B2034" i="12"/>
  <c r="B2035" i="12"/>
  <c r="B2036" i="12"/>
  <c r="B2037" i="12"/>
  <c r="B2038" i="12"/>
  <c r="B2039" i="12"/>
  <c r="B2040" i="12"/>
  <c r="B2041" i="12"/>
  <c r="B2042" i="12"/>
  <c r="B2043" i="12"/>
  <c r="B2044" i="12"/>
  <c r="B2045" i="12"/>
  <c r="B2046" i="12"/>
  <c r="B2047" i="12"/>
  <c r="B2048" i="12"/>
  <c r="B2049" i="12"/>
  <c r="B2050" i="12"/>
  <c r="B2051" i="12"/>
  <c r="B2052" i="12"/>
  <c r="B2053" i="12"/>
  <c r="B2054" i="12"/>
  <c r="B2055" i="12"/>
  <c r="B2056" i="12"/>
  <c r="B2057" i="12"/>
  <c r="B2058" i="12"/>
  <c r="B2059" i="12"/>
  <c r="B2060" i="12"/>
  <c r="B2061" i="12"/>
  <c r="B2062" i="12"/>
  <c r="B2063" i="12"/>
  <c r="B2064" i="12"/>
  <c r="B2065" i="12"/>
  <c r="B2066" i="12"/>
  <c r="B2067" i="12"/>
  <c r="B2068" i="12"/>
  <c r="B2069" i="12"/>
  <c r="B2070" i="12"/>
  <c r="B2071" i="12"/>
  <c r="B2072" i="12"/>
  <c r="B2073" i="12"/>
  <c r="B2074" i="12"/>
  <c r="B2075" i="12"/>
  <c r="B2076" i="12"/>
  <c r="B2077" i="12"/>
  <c r="B2078" i="12"/>
  <c r="B2079" i="12"/>
  <c r="B2080" i="12"/>
  <c r="B2081" i="12"/>
  <c r="B2082" i="12"/>
  <c r="B2083" i="12"/>
  <c r="B2084" i="12"/>
  <c r="B2085" i="12"/>
  <c r="B2086" i="12"/>
  <c r="B2087" i="12"/>
  <c r="B2088" i="12"/>
  <c r="B2089" i="12"/>
  <c r="B2090" i="12"/>
  <c r="B2091" i="12"/>
  <c r="B2092" i="12"/>
  <c r="B2093" i="12"/>
  <c r="B2094" i="12"/>
  <c r="B2095" i="12"/>
  <c r="B2096" i="12"/>
  <c r="B2097" i="12"/>
  <c r="B2098" i="12"/>
  <c r="B2099" i="12"/>
  <c r="B2100" i="12"/>
  <c r="B2101" i="12"/>
  <c r="B2102" i="12"/>
  <c r="B2103" i="12"/>
  <c r="B2104" i="12"/>
  <c r="B2105" i="12"/>
  <c r="B2106" i="12"/>
  <c r="B2107" i="12"/>
  <c r="B2108" i="12"/>
  <c r="B2109" i="12"/>
  <c r="B2110" i="12"/>
  <c r="B2111" i="12"/>
  <c r="B2112" i="12"/>
  <c r="B2113" i="12"/>
  <c r="B2114" i="12"/>
  <c r="B2115" i="12"/>
  <c r="B2116" i="12"/>
  <c r="B2117" i="12"/>
  <c r="B2118" i="12"/>
  <c r="B2119" i="12"/>
  <c r="B2120" i="12"/>
  <c r="B2121" i="12"/>
  <c r="B2122" i="12"/>
  <c r="B2123" i="12"/>
  <c r="B2124" i="12"/>
  <c r="B2125" i="12"/>
  <c r="B2126" i="12"/>
  <c r="B2127" i="12"/>
  <c r="B2128" i="12"/>
  <c r="B2129" i="12"/>
  <c r="B2130" i="12"/>
  <c r="B2131" i="12"/>
  <c r="B2132" i="12"/>
  <c r="B2133" i="12"/>
  <c r="B2134" i="12"/>
  <c r="B2135" i="12"/>
  <c r="B2136" i="12"/>
  <c r="B2137" i="12"/>
  <c r="B2138" i="12"/>
  <c r="B2139" i="12"/>
  <c r="B2140" i="12"/>
  <c r="B2141" i="12"/>
  <c r="B2142" i="12"/>
  <c r="B2143" i="12"/>
  <c r="B2144" i="12"/>
  <c r="B2145" i="12"/>
  <c r="B2146" i="12"/>
  <c r="B2147" i="12"/>
  <c r="B2148" i="12"/>
  <c r="B2149" i="12"/>
  <c r="B2150" i="12"/>
  <c r="B2151" i="12"/>
  <c r="B2152" i="12"/>
  <c r="B2153" i="12"/>
  <c r="B2154" i="12"/>
  <c r="B2155" i="12"/>
  <c r="B2156" i="12"/>
  <c r="B2157" i="12"/>
  <c r="B2158" i="12"/>
  <c r="B2159" i="12"/>
  <c r="B2160" i="12"/>
  <c r="B2161" i="12"/>
  <c r="B2162" i="12"/>
  <c r="B2163" i="12"/>
  <c r="B2164" i="12"/>
  <c r="B2165" i="12"/>
  <c r="B2166" i="12"/>
  <c r="B2167" i="12"/>
  <c r="B2168" i="12"/>
  <c r="B2169" i="12"/>
  <c r="B2170" i="12"/>
  <c r="B2171" i="12"/>
  <c r="B2172" i="12"/>
  <c r="B2173" i="12"/>
  <c r="B2174" i="12"/>
  <c r="B2175" i="12"/>
  <c r="B2176" i="12"/>
  <c r="B2177" i="12"/>
  <c r="B2178" i="12"/>
  <c r="B2179" i="12"/>
  <c r="B2180" i="12"/>
  <c r="B2181" i="12"/>
  <c r="B2182" i="12"/>
  <c r="B2183" i="12"/>
  <c r="B2184" i="12"/>
  <c r="B2185" i="12"/>
  <c r="B2186" i="12"/>
  <c r="B2187" i="12"/>
  <c r="B2188" i="12"/>
  <c r="B2189" i="12"/>
  <c r="B2190" i="12"/>
  <c r="B2191" i="12"/>
  <c r="B2192" i="12"/>
  <c r="B2193" i="12"/>
  <c r="B2194" i="12"/>
  <c r="B2195" i="12"/>
  <c r="B2196" i="12"/>
  <c r="B2197" i="12"/>
  <c r="B2198" i="12"/>
  <c r="B2199" i="12"/>
  <c r="B2200" i="12"/>
  <c r="B2201" i="12"/>
  <c r="B2202" i="12"/>
  <c r="B2203" i="12"/>
  <c r="B2204" i="12"/>
  <c r="B2205" i="12"/>
  <c r="B2206" i="12"/>
  <c r="B2207" i="12"/>
  <c r="B2208" i="12"/>
  <c r="B2209" i="12"/>
  <c r="B2210" i="12"/>
  <c r="B2211" i="12"/>
  <c r="B2212" i="12"/>
  <c r="B2213" i="12"/>
  <c r="B2214" i="12"/>
  <c r="B2215" i="12"/>
  <c r="B2216" i="12"/>
  <c r="B2217" i="12"/>
  <c r="B2218" i="12"/>
  <c r="B2219" i="12"/>
  <c r="B2220" i="12"/>
  <c r="B2221" i="12"/>
  <c r="B2222" i="12"/>
  <c r="B2223" i="12"/>
  <c r="B2224" i="12"/>
  <c r="B2225" i="12"/>
  <c r="B2226" i="12"/>
  <c r="B2227" i="12"/>
  <c r="B2228" i="12"/>
  <c r="B2229" i="12"/>
  <c r="B2230" i="12"/>
  <c r="B2231" i="12"/>
  <c r="B2232" i="12"/>
  <c r="B2233" i="12"/>
  <c r="B2234" i="12"/>
  <c r="B2235" i="12"/>
  <c r="B2236" i="12"/>
  <c r="B2237" i="12"/>
  <c r="B2238" i="12"/>
  <c r="B2239" i="12"/>
  <c r="B2240" i="12"/>
  <c r="B2241" i="12"/>
  <c r="B2242" i="12"/>
  <c r="B2243" i="12"/>
  <c r="B2244" i="12"/>
  <c r="B2245" i="12"/>
  <c r="B2246" i="12"/>
  <c r="B2247" i="12"/>
  <c r="B2248" i="12"/>
  <c r="B2249" i="12"/>
  <c r="B2250" i="12"/>
  <c r="B2251" i="12"/>
  <c r="B2252" i="12"/>
  <c r="B2253" i="12"/>
  <c r="B2254" i="12"/>
  <c r="B2255" i="12"/>
  <c r="B2256" i="12"/>
  <c r="B2257" i="12"/>
  <c r="B2258" i="12"/>
  <c r="B2259" i="12"/>
  <c r="B2260" i="12"/>
  <c r="B2261" i="12"/>
  <c r="B2262" i="12"/>
  <c r="B2263" i="12"/>
  <c r="B2264" i="12"/>
  <c r="B2265" i="12"/>
  <c r="B2266" i="12"/>
  <c r="B2267" i="12"/>
  <c r="B2268" i="12"/>
  <c r="B2269" i="12"/>
  <c r="B2270" i="12"/>
  <c r="B2271" i="12"/>
  <c r="B2272" i="12"/>
  <c r="B2273" i="12"/>
  <c r="B2274" i="12"/>
  <c r="B2275" i="12"/>
  <c r="B2276" i="12"/>
  <c r="B2277" i="12"/>
  <c r="B2278" i="12"/>
  <c r="B2279" i="12"/>
  <c r="B2280" i="12"/>
  <c r="B2281" i="12"/>
  <c r="B2282" i="12"/>
  <c r="B2283" i="12"/>
  <c r="B2284" i="12"/>
  <c r="B2285" i="12"/>
  <c r="B2286" i="12"/>
  <c r="B2287" i="12"/>
  <c r="B2288" i="12"/>
  <c r="B2289" i="12"/>
  <c r="B2290" i="12"/>
  <c r="B2291" i="12"/>
  <c r="B2292" i="12"/>
  <c r="B2293" i="12"/>
  <c r="B2294" i="12"/>
  <c r="B2295" i="12"/>
  <c r="B2296" i="12"/>
  <c r="B2297" i="12"/>
  <c r="B2298" i="12"/>
  <c r="B2299" i="12"/>
  <c r="B2300" i="12"/>
  <c r="B2301" i="12"/>
  <c r="B2302" i="12"/>
  <c r="B2303" i="12"/>
  <c r="B2304" i="12"/>
  <c r="B2305" i="12"/>
  <c r="B2306" i="12"/>
  <c r="B2307" i="12"/>
  <c r="B2308" i="12"/>
  <c r="B2309" i="12"/>
  <c r="B2310" i="12"/>
  <c r="B2311" i="12"/>
  <c r="B2312" i="12"/>
  <c r="B2313" i="12"/>
  <c r="B2314" i="12"/>
  <c r="B2315" i="12"/>
  <c r="B2316" i="12"/>
  <c r="B2317" i="12"/>
  <c r="B2318" i="12"/>
  <c r="B2319" i="12"/>
  <c r="B2320" i="12"/>
  <c r="B2321" i="12"/>
  <c r="B2322" i="12"/>
  <c r="B2323" i="12"/>
  <c r="B2324" i="12"/>
  <c r="B2325" i="12"/>
  <c r="B2326" i="12"/>
  <c r="B2327" i="12"/>
  <c r="B2328" i="12"/>
  <c r="B2329" i="12"/>
  <c r="B2330" i="12"/>
  <c r="B2331" i="12"/>
  <c r="B2332" i="12"/>
  <c r="B2333" i="12"/>
  <c r="B2334" i="12"/>
  <c r="B2335" i="12"/>
  <c r="B2336" i="12"/>
  <c r="B2337" i="12"/>
  <c r="B2338" i="12"/>
  <c r="B2339" i="12"/>
  <c r="B2340" i="12"/>
  <c r="B2341" i="12"/>
  <c r="B2342" i="12"/>
  <c r="B2343" i="12"/>
  <c r="B2344" i="12"/>
  <c r="B2345" i="12"/>
  <c r="B2346" i="12"/>
  <c r="B2347" i="12"/>
  <c r="B2348" i="12"/>
  <c r="B2349" i="12"/>
  <c r="B2350" i="12"/>
  <c r="B2351" i="12"/>
  <c r="B2352" i="12"/>
  <c r="B2353" i="12"/>
  <c r="B2354" i="12"/>
  <c r="B2355" i="12"/>
  <c r="B2356" i="12"/>
  <c r="B2357" i="12"/>
  <c r="B2358" i="12"/>
  <c r="B2359" i="12"/>
  <c r="B2360" i="12"/>
  <c r="B2361" i="12"/>
  <c r="B2362" i="12"/>
  <c r="B2363" i="12"/>
  <c r="B2364" i="12"/>
  <c r="B2365" i="12"/>
  <c r="B2366" i="12"/>
  <c r="B2367" i="12"/>
  <c r="B2368" i="12"/>
  <c r="B2369" i="12"/>
  <c r="B2370" i="12"/>
  <c r="B2371" i="12"/>
  <c r="B2372" i="12"/>
  <c r="B2373" i="12"/>
  <c r="B2374" i="12"/>
  <c r="B2375" i="12"/>
  <c r="B2376" i="12"/>
  <c r="B2377" i="12"/>
  <c r="B2378" i="12"/>
  <c r="B2379" i="12"/>
  <c r="B2380" i="12"/>
  <c r="B2381" i="12"/>
  <c r="B2382" i="12"/>
  <c r="B2383" i="12"/>
  <c r="B2384" i="12"/>
  <c r="B2385" i="12"/>
  <c r="B2386" i="12"/>
  <c r="B2387" i="12"/>
  <c r="B2388" i="12"/>
  <c r="B2389" i="12"/>
  <c r="B2390" i="12"/>
  <c r="B2391" i="12"/>
  <c r="B2392" i="12"/>
  <c r="B2393" i="12"/>
  <c r="B2394" i="12"/>
  <c r="B2395" i="12"/>
  <c r="B2396" i="12"/>
  <c r="B2397" i="12"/>
  <c r="B2398" i="12"/>
  <c r="B2399" i="12"/>
  <c r="B2400" i="12"/>
  <c r="B2401" i="12"/>
  <c r="B2402" i="12"/>
  <c r="B2403" i="12"/>
  <c r="B2404" i="12"/>
  <c r="B2405" i="12"/>
  <c r="B2406" i="12"/>
  <c r="B2407" i="12"/>
  <c r="B2408" i="12"/>
  <c r="B2409" i="12"/>
  <c r="B2410" i="12"/>
  <c r="B2411" i="12"/>
  <c r="B2412" i="12"/>
  <c r="B2413" i="12"/>
  <c r="B2414" i="12"/>
  <c r="B2415" i="12"/>
  <c r="B2416" i="12"/>
  <c r="B2417" i="12"/>
  <c r="B2418" i="12"/>
  <c r="B2419" i="12"/>
  <c r="B2420" i="12"/>
  <c r="B2421" i="12"/>
  <c r="B2422" i="12"/>
  <c r="B2423" i="12"/>
  <c r="B2424" i="12"/>
  <c r="B2425" i="12"/>
  <c r="B2426" i="12"/>
  <c r="B2427" i="12"/>
  <c r="B2428" i="12"/>
  <c r="B2429" i="12"/>
  <c r="B2430" i="12"/>
  <c r="B2431" i="12"/>
  <c r="B2432" i="12"/>
  <c r="B2433" i="12"/>
  <c r="B2434" i="12"/>
  <c r="B2435" i="12"/>
  <c r="B2436" i="12"/>
  <c r="B2437" i="12"/>
  <c r="B2438" i="12"/>
  <c r="B2439" i="12"/>
  <c r="B2440" i="12"/>
  <c r="B2441" i="12"/>
  <c r="B2442" i="12"/>
  <c r="B2443" i="12"/>
  <c r="B2444" i="12"/>
  <c r="B2445" i="12"/>
  <c r="B2446" i="12"/>
  <c r="B2447" i="12"/>
  <c r="B2448" i="12"/>
  <c r="B2449" i="12"/>
  <c r="B2450" i="12"/>
  <c r="B2451" i="12"/>
  <c r="B2452" i="12"/>
  <c r="B2453" i="12"/>
  <c r="B2454" i="12"/>
  <c r="B2455" i="12"/>
  <c r="B2456" i="12"/>
  <c r="B2457" i="12"/>
  <c r="B2458" i="12"/>
  <c r="B2459" i="12"/>
  <c r="B2460" i="12"/>
  <c r="B2461" i="12"/>
  <c r="B2462" i="12"/>
  <c r="B2463" i="12"/>
  <c r="B2464" i="12"/>
  <c r="B2465" i="12"/>
  <c r="B2466" i="12"/>
  <c r="B2467" i="12"/>
  <c r="B2468" i="12"/>
  <c r="B2469" i="12"/>
  <c r="B2470" i="12"/>
  <c r="B2471" i="12"/>
  <c r="B2472" i="12"/>
  <c r="B2473" i="12"/>
  <c r="B2474" i="12"/>
  <c r="B2475" i="12"/>
  <c r="B2476" i="12"/>
  <c r="B2477" i="12"/>
  <c r="B2478" i="12"/>
  <c r="B2479" i="12"/>
  <c r="B2480" i="12"/>
  <c r="B2481" i="12"/>
  <c r="B2482" i="12"/>
  <c r="B2483" i="12"/>
  <c r="B2484" i="12"/>
  <c r="B2485" i="12"/>
  <c r="B2486" i="12"/>
  <c r="B2487" i="12"/>
  <c r="B2488" i="12"/>
  <c r="B2489" i="12"/>
  <c r="B2490" i="12"/>
  <c r="B2491" i="12"/>
  <c r="B2492" i="12"/>
  <c r="B2493" i="12"/>
  <c r="B2494" i="12"/>
  <c r="B2495" i="12"/>
  <c r="B2496" i="12"/>
  <c r="B2497" i="12"/>
  <c r="B2498" i="12"/>
  <c r="B2499" i="12"/>
  <c r="B2500" i="12"/>
  <c r="B2501" i="12"/>
  <c r="B2502" i="12"/>
  <c r="B2503" i="12"/>
  <c r="B2504" i="12"/>
  <c r="B2505" i="12"/>
  <c r="B2506" i="12"/>
  <c r="B2507" i="12"/>
  <c r="B2508" i="12"/>
  <c r="B2509" i="12"/>
  <c r="B2510" i="12"/>
  <c r="B2511" i="12"/>
  <c r="B2512" i="12"/>
  <c r="B2513" i="12"/>
  <c r="B2514" i="12"/>
  <c r="B2515" i="12"/>
  <c r="B2516" i="12"/>
  <c r="B2517" i="12"/>
  <c r="B2518" i="12"/>
  <c r="B2519" i="12"/>
  <c r="B2520" i="12"/>
  <c r="B2521" i="12"/>
  <c r="B2522" i="12"/>
  <c r="B2523" i="12"/>
  <c r="B2524" i="12"/>
  <c r="B2525" i="12"/>
  <c r="B2526" i="12"/>
  <c r="B2527" i="12"/>
  <c r="B2528" i="12"/>
  <c r="B2529" i="12"/>
  <c r="B2530" i="12"/>
  <c r="B2531" i="12"/>
  <c r="B2532" i="12"/>
  <c r="B2533" i="12"/>
  <c r="B2534" i="12"/>
  <c r="B2535" i="12"/>
  <c r="B2536" i="12"/>
  <c r="B2537" i="12"/>
  <c r="B2538" i="12"/>
  <c r="B2539" i="12"/>
  <c r="B2540" i="12"/>
  <c r="B2541" i="12"/>
  <c r="B2542" i="12"/>
  <c r="B2543" i="12"/>
  <c r="B2544" i="12"/>
  <c r="B2545" i="12"/>
  <c r="B2546" i="12"/>
  <c r="B2547" i="12"/>
  <c r="B2548" i="12"/>
  <c r="B2549" i="12"/>
  <c r="B2550" i="12"/>
  <c r="B2551" i="12"/>
  <c r="B2552" i="12"/>
  <c r="B2553" i="12"/>
  <c r="B2554" i="12"/>
  <c r="B2555" i="12"/>
  <c r="B2556" i="12"/>
  <c r="B2557" i="12"/>
  <c r="B2558" i="12"/>
  <c r="B2559" i="12"/>
  <c r="B2560" i="12"/>
  <c r="B2561" i="12"/>
  <c r="B2562" i="12"/>
  <c r="B2563" i="12"/>
  <c r="B2564" i="12"/>
  <c r="B2565" i="12"/>
  <c r="B2566" i="12"/>
  <c r="B2567" i="12"/>
  <c r="B2568" i="12"/>
  <c r="B2569" i="12"/>
  <c r="B2570" i="12"/>
  <c r="B2571" i="12"/>
  <c r="B2572" i="12"/>
  <c r="B2573" i="12"/>
  <c r="B2574" i="12"/>
  <c r="B2575" i="12"/>
  <c r="B2576" i="12"/>
  <c r="B2577" i="12"/>
  <c r="B2578" i="12"/>
  <c r="B2579" i="12"/>
  <c r="B2580" i="12"/>
  <c r="B2581" i="12"/>
  <c r="B2582" i="12"/>
  <c r="B2583" i="12"/>
  <c r="B2584" i="12"/>
  <c r="B2585" i="12"/>
  <c r="B2586" i="12"/>
  <c r="B2587" i="12"/>
  <c r="B2588" i="12"/>
  <c r="B2589" i="12"/>
  <c r="B2590" i="12"/>
  <c r="B2591" i="12"/>
  <c r="B2592" i="12"/>
  <c r="B2593" i="12"/>
  <c r="B2594" i="12"/>
  <c r="B2595" i="12"/>
  <c r="B2596" i="12"/>
  <c r="B2597" i="12"/>
  <c r="B2598" i="12"/>
  <c r="B2599" i="12"/>
  <c r="B2600" i="12"/>
  <c r="B2601" i="12"/>
  <c r="B2602" i="12"/>
  <c r="B2603" i="12"/>
  <c r="B2604" i="12"/>
  <c r="B2605" i="12"/>
  <c r="B2606" i="12"/>
  <c r="B2607" i="12"/>
  <c r="B2608" i="12"/>
  <c r="B2609" i="12"/>
  <c r="B2610" i="12"/>
  <c r="B2611" i="12"/>
  <c r="B2612" i="12"/>
  <c r="B2613" i="12"/>
  <c r="B2614" i="12"/>
  <c r="B2615" i="12"/>
  <c r="B2616" i="12"/>
  <c r="B2617" i="12"/>
  <c r="B2618" i="12"/>
  <c r="B2619" i="12"/>
  <c r="B2620" i="12"/>
  <c r="B2621" i="12"/>
  <c r="B2622" i="12"/>
  <c r="B2623" i="12"/>
  <c r="B2624" i="12"/>
  <c r="B2625" i="12"/>
  <c r="B2626" i="12"/>
  <c r="B2627" i="12"/>
  <c r="B2628" i="12"/>
  <c r="B2629" i="12"/>
  <c r="B2630" i="12"/>
  <c r="B2631" i="12"/>
  <c r="B2632" i="12"/>
  <c r="B2633" i="12"/>
  <c r="B2634" i="12"/>
  <c r="B2635" i="12"/>
  <c r="B2636" i="12"/>
  <c r="B2637" i="12"/>
  <c r="B2638" i="12"/>
  <c r="B2639" i="12"/>
  <c r="B2640" i="12"/>
  <c r="B2641" i="12"/>
  <c r="B2642" i="12"/>
  <c r="B2643" i="12"/>
  <c r="B2644" i="12"/>
  <c r="B2645" i="12"/>
  <c r="B2646" i="12"/>
  <c r="B2647" i="12"/>
  <c r="B2648" i="12"/>
  <c r="B2649" i="12"/>
  <c r="B2650" i="12"/>
  <c r="B2651" i="12"/>
  <c r="B2652" i="12"/>
  <c r="B2653" i="12"/>
  <c r="B2654" i="12"/>
  <c r="B2655" i="12"/>
  <c r="B2656" i="12"/>
  <c r="B2657" i="12"/>
  <c r="B2658" i="12"/>
  <c r="B2659" i="12"/>
  <c r="B2660" i="12"/>
  <c r="B2661" i="12"/>
  <c r="B2662" i="12"/>
  <c r="B2663" i="12"/>
  <c r="B2664" i="12"/>
  <c r="B2665" i="12"/>
  <c r="B2666" i="12"/>
  <c r="B2667" i="12"/>
  <c r="B2668" i="12"/>
  <c r="B2669" i="12"/>
  <c r="B2670" i="12"/>
  <c r="B2671" i="12"/>
  <c r="B2672" i="12"/>
  <c r="B2673" i="12"/>
  <c r="B2674" i="12"/>
  <c r="B2675" i="12"/>
  <c r="B2676" i="12"/>
  <c r="B2677" i="12"/>
  <c r="B2678" i="12"/>
  <c r="B2679" i="12"/>
  <c r="B2680" i="12"/>
  <c r="B2681" i="12"/>
  <c r="B2682" i="12"/>
  <c r="B2683" i="12"/>
  <c r="B2684" i="12"/>
  <c r="B2685" i="12"/>
  <c r="B2686" i="12"/>
  <c r="B2687" i="12"/>
  <c r="B2688" i="12"/>
  <c r="B2689" i="12"/>
  <c r="B2690" i="12"/>
  <c r="B2691" i="12"/>
  <c r="B2692" i="12"/>
  <c r="B2693" i="12"/>
  <c r="B2694" i="12"/>
  <c r="B2695" i="12"/>
  <c r="B2696" i="12"/>
  <c r="B2697" i="12"/>
  <c r="B2698" i="12"/>
  <c r="B2699" i="12"/>
  <c r="B2700" i="12"/>
  <c r="B2701" i="12"/>
  <c r="B2702" i="12"/>
  <c r="B2703" i="12"/>
  <c r="B2704" i="12"/>
  <c r="B2705" i="12"/>
  <c r="B2706" i="12"/>
  <c r="B2707" i="12"/>
  <c r="B2708" i="12"/>
  <c r="B2709" i="12"/>
  <c r="B2710" i="12"/>
  <c r="B2711" i="12"/>
  <c r="B2712" i="12"/>
  <c r="B2713" i="12"/>
  <c r="B2714" i="12"/>
  <c r="B2715" i="12"/>
  <c r="B2716" i="12"/>
  <c r="B2717" i="12"/>
  <c r="B2718" i="12"/>
  <c r="B2719" i="12"/>
  <c r="B2720" i="12"/>
  <c r="B2721" i="12"/>
  <c r="B2722" i="12"/>
  <c r="B2723" i="12"/>
  <c r="B2724" i="12"/>
  <c r="B2725" i="12"/>
  <c r="B2726" i="12"/>
  <c r="B2727" i="12"/>
  <c r="B2728" i="12"/>
  <c r="B2729" i="12"/>
  <c r="B2730" i="12"/>
  <c r="B2731" i="12"/>
  <c r="B2732" i="12"/>
  <c r="B2733" i="12"/>
  <c r="B2734" i="12"/>
  <c r="B2735" i="12"/>
  <c r="B2736" i="12"/>
  <c r="B2737" i="12"/>
  <c r="B2738" i="12"/>
  <c r="B2739" i="12"/>
  <c r="B2740" i="12"/>
  <c r="B2741" i="12"/>
  <c r="B2742" i="12"/>
  <c r="B2743" i="12"/>
  <c r="B2744" i="12"/>
  <c r="B2745" i="12"/>
  <c r="B2746" i="12"/>
  <c r="B2747" i="12"/>
  <c r="B2748" i="12"/>
  <c r="B2749" i="12"/>
  <c r="B2750" i="12"/>
  <c r="B2751" i="12"/>
  <c r="B2752" i="12"/>
  <c r="B2753" i="12"/>
  <c r="B2754" i="12"/>
  <c r="B2755" i="12"/>
  <c r="B2756" i="12"/>
  <c r="B2757" i="12"/>
  <c r="B2758" i="12"/>
  <c r="B2759" i="12"/>
  <c r="B2760" i="12"/>
  <c r="B2761" i="12"/>
  <c r="B2762" i="12"/>
  <c r="B2763" i="12"/>
  <c r="B2764" i="12"/>
  <c r="B2765" i="12"/>
  <c r="B2766" i="12"/>
  <c r="B2767" i="12"/>
  <c r="B2768" i="12"/>
  <c r="B2769" i="12"/>
  <c r="B2770" i="12"/>
  <c r="B2771" i="12"/>
  <c r="B2772" i="12"/>
  <c r="B2773" i="12"/>
  <c r="B2774" i="12"/>
  <c r="B2775" i="12"/>
  <c r="B2776" i="12"/>
  <c r="B2777" i="12"/>
  <c r="B2778" i="12"/>
  <c r="B2779" i="12"/>
  <c r="B2780" i="12"/>
  <c r="B2781" i="12"/>
  <c r="B2782" i="12"/>
  <c r="B2783" i="12"/>
  <c r="B2784" i="12"/>
  <c r="B2785" i="12"/>
  <c r="B2786" i="12"/>
  <c r="B2787" i="12"/>
  <c r="B2788" i="12"/>
  <c r="B2789" i="12"/>
  <c r="B2790" i="12"/>
  <c r="B2791" i="12"/>
  <c r="B2792" i="12"/>
  <c r="B2793" i="12"/>
  <c r="B2794" i="12"/>
  <c r="B2795" i="12"/>
  <c r="B2796" i="12"/>
  <c r="B2797" i="12"/>
  <c r="B2798" i="12"/>
  <c r="B2799" i="12"/>
  <c r="B2800" i="12"/>
  <c r="B2801" i="12"/>
  <c r="B2802" i="12"/>
  <c r="B2803" i="12"/>
  <c r="B2804" i="12"/>
  <c r="B2805" i="12"/>
  <c r="B2806" i="12"/>
  <c r="B2807" i="12"/>
  <c r="B2808" i="12"/>
  <c r="B2809" i="12"/>
  <c r="B2810" i="12"/>
  <c r="B2811" i="12"/>
  <c r="B2812" i="12"/>
  <c r="B2813" i="12"/>
  <c r="B2814" i="12"/>
  <c r="B2815" i="12"/>
  <c r="B2816" i="12"/>
  <c r="B2817" i="12"/>
  <c r="B2818" i="12"/>
  <c r="B2819" i="12"/>
  <c r="B2820" i="12"/>
  <c r="B2821" i="12"/>
  <c r="B2822" i="12"/>
  <c r="B2823" i="12"/>
  <c r="B2824" i="12"/>
  <c r="B2825" i="12"/>
  <c r="B2826" i="12"/>
  <c r="B2827" i="12"/>
  <c r="B2828" i="12"/>
  <c r="B2829" i="12"/>
  <c r="B2830" i="12"/>
  <c r="B2831" i="12"/>
  <c r="B2832" i="12"/>
  <c r="B2833" i="12"/>
  <c r="B2834" i="12"/>
  <c r="B2835" i="12"/>
  <c r="B2836" i="12"/>
  <c r="B2837" i="12"/>
  <c r="B2838" i="12"/>
  <c r="B2839" i="12"/>
  <c r="B2840" i="12"/>
  <c r="B2841" i="12"/>
  <c r="B2842" i="12"/>
  <c r="B2843" i="12"/>
  <c r="B2844" i="12"/>
  <c r="B2845" i="12"/>
  <c r="B2846" i="12"/>
  <c r="B2847" i="12"/>
  <c r="B2848" i="12"/>
  <c r="B2849" i="12"/>
  <c r="B2850" i="12"/>
  <c r="B2851" i="12"/>
  <c r="B2852" i="12"/>
  <c r="B2853" i="12"/>
  <c r="B2854" i="12"/>
  <c r="B2855" i="12"/>
  <c r="B2856" i="12"/>
  <c r="B2857" i="12"/>
  <c r="B2858" i="12"/>
  <c r="B2859" i="12"/>
  <c r="B2860" i="12"/>
  <c r="B2861" i="12"/>
  <c r="B2862" i="12"/>
  <c r="B2863" i="12"/>
  <c r="B2864" i="12"/>
  <c r="B2865" i="12"/>
  <c r="B2866" i="12"/>
  <c r="B2867" i="12"/>
  <c r="B2868" i="12"/>
  <c r="B2869" i="12"/>
  <c r="B2870" i="12"/>
  <c r="B2871" i="12"/>
  <c r="B2872" i="12"/>
  <c r="B2873" i="12"/>
  <c r="B2874" i="12"/>
  <c r="B2875" i="12"/>
  <c r="B2876" i="12"/>
  <c r="B2877" i="12"/>
  <c r="B2878" i="12"/>
  <c r="B2879" i="12"/>
  <c r="B2880" i="12"/>
  <c r="B2881" i="12"/>
  <c r="B2882" i="12"/>
  <c r="B2883" i="12"/>
  <c r="B2884" i="12"/>
  <c r="B2885" i="12"/>
  <c r="B2886" i="12"/>
  <c r="B2887" i="12"/>
  <c r="B2888" i="12"/>
  <c r="B2889" i="12"/>
  <c r="B2890" i="12"/>
  <c r="B2891" i="12"/>
  <c r="B2892" i="12"/>
  <c r="B2893" i="12"/>
  <c r="B2894" i="12"/>
  <c r="B2895" i="12"/>
  <c r="B2896" i="12"/>
  <c r="B2897" i="12"/>
  <c r="B2898" i="12"/>
  <c r="B2899" i="12"/>
  <c r="B2900" i="12"/>
  <c r="B2901" i="12"/>
  <c r="B2902" i="12"/>
  <c r="B2903" i="12"/>
  <c r="B2904" i="12"/>
  <c r="B2905" i="12"/>
  <c r="B2906" i="12"/>
  <c r="B2907" i="12"/>
  <c r="B2908" i="12"/>
  <c r="B2909" i="12"/>
  <c r="B2910" i="12"/>
  <c r="B2911" i="12"/>
  <c r="B2912" i="12"/>
  <c r="B2913" i="12"/>
  <c r="B2914" i="12"/>
  <c r="B2915" i="12"/>
  <c r="B2916" i="12"/>
  <c r="B2917" i="12"/>
  <c r="B2918" i="12"/>
  <c r="B2919" i="12"/>
  <c r="B2920" i="12"/>
  <c r="B2921" i="12"/>
  <c r="B2922" i="12"/>
  <c r="B2923" i="12"/>
  <c r="B2924" i="12"/>
  <c r="B2925" i="12"/>
  <c r="B2926" i="12"/>
  <c r="B2927" i="12"/>
  <c r="B2928" i="12"/>
  <c r="B2929" i="12"/>
  <c r="B2930" i="12"/>
  <c r="B2931" i="12"/>
  <c r="B2932" i="12"/>
  <c r="B2933" i="12"/>
  <c r="B2934" i="12"/>
  <c r="B2935" i="12"/>
  <c r="B2936" i="12"/>
  <c r="B2937" i="12"/>
  <c r="B2938" i="12"/>
  <c r="B2939" i="12"/>
  <c r="B2940" i="12"/>
  <c r="B2941" i="12"/>
  <c r="B2942" i="12"/>
  <c r="B2943" i="12"/>
  <c r="B2944" i="12"/>
  <c r="B2945" i="12"/>
  <c r="B2946" i="12"/>
  <c r="B2947" i="12"/>
  <c r="B2948" i="12"/>
  <c r="B2949" i="12"/>
  <c r="B2950" i="12"/>
  <c r="B2951" i="12"/>
  <c r="B2952" i="12"/>
  <c r="B2953" i="12"/>
  <c r="B2954" i="12"/>
  <c r="B2955" i="12"/>
  <c r="B2956" i="12"/>
  <c r="B2957" i="12"/>
  <c r="B2958" i="12"/>
  <c r="B2959" i="12"/>
  <c r="B2960" i="12"/>
  <c r="B2961" i="12"/>
  <c r="B2962" i="12"/>
  <c r="B2963" i="12"/>
  <c r="B2964" i="12"/>
  <c r="B2965" i="12"/>
  <c r="B2966" i="12"/>
  <c r="B2967" i="12"/>
  <c r="B2968" i="12"/>
  <c r="B2969" i="12"/>
  <c r="B2970" i="12"/>
  <c r="B2971" i="12"/>
  <c r="B2972" i="12"/>
  <c r="B2973" i="12"/>
  <c r="B2974" i="12"/>
  <c r="B2975" i="12"/>
  <c r="B2976" i="12"/>
  <c r="B2977" i="12"/>
  <c r="B2978" i="12"/>
  <c r="B2979" i="12"/>
  <c r="B2980" i="12"/>
  <c r="B2981" i="12"/>
  <c r="B2982" i="12"/>
  <c r="B2983" i="12"/>
  <c r="B2984" i="12"/>
  <c r="B2985" i="12"/>
  <c r="B2986" i="12"/>
  <c r="B2987" i="12"/>
  <c r="B2988" i="12"/>
  <c r="B2989" i="12"/>
  <c r="B2990" i="12"/>
  <c r="B2991" i="12"/>
  <c r="B2992" i="12"/>
  <c r="B2993" i="12"/>
  <c r="B2994" i="12"/>
  <c r="B2995" i="12"/>
  <c r="B2996" i="12"/>
  <c r="B2997" i="12"/>
  <c r="B2998" i="12"/>
  <c r="B2999" i="12"/>
  <c r="B3000" i="12"/>
  <c r="B3001" i="12"/>
  <c r="B3002" i="12"/>
  <c r="B3003" i="12"/>
  <c r="B3004" i="12"/>
  <c r="B3005" i="12"/>
  <c r="B3006" i="12"/>
  <c r="B3007" i="12"/>
  <c r="B3008" i="12"/>
  <c r="B3009" i="12"/>
  <c r="B3010" i="12"/>
  <c r="B3011" i="12"/>
  <c r="B3012" i="12"/>
  <c r="B3013" i="12"/>
  <c r="B3014" i="12"/>
  <c r="B3015" i="12"/>
  <c r="B3016" i="12"/>
  <c r="B3017" i="12"/>
  <c r="B3018" i="12"/>
  <c r="B3019" i="12"/>
  <c r="B3020" i="12"/>
  <c r="B3021" i="12"/>
  <c r="B3022" i="12"/>
  <c r="B3023" i="12"/>
  <c r="B3024" i="12"/>
  <c r="B3025" i="12"/>
  <c r="B3026" i="12"/>
  <c r="B3027" i="12"/>
  <c r="B3028" i="12"/>
  <c r="B3029" i="12"/>
  <c r="B3030" i="12"/>
  <c r="B3031" i="12"/>
  <c r="B3032" i="12"/>
  <c r="B3033" i="12"/>
  <c r="B3034" i="12"/>
  <c r="B3035" i="12"/>
  <c r="B3036" i="12"/>
  <c r="B3037" i="12"/>
  <c r="B3038" i="12"/>
  <c r="B3039" i="12"/>
  <c r="B3040" i="12"/>
  <c r="B3041" i="12"/>
  <c r="B3042" i="12"/>
  <c r="B3043" i="12"/>
  <c r="B3044" i="12"/>
  <c r="B3045" i="12"/>
  <c r="B3046" i="12"/>
  <c r="B3047" i="12"/>
  <c r="B3048" i="12"/>
  <c r="B3049" i="12"/>
  <c r="B3050" i="12"/>
  <c r="B3051" i="12"/>
  <c r="B3052" i="12"/>
  <c r="B3053" i="12"/>
  <c r="B3054" i="12"/>
  <c r="B3055" i="12"/>
  <c r="B3056" i="12"/>
  <c r="B3057" i="12"/>
  <c r="B3058" i="12"/>
  <c r="B3059" i="12"/>
  <c r="B3060" i="12"/>
  <c r="B3061" i="12"/>
  <c r="B3062" i="12"/>
  <c r="B3063" i="12"/>
  <c r="B3064" i="12"/>
  <c r="B3065" i="12"/>
  <c r="B3066" i="12"/>
  <c r="B3067" i="12"/>
  <c r="B3068" i="12"/>
  <c r="B3069" i="12"/>
  <c r="B3070" i="12"/>
  <c r="B3071" i="12"/>
  <c r="B3072" i="12"/>
  <c r="B3073" i="12"/>
  <c r="B3074" i="12"/>
  <c r="B3075" i="12"/>
  <c r="B3076" i="12"/>
  <c r="B3077" i="12"/>
  <c r="B3078" i="12"/>
  <c r="B3079" i="12"/>
  <c r="B3080" i="12"/>
  <c r="B3081" i="12"/>
  <c r="B3082" i="12"/>
  <c r="B3083" i="12"/>
  <c r="B3084" i="12"/>
  <c r="B3085" i="12"/>
  <c r="B3086" i="12"/>
  <c r="B3087" i="12"/>
  <c r="B3088" i="12"/>
  <c r="B3089" i="12"/>
  <c r="B3090" i="12"/>
  <c r="B3091" i="12"/>
  <c r="B3092" i="12"/>
  <c r="B3093" i="12"/>
  <c r="B3094" i="12"/>
  <c r="B3095" i="12"/>
  <c r="B3096" i="12"/>
  <c r="B3097" i="12"/>
  <c r="B3098" i="12"/>
  <c r="B3099" i="12"/>
  <c r="B3100" i="12"/>
  <c r="B3101" i="12"/>
  <c r="B3102" i="12"/>
  <c r="B3103" i="12"/>
  <c r="B3104" i="12"/>
  <c r="B3105" i="12"/>
  <c r="B3106" i="12"/>
  <c r="B3107" i="12"/>
  <c r="B3108" i="12"/>
  <c r="B3109" i="12"/>
  <c r="B3110" i="12"/>
  <c r="B3111" i="12"/>
  <c r="B3112" i="12"/>
  <c r="B3113" i="12"/>
  <c r="B3114" i="12"/>
  <c r="B3115" i="12"/>
  <c r="B3116" i="12"/>
  <c r="B3117" i="12"/>
  <c r="B3118" i="12"/>
  <c r="B3119" i="12"/>
  <c r="B3120" i="12"/>
  <c r="B3121" i="12"/>
  <c r="B3122" i="12"/>
  <c r="B3123" i="12"/>
  <c r="B3124" i="12"/>
  <c r="B3125" i="12"/>
  <c r="B3126" i="12"/>
  <c r="B3127" i="12"/>
  <c r="B3128" i="12"/>
  <c r="B3129" i="12"/>
  <c r="B3130" i="12"/>
  <c r="B3131" i="12"/>
  <c r="B3132" i="12"/>
  <c r="B3133" i="12"/>
  <c r="B3134" i="12"/>
  <c r="B3135" i="12"/>
  <c r="B3136" i="12"/>
  <c r="B3137" i="12"/>
  <c r="B3138" i="12"/>
  <c r="B3139" i="12"/>
  <c r="B3140" i="12"/>
  <c r="B3141" i="12"/>
  <c r="B3142" i="12"/>
  <c r="B3143" i="12"/>
  <c r="B3144" i="12"/>
  <c r="B3145" i="12"/>
  <c r="B3146" i="12"/>
  <c r="B3147" i="12"/>
  <c r="B3148" i="12"/>
  <c r="B3149" i="12"/>
  <c r="B3150" i="12"/>
  <c r="B3151" i="12"/>
  <c r="B3152" i="12"/>
  <c r="B3153" i="12"/>
  <c r="B3154" i="12"/>
  <c r="B3155" i="12"/>
  <c r="B3156" i="12"/>
  <c r="B3157" i="12"/>
  <c r="B3158" i="12"/>
  <c r="B3159" i="12"/>
  <c r="B3160" i="12"/>
  <c r="B3161" i="12"/>
  <c r="B3162" i="12"/>
  <c r="B3163" i="12"/>
  <c r="B3164" i="12"/>
  <c r="B3165" i="12"/>
  <c r="B3166" i="12"/>
  <c r="B3167" i="12"/>
  <c r="B3168" i="12"/>
  <c r="B3169" i="12"/>
  <c r="B3170" i="12"/>
  <c r="B3171" i="12"/>
  <c r="B3172" i="12"/>
  <c r="B3173" i="12"/>
  <c r="B3174" i="12"/>
  <c r="B3175" i="12"/>
  <c r="B3176" i="12"/>
  <c r="B3177" i="12"/>
  <c r="B3178" i="12"/>
  <c r="B3179" i="12"/>
  <c r="B3180" i="12"/>
  <c r="B3181" i="12"/>
  <c r="B3182" i="12"/>
  <c r="B3183" i="12"/>
  <c r="B3184" i="12"/>
  <c r="B3185" i="12"/>
  <c r="B3186" i="12"/>
  <c r="B3187" i="12"/>
  <c r="B3188" i="12"/>
  <c r="B3189" i="12"/>
  <c r="B3190" i="12"/>
  <c r="B3191" i="12"/>
  <c r="B3192" i="12"/>
  <c r="B3193" i="12"/>
  <c r="B3194" i="12"/>
  <c r="B3195" i="12"/>
  <c r="B3196" i="12"/>
  <c r="B3197" i="12"/>
  <c r="B3198" i="12"/>
  <c r="B3199" i="12"/>
  <c r="B3200" i="12"/>
  <c r="B3201" i="12"/>
  <c r="B3202" i="12"/>
  <c r="B3203" i="12"/>
  <c r="B3204" i="12"/>
  <c r="B3205" i="12"/>
  <c r="B3206" i="12"/>
  <c r="B3207" i="12"/>
  <c r="B3208" i="12"/>
  <c r="B3209" i="12"/>
  <c r="B3210" i="12"/>
  <c r="B3211" i="12"/>
  <c r="B3212" i="12"/>
  <c r="B3213" i="12"/>
  <c r="B3214" i="12"/>
  <c r="B3215" i="12"/>
  <c r="B3216" i="12"/>
  <c r="B3217" i="12"/>
  <c r="B3218" i="12"/>
  <c r="B3219" i="12"/>
  <c r="B3220" i="12"/>
  <c r="B3221" i="12"/>
  <c r="B3222" i="12"/>
  <c r="B3223" i="12"/>
  <c r="B3224" i="12"/>
  <c r="B3225" i="12"/>
  <c r="B3226" i="12"/>
  <c r="B3227" i="12"/>
  <c r="B3228" i="12"/>
  <c r="B3229" i="12"/>
  <c r="B3230" i="12"/>
  <c r="B3231" i="12"/>
  <c r="B3232" i="12"/>
  <c r="B3233" i="12"/>
  <c r="B3234" i="12"/>
  <c r="B3235" i="12"/>
  <c r="B3236" i="12"/>
  <c r="B3237" i="12"/>
  <c r="B3238" i="12"/>
  <c r="B3239" i="12"/>
  <c r="B3240" i="12"/>
  <c r="B3241" i="12"/>
  <c r="B3242" i="12"/>
  <c r="B3243" i="12"/>
  <c r="B3244" i="12"/>
  <c r="B3245" i="12"/>
  <c r="B3246" i="12"/>
  <c r="B3247" i="12"/>
  <c r="B3248" i="12"/>
  <c r="B3249" i="12"/>
  <c r="B3250" i="12"/>
  <c r="B3251" i="12"/>
  <c r="B3252" i="12"/>
  <c r="B3253" i="12"/>
  <c r="B3254" i="12"/>
  <c r="B3255" i="12"/>
  <c r="B3256" i="12"/>
  <c r="B3257" i="12"/>
  <c r="B3258" i="12"/>
  <c r="B3259" i="12"/>
  <c r="B3260" i="12"/>
  <c r="B3261" i="12"/>
  <c r="B3262" i="12"/>
  <c r="B3263" i="12"/>
  <c r="B3264" i="12"/>
  <c r="B3265" i="12"/>
  <c r="B3266" i="12"/>
  <c r="B3267" i="12"/>
  <c r="B3268" i="12"/>
  <c r="B3269" i="12"/>
  <c r="B3270" i="12"/>
  <c r="B3271" i="12"/>
  <c r="B3272" i="12"/>
  <c r="B3273" i="12"/>
  <c r="B3274" i="12"/>
  <c r="B3275" i="12"/>
  <c r="B3276" i="12"/>
  <c r="B3277" i="12"/>
  <c r="B3278" i="12"/>
  <c r="B3279" i="12"/>
  <c r="B3280" i="12"/>
  <c r="B3281" i="12"/>
  <c r="B3282" i="12"/>
  <c r="B3283" i="12"/>
  <c r="B3284" i="12"/>
  <c r="B3285" i="12"/>
  <c r="B3286" i="12"/>
  <c r="B3287" i="12"/>
  <c r="B3288" i="12"/>
  <c r="B3289" i="12"/>
  <c r="B3290" i="12"/>
  <c r="B3291" i="12"/>
  <c r="B3292" i="12"/>
  <c r="B3293" i="12"/>
  <c r="B3294" i="12"/>
  <c r="B3295" i="12"/>
  <c r="B3296" i="12"/>
  <c r="B3297" i="12"/>
  <c r="B3298" i="12"/>
  <c r="B3299" i="12"/>
  <c r="B3300" i="12"/>
  <c r="B3301" i="12"/>
  <c r="B3302" i="12"/>
  <c r="B3303" i="12"/>
  <c r="B3304" i="12"/>
  <c r="B3305" i="12"/>
  <c r="B3306" i="12"/>
  <c r="B3307" i="12"/>
  <c r="B3308" i="12"/>
  <c r="B3309" i="12"/>
  <c r="B3310" i="12"/>
  <c r="B3311" i="12"/>
  <c r="B3312" i="12"/>
  <c r="B3313" i="12"/>
  <c r="B3314" i="12"/>
  <c r="B3315" i="12"/>
  <c r="B3316" i="12"/>
  <c r="B3317" i="12"/>
  <c r="B3318" i="12"/>
  <c r="B3319" i="12"/>
  <c r="B3320" i="12"/>
  <c r="B3321" i="12"/>
  <c r="B3322" i="12"/>
  <c r="B3323" i="12"/>
  <c r="B3324" i="12"/>
  <c r="B3325" i="12"/>
  <c r="B3326" i="12"/>
  <c r="B3327" i="12"/>
  <c r="B3328" i="12"/>
  <c r="B3329" i="12"/>
  <c r="B3330" i="12"/>
  <c r="B3331" i="12"/>
  <c r="B3332" i="12"/>
  <c r="B3333" i="12"/>
  <c r="B3334" i="12"/>
  <c r="B3335" i="12"/>
  <c r="B3336" i="12"/>
  <c r="B3337" i="12"/>
  <c r="B3338" i="12"/>
  <c r="B3339" i="12"/>
  <c r="B3340" i="12"/>
  <c r="B3341" i="12"/>
  <c r="B3342" i="12"/>
  <c r="B3343" i="12"/>
  <c r="B3344" i="12"/>
  <c r="B3345" i="12"/>
  <c r="B3346" i="12"/>
  <c r="B3347" i="12"/>
  <c r="B3348" i="12"/>
  <c r="B3349" i="12"/>
  <c r="B3350" i="12"/>
  <c r="B3351" i="12"/>
  <c r="B3352" i="12"/>
  <c r="B3353" i="12"/>
  <c r="B3354" i="12"/>
  <c r="B3355" i="12"/>
  <c r="B3356" i="12"/>
  <c r="B3357" i="12"/>
  <c r="B3358" i="12"/>
  <c r="B3359" i="12"/>
  <c r="B3360" i="12"/>
  <c r="B3361" i="12"/>
  <c r="B3362" i="12"/>
  <c r="B3363" i="12"/>
  <c r="B3364" i="12"/>
  <c r="B3365" i="12"/>
  <c r="B3366" i="12"/>
  <c r="B3367" i="12"/>
  <c r="B3368" i="12"/>
  <c r="B3369" i="12"/>
  <c r="B3370" i="12"/>
  <c r="B3371" i="12"/>
  <c r="B3372" i="12"/>
  <c r="B3373" i="12"/>
  <c r="B3374" i="12"/>
  <c r="B3375" i="12"/>
  <c r="B3376" i="12"/>
  <c r="B3377" i="12"/>
  <c r="B3378" i="12"/>
  <c r="B3379" i="12"/>
  <c r="B3380" i="12"/>
  <c r="B3381" i="12"/>
  <c r="B3382" i="12"/>
  <c r="B3383" i="12"/>
  <c r="B3384" i="12"/>
  <c r="B3385" i="12"/>
  <c r="B3386" i="12"/>
  <c r="B3387" i="12"/>
  <c r="B3388" i="12"/>
  <c r="B3389" i="12"/>
  <c r="B3390" i="12"/>
  <c r="B3391" i="12"/>
  <c r="B3392" i="12"/>
  <c r="B3393" i="12"/>
  <c r="B3394" i="12"/>
  <c r="B3395" i="12"/>
  <c r="B3396" i="12"/>
  <c r="B3397" i="12"/>
  <c r="B3398" i="12"/>
  <c r="B3399" i="12"/>
  <c r="B3400" i="12"/>
  <c r="B3401" i="12"/>
  <c r="B3402" i="12"/>
  <c r="B3403" i="12"/>
  <c r="B3404" i="12"/>
  <c r="B3405" i="12"/>
  <c r="B3406" i="12"/>
  <c r="B3407" i="12"/>
  <c r="B3408" i="12"/>
  <c r="B3409" i="12"/>
  <c r="B3410" i="12"/>
  <c r="B3411" i="12"/>
  <c r="B3412" i="12"/>
  <c r="B3413" i="12"/>
  <c r="B3414" i="12"/>
  <c r="B3415" i="12"/>
  <c r="B3416" i="12"/>
  <c r="B3417" i="12"/>
  <c r="B3418" i="12"/>
  <c r="B3419" i="12"/>
  <c r="B3420" i="12"/>
  <c r="B3421" i="12"/>
  <c r="B3422" i="12"/>
  <c r="B3423" i="12"/>
  <c r="B3424" i="12"/>
  <c r="B3425" i="12"/>
  <c r="B3426" i="12"/>
  <c r="B3427" i="12"/>
  <c r="B3428" i="12"/>
  <c r="B3429" i="12"/>
  <c r="B3430" i="12"/>
  <c r="B3431" i="12"/>
  <c r="B3432" i="12"/>
  <c r="B3433" i="12"/>
  <c r="B3434" i="12"/>
  <c r="B3435" i="12"/>
  <c r="B3436" i="12"/>
  <c r="B3437" i="12"/>
  <c r="B3438" i="12"/>
  <c r="B3439" i="12"/>
  <c r="B3440" i="12"/>
  <c r="B3441" i="12"/>
  <c r="B3442" i="12"/>
  <c r="B3443" i="12"/>
  <c r="B3444" i="12"/>
  <c r="B3445" i="12"/>
  <c r="B3446" i="12"/>
  <c r="B3447" i="12"/>
  <c r="B3448" i="12"/>
  <c r="B3449" i="12"/>
  <c r="B3450" i="12"/>
  <c r="B3451" i="12"/>
  <c r="B3452" i="12"/>
  <c r="B3453" i="12"/>
  <c r="B3454" i="12"/>
  <c r="B3455" i="12"/>
  <c r="B3456" i="12"/>
  <c r="B3457" i="12"/>
  <c r="B3458" i="12"/>
  <c r="B3459" i="12"/>
  <c r="B3460" i="12"/>
  <c r="B3461" i="12"/>
  <c r="B3462" i="12"/>
  <c r="B3463" i="12"/>
  <c r="B3464" i="12"/>
  <c r="B3465" i="12"/>
  <c r="B3466" i="12"/>
  <c r="B3467" i="12"/>
  <c r="B3468" i="12"/>
  <c r="B3469" i="12"/>
  <c r="B3470" i="12"/>
  <c r="B3471" i="12"/>
  <c r="B3472" i="12"/>
  <c r="B3473" i="12"/>
  <c r="B3474" i="12"/>
  <c r="B3475" i="12"/>
  <c r="B3476" i="12"/>
  <c r="B3477" i="12"/>
  <c r="B3478" i="12"/>
  <c r="B3479" i="12"/>
  <c r="B3480" i="12"/>
  <c r="B3481" i="12"/>
  <c r="B3482" i="12"/>
  <c r="B3483" i="12"/>
  <c r="B3484" i="12"/>
  <c r="B3485" i="12"/>
  <c r="B3486" i="12"/>
  <c r="B3487" i="12"/>
  <c r="B3488" i="12"/>
  <c r="B3489" i="12"/>
  <c r="B3490" i="12"/>
  <c r="B3491" i="12"/>
  <c r="B3492" i="12"/>
  <c r="B3493" i="12"/>
  <c r="B3494" i="12"/>
  <c r="B3495" i="12"/>
  <c r="B3496" i="12"/>
  <c r="B3497" i="12"/>
  <c r="B3498" i="12"/>
  <c r="B3499" i="12"/>
  <c r="B3500" i="12"/>
  <c r="B3501" i="12"/>
  <c r="B3502" i="12"/>
  <c r="B3503" i="12"/>
  <c r="B3504" i="12"/>
  <c r="B3505" i="12"/>
  <c r="B3506" i="12"/>
  <c r="B3507" i="12"/>
  <c r="B3508" i="12"/>
  <c r="B3509" i="12"/>
  <c r="B3510" i="12"/>
  <c r="B3511" i="12"/>
  <c r="B3512" i="12"/>
  <c r="B3513" i="12"/>
  <c r="B3514" i="12"/>
  <c r="B3515" i="12"/>
  <c r="B3516" i="12"/>
  <c r="B3517" i="12"/>
  <c r="B3518" i="12"/>
  <c r="B3519" i="12"/>
  <c r="B3520" i="12"/>
  <c r="B3521" i="12"/>
  <c r="B3522" i="12"/>
  <c r="B3523" i="12"/>
  <c r="B3524" i="12"/>
  <c r="B3525" i="12"/>
  <c r="B3526" i="12"/>
  <c r="B3527" i="12"/>
  <c r="B3528" i="12"/>
  <c r="B3529" i="12"/>
  <c r="B3530" i="12"/>
  <c r="B3531" i="12"/>
  <c r="B3532" i="12"/>
  <c r="B3533" i="12"/>
  <c r="B3534" i="12"/>
  <c r="B3535" i="12"/>
  <c r="B3536" i="12"/>
  <c r="B3537" i="12"/>
  <c r="B3538" i="12"/>
  <c r="B3539" i="12"/>
  <c r="B3540" i="12"/>
  <c r="B3541" i="12"/>
  <c r="B3542" i="12"/>
  <c r="B3543" i="12"/>
  <c r="B3544" i="12"/>
  <c r="B3545" i="12"/>
  <c r="B3546" i="12"/>
  <c r="B3547" i="12"/>
  <c r="B3548" i="12"/>
  <c r="B3549" i="12"/>
  <c r="B3550" i="12"/>
  <c r="B3551" i="12"/>
  <c r="B3552" i="12"/>
  <c r="B3553" i="12"/>
  <c r="B3554" i="12"/>
  <c r="B3555" i="12"/>
  <c r="B3556" i="12"/>
  <c r="B3557" i="12"/>
  <c r="B3558" i="12"/>
  <c r="B3559" i="12"/>
  <c r="B3560" i="12"/>
  <c r="B3561" i="12"/>
  <c r="B3562" i="12"/>
  <c r="B3563" i="12"/>
  <c r="B3564" i="12"/>
  <c r="B3565" i="12"/>
  <c r="B3566" i="12"/>
  <c r="B3567" i="12"/>
  <c r="B3568" i="12"/>
  <c r="B3569" i="12"/>
  <c r="B3570" i="12"/>
  <c r="B3571" i="12"/>
  <c r="B3572" i="12"/>
  <c r="B3573" i="12"/>
  <c r="B3574" i="12"/>
  <c r="B3575" i="12"/>
  <c r="B3576" i="12"/>
  <c r="B3577" i="12"/>
  <c r="B3578" i="12"/>
  <c r="B3579" i="12"/>
  <c r="B3580" i="12"/>
  <c r="B3581" i="12"/>
  <c r="B3582" i="12"/>
  <c r="B3583" i="12"/>
  <c r="B3584" i="12"/>
  <c r="B3585" i="12"/>
  <c r="B3586" i="12"/>
  <c r="B3587" i="12"/>
  <c r="B3588" i="12"/>
  <c r="B3589" i="12"/>
  <c r="B3590" i="12"/>
  <c r="B3591" i="12"/>
  <c r="B3592" i="12"/>
  <c r="B3593" i="12"/>
  <c r="B3594" i="12"/>
  <c r="B3595" i="12"/>
  <c r="B3596" i="12"/>
  <c r="B3597" i="12"/>
  <c r="B3598" i="12"/>
  <c r="B3599" i="12"/>
  <c r="B3600" i="12"/>
  <c r="B3601" i="12"/>
  <c r="B3602" i="12"/>
  <c r="B3603" i="12"/>
  <c r="B3604" i="12"/>
  <c r="B3605" i="12"/>
  <c r="B3606" i="12"/>
  <c r="B3607" i="12"/>
  <c r="B3608" i="12"/>
  <c r="B3609" i="12"/>
  <c r="B3610" i="12"/>
  <c r="B3611" i="12"/>
  <c r="B3612" i="12"/>
  <c r="B3613" i="12"/>
  <c r="B3614" i="12"/>
  <c r="B3615" i="12"/>
  <c r="B3616" i="12"/>
  <c r="B3617" i="12"/>
  <c r="B3618" i="12"/>
  <c r="B3619" i="12"/>
  <c r="B3620" i="12"/>
  <c r="B3621" i="12"/>
  <c r="B3622" i="12"/>
  <c r="B3623" i="12"/>
  <c r="B3624" i="12"/>
  <c r="B3625" i="12"/>
  <c r="B3626" i="12"/>
  <c r="B3627" i="12"/>
  <c r="B3628" i="12"/>
  <c r="B3629" i="12"/>
  <c r="B3630" i="12"/>
  <c r="B3631" i="12"/>
  <c r="B3632" i="12"/>
  <c r="B3633" i="12"/>
  <c r="B3634" i="12"/>
  <c r="B3635" i="12"/>
  <c r="B3636" i="12"/>
  <c r="B3637" i="12"/>
  <c r="B3638" i="12"/>
  <c r="B3639" i="12"/>
  <c r="B3640" i="12"/>
  <c r="B3641" i="12"/>
  <c r="B3642" i="12"/>
  <c r="B3643" i="12"/>
  <c r="B3644" i="12"/>
  <c r="B3645" i="12"/>
  <c r="B3646" i="12"/>
  <c r="B3647" i="12"/>
  <c r="B3648" i="12"/>
  <c r="B3649" i="12"/>
  <c r="B3650" i="12"/>
  <c r="B3651" i="12"/>
  <c r="B3652" i="12"/>
  <c r="B3653" i="12"/>
  <c r="B3654" i="12"/>
  <c r="B3655" i="12"/>
  <c r="B3656" i="12"/>
  <c r="B3657" i="12"/>
  <c r="B3658" i="12"/>
  <c r="B3659" i="12"/>
  <c r="B3660" i="12"/>
  <c r="B3661" i="12"/>
  <c r="B3662" i="12"/>
  <c r="B3663" i="12"/>
  <c r="B3664" i="12"/>
  <c r="B3665" i="12"/>
  <c r="B3666" i="12"/>
  <c r="B3667" i="12"/>
  <c r="B3668" i="12"/>
  <c r="B3669" i="12"/>
  <c r="B3670" i="12"/>
  <c r="B3671" i="12"/>
  <c r="B3672" i="12"/>
  <c r="B3673" i="12"/>
  <c r="B3674" i="12"/>
  <c r="B3675" i="12"/>
  <c r="B3676" i="12"/>
  <c r="B3677" i="12"/>
  <c r="B3678" i="12"/>
  <c r="B3679" i="12"/>
  <c r="B3680" i="12"/>
  <c r="B3681" i="12"/>
  <c r="B3682" i="12"/>
  <c r="B3683" i="12"/>
  <c r="B3684" i="12"/>
  <c r="B3685" i="12"/>
  <c r="B3686" i="12"/>
  <c r="B3687" i="12"/>
  <c r="B3688" i="12"/>
  <c r="B3689" i="12"/>
  <c r="B3690" i="12"/>
  <c r="B3691" i="12"/>
  <c r="B3692" i="12"/>
  <c r="B3693" i="12"/>
  <c r="B3694" i="12"/>
  <c r="B3695" i="12"/>
  <c r="B3696" i="12"/>
  <c r="B3697" i="12"/>
  <c r="B3698" i="12"/>
  <c r="B3699" i="12"/>
  <c r="B3700" i="12"/>
  <c r="B3701" i="12"/>
  <c r="B3702" i="12"/>
  <c r="B3703" i="12"/>
  <c r="B3704" i="12"/>
  <c r="B3705" i="12"/>
  <c r="B3706" i="12"/>
  <c r="B3707" i="12"/>
  <c r="B3708" i="12"/>
  <c r="B3709" i="12"/>
  <c r="B3710" i="12"/>
  <c r="B3711" i="12"/>
  <c r="B3712" i="12"/>
  <c r="B3713" i="12"/>
  <c r="B3714" i="12"/>
  <c r="B3715" i="12"/>
  <c r="B3716" i="12"/>
  <c r="B3717" i="12"/>
  <c r="B3718" i="12"/>
  <c r="B3719" i="12"/>
  <c r="B3720" i="12"/>
  <c r="B3721" i="12"/>
  <c r="B3722" i="12"/>
  <c r="B3723" i="12"/>
  <c r="B3724" i="12"/>
  <c r="B3725" i="12"/>
  <c r="B3726" i="12"/>
  <c r="B3727" i="12"/>
  <c r="B3728" i="12"/>
  <c r="B3729" i="12"/>
  <c r="B3730" i="12"/>
  <c r="B3731" i="12"/>
  <c r="B3732" i="12"/>
  <c r="B3733" i="12"/>
  <c r="B3734" i="12"/>
  <c r="B3735" i="12"/>
  <c r="B3736" i="12"/>
  <c r="B3737" i="12"/>
  <c r="B3738" i="12"/>
  <c r="B3739" i="12"/>
  <c r="B3740" i="12"/>
  <c r="B3741" i="12"/>
  <c r="B3742" i="12"/>
  <c r="B3743" i="12"/>
  <c r="B3744" i="12"/>
  <c r="B3745" i="12"/>
  <c r="B3746" i="12"/>
  <c r="B3747" i="12"/>
  <c r="B3748" i="12"/>
  <c r="B3749" i="12"/>
  <c r="B3750" i="12"/>
  <c r="B3751" i="12"/>
  <c r="B3752" i="12"/>
  <c r="B3753" i="12"/>
  <c r="B3754" i="12"/>
  <c r="B3755" i="12"/>
  <c r="B3756" i="12"/>
  <c r="B3757" i="12"/>
  <c r="B3758" i="12"/>
  <c r="B3759" i="12"/>
  <c r="B3760" i="12"/>
  <c r="B3761" i="12"/>
  <c r="B3762" i="12"/>
  <c r="B3763" i="12"/>
  <c r="B3764" i="12"/>
  <c r="B3765" i="12"/>
  <c r="B3766" i="12"/>
  <c r="B3767" i="12"/>
  <c r="B3768" i="12"/>
  <c r="B3769" i="12"/>
  <c r="B3770" i="12"/>
  <c r="B3771" i="12"/>
  <c r="B3772" i="12"/>
  <c r="B3773" i="12"/>
  <c r="B3774" i="12"/>
  <c r="B3775" i="12"/>
  <c r="B3776" i="12"/>
  <c r="B3777" i="12"/>
  <c r="B3778" i="12"/>
  <c r="B3779" i="12"/>
  <c r="B3780" i="12"/>
  <c r="B3781" i="12"/>
  <c r="B3782" i="12"/>
  <c r="B3783" i="12"/>
  <c r="B3784" i="12"/>
  <c r="B3785" i="12"/>
  <c r="B3786" i="12"/>
  <c r="B3787" i="12"/>
  <c r="B3788" i="12"/>
  <c r="B3789" i="12"/>
  <c r="B3790" i="12"/>
  <c r="B3791" i="12"/>
  <c r="B3792" i="12"/>
  <c r="B3793" i="12"/>
  <c r="B3794" i="12"/>
  <c r="B3795" i="12"/>
  <c r="B3796" i="12"/>
  <c r="B3797" i="12"/>
  <c r="B3798" i="12"/>
  <c r="B3799" i="12"/>
  <c r="B3800" i="12"/>
  <c r="B3801" i="12"/>
  <c r="B3802" i="12"/>
  <c r="B3803" i="12"/>
  <c r="B3804" i="12"/>
  <c r="B3805" i="12"/>
  <c r="B3806" i="12"/>
  <c r="B3807" i="12"/>
  <c r="B3808" i="12"/>
  <c r="B3809" i="12"/>
  <c r="B3810" i="12"/>
  <c r="B3811" i="12"/>
  <c r="B3812" i="12"/>
  <c r="B3813" i="12"/>
  <c r="B3814" i="12"/>
  <c r="B3815" i="12"/>
  <c r="B3816" i="12"/>
  <c r="B3817" i="12"/>
  <c r="B3818" i="12"/>
  <c r="B3819" i="12"/>
  <c r="B3820" i="12"/>
  <c r="B3821" i="12"/>
  <c r="B3822" i="12"/>
  <c r="B3823" i="12"/>
  <c r="B3824" i="12"/>
  <c r="B3825" i="12"/>
  <c r="B3826" i="12"/>
  <c r="B3827" i="12"/>
  <c r="B3828" i="12"/>
  <c r="B3829" i="12"/>
  <c r="B3830" i="12"/>
  <c r="B3831" i="12"/>
  <c r="B3832" i="12"/>
  <c r="B3833" i="12"/>
  <c r="B3834" i="12"/>
  <c r="B3835" i="12"/>
  <c r="B3836" i="12"/>
  <c r="B3837" i="12"/>
  <c r="B3838" i="12"/>
  <c r="B3839" i="12"/>
  <c r="B3840" i="12"/>
  <c r="B3841" i="12"/>
  <c r="B3842" i="12"/>
  <c r="B3843" i="12"/>
  <c r="B3844" i="12"/>
  <c r="B3845" i="12"/>
  <c r="B3846" i="12"/>
  <c r="B3847" i="12"/>
  <c r="B3848" i="12"/>
  <c r="B3849" i="12"/>
  <c r="B3850" i="12"/>
  <c r="B3851" i="12"/>
  <c r="B3852" i="12"/>
  <c r="B3853" i="12"/>
  <c r="B3854" i="12"/>
  <c r="B3855" i="12"/>
  <c r="B3856" i="12"/>
  <c r="B3857" i="12"/>
  <c r="B3858" i="12"/>
  <c r="B3859" i="12"/>
  <c r="B3860" i="12"/>
  <c r="B3861" i="12"/>
  <c r="B3862" i="12"/>
  <c r="B3863" i="12"/>
  <c r="B3864" i="12"/>
  <c r="B3865" i="12"/>
  <c r="B3866" i="12"/>
  <c r="B3867" i="12"/>
  <c r="B3868" i="12"/>
  <c r="B3869" i="12"/>
  <c r="B3870" i="12"/>
  <c r="B3871" i="12"/>
  <c r="B3872" i="12"/>
  <c r="B3873" i="12"/>
  <c r="B3874" i="12"/>
  <c r="B3875" i="12"/>
  <c r="B3876" i="12"/>
  <c r="B3877" i="12"/>
  <c r="B3878" i="12"/>
  <c r="B3879" i="12"/>
  <c r="B3880" i="12"/>
  <c r="B3881" i="12"/>
  <c r="B3882" i="12"/>
  <c r="B3883" i="12"/>
  <c r="B3884" i="12"/>
  <c r="B3885" i="12"/>
  <c r="B3886" i="12"/>
  <c r="B3887" i="12"/>
  <c r="B3888" i="12"/>
  <c r="B3889" i="12"/>
  <c r="B3890" i="12"/>
  <c r="B3891" i="12"/>
  <c r="B3892" i="12"/>
  <c r="B3893" i="12"/>
  <c r="B3894" i="12"/>
  <c r="B3895" i="12"/>
  <c r="B3896" i="12"/>
  <c r="B3897" i="12"/>
  <c r="B3898" i="12"/>
  <c r="B3899" i="12"/>
  <c r="B3900" i="12"/>
  <c r="B3901" i="12"/>
  <c r="B3902" i="12"/>
  <c r="B3903" i="12"/>
  <c r="B3904" i="12"/>
  <c r="B3905" i="12"/>
  <c r="B3906" i="12"/>
  <c r="B3907" i="12"/>
  <c r="B3908" i="12"/>
  <c r="B3909" i="12"/>
  <c r="B3910" i="12"/>
  <c r="B3911" i="12"/>
  <c r="B3912" i="12"/>
  <c r="B3913" i="12"/>
  <c r="B3914" i="12"/>
  <c r="B3915" i="12"/>
  <c r="B3916" i="12"/>
  <c r="B3917" i="12"/>
  <c r="B3918" i="12"/>
  <c r="B3919" i="12"/>
  <c r="B3920" i="12"/>
  <c r="B3921" i="12"/>
  <c r="B3922" i="12"/>
  <c r="B3923" i="12"/>
  <c r="B3924" i="12"/>
  <c r="B3925" i="12"/>
  <c r="B3926" i="12"/>
  <c r="B3927" i="12"/>
  <c r="B3928" i="12"/>
  <c r="B3929" i="12"/>
  <c r="B3930" i="12"/>
  <c r="B3931" i="12"/>
  <c r="B3932" i="12"/>
  <c r="B3933" i="12"/>
  <c r="B3934" i="12"/>
  <c r="B3935" i="12"/>
  <c r="B3936" i="12"/>
  <c r="B3937" i="12"/>
  <c r="B3938" i="12"/>
  <c r="B3939" i="12"/>
  <c r="B3940" i="12"/>
  <c r="B3941" i="12"/>
  <c r="B3942" i="12"/>
  <c r="B3943" i="12"/>
  <c r="B3944" i="12"/>
  <c r="B3945" i="12"/>
  <c r="B3946" i="12"/>
  <c r="B3947" i="12"/>
  <c r="B3948" i="12"/>
  <c r="B3949" i="12"/>
  <c r="B3950" i="12"/>
  <c r="B3951" i="12"/>
  <c r="B3952" i="12"/>
  <c r="B3953" i="12"/>
  <c r="B3954" i="12"/>
  <c r="B3955" i="12"/>
  <c r="B3956" i="12"/>
  <c r="B3957" i="12"/>
  <c r="B3958" i="12"/>
  <c r="B3959" i="12"/>
  <c r="B3960" i="12"/>
  <c r="B3961" i="12"/>
  <c r="B3962" i="12"/>
  <c r="B3963" i="12"/>
  <c r="B3964" i="12"/>
  <c r="B3965" i="12"/>
  <c r="B3966" i="12"/>
  <c r="B3967" i="12"/>
  <c r="B3968" i="12"/>
  <c r="B3969" i="12"/>
  <c r="B3970" i="12"/>
  <c r="B3971" i="12"/>
  <c r="B3972" i="12"/>
  <c r="B3973" i="12"/>
  <c r="B3974" i="12"/>
  <c r="B3975" i="12"/>
  <c r="B3976" i="12"/>
  <c r="B3977" i="12"/>
  <c r="B3978" i="12"/>
  <c r="B3979" i="12"/>
  <c r="B3980" i="12"/>
  <c r="B3981" i="12"/>
  <c r="B3982" i="12"/>
  <c r="B3983" i="12"/>
  <c r="B3984" i="12"/>
  <c r="B3985" i="12"/>
  <c r="B3986" i="12"/>
  <c r="B3987" i="12"/>
  <c r="B3988" i="12"/>
  <c r="B3989" i="12"/>
  <c r="B3990" i="12"/>
  <c r="B3991" i="12"/>
  <c r="B3992" i="12"/>
  <c r="B3993" i="12"/>
  <c r="B3994" i="12"/>
  <c r="B3995" i="12"/>
  <c r="B3996" i="12"/>
  <c r="B3997" i="12"/>
  <c r="B3998" i="12"/>
  <c r="B3999" i="12"/>
  <c r="B4000" i="12"/>
  <c r="B4001" i="12"/>
  <c r="B4002" i="12"/>
  <c r="B4003" i="12"/>
  <c r="B4004" i="12"/>
  <c r="B4005" i="12"/>
  <c r="B4006" i="12"/>
  <c r="B4007" i="12"/>
  <c r="B4008" i="12"/>
  <c r="B4009" i="12"/>
  <c r="B4010" i="12"/>
  <c r="B4011" i="12"/>
  <c r="B4012" i="12"/>
  <c r="B4013" i="12"/>
  <c r="B4014" i="12"/>
  <c r="B4015" i="12"/>
  <c r="B4016" i="12"/>
  <c r="B4017" i="12"/>
  <c r="B4018" i="12"/>
  <c r="B4019" i="12"/>
  <c r="B4020" i="12"/>
  <c r="B4021" i="12"/>
  <c r="B4022" i="12"/>
  <c r="B4023" i="12"/>
  <c r="B4024" i="12"/>
  <c r="B4025" i="12"/>
  <c r="B4026" i="12"/>
  <c r="B4027" i="12"/>
  <c r="B4028" i="12"/>
  <c r="B4029" i="12"/>
  <c r="B4030" i="12"/>
  <c r="B4031" i="12"/>
  <c r="B4032" i="12"/>
  <c r="B4033" i="12"/>
  <c r="B4034" i="12"/>
  <c r="B4035" i="12"/>
  <c r="B4036" i="12"/>
  <c r="B4037" i="12"/>
  <c r="B4038" i="12"/>
  <c r="B4039" i="12"/>
  <c r="B4040" i="12"/>
  <c r="B4041" i="12"/>
  <c r="B4042" i="12"/>
  <c r="B4043" i="12"/>
  <c r="B4044" i="12"/>
  <c r="B4045" i="12"/>
  <c r="B4046" i="12"/>
  <c r="B4047" i="12"/>
  <c r="B4048" i="12"/>
  <c r="B4049" i="12"/>
  <c r="B4050" i="12"/>
  <c r="B4051" i="12"/>
  <c r="B4052" i="12"/>
  <c r="B4053" i="12"/>
  <c r="B4054" i="12"/>
  <c r="B4055" i="12"/>
  <c r="B4056" i="12"/>
  <c r="B4057" i="12"/>
  <c r="B4058" i="12"/>
  <c r="B4059" i="12"/>
  <c r="B4060" i="12"/>
  <c r="B4061" i="12"/>
  <c r="B4062" i="12"/>
  <c r="B4063" i="12"/>
  <c r="B4064" i="12"/>
  <c r="B4065" i="12"/>
  <c r="B4066" i="12"/>
  <c r="B4067" i="12"/>
  <c r="B4068" i="12"/>
  <c r="B4069" i="12"/>
  <c r="B4070" i="12"/>
  <c r="B4071" i="12"/>
  <c r="B4072" i="12"/>
  <c r="B4073" i="12"/>
  <c r="B4074" i="12"/>
  <c r="B4075" i="12"/>
  <c r="B4076" i="12"/>
  <c r="B4077" i="12"/>
  <c r="B4078" i="12"/>
  <c r="B4079" i="12"/>
  <c r="B4080" i="12"/>
  <c r="B4081" i="12"/>
  <c r="B4082" i="12"/>
  <c r="B4083" i="12"/>
  <c r="B4084" i="12"/>
  <c r="B4085" i="12"/>
  <c r="B4086" i="12"/>
  <c r="B4087" i="12"/>
  <c r="B4088" i="12"/>
  <c r="B4089" i="12"/>
  <c r="B4090" i="12"/>
  <c r="B4091" i="12"/>
  <c r="B4092" i="12"/>
  <c r="B4093" i="12"/>
  <c r="B4094" i="12"/>
  <c r="B4095" i="12"/>
  <c r="B4096" i="12"/>
  <c r="B4097" i="12"/>
  <c r="B4098" i="12"/>
  <c r="B4099" i="12"/>
  <c r="B4100" i="12"/>
  <c r="B4101" i="12"/>
  <c r="B4102" i="12"/>
  <c r="B4103" i="12"/>
  <c r="B4104" i="12"/>
  <c r="B4105" i="12"/>
  <c r="B4106" i="12"/>
  <c r="B4107" i="12"/>
  <c r="B4108" i="12"/>
  <c r="B4109" i="12"/>
  <c r="B4110" i="12"/>
  <c r="B4111" i="12"/>
  <c r="B4112" i="12"/>
  <c r="B4113" i="12"/>
  <c r="B4114" i="12"/>
  <c r="B4115" i="12"/>
  <c r="B4116" i="12"/>
  <c r="B4117" i="12"/>
  <c r="B4118" i="12"/>
  <c r="B4119" i="12"/>
  <c r="B4120" i="12"/>
  <c r="B4121" i="12"/>
  <c r="B4122" i="12"/>
  <c r="B4123" i="12"/>
  <c r="B4124" i="12"/>
  <c r="B4125" i="12"/>
  <c r="B4126" i="12"/>
  <c r="B4127" i="12"/>
  <c r="B4128" i="12"/>
  <c r="B4129" i="12"/>
  <c r="B4130" i="12"/>
  <c r="B4131" i="12"/>
  <c r="B4132" i="12"/>
  <c r="B4133" i="12"/>
  <c r="B4134" i="12"/>
  <c r="B4135" i="12"/>
  <c r="B4136" i="12"/>
  <c r="B4137" i="12"/>
  <c r="B4138" i="12"/>
  <c r="B4139" i="12"/>
  <c r="B4140" i="12"/>
  <c r="B4141" i="12"/>
  <c r="B4142" i="12"/>
  <c r="B4143" i="12"/>
  <c r="B4144" i="12"/>
  <c r="B4145" i="12"/>
  <c r="B4146" i="12"/>
  <c r="B4147" i="12"/>
  <c r="B4148" i="12"/>
  <c r="B4149" i="12"/>
  <c r="B4150" i="12"/>
  <c r="B4151" i="12"/>
  <c r="B4152" i="12"/>
  <c r="B4153" i="12"/>
  <c r="B4154" i="12"/>
  <c r="B4155" i="12"/>
  <c r="B4156" i="12"/>
  <c r="B4157" i="12"/>
  <c r="B4158" i="12"/>
  <c r="B4159" i="12"/>
  <c r="B4160" i="12"/>
  <c r="B4161" i="12"/>
  <c r="B4162" i="12"/>
  <c r="B4163" i="12"/>
  <c r="B4164" i="12"/>
  <c r="B4165" i="12"/>
  <c r="B4166" i="12"/>
  <c r="B4167" i="12"/>
  <c r="B4168" i="12"/>
  <c r="B4169" i="12"/>
  <c r="B4170" i="12"/>
  <c r="B4171" i="12"/>
  <c r="B4172" i="12"/>
  <c r="B4173" i="12"/>
  <c r="B4174" i="12"/>
  <c r="B4175" i="12"/>
  <c r="B4176" i="12"/>
  <c r="B4177" i="12"/>
  <c r="B4178" i="12"/>
  <c r="B4179" i="12"/>
  <c r="B4180" i="12"/>
  <c r="B4181" i="12"/>
  <c r="B4182" i="12"/>
  <c r="B4183" i="12"/>
  <c r="B4184" i="12"/>
  <c r="B4185" i="12"/>
  <c r="B4186" i="12"/>
  <c r="B4187" i="12"/>
  <c r="B4188" i="12"/>
  <c r="B4189" i="12"/>
  <c r="B4190" i="12"/>
  <c r="B4191" i="12"/>
  <c r="B4192" i="12"/>
  <c r="B4193" i="12"/>
  <c r="B4194" i="12"/>
  <c r="B4195" i="12"/>
  <c r="B4196" i="12"/>
  <c r="B4197" i="12"/>
  <c r="B4198" i="12"/>
  <c r="B4199" i="12"/>
  <c r="B4200" i="12"/>
  <c r="B4201" i="12"/>
  <c r="B4202" i="12"/>
  <c r="B4203" i="12"/>
  <c r="B4204" i="12"/>
  <c r="B4205" i="12"/>
  <c r="B4206" i="12"/>
  <c r="B4207" i="12"/>
  <c r="B4208" i="12"/>
  <c r="B4209" i="12"/>
  <c r="B4210" i="12"/>
  <c r="B4211" i="12"/>
  <c r="B4212" i="12"/>
  <c r="B4213" i="12"/>
  <c r="B4214" i="12"/>
  <c r="B4215" i="12"/>
  <c r="B4216" i="12"/>
  <c r="B4217" i="12"/>
  <c r="B4218" i="12"/>
  <c r="B4219" i="12"/>
  <c r="B4220" i="12"/>
  <c r="B4221" i="12"/>
  <c r="B4222" i="12"/>
  <c r="B4223" i="12"/>
  <c r="B4224" i="12"/>
  <c r="B4225" i="12"/>
  <c r="B4226" i="12"/>
  <c r="B4227" i="12"/>
  <c r="B4228" i="12"/>
  <c r="B4229" i="12"/>
  <c r="B4230" i="12"/>
  <c r="B4231" i="12"/>
  <c r="B4232" i="12"/>
  <c r="B4233" i="12"/>
  <c r="B4234" i="12"/>
  <c r="B4235" i="12"/>
  <c r="B4236" i="12"/>
  <c r="B4237" i="12"/>
  <c r="B4238" i="12"/>
  <c r="B4239" i="12"/>
  <c r="B4240" i="12"/>
  <c r="B4241" i="12"/>
  <c r="B4242" i="12"/>
  <c r="B4243" i="12"/>
  <c r="B4244" i="12"/>
  <c r="B4245" i="12"/>
  <c r="B4246" i="12"/>
  <c r="B4247" i="12"/>
  <c r="B4248" i="12"/>
  <c r="B4249" i="12"/>
  <c r="B4250" i="12"/>
  <c r="B4251" i="12"/>
  <c r="B4252" i="12"/>
  <c r="B4253" i="12"/>
  <c r="B4254" i="12"/>
  <c r="B4255" i="12"/>
  <c r="B4256" i="12"/>
  <c r="B4257" i="12"/>
  <c r="B4258" i="12"/>
  <c r="B4259" i="12"/>
  <c r="B4260" i="12"/>
  <c r="B4261" i="12"/>
  <c r="B4262" i="12"/>
  <c r="B4263" i="12"/>
  <c r="B4264" i="12"/>
  <c r="B4265" i="12"/>
  <c r="B4266" i="12"/>
  <c r="B4267" i="12"/>
  <c r="B4268" i="12"/>
  <c r="B4269" i="12"/>
  <c r="B4270" i="12"/>
  <c r="B4271" i="12"/>
  <c r="B4272" i="12"/>
  <c r="B4273" i="12"/>
  <c r="B4274" i="12"/>
  <c r="B4275" i="12"/>
  <c r="B4276" i="12"/>
  <c r="B4277" i="12"/>
  <c r="B4278" i="12"/>
  <c r="B4279" i="12"/>
  <c r="B4280" i="12"/>
  <c r="B4281" i="12"/>
  <c r="B4282" i="12"/>
  <c r="B4283" i="12"/>
  <c r="B4284" i="12"/>
  <c r="B4285" i="12"/>
  <c r="B4286" i="12"/>
  <c r="B4287" i="12"/>
  <c r="B4288" i="12"/>
  <c r="B4289" i="12"/>
  <c r="B4290" i="12"/>
  <c r="B4291" i="12"/>
  <c r="B4292" i="12"/>
  <c r="B4293" i="12"/>
  <c r="B4294" i="12"/>
  <c r="B4295" i="12"/>
  <c r="B4296" i="12"/>
  <c r="B4297" i="12"/>
  <c r="B4298" i="12"/>
  <c r="B4299" i="12"/>
  <c r="B4300" i="12"/>
  <c r="B4301" i="12"/>
  <c r="B4302" i="12"/>
  <c r="B4303" i="12"/>
  <c r="B4304" i="12"/>
  <c r="B4305" i="12"/>
  <c r="B4306" i="12"/>
  <c r="B4307" i="12"/>
  <c r="B4308" i="12"/>
  <c r="B4309" i="12"/>
  <c r="B4310" i="12"/>
  <c r="B4311" i="12"/>
  <c r="B4312" i="12"/>
  <c r="B4313" i="12"/>
  <c r="B4314" i="12"/>
  <c r="B4315" i="12"/>
  <c r="B4316" i="12"/>
  <c r="B4317" i="12"/>
  <c r="B4318" i="12"/>
  <c r="B4319" i="12"/>
  <c r="B4320" i="12"/>
  <c r="B4321" i="12"/>
  <c r="B4322" i="12"/>
  <c r="B4323" i="12"/>
  <c r="B4324" i="12"/>
  <c r="B4325" i="12"/>
  <c r="B4326" i="12"/>
  <c r="B4327" i="12"/>
  <c r="B4328" i="12"/>
  <c r="B4329" i="12"/>
  <c r="B4330" i="12"/>
  <c r="B4331" i="12"/>
  <c r="B4332" i="12"/>
  <c r="B4333" i="12"/>
  <c r="B4334" i="12"/>
  <c r="B4335" i="12"/>
  <c r="B4336" i="12"/>
  <c r="B4337" i="12"/>
  <c r="B4338" i="12"/>
  <c r="B4339" i="12"/>
  <c r="B4340" i="12"/>
  <c r="B4341" i="12"/>
  <c r="B4342" i="12"/>
  <c r="B4343" i="12"/>
  <c r="B4344" i="12"/>
  <c r="B4345" i="12"/>
  <c r="B4346" i="12"/>
  <c r="B4347" i="12"/>
  <c r="B4348" i="12"/>
  <c r="B4349" i="12"/>
  <c r="B4350" i="12"/>
  <c r="B4351" i="12"/>
  <c r="B4352" i="12"/>
  <c r="B4353" i="12"/>
  <c r="B4354" i="12"/>
  <c r="B4355" i="12"/>
  <c r="B4356" i="12"/>
  <c r="B4357" i="12"/>
  <c r="B4358" i="12"/>
  <c r="B4359" i="12"/>
  <c r="B4360" i="12"/>
  <c r="B4361" i="12"/>
  <c r="B4362" i="12"/>
  <c r="B4363" i="12"/>
  <c r="B4364" i="12"/>
  <c r="B4365" i="12"/>
  <c r="B4366" i="12"/>
  <c r="B4367" i="12"/>
  <c r="B4368" i="12"/>
  <c r="B4369" i="12"/>
  <c r="B4370" i="12"/>
  <c r="B4371" i="12"/>
  <c r="B4372" i="12"/>
  <c r="B4373" i="12"/>
  <c r="B4374" i="12"/>
  <c r="B4375" i="12"/>
  <c r="B4376" i="12"/>
  <c r="B4377" i="12"/>
  <c r="B4378" i="12"/>
  <c r="B4379" i="12"/>
  <c r="B4380" i="12"/>
  <c r="B4381" i="12"/>
  <c r="B4382" i="12"/>
  <c r="B4383" i="12"/>
  <c r="B4384" i="12"/>
  <c r="B4385" i="12"/>
  <c r="B4386" i="12"/>
  <c r="B4387" i="12"/>
  <c r="B4388" i="12"/>
  <c r="B4389" i="12"/>
  <c r="B4390" i="12"/>
  <c r="B4391" i="12"/>
  <c r="B4392" i="12"/>
  <c r="B4393" i="12"/>
  <c r="B4394" i="12"/>
  <c r="B4395" i="12"/>
  <c r="B4396" i="12"/>
  <c r="B4397" i="12"/>
  <c r="B4398" i="12"/>
  <c r="B4399" i="12"/>
  <c r="B4400" i="12"/>
  <c r="B4401" i="12"/>
  <c r="B4402" i="12"/>
  <c r="B4403" i="12"/>
  <c r="B4404" i="12"/>
  <c r="B4405" i="12"/>
  <c r="B4406" i="12"/>
  <c r="B4407" i="12"/>
  <c r="B4408" i="12"/>
  <c r="B4409" i="12"/>
  <c r="B4410" i="12"/>
  <c r="B4411" i="12"/>
  <c r="B4412" i="12"/>
  <c r="B4413" i="12"/>
  <c r="B4414" i="12"/>
  <c r="B4415" i="12"/>
  <c r="B4416" i="12"/>
  <c r="B4417" i="12"/>
  <c r="B4418" i="12"/>
  <c r="B4419" i="12"/>
  <c r="B4420" i="12"/>
  <c r="B4421" i="12"/>
  <c r="B4422" i="12"/>
  <c r="B4423" i="12"/>
  <c r="B4424" i="12"/>
  <c r="B4425" i="12"/>
  <c r="B4426" i="12"/>
  <c r="B4427" i="12"/>
  <c r="B4428" i="12"/>
  <c r="B4429" i="12"/>
  <c r="B4430" i="12"/>
  <c r="B4431" i="12"/>
  <c r="B4432" i="12"/>
  <c r="B4433" i="12"/>
  <c r="B4434" i="12"/>
  <c r="B4435" i="12"/>
  <c r="B4436" i="12"/>
  <c r="B4437" i="12"/>
  <c r="B4438" i="12"/>
  <c r="B4439" i="12"/>
  <c r="B4440" i="12"/>
  <c r="B4441" i="12"/>
  <c r="B4442" i="12"/>
  <c r="B4443" i="12"/>
  <c r="B4444" i="12"/>
  <c r="B4445" i="12"/>
  <c r="B4446" i="12"/>
  <c r="B4447" i="12"/>
  <c r="B4448" i="12"/>
  <c r="B4449" i="12"/>
  <c r="B4450" i="12"/>
  <c r="B4451" i="12"/>
  <c r="B4452" i="12"/>
  <c r="B4453" i="12"/>
  <c r="B4454" i="12"/>
  <c r="B4455" i="12"/>
  <c r="B4456" i="12"/>
  <c r="B4457" i="12"/>
  <c r="B4458" i="12"/>
  <c r="B4459" i="12"/>
  <c r="B4460" i="12"/>
  <c r="B4461" i="12"/>
  <c r="B4462" i="12"/>
  <c r="B4463" i="12"/>
  <c r="B4464" i="12"/>
  <c r="B4465" i="12"/>
  <c r="B4466" i="12"/>
  <c r="B4467" i="12"/>
  <c r="B4468" i="12"/>
  <c r="B4469" i="12"/>
  <c r="B4470" i="12"/>
  <c r="B4471" i="12"/>
  <c r="B4472" i="12"/>
  <c r="B4473" i="12"/>
  <c r="B4474" i="12"/>
  <c r="B4475" i="12"/>
  <c r="B4476" i="12"/>
  <c r="B4477" i="12"/>
  <c r="B4478" i="12"/>
  <c r="B4479" i="12"/>
  <c r="B4480" i="12"/>
  <c r="B4481" i="12"/>
  <c r="B4482" i="12"/>
  <c r="B4483" i="12"/>
  <c r="B4484" i="12"/>
  <c r="B4485" i="12"/>
  <c r="B4486" i="12"/>
  <c r="B4487" i="12"/>
  <c r="B4488" i="12"/>
  <c r="B4489" i="12"/>
  <c r="B4490" i="12"/>
  <c r="B4491" i="12"/>
  <c r="B4492" i="12"/>
  <c r="B4493" i="12"/>
  <c r="B4494" i="12"/>
  <c r="B4495" i="12"/>
  <c r="B4496" i="12"/>
  <c r="B4497" i="12"/>
  <c r="B4498" i="12"/>
  <c r="B4499" i="12"/>
  <c r="B4500" i="12"/>
  <c r="B4501" i="12"/>
  <c r="B4502" i="12"/>
  <c r="B4503" i="12"/>
  <c r="B4504" i="12"/>
  <c r="B4505" i="12"/>
  <c r="B4506" i="12"/>
  <c r="B4507" i="12"/>
  <c r="B4508" i="12"/>
  <c r="B4509" i="12"/>
  <c r="B4510" i="12"/>
  <c r="B4511" i="12"/>
  <c r="B4512" i="12"/>
  <c r="B4513" i="12"/>
  <c r="B4514" i="12"/>
  <c r="B4515" i="12"/>
  <c r="B4516" i="12"/>
  <c r="B4517" i="12"/>
  <c r="B4518" i="12"/>
  <c r="B4519" i="12"/>
  <c r="B4520" i="12"/>
  <c r="B4521" i="12"/>
  <c r="B4522" i="12"/>
  <c r="B4523" i="12"/>
  <c r="B4524" i="12"/>
  <c r="B4525" i="12"/>
  <c r="B4526" i="12"/>
  <c r="B4527" i="12"/>
  <c r="B4528" i="12"/>
  <c r="B4529" i="12"/>
  <c r="B4530" i="12"/>
  <c r="B4531" i="12"/>
  <c r="B4532" i="12"/>
  <c r="B4533" i="12"/>
  <c r="B4534" i="12"/>
  <c r="B4535" i="12"/>
  <c r="B4536" i="12"/>
  <c r="B4537" i="12"/>
  <c r="B4538" i="12"/>
  <c r="B4539" i="12"/>
  <c r="B4540" i="12"/>
  <c r="B4541" i="12"/>
  <c r="B4542" i="12"/>
  <c r="B4543" i="12"/>
  <c r="B4544" i="12"/>
  <c r="B4545" i="12"/>
  <c r="B4546" i="12"/>
  <c r="B4547" i="12"/>
  <c r="B4548" i="12"/>
  <c r="B4549" i="12"/>
  <c r="B4550" i="12"/>
  <c r="B4551" i="12"/>
  <c r="B4552" i="12"/>
  <c r="B4553" i="12"/>
  <c r="B4554" i="12"/>
  <c r="B4555" i="12"/>
  <c r="B4556" i="12"/>
  <c r="B4557" i="12"/>
  <c r="B4558" i="12"/>
  <c r="B4559" i="12"/>
  <c r="B4560" i="12"/>
  <c r="B4561" i="12"/>
  <c r="B4562" i="12"/>
  <c r="B4563" i="12"/>
  <c r="B4564" i="12"/>
  <c r="B4565" i="12"/>
  <c r="B4566" i="12"/>
  <c r="B4567" i="12"/>
  <c r="B4568" i="12"/>
  <c r="B4569" i="12"/>
  <c r="B4570" i="12"/>
  <c r="B4571" i="12"/>
  <c r="B4572" i="12"/>
  <c r="B4573" i="12"/>
  <c r="B4574" i="12"/>
  <c r="B4575" i="12"/>
  <c r="B4576" i="12"/>
  <c r="B4577" i="12"/>
  <c r="B4578" i="12"/>
  <c r="B4579" i="12"/>
  <c r="B4580" i="12"/>
  <c r="B4581" i="12"/>
  <c r="B4582" i="12"/>
  <c r="B4583" i="12"/>
  <c r="B4584" i="12"/>
  <c r="B4585" i="12"/>
  <c r="B4586" i="12"/>
  <c r="B4587" i="12"/>
  <c r="B4588" i="12"/>
  <c r="B4589" i="12"/>
  <c r="B4590" i="12"/>
  <c r="B4591" i="12"/>
  <c r="B4592" i="12"/>
  <c r="B4593" i="12"/>
  <c r="B4594" i="12"/>
  <c r="B4595" i="12"/>
  <c r="B4596" i="12"/>
  <c r="B4597" i="12"/>
  <c r="B4598" i="12"/>
  <c r="B4599" i="12"/>
  <c r="B4600" i="12"/>
  <c r="B4601" i="12"/>
  <c r="B4602" i="12"/>
  <c r="B4603" i="12"/>
  <c r="B4604" i="12"/>
  <c r="B4605" i="12"/>
  <c r="B4606" i="12"/>
  <c r="B4607" i="12"/>
  <c r="B4608" i="12"/>
  <c r="B4609" i="12"/>
  <c r="B4610" i="12"/>
  <c r="B4611" i="12"/>
  <c r="B4612" i="12"/>
  <c r="B4613" i="12"/>
  <c r="B4614" i="12"/>
  <c r="B4615" i="12"/>
  <c r="B4616" i="12"/>
  <c r="B4617" i="12"/>
  <c r="B4618" i="12"/>
  <c r="B4619" i="12"/>
  <c r="B4620" i="12"/>
  <c r="B4621" i="12"/>
  <c r="B4622" i="12"/>
  <c r="B4623" i="12"/>
  <c r="B4624" i="12"/>
  <c r="B4625" i="12"/>
  <c r="B4626" i="12"/>
  <c r="B4627" i="12"/>
  <c r="B4628" i="12"/>
  <c r="B4629" i="12"/>
  <c r="B4630" i="12"/>
  <c r="B4631" i="12"/>
  <c r="B4632" i="12"/>
  <c r="B4633" i="12"/>
  <c r="B4634" i="12"/>
  <c r="B4635" i="12"/>
  <c r="B4636" i="12"/>
  <c r="B4637" i="12"/>
  <c r="B4638" i="12"/>
  <c r="B4639" i="12"/>
  <c r="B4640" i="12"/>
  <c r="B4641" i="12"/>
  <c r="B4642" i="12"/>
  <c r="B4643" i="12"/>
  <c r="B4644" i="12"/>
  <c r="B4645" i="12"/>
  <c r="B4646" i="12"/>
  <c r="B4647" i="12"/>
  <c r="B4648" i="12"/>
  <c r="B4649" i="12"/>
  <c r="B4650" i="12"/>
  <c r="B4651" i="12"/>
  <c r="B4652" i="12"/>
  <c r="B4653" i="12"/>
  <c r="B4654" i="12"/>
  <c r="B4655" i="12"/>
  <c r="B4656" i="12"/>
  <c r="B4657" i="12"/>
  <c r="B4658" i="12"/>
  <c r="B4659" i="12"/>
  <c r="B4660" i="12"/>
  <c r="B4661" i="12"/>
  <c r="B4662" i="12"/>
  <c r="B4663" i="12"/>
  <c r="B4664" i="12"/>
  <c r="B4665" i="12"/>
  <c r="B4666" i="12"/>
  <c r="B4667" i="12"/>
  <c r="B4668" i="12"/>
  <c r="B4669" i="12"/>
  <c r="B4670" i="12"/>
  <c r="B4671" i="12"/>
  <c r="B4672" i="12"/>
  <c r="B4673" i="12"/>
  <c r="B4674" i="12"/>
  <c r="B4675" i="12"/>
  <c r="B4676" i="12"/>
  <c r="B4677" i="12"/>
  <c r="B4678" i="12"/>
  <c r="B4679" i="12"/>
  <c r="B4680" i="12"/>
  <c r="B4681" i="12"/>
  <c r="B4682" i="12"/>
  <c r="B4683" i="12"/>
  <c r="B4684" i="12"/>
  <c r="B4685" i="12"/>
  <c r="B4686" i="12"/>
  <c r="B4687" i="12"/>
  <c r="B4688" i="12"/>
  <c r="B4689" i="12"/>
  <c r="B4690" i="12"/>
  <c r="B4691" i="12"/>
  <c r="B4692" i="12"/>
  <c r="B4693" i="12"/>
  <c r="B4694" i="12"/>
  <c r="B4695" i="12"/>
  <c r="B4696" i="12"/>
  <c r="B4697" i="12"/>
  <c r="B4698" i="12"/>
  <c r="B4699" i="12"/>
  <c r="B4700" i="12"/>
  <c r="B4701" i="12"/>
  <c r="B4702" i="12"/>
  <c r="B4703" i="12"/>
  <c r="B4704" i="12"/>
  <c r="B4705" i="12"/>
  <c r="B4706" i="12"/>
  <c r="B4707" i="12"/>
  <c r="B4708" i="12"/>
  <c r="B4709" i="12"/>
  <c r="B4710" i="12"/>
  <c r="B4711" i="12"/>
  <c r="B4712" i="12"/>
  <c r="B4713" i="12"/>
  <c r="B4714" i="12"/>
  <c r="B4715" i="12"/>
  <c r="B4716" i="12"/>
  <c r="B4717" i="12"/>
  <c r="B4718" i="12"/>
  <c r="B4719" i="12"/>
  <c r="B4720" i="12"/>
  <c r="B4721" i="12"/>
  <c r="B4722" i="12"/>
  <c r="B4723" i="12"/>
  <c r="B4724" i="12"/>
  <c r="B4725" i="12"/>
  <c r="B4726" i="12"/>
  <c r="B4727" i="12"/>
  <c r="B4728" i="12"/>
  <c r="B4729" i="12"/>
  <c r="B4730" i="12"/>
  <c r="B4731" i="12"/>
  <c r="B4732" i="12"/>
  <c r="B4733" i="12"/>
  <c r="B4734" i="12"/>
  <c r="B4735" i="12"/>
  <c r="B4736" i="12"/>
  <c r="B4737" i="12"/>
  <c r="B4738" i="12"/>
  <c r="B4739" i="12"/>
  <c r="B4740" i="12"/>
  <c r="B4741" i="12"/>
  <c r="B4742" i="12"/>
  <c r="B4743" i="12"/>
  <c r="B4744" i="12"/>
  <c r="B4745" i="12"/>
  <c r="B4746" i="12"/>
  <c r="B4747" i="12"/>
  <c r="B4748" i="12"/>
  <c r="B4749" i="12"/>
  <c r="B4750" i="12"/>
  <c r="B4751" i="12"/>
  <c r="B4752" i="12"/>
  <c r="B4753" i="12"/>
  <c r="B4754" i="12"/>
  <c r="B4755" i="12"/>
  <c r="B4756" i="12"/>
  <c r="B4757" i="12"/>
  <c r="B4758" i="12"/>
  <c r="B4759" i="12"/>
  <c r="B4760" i="12"/>
  <c r="B4761" i="12"/>
  <c r="B4762" i="12"/>
  <c r="B4763" i="12"/>
  <c r="B4764" i="12"/>
  <c r="B4765" i="12"/>
  <c r="B4766" i="12"/>
  <c r="B4767" i="12"/>
  <c r="B4768" i="12"/>
  <c r="B4769" i="12"/>
  <c r="B4770" i="12"/>
  <c r="B4771" i="12"/>
  <c r="B4772" i="12"/>
  <c r="B4773" i="12"/>
  <c r="B4774" i="12"/>
  <c r="B4775" i="12"/>
  <c r="B4776" i="12"/>
  <c r="B4777" i="12"/>
  <c r="B4778" i="12"/>
  <c r="B4779" i="12"/>
  <c r="B4780" i="12"/>
  <c r="B4781" i="12"/>
  <c r="B4782" i="12"/>
  <c r="B4783" i="12"/>
  <c r="B4784" i="12"/>
  <c r="B4785" i="12"/>
  <c r="B4786" i="12"/>
  <c r="B4787" i="12"/>
  <c r="B4788" i="12"/>
  <c r="B4789" i="12"/>
  <c r="B4790" i="12"/>
  <c r="B4791" i="12"/>
  <c r="B4792" i="12"/>
  <c r="B4793" i="12"/>
  <c r="B4794" i="12"/>
  <c r="B4795" i="12"/>
  <c r="B4796" i="12"/>
  <c r="B4797" i="12"/>
  <c r="B4798" i="12"/>
  <c r="B4799" i="12"/>
  <c r="B4800" i="12"/>
  <c r="B4801" i="12"/>
  <c r="B4802" i="12"/>
  <c r="B4803" i="12"/>
  <c r="B4804" i="12"/>
  <c r="B4805" i="12"/>
  <c r="B4806" i="12"/>
  <c r="B4807" i="12"/>
  <c r="B4808" i="12"/>
  <c r="B4809" i="12"/>
  <c r="B4810" i="12"/>
  <c r="B4811" i="12"/>
  <c r="B4812" i="12"/>
  <c r="B4813" i="12"/>
  <c r="B4814" i="12"/>
  <c r="B4815" i="12"/>
  <c r="B4816" i="12"/>
  <c r="B4817" i="12"/>
  <c r="B4818" i="12"/>
  <c r="B4819" i="12"/>
  <c r="B4820" i="12"/>
  <c r="B4821" i="12"/>
  <c r="B4822" i="12"/>
  <c r="B4823" i="12"/>
  <c r="B4824" i="12"/>
  <c r="B4825" i="12"/>
  <c r="B4826" i="12"/>
  <c r="B4827" i="12"/>
  <c r="B4828" i="12"/>
  <c r="B4829" i="12"/>
  <c r="B4830" i="12"/>
  <c r="B4831" i="12"/>
  <c r="B4832" i="12"/>
  <c r="B4833" i="12"/>
  <c r="B4834" i="12"/>
  <c r="B4835" i="12"/>
  <c r="B4836" i="12"/>
  <c r="B4837" i="12"/>
  <c r="B4838" i="12"/>
  <c r="B4839" i="12"/>
  <c r="B4840" i="12"/>
  <c r="B4841" i="12"/>
  <c r="B4842" i="12"/>
  <c r="B4843" i="12"/>
  <c r="B4844" i="12"/>
  <c r="B4845" i="12"/>
  <c r="B4846" i="12"/>
  <c r="B4847" i="12"/>
  <c r="B4848" i="12"/>
  <c r="B4849" i="12"/>
  <c r="B4850" i="12"/>
  <c r="B4851" i="12"/>
  <c r="B4852" i="12"/>
  <c r="B4853" i="12"/>
  <c r="B4854" i="12"/>
  <c r="B4855" i="12"/>
  <c r="B4856" i="12"/>
  <c r="B4857" i="12"/>
  <c r="B4858" i="12"/>
  <c r="B4859" i="12"/>
  <c r="B4860" i="12"/>
  <c r="B4861" i="12"/>
  <c r="B4862" i="12"/>
  <c r="B4863" i="12"/>
  <c r="B4864" i="12"/>
  <c r="B4865" i="12"/>
  <c r="B4866" i="12"/>
  <c r="B4867" i="12"/>
  <c r="B4868" i="12"/>
  <c r="B4869" i="12"/>
  <c r="B4870" i="12"/>
  <c r="B4871" i="12"/>
  <c r="B4872" i="12"/>
  <c r="B4873" i="12"/>
  <c r="B4874" i="12"/>
  <c r="B4875" i="12"/>
  <c r="B4876" i="12"/>
  <c r="B4877" i="12"/>
  <c r="B4878" i="12"/>
  <c r="B4879" i="12"/>
  <c r="B4880" i="12"/>
  <c r="B4881" i="12"/>
  <c r="B4882" i="12"/>
  <c r="B4883" i="12"/>
  <c r="B4884" i="12"/>
  <c r="B4885" i="12"/>
  <c r="B4886" i="12"/>
  <c r="B4887" i="12"/>
  <c r="B4888" i="12"/>
  <c r="B4889" i="12"/>
  <c r="B4890" i="12"/>
  <c r="B4891" i="12"/>
  <c r="B4892" i="12"/>
  <c r="B4893" i="12"/>
  <c r="B4894" i="12"/>
  <c r="B4895" i="12"/>
  <c r="B4896" i="12"/>
  <c r="B4897" i="12"/>
  <c r="B4898" i="12"/>
  <c r="B4899" i="12"/>
  <c r="B4900" i="12"/>
  <c r="B4901" i="12"/>
  <c r="B4902" i="12"/>
  <c r="B4903" i="12"/>
  <c r="B4904" i="12"/>
  <c r="B4905" i="12"/>
  <c r="B4906" i="12"/>
  <c r="B4907" i="12"/>
  <c r="B4908" i="12"/>
  <c r="B4909" i="12"/>
  <c r="B4910" i="12"/>
  <c r="B4911" i="12"/>
  <c r="B4912" i="12"/>
  <c r="B4913" i="12"/>
  <c r="B4914" i="12"/>
  <c r="B4915" i="12"/>
  <c r="B4916" i="12"/>
  <c r="B4917" i="12"/>
  <c r="B4918" i="12"/>
  <c r="B4919" i="12"/>
  <c r="B4920" i="12"/>
  <c r="B4921" i="12"/>
  <c r="B4922" i="12"/>
  <c r="B4923" i="12"/>
  <c r="B4924" i="12"/>
  <c r="B4925" i="12"/>
  <c r="B4926" i="12"/>
  <c r="B4927" i="12"/>
  <c r="B4928" i="12"/>
  <c r="B4929" i="12"/>
  <c r="B4930" i="12"/>
  <c r="B4931" i="12"/>
  <c r="B4932" i="12"/>
  <c r="B4933" i="12"/>
  <c r="B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1240" i="12"/>
  <c r="E1241" i="12"/>
  <c r="E1242" i="12"/>
  <c r="E1243" i="12"/>
  <c r="E1244" i="12"/>
  <c r="E1245" i="12"/>
  <c r="E1246" i="12"/>
  <c r="E1247" i="12"/>
  <c r="E1248" i="12"/>
  <c r="E1249" i="12"/>
  <c r="E1250" i="12"/>
  <c r="E1251" i="12"/>
  <c r="E1252" i="12"/>
  <c r="E1253" i="12"/>
  <c r="E1254" i="12"/>
  <c r="E1255" i="12"/>
  <c r="E1256" i="12"/>
  <c r="E1257" i="12"/>
  <c r="E1258" i="12"/>
  <c r="E1259" i="12"/>
  <c r="E1260" i="12"/>
  <c r="E1261" i="12"/>
  <c r="E1262" i="12"/>
  <c r="E1263" i="12"/>
  <c r="E1264" i="12"/>
  <c r="E1265" i="12"/>
  <c r="E1266" i="12"/>
  <c r="E1267" i="12"/>
  <c r="E1268" i="12"/>
  <c r="E1269" i="12"/>
  <c r="E1270" i="12"/>
  <c r="E1271" i="12"/>
  <c r="E1272" i="12"/>
  <c r="E1273" i="12"/>
  <c r="E1274" i="12"/>
  <c r="E1275" i="12"/>
  <c r="E1276" i="12"/>
  <c r="E1277" i="12"/>
  <c r="E1278" i="12"/>
  <c r="E1279" i="12"/>
  <c r="E1280" i="12"/>
  <c r="E1281" i="12"/>
  <c r="E1282" i="12"/>
  <c r="E1283" i="12"/>
  <c r="E1284" i="12"/>
  <c r="E1285" i="12"/>
  <c r="E1286" i="12"/>
  <c r="E1287" i="12"/>
  <c r="E1288" i="12"/>
  <c r="E1289" i="12"/>
  <c r="E1290" i="12"/>
  <c r="E1291" i="12"/>
  <c r="E1292" i="12"/>
  <c r="E1293" i="12"/>
  <c r="E1294" i="12"/>
  <c r="E1295" i="12"/>
  <c r="E1296" i="12"/>
  <c r="E1297" i="12"/>
  <c r="E1298" i="12"/>
  <c r="E1299" i="12"/>
  <c r="E1300" i="12"/>
  <c r="E1301" i="12"/>
  <c r="E1302" i="12"/>
  <c r="E1303" i="12"/>
  <c r="E1304" i="12"/>
  <c r="E1305" i="12"/>
  <c r="E1306" i="12"/>
  <c r="E1307" i="12"/>
  <c r="E1308" i="12"/>
  <c r="E1309" i="12"/>
  <c r="E1310" i="12"/>
  <c r="E1311" i="12"/>
  <c r="E1312" i="12"/>
  <c r="E1313" i="12"/>
  <c r="E1314" i="12"/>
  <c r="E1315" i="12"/>
  <c r="E1316" i="12"/>
  <c r="E1317" i="12"/>
  <c r="E1318" i="12"/>
  <c r="E1319" i="12"/>
  <c r="E1320" i="12"/>
  <c r="E1321" i="12"/>
  <c r="E1322" i="12"/>
  <c r="E1323" i="12"/>
  <c r="E1324" i="12"/>
  <c r="E1325" i="12"/>
  <c r="E1326" i="12"/>
  <c r="E1327" i="12"/>
  <c r="E1328" i="12"/>
  <c r="E1329" i="12"/>
  <c r="E1330" i="12"/>
  <c r="E1331" i="12"/>
  <c r="E1332" i="12"/>
  <c r="E1333" i="12"/>
  <c r="E1334" i="12"/>
  <c r="E1335" i="12"/>
  <c r="E1336" i="12"/>
  <c r="E1337" i="12"/>
  <c r="E1338" i="12"/>
  <c r="E1339" i="12"/>
  <c r="E1340" i="12"/>
  <c r="E1341" i="12"/>
  <c r="E1342" i="12"/>
  <c r="E1343" i="12"/>
  <c r="E1344" i="12"/>
  <c r="E1345" i="12"/>
  <c r="E1346" i="12"/>
  <c r="E1347" i="12"/>
  <c r="E1348" i="12"/>
  <c r="E1349" i="12"/>
  <c r="E1350" i="12"/>
  <c r="E1351" i="12"/>
  <c r="E1352" i="12"/>
  <c r="E1353" i="12"/>
  <c r="E1354" i="12"/>
  <c r="E1355" i="12"/>
  <c r="E1356" i="12"/>
  <c r="E1357" i="12"/>
  <c r="E1358" i="12"/>
  <c r="E1359" i="12"/>
  <c r="E1360" i="12"/>
  <c r="E1361" i="12"/>
  <c r="E1362" i="12"/>
  <c r="E1363" i="12"/>
  <c r="E1364" i="12"/>
  <c r="E1365" i="12"/>
  <c r="E1366" i="12"/>
  <c r="E1367" i="12"/>
  <c r="E1368" i="12"/>
  <c r="E1369" i="12"/>
  <c r="E1370" i="12"/>
  <c r="E1371" i="12"/>
  <c r="E1372" i="12"/>
  <c r="E1373" i="12"/>
  <c r="E1374" i="12"/>
  <c r="E1375" i="12"/>
  <c r="E1376" i="12"/>
  <c r="E1377" i="12"/>
  <c r="E1378" i="12"/>
  <c r="E1379" i="12"/>
  <c r="E1380" i="12"/>
  <c r="E1381" i="12"/>
  <c r="E1382" i="12"/>
  <c r="E1383" i="12"/>
  <c r="E1384" i="12"/>
  <c r="E1385" i="12"/>
  <c r="E1386" i="12"/>
  <c r="E1387" i="12"/>
  <c r="E1388" i="12"/>
  <c r="E1389" i="12"/>
  <c r="E1390" i="12"/>
  <c r="E1391" i="12"/>
  <c r="E1392" i="12"/>
  <c r="E1393" i="12"/>
  <c r="E1394" i="12"/>
  <c r="E1395" i="12"/>
  <c r="E1396" i="12"/>
  <c r="E1397" i="12"/>
  <c r="E1398" i="12"/>
  <c r="E1399" i="12"/>
  <c r="E1400" i="12"/>
  <c r="E1401" i="12"/>
  <c r="E1402" i="12"/>
  <c r="E1403" i="12"/>
  <c r="E1404" i="12"/>
  <c r="E1405" i="12"/>
  <c r="E1406" i="12"/>
  <c r="E1407" i="12"/>
  <c r="E1408" i="12"/>
  <c r="E1409" i="12"/>
  <c r="E1410" i="12"/>
  <c r="E1411" i="12"/>
  <c r="E1412" i="12"/>
  <c r="E1413" i="12"/>
  <c r="E1414" i="12"/>
  <c r="E1415" i="12"/>
  <c r="E1416" i="12"/>
  <c r="E1417" i="12"/>
  <c r="E1418" i="12"/>
  <c r="E1419" i="12"/>
  <c r="E1420" i="12"/>
  <c r="E1421" i="12"/>
  <c r="E1422" i="12"/>
  <c r="E1423" i="12"/>
  <c r="E1424" i="12"/>
  <c r="E1425" i="12"/>
  <c r="E1426" i="12"/>
  <c r="E1427" i="12"/>
  <c r="E1428" i="12"/>
  <c r="E1429" i="12"/>
  <c r="E1430" i="12"/>
  <c r="E1431" i="12"/>
  <c r="E1432" i="12"/>
  <c r="E1433" i="12"/>
  <c r="E1434" i="12"/>
  <c r="E1435" i="12"/>
  <c r="E1436" i="12"/>
  <c r="E1437" i="12"/>
  <c r="E1438" i="12"/>
  <c r="E1439" i="12"/>
  <c r="E1440" i="12"/>
  <c r="E1441" i="12"/>
  <c r="E1442" i="12"/>
  <c r="E1443" i="12"/>
  <c r="E1444" i="12"/>
  <c r="E1445" i="12"/>
  <c r="E1446" i="12"/>
  <c r="E1447" i="12"/>
  <c r="E1448" i="12"/>
  <c r="E1449" i="12"/>
  <c r="E1450" i="12"/>
  <c r="E1451" i="12"/>
  <c r="E1452" i="12"/>
  <c r="E1453" i="12"/>
  <c r="E1454" i="12"/>
  <c r="E1455" i="12"/>
  <c r="E1456" i="12"/>
  <c r="E1457" i="12"/>
  <c r="E1458" i="12"/>
  <c r="E1459" i="12"/>
  <c r="E1460" i="12"/>
  <c r="E1461" i="12"/>
  <c r="E1462" i="12"/>
  <c r="E1463" i="12"/>
  <c r="E1464" i="12"/>
  <c r="E1465" i="12"/>
  <c r="E1466" i="12"/>
  <c r="E1467" i="12"/>
  <c r="E1468" i="12"/>
  <c r="E1469" i="12"/>
  <c r="E1470" i="12"/>
  <c r="E1471" i="12"/>
  <c r="E1472" i="12"/>
  <c r="E1473" i="12"/>
  <c r="E1474" i="12"/>
  <c r="E1475" i="12"/>
  <c r="E1476" i="12"/>
  <c r="E1477" i="12"/>
  <c r="E1478" i="12"/>
  <c r="E1479" i="12"/>
  <c r="E1480" i="12"/>
  <c r="E1481" i="12"/>
  <c r="E1482" i="12"/>
  <c r="E1483" i="12"/>
  <c r="E1484" i="12"/>
  <c r="E1485" i="12"/>
  <c r="E1486" i="12"/>
  <c r="E1487" i="12"/>
  <c r="E1488" i="12"/>
  <c r="E1489" i="12"/>
  <c r="E1490" i="12"/>
  <c r="E1491" i="12"/>
  <c r="E1492" i="12"/>
  <c r="E1493" i="12"/>
  <c r="E1494" i="12"/>
  <c r="E1495" i="12"/>
  <c r="E1496" i="12"/>
  <c r="E1497" i="12"/>
  <c r="E1498" i="12"/>
  <c r="E1499" i="12"/>
  <c r="E1500" i="12"/>
  <c r="E1501" i="12"/>
  <c r="E1502" i="12"/>
  <c r="E1503" i="12"/>
  <c r="E1504" i="12"/>
  <c r="E1505" i="12"/>
  <c r="E1506" i="12"/>
  <c r="E1507" i="12"/>
  <c r="E1508" i="12"/>
  <c r="E1509" i="12"/>
  <c r="E1510" i="12"/>
  <c r="E1511" i="12"/>
  <c r="E1512" i="12"/>
  <c r="E1513" i="12"/>
  <c r="E1514" i="12"/>
  <c r="E1515" i="12"/>
  <c r="E1516" i="12"/>
  <c r="E1517" i="12"/>
  <c r="E1518" i="12"/>
  <c r="E1519" i="12"/>
  <c r="E1520" i="12"/>
  <c r="E1521" i="12"/>
  <c r="E1522" i="12"/>
  <c r="E1523" i="12"/>
  <c r="E1524" i="12"/>
  <c r="E1525" i="12"/>
  <c r="E1526" i="12"/>
  <c r="E1527" i="12"/>
  <c r="E1528" i="12"/>
  <c r="E1529" i="12"/>
  <c r="E1530" i="12"/>
  <c r="E1531" i="12"/>
  <c r="E1532" i="12"/>
  <c r="E1533" i="12"/>
  <c r="E1534" i="12"/>
  <c r="E1535" i="12"/>
  <c r="E1536" i="12"/>
  <c r="E1537" i="12"/>
  <c r="E1538" i="12"/>
  <c r="E1539" i="12"/>
  <c r="E1540" i="12"/>
  <c r="E1541" i="12"/>
  <c r="E1542" i="12"/>
  <c r="E1543" i="12"/>
  <c r="E1544" i="12"/>
  <c r="E1545" i="12"/>
  <c r="E1546" i="12"/>
  <c r="E1547" i="12"/>
  <c r="E1548" i="12"/>
  <c r="E1549" i="12"/>
  <c r="E1550" i="12"/>
  <c r="E1551" i="12"/>
  <c r="E1552" i="12"/>
  <c r="E1553" i="12"/>
  <c r="E1554" i="12"/>
  <c r="E1555" i="12"/>
  <c r="E1556" i="12"/>
  <c r="E1557" i="12"/>
  <c r="E1558" i="12"/>
  <c r="E1559" i="12"/>
  <c r="E1560" i="12"/>
  <c r="E1561" i="12"/>
  <c r="E1562" i="12"/>
  <c r="E1563" i="12"/>
  <c r="E1564" i="12"/>
  <c r="E1565" i="12"/>
  <c r="E1566" i="12"/>
  <c r="E1567" i="12"/>
  <c r="E1568" i="12"/>
  <c r="E1569" i="12"/>
  <c r="E1570" i="12"/>
  <c r="E1571" i="12"/>
  <c r="E1572" i="12"/>
  <c r="E1573" i="12"/>
  <c r="E1574" i="12"/>
  <c r="E1575" i="12"/>
  <c r="E1576" i="12"/>
  <c r="E1577" i="12"/>
  <c r="E1578" i="12"/>
  <c r="E1579" i="12"/>
  <c r="E1580" i="12"/>
  <c r="E1581" i="12"/>
  <c r="E1582" i="12"/>
  <c r="E1583" i="12"/>
  <c r="E1584" i="12"/>
  <c r="E1585" i="12"/>
  <c r="E1586" i="12"/>
  <c r="E1587" i="12"/>
  <c r="E1588" i="12"/>
  <c r="E1589" i="12"/>
  <c r="E1590" i="12"/>
  <c r="E1591" i="12"/>
  <c r="E1592" i="12"/>
  <c r="E1593" i="12"/>
  <c r="E1594" i="12"/>
  <c r="E1595" i="12"/>
  <c r="E1596" i="12"/>
  <c r="E1597" i="12"/>
  <c r="E1598" i="12"/>
  <c r="E1599" i="12"/>
  <c r="E1600" i="12"/>
  <c r="E1601" i="12"/>
  <c r="E1602" i="12"/>
  <c r="E1603" i="12"/>
  <c r="E1604" i="12"/>
  <c r="E1605" i="12"/>
  <c r="E1606" i="12"/>
  <c r="E1607" i="12"/>
  <c r="E1608" i="12"/>
  <c r="E1609" i="12"/>
  <c r="E1610" i="12"/>
  <c r="E1611" i="12"/>
  <c r="E1612" i="12"/>
  <c r="E1613" i="12"/>
  <c r="E1614" i="12"/>
  <c r="E1615" i="12"/>
  <c r="E1616" i="12"/>
  <c r="E1617" i="12"/>
  <c r="E1618" i="12"/>
  <c r="E1619" i="12"/>
  <c r="E1620" i="12"/>
  <c r="E1621" i="12"/>
  <c r="E1622" i="12"/>
  <c r="E1623" i="12"/>
  <c r="E1624" i="12"/>
  <c r="E1625" i="12"/>
  <c r="E1626" i="12"/>
  <c r="E1627" i="12"/>
  <c r="E1628" i="12"/>
  <c r="E1629" i="12"/>
  <c r="E1630" i="12"/>
  <c r="E1631" i="12"/>
  <c r="E1632" i="12"/>
  <c r="E1633" i="12"/>
  <c r="E1634" i="12"/>
  <c r="E1635" i="12"/>
  <c r="E1636" i="12"/>
  <c r="E1637" i="12"/>
  <c r="E1638" i="12"/>
  <c r="E1639" i="12"/>
  <c r="E1640" i="12"/>
  <c r="E1641" i="12"/>
  <c r="E1642" i="12"/>
  <c r="E1643" i="12"/>
  <c r="E1644" i="12"/>
  <c r="E1645" i="12"/>
  <c r="E1646" i="12"/>
  <c r="E1647" i="12"/>
  <c r="E1648" i="12"/>
  <c r="E1649" i="12"/>
  <c r="E1650" i="12"/>
  <c r="E1651" i="12"/>
  <c r="E1652" i="12"/>
  <c r="E1653" i="12"/>
  <c r="E1654" i="12"/>
  <c r="E1655" i="12"/>
  <c r="E1656" i="12"/>
  <c r="E1657" i="12"/>
  <c r="E1658" i="12"/>
  <c r="E1659" i="12"/>
  <c r="E1660" i="12"/>
  <c r="E1661" i="12"/>
  <c r="E1662" i="12"/>
  <c r="E1663" i="12"/>
  <c r="E1664" i="12"/>
  <c r="E1665" i="12"/>
  <c r="E1666" i="12"/>
  <c r="E1667" i="12"/>
  <c r="E1668" i="12"/>
  <c r="E1669" i="12"/>
  <c r="E1670" i="12"/>
  <c r="E1671" i="12"/>
  <c r="E1672" i="12"/>
  <c r="E1673" i="12"/>
  <c r="E1674" i="12"/>
  <c r="E1675" i="12"/>
  <c r="E1676" i="12"/>
  <c r="E1677" i="12"/>
  <c r="E1678" i="12"/>
  <c r="E1679" i="12"/>
  <c r="E1680" i="12"/>
  <c r="E1681" i="12"/>
  <c r="E1682" i="12"/>
  <c r="E1683" i="12"/>
  <c r="E1684" i="12"/>
  <c r="E1685" i="12"/>
  <c r="E1686" i="12"/>
  <c r="E1687" i="12"/>
  <c r="E1688" i="12"/>
  <c r="E1689" i="12"/>
  <c r="E1690" i="12"/>
  <c r="E1691" i="12"/>
  <c r="E1692" i="12"/>
  <c r="E1693" i="12"/>
  <c r="E1694" i="12"/>
  <c r="E1695" i="12"/>
  <c r="E1696" i="12"/>
  <c r="E1697" i="12"/>
  <c r="E1698" i="12"/>
  <c r="E1699" i="12"/>
  <c r="E1700" i="12"/>
  <c r="E1701" i="12"/>
  <c r="E1702" i="12"/>
  <c r="E1703" i="12"/>
  <c r="E1704" i="12"/>
  <c r="E1705" i="12"/>
  <c r="E1706" i="12"/>
  <c r="E1707" i="12"/>
  <c r="E1708" i="12"/>
  <c r="E1709" i="12"/>
  <c r="E1710" i="12"/>
  <c r="E1711" i="12"/>
  <c r="E1712" i="12"/>
  <c r="E1713" i="12"/>
  <c r="E1714" i="12"/>
  <c r="E1715" i="12"/>
  <c r="E1716" i="12"/>
  <c r="E1717" i="12"/>
  <c r="E1718" i="12"/>
  <c r="E1719" i="12"/>
  <c r="E1720" i="12"/>
  <c r="E1721" i="12"/>
  <c r="E1722" i="12"/>
  <c r="E1723" i="12"/>
  <c r="E1724" i="12"/>
  <c r="E1725" i="12"/>
  <c r="E1726" i="12"/>
  <c r="E1727" i="12"/>
  <c r="E1728" i="12"/>
  <c r="E1729" i="12"/>
  <c r="E1730" i="12"/>
  <c r="E1731" i="12"/>
  <c r="E1732" i="12"/>
  <c r="E1733" i="12"/>
  <c r="E1734" i="12"/>
  <c r="E1735" i="12"/>
  <c r="E1736" i="12"/>
  <c r="E1737" i="12"/>
  <c r="E1738" i="12"/>
  <c r="E1739" i="12"/>
  <c r="E1740" i="12"/>
  <c r="E1741" i="12"/>
  <c r="E1742" i="12"/>
  <c r="E1743" i="12"/>
  <c r="E1744" i="12"/>
  <c r="E1745" i="12"/>
  <c r="E1746" i="12"/>
  <c r="E1747" i="12"/>
  <c r="E1748" i="12"/>
  <c r="E1749" i="12"/>
  <c r="E1750" i="12"/>
  <c r="E1751" i="12"/>
  <c r="E1752" i="12"/>
  <c r="E1753" i="12"/>
  <c r="E1754" i="12"/>
  <c r="E1755" i="12"/>
  <c r="E1756" i="12"/>
  <c r="E1757" i="12"/>
  <c r="E1758" i="12"/>
  <c r="E1759" i="12"/>
  <c r="E1760" i="12"/>
  <c r="E1761" i="12"/>
  <c r="E1762" i="12"/>
  <c r="E1763" i="12"/>
  <c r="E1764" i="12"/>
  <c r="E1765" i="12"/>
  <c r="E1766" i="12"/>
  <c r="E1767" i="12"/>
  <c r="E1768" i="12"/>
  <c r="E1769" i="12"/>
  <c r="E1770" i="12"/>
  <c r="E1771" i="12"/>
  <c r="E1772" i="12"/>
  <c r="E1773" i="12"/>
  <c r="E1774" i="12"/>
  <c r="E1775" i="12"/>
  <c r="E1776" i="12"/>
  <c r="E1777" i="12"/>
  <c r="E1778" i="12"/>
  <c r="E1779" i="12"/>
  <c r="E1780" i="12"/>
  <c r="E1781" i="12"/>
  <c r="E1782" i="12"/>
  <c r="E1783" i="12"/>
  <c r="E1784" i="12"/>
  <c r="E1785" i="12"/>
  <c r="E1786" i="12"/>
  <c r="E1787" i="12"/>
  <c r="E1788" i="12"/>
  <c r="E1789" i="12"/>
  <c r="E1790" i="12"/>
  <c r="E1791" i="12"/>
  <c r="E1792" i="12"/>
  <c r="E1793" i="12"/>
  <c r="E1794" i="12"/>
  <c r="E1795" i="12"/>
  <c r="E1796" i="12"/>
  <c r="E1797" i="12"/>
  <c r="E1798" i="12"/>
  <c r="E1799" i="12"/>
  <c r="E1800" i="12"/>
  <c r="E1801" i="12"/>
  <c r="E1802" i="12"/>
  <c r="E1803" i="12"/>
  <c r="E1804" i="12"/>
  <c r="E1805" i="12"/>
  <c r="E1806" i="12"/>
  <c r="E1807" i="12"/>
  <c r="E1808" i="12"/>
  <c r="E1809" i="12"/>
  <c r="E1810" i="12"/>
  <c r="E1811" i="12"/>
  <c r="E1812" i="12"/>
  <c r="E1813" i="12"/>
  <c r="E1814" i="12"/>
  <c r="E1815" i="12"/>
  <c r="E1816" i="12"/>
  <c r="E1817" i="12"/>
  <c r="E1818" i="12"/>
  <c r="E1819" i="12"/>
  <c r="E1820" i="12"/>
  <c r="E1821" i="12"/>
  <c r="E1822" i="12"/>
  <c r="E1823" i="12"/>
  <c r="E1824" i="12"/>
  <c r="E1825" i="12"/>
  <c r="E1826" i="12"/>
  <c r="E1827" i="12"/>
  <c r="E1828" i="12"/>
  <c r="E1829" i="12"/>
  <c r="E1830" i="12"/>
  <c r="E1831" i="12"/>
  <c r="E1832" i="12"/>
  <c r="E1833" i="12"/>
  <c r="E1834" i="12"/>
  <c r="E1835" i="12"/>
  <c r="E1836" i="12"/>
  <c r="E1837" i="12"/>
  <c r="E1838" i="12"/>
  <c r="E1839" i="12"/>
  <c r="E1840" i="12"/>
  <c r="E1841" i="12"/>
  <c r="E1842" i="12"/>
  <c r="E1843" i="12"/>
  <c r="E1844" i="12"/>
  <c r="E1845" i="12"/>
  <c r="E1846" i="12"/>
  <c r="E1847" i="12"/>
  <c r="E1848" i="12"/>
  <c r="E1849" i="12"/>
  <c r="E1850" i="12"/>
  <c r="E1851" i="12"/>
  <c r="E1852" i="12"/>
  <c r="E1853" i="12"/>
  <c r="E1854" i="12"/>
  <c r="E1855" i="12"/>
  <c r="E1856" i="12"/>
  <c r="E1857" i="12"/>
  <c r="E1858" i="12"/>
  <c r="E1859" i="12"/>
  <c r="E1860" i="12"/>
  <c r="E1861" i="12"/>
  <c r="E1862" i="12"/>
  <c r="E1863" i="12"/>
  <c r="E1864" i="12"/>
  <c r="E1865" i="12"/>
  <c r="E1866" i="12"/>
  <c r="E1867" i="12"/>
  <c r="E1868" i="12"/>
  <c r="E1869" i="12"/>
  <c r="E1870" i="12"/>
  <c r="E1871" i="12"/>
  <c r="E1872" i="12"/>
  <c r="E1873" i="12"/>
  <c r="E1874" i="12"/>
  <c r="E1875" i="12"/>
  <c r="E1876" i="12"/>
  <c r="E1877" i="12"/>
  <c r="E1878" i="12"/>
  <c r="E1879" i="12"/>
  <c r="E1880" i="12"/>
  <c r="E1881" i="12"/>
  <c r="E1882" i="12"/>
  <c r="E1883" i="12"/>
  <c r="E1884" i="12"/>
  <c r="E1885" i="12"/>
  <c r="E1886" i="12"/>
  <c r="E1887" i="12"/>
  <c r="E1888" i="12"/>
  <c r="E1889" i="12"/>
  <c r="E1890" i="12"/>
  <c r="E1891" i="12"/>
  <c r="E1892" i="12"/>
  <c r="E1893" i="12"/>
  <c r="E1894" i="12"/>
  <c r="E1895" i="12"/>
  <c r="E1896" i="12"/>
  <c r="E1897" i="12"/>
  <c r="E1898" i="12"/>
  <c r="E1899" i="12"/>
  <c r="E1900" i="12"/>
  <c r="E1901" i="12"/>
  <c r="E1902" i="12"/>
  <c r="E1903" i="12"/>
  <c r="E1904" i="12"/>
  <c r="E1905" i="12"/>
  <c r="E1906" i="12"/>
  <c r="E1907" i="12"/>
  <c r="E1908" i="12"/>
  <c r="E1909" i="12"/>
  <c r="E1910" i="12"/>
  <c r="E1911" i="12"/>
  <c r="E1912" i="12"/>
  <c r="E1913" i="12"/>
  <c r="E1914" i="12"/>
  <c r="E1915" i="12"/>
  <c r="E1916" i="12"/>
  <c r="E1917" i="12"/>
  <c r="E1918" i="12"/>
  <c r="E1919" i="12"/>
  <c r="E1920" i="12"/>
  <c r="E1921" i="12"/>
  <c r="E1922" i="12"/>
  <c r="E1923" i="12"/>
  <c r="E1924" i="12"/>
  <c r="E1925" i="12"/>
  <c r="E1926" i="12"/>
  <c r="E1927" i="12"/>
  <c r="E1928" i="12"/>
  <c r="E1929" i="12"/>
  <c r="E1930" i="12"/>
  <c r="E1931" i="12"/>
  <c r="E1932" i="12"/>
  <c r="E1933" i="12"/>
  <c r="E1934" i="12"/>
  <c r="E1935" i="12"/>
  <c r="E1936" i="12"/>
  <c r="E1937" i="12"/>
  <c r="E1938" i="12"/>
  <c r="E1939" i="12"/>
  <c r="E1940" i="12"/>
  <c r="E1941" i="12"/>
  <c r="E1942" i="12"/>
  <c r="E1943" i="12"/>
  <c r="E1944" i="12"/>
  <c r="E1945" i="12"/>
  <c r="E1946" i="12"/>
  <c r="E1947" i="12"/>
  <c r="E1948" i="12"/>
  <c r="E1949" i="12"/>
  <c r="E1950" i="12"/>
  <c r="E1951" i="12"/>
  <c r="E1952" i="12"/>
  <c r="E1953" i="12"/>
  <c r="E1954" i="12"/>
  <c r="E1955" i="12"/>
  <c r="E1956" i="12"/>
  <c r="E1957" i="12"/>
  <c r="E1958" i="12"/>
  <c r="E1959" i="12"/>
  <c r="E1960" i="12"/>
  <c r="E1961" i="12"/>
  <c r="E1962" i="12"/>
  <c r="E1963" i="12"/>
  <c r="E1964" i="12"/>
  <c r="E1965" i="12"/>
  <c r="E1966" i="12"/>
  <c r="E1967" i="12"/>
  <c r="E1968" i="12"/>
  <c r="E1969" i="12"/>
  <c r="E1970" i="12"/>
  <c r="E1971" i="12"/>
  <c r="E1972" i="12"/>
  <c r="E1973" i="12"/>
  <c r="E1974" i="12"/>
  <c r="E1975" i="12"/>
  <c r="E1976" i="12"/>
  <c r="E1977" i="12"/>
  <c r="E1978" i="12"/>
  <c r="E1979" i="12"/>
  <c r="E1980" i="12"/>
  <c r="E1981" i="12"/>
  <c r="E1982" i="12"/>
  <c r="E1983" i="12"/>
  <c r="E1984" i="12"/>
  <c r="E1985" i="12"/>
  <c r="E1986" i="12"/>
  <c r="E1987" i="12"/>
  <c r="E1988" i="12"/>
  <c r="E1989" i="12"/>
  <c r="E1990" i="12"/>
  <c r="E1991" i="12"/>
  <c r="E1992" i="12"/>
  <c r="E1993" i="12"/>
  <c r="E1994" i="12"/>
  <c r="E1995" i="12"/>
  <c r="E1996" i="12"/>
  <c r="E1997" i="12"/>
  <c r="E1998" i="12"/>
  <c r="E1999" i="12"/>
  <c r="E2000" i="12"/>
  <c r="E2001" i="12"/>
  <c r="E2002" i="12"/>
  <c r="E2003" i="12"/>
  <c r="E2004" i="12"/>
  <c r="E2005" i="12"/>
  <c r="E2006" i="12"/>
  <c r="E2007" i="12"/>
  <c r="E2008" i="12"/>
  <c r="E2009" i="12"/>
  <c r="E2010" i="12"/>
  <c r="E2011" i="12"/>
  <c r="E2012" i="12"/>
  <c r="E2013" i="12"/>
  <c r="E2014" i="12"/>
  <c r="E2015" i="12"/>
  <c r="E2016" i="12"/>
  <c r="E2017" i="12"/>
  <c r="E2018" i="12"/>
  <c r="E2019" i="12"/>
  <c r="E2020" i="12"/>
  <c r="E2021" i="12"/>
  <c r="E2022" i="12"/>
  <c r="E2023" i="12"/>
  <c r="E2024" i="12"/>
  <c r="E2025" i="12"/>
  <c r="E2026" i="12"/>
  <c r="E2027" i="12"/>
  <c r="E2028" i="12"/>
  <c r="E2029" i="12"/>
  <c r="E2030" i="12"/>
  <c r="E2031" i="12"/>
  <c r="E2032" i="12"/>
  <c r="E2033" i="12"/>
  <c r="E2034" i="12"/>
  <c r="E2035" i="12"/>
  <c r="E2036" i="12"/>
  <c r="E2037" i="12"/>
  <c r="E2038" i="12"/>
  <c r="E2039" i="12"/>
  <c r="E2040" i="12"/>
  <c r="E2041" i="12"/>
  <c r="E2042" i="12"/>
  <c r="E2043" i="12"/>
  <c r="E2044" i="12"/>
  <c r="E2045" i="12"/>
  <c r="E2046" i="12"/>
  <c r="E2047" i="12"/>
  <c r="E2048" i="12"/>
  <c r="E2049" i="12"/>
  <c r="E2050" i="12"/>
  <c r="E2051" i="12"/>
  <c r="E2052" i="12"/>
  <c r="E2053" i="12"/>
  <c r="E2054" i="12"/>
  <c r="E2055" i="12"/>
  <c r="E2056" i="12"/>
  <c r="E2057" i="12"/>
  <c r="E2058" i="12"/>
  <c r="E2059" i="12"/>
  <c r="E2060" i="12"/>
  <c r="E2061" i="12"/>
  <c r="E2062" i="12"/>
  <c r="E2063" i="12"/>
  <c r="E2064" i="12"/>
  <c r="E2065" i="12"/>
  <c r="E2066" i="12"/>
  <c r="E2067" i="12"/>
  <c r="E2068" i="12"/>
  <c r="E2069" i="12"/>
  <c r="E2070" i="12"/>
  <c r="E2071" i="12"/>
  <c r="E2072" i="12"/>
  <c r="E2073" i="12"/>
  <c r="E2074" i="12"/>
  <c r="E2075" i="12"/>
  <c r="E2076" i="12"/>
  <c r="E2077" i="12"/>
  <c r="E2078" i="12"/>
  <c r="E2079" i="12"/>
  <c r="E2080" i="12"/>
  <c r="E2081" i="12"/>
  <c r="E2082" i="12"/>
  <c r="E2083" i="12"/>
  <c r="E2084" i="12"/>
  <c r="E2085" i="12"/>
  <c r="E2086" i="12"/>
  <c r="E2087" i="12"/>
  <c r="E2088" i="12"/>
  <c r="E2089" i="12"/>
  <c r="E2090" i="12"/>
  <c r="E2091" i="12"/>
  <c r="E2092" i="12"/>
  <c r="E2093" i="12"/>
  <c r="E2094" i="12"/>
  <c r="E2095" i="12"/>
  <c r="E2096" i="12"/>
  <c r="E2097" i="12"/>
  <c r="E2098" i="12"/>
  <c r="E2099" i="12"/>
  <c r="E2100" i="12"/>
  <c r="E2101" i="12"/>
  <c r="E2102" i="12"/>
  <c r="E2103" i="12"/>
  <c r="E2104" i="12"/>
  <c r="E2105" i="12"/>
  <c r="E2106" i="12"/>
  <c r="E2107" i="12"/>
  <c r="E2108" i="12"/>
  <c r="E2109" i="12"/>
  <c r="E2110" i="12"/>
  <c r="E2111" i="12"/>
  <c r="E2112" i="12"/>
  <c r="E2113" i="12"/>
  <c r="E2114" i="12"/>
  <c r="E2115" i="12"/>
  <c r="E2116" i="12"/>
  <c r="E2117" i="12"/>
  <c r="E2118" i="12"/>
  <c r="E2119" i="12"/>
  <c r="E2120" i="12"/>
  <c r="E2121" i="12"/>
  <c r="E2122" i="12"/>
  <c r="E2123" i="12"/>
  <c r="E2124" i="12"/>
  <c r="E2125" i="12"/>
  <c r="E2126" i="12"/>
  <c r="E2127" i="12"/>
  <c r="E2128" i="12"/>
  <c r="E2129" i="12"/>
  <c r="E2130" i="12"/>
  <c r="E2131" i="12"/>
  <c r="E2132" i="12"/>
  <c r="E2133" i="12"/>
  <c r="E2134" i="12"/>
  <c r="E2135" i="12"/>
  <c r="E2136" i="12"/>
  <c r="E2137" i="12"/>
  <c r="E2138" i="12"/>
  <c r="E2139" i="12"/>
  <c r="E2140" i="12"/>
  <c r="E2141" i="12"/>
  <c r="E2142" i="12"/>
  <c r="E2143" i="12"/>
  <c r="E2144" i="12"/>
  <c r="E2145" i="12"/>
  <c r="E2146" i="12"/>
  <c r="E2147" i="12"/>
  <c r="E2148" i="12"/>
  <c r="E2149" i="12"/>
  <c r="E2150" i="12"/>
  <c r="E2151" i="12"/>
  <c r="E2152" i="12"/>
  <c r="E2153" i="12"/>
  <c r="E2154" i="12"/>
  <c r="E2155" i="12"/>
  <c r="E2156" i="12"/>
  <c r="E2157" i="12"/>
  <c r="E2158" i="12"/>
  <c r="E2159" i="12"/>
  <c r="E2160" i="12"/>
  <c r="E2161" i="12"/>
  <c r="E2162" i="12"/>
  <c r="E2163" i="12"/>
  <c r="E2164" i="12"/>
  <c r="E2165" i="12"/>
  <c r="E2166" i="12"/>
  <c r="E2167" i="12"/>
  <c r="E2168" i="12"/>
  <c r="E2169" i="12"/>
  <c r="E2170" i="12"/>
  <c r="E2171" i="12"/>
  <c r="E2172" i="12"/>
  <c r="E2173" i="12"/>
  <c r="E2174" i="12"/>
  <c r="E2175" i="12"/>
  <c r="E2176" i="12"/>
  <c r="E2177" i="12"/>
  <c r="E2178" i="12"/>
  <c r="E2179" i="12"/>
  <c r="E2180" i="12"/>
  <c r="E2181" i="12"/>
  <c r="E2182" i="12"/>
  <c r="E2183" i="12"/>
  <c r="E2184" i="12"/>
  <c r="E2185" i="12"/>
  <c r="E2186" i="12"/>
  <c r="E2187" i="12"/>
  <c r="E2188" i="12"/>
  <c r="E2189" i="12"/>
  <c r="E2190" i="12"/>
  <c r="E2191" i="12"/>
  <c r="E2192" i="12"/>
  <c r="E2193" i="12"/>
  <c r="E2194" i="12"/>
  <c r="E2195" i="12"/>
  <c r="E2196" i="12"/>
  <c r="E2197" i="12"/>
  <c r="E2198" i="12"/>
  <c r="E2199" i="12"/>
  <c r="E2200" i="12"/>
  <c r="E2201" i="12"/>
  <c r="E2202" i="12"/>
  <c r="E2203" i="12"/>
  <c r="E2204" i="12"/>
  <c r="E2205" i="12"/>
  <c r="E2206" i="12"/>
  <c r="E2207" i="12"/>
  <c r="E2208" i="12"/>
  <c r="E2209" i="12"/>
  <c r="E2210" i="12"/>
  <c r="E2211" i="12"/>
  <c r="E2212" i="12"/>
  <c r="E2213" i="12"/>
  <c r="E2214" i="12"/>
  <c r="E2215" i="12"/>
  <c r="E2216" i="12"/>
  <c r="E2217" i="12"/>
  <c r="E2218" i="12"/>
  <c r="E2219" i="12"/>
  <c r="E2220" i="12"/>
  <c r="E2221" i="12"/>
  <c r="E2222" i="12"/>
  <c r="E2223" i="12"/>
  <c r="E2224" i="12"/>
  <c r="E2225" i="12"/>
  <c r="E2226" i="12"/>
  <c r="E2227" i="12"/>
  <c r="E2228" i="12"/>
  <c r="E2229" i="12"/>
  <c r="E2230" i="12"/>
  <c r="E2231" i="12"/>
  <c r="E2232" i="12"/>
  <c r="E2233" i="12"/>
  <c r="E2234" i="12"/>
  <c r="E2235" i="12"/>
  <c r="E2236" i="12"/>
  <c r="E2237" i="12"/>
  <c r="E2238" i="12"/>
  <c r="E2239" i="12"/>
  <c r="E2240" i="12"/>
  <c r="E2241" i="12"/>
  <c r="E2242" i="12"/>
  <c r="E2243" i="12"/>
  <c r="E2244" i="12"/>
  <c r="E2245" i="12"/>
  <c r="E2246" i="12"/>
  <c r="E2247" i="12"/>
  <c r="E2248" i="12"/>
  <c r="E2249" i="12"/>
  <c r="E2250" i="12"/>
  <c r="E2251" i="12"/>
  <c r="E2252" i="12"/>
  <c r="E2253" i="12"/>
  <c r="E2254" i="12"/>
  <c r="E2255" i="12"/>
  <c r="E2256" i="12"/>
  <c r="E2257" i="12"/>
  <c r="E2258" i="12"/>
  <c r="E2259" i="12"/>
  <c r="E2260" i="12"/>
  <c r="E2261" i="12"/>
  <c r="E2262" i="12"/>
  <c r="E2263" i="12"/>
  <c r="E2264" i="12"/>
  <c r="E2265" i="12"/>
  <c r="E2266" i="12"/>
  <c r="E2267" i="12"/>
  <c r="E2268" i="12"/>
  <c r="E2269" i="12"/>
  <c r="E2270" i="12"/>
  <c r="E2271" i="12"/>
  <c r="E2272" i="12"/>
  <c r="E2273" i="12"/>
  <c r="E2274" i="12"/>
  <c r="E2275" i="12"/>
  <c r="E2276" i="12"/>
  <c r="E2277" i="12"/>
  <c r="E2278" i="12"/>
  <c r="E2279" i="12"/>
  <c r="E2280" i="12"/>
  <c r="E2281" i="12"/>
  <c r="E2282" i="12"/>
  <c r="E2283" i="12"/>
  <c r="E2284" i="12"/>
  <c r="E2285" i="12"/>
  <c r="E2286" i="12"/>
  <c r="E2287" i="12"/>
  <c r="E2288" i="12"/>
  <c r="E2289" i="12"/>
  <c r="E2290" i="12"/>
  <c r="E2291" i="12"/>
  <c r="E2292" i="12"/>
  <c r="E2293" i="12"/>
  <c r="E2294" i="12"/>
  <c r="E2295" i="12"/>
  <c r="E2296" i="12"/>
  <c r="E2297" i="12"/>
  <c r="E2298" i="12"/>
  <c r="E2299" i="12"/>
  <c r="E2300" i="12"/>
  <c r="E2301" i="12"/>
  <c r="E2302" i="12"/>
  <c r="E2303" i="12"/>
  <c r="E2304" i="12"/>
  <c r="E2305" i="12"/>
  <c r="E2306" i="12"/>
  <c r="E2307" i="12"/>
  <c r="E2308" i="12"/>
  <c r="E2309" i="12"/>
  <c r="E2310" i="12"/>
  <c r="E2311" i="12"/>
  <c r="E2312" i="12"/>
  <c r="E2313" i="12"/>
  <c r="E2314" i="12"/>
  <c r="E2315" i="12"/>
  <c r="E2316" i="12"/>
  <c r="E2317" i="12"/>
  <c r="E2318" i="12"/>
  <c r="E2319" i="12"/>
  <c r="E2320" i="12"/>
  <c r="E2321" i="12"/>
  <c r="E2322" i="12"/>
  <c r="E2323" i="12"/>
  <c r="E2324" i="12"/>
  <c r="E2325" i="12"/>
  <c r="E2326" i="12"/>
  <c r="E2327" i="12"/>
  <c r="E2328" i="12"/>
  <c r="E2329" i="12"/>
  <c r="E2330" i="12"/>
  <c r="E2331" i="12"/>
  <c r="E2332" i="12"/>
  <c r="E2333" i="12"/>
  <c r="E2334" i="12"/>
  <c r="E2335" i="12"/>
  <c r="E2336" i="12"/>
  <c r="E2337" i="12"/>
  <c r="E2338" i="12"/>
  <c r="E2339" i="12"/>
  <c r="E2340" i="12"/>
  <c r="E2341" i="12"/>
  <c r="E2342" i="12"/>
  <c r="E2343" i="12"/>
  <c r="E2344" i="12"/>
  <c r="E2345" i="12"/>
  <c r="E2346" i="12"/>
  <c r="E2347" i="12"/>
  <c r="E2348" i="12"/>
  <c r="E2349" i="12"/>
  <c r="E2350" i="12"/>
  <c r="E2351" i="12"/>
  <c r="E2352" i="12"/>
  <c r="E2353" i="12"/>
  <c r="E2354" i="12"/>
  <c r="E2355" i="12"/>
  <c r="E2356" i="12"/>
  <c r="E2357" i="12"/>
  <c r="E2358" i="12"/>
  <c r="E2359" i="12"/>
  <c r="E2360" i="12"/>
  <c r="E2361" i="12"/>
  <c r="E2362" i="12"/>
  <c r="E2363" i="12"/>
  <c r="E2364" i="12"/>
  <c r="E2365" i="12"/>
  <c r="E2366" i="12"/>
  <c r="E2367" i="12"/>
  <c r="E2368" i="12"/>
  <c r="E2369" i="12"/>
  <c r="E2370" i="12"/>
  <c r="E2371" i="12"/>
  <c r="E2372" i="12"/>
  <c r="E2373" i="12"/>
  <c r="E2374" i="12"/>
  <c r="E2375" i="12"/>
  <c r="E2376" i="12"/>
  <c r="E2377" i="12"/>
  <c r="E2378" i="12"/>
  <c r="E2379" i="12"/>
  <c r="E2380" i="12"/>
  <c r="E2381" i="12"/>
  <c r="E2382" i="12"/>
  <c r="E2383" i="12"/>
  <c r="E2384" i="12"/>
  <c r="E2385" i="12"/>
  <c r="E2386" i="12"/>
  <c r="E2387" i="12"/>
  <c r="E2388" i="12"/>
  <c r="E2389" i="12"/>
  <c r="E2390" i="12"/>
  <c r="E2391" i="12"/>
  <c r="E2392" i="12"/>
  <c r="E2393" i="12"/>
  <c r="E2394" i="12"/>
  <c r="E2395" i="12"/>
  <c r="E2396" i="12"/>
  <c r="E2397" i="12"/>
  <c r="E2398" i="12"/>
  <c r="E2399" i="12"/>
  <c r="E2400" i="12"/>
  <c r="E2401" i="12"/>
  <c r="E2402" i="12"/>
  <c r="E2403" i="12"/>
  <c r="E2404" i="12"/>
  <c r="E2405" i="12"/>
  <c r="E2406" i="12"/>
  <c r="E2407" i="12"/>
  <c r="E2408" i="12"/>
  <c r="E2409" i="12"/>
  <c r="E2410" i="12"/>
  <c r="E2411" i="12"/>
  <c r="E2412" i="12"/>
  <c r="E2413" i="12"/>
  <c r="E2414" i="12"/>
  <c r="E2415" i="12"/>
  <c r="E2416" i="12"/>
  <c r="E2417" i="12"/>
  <c r="E2418" i="12"/>
  <c r="E2419" i="12"/>
  <c r="E2420" i="12"/>
  <c r="E2421" i="12"/>
  <c r="E2422" i="12"/>
  <c r="E2423" i="12"/>
  <c r="E2424" i="12"/>
  <c r="E2425" i="12"/>
  <c r="E2426" i="12"/>
  <c r="E2427" i="12"/>
  <c r="E2428" i="12"/>
  <c r="E2429" i="12"/>
  <c r="E2430" i="12"/>
  <c r="E2431" i="12"/>
  <c r="E2432" i="12"/>
  <c r="E2433" i="12"/>
  <c r="E2434" i="12"/>
  <c r="E2435" i="12"/>
  <c r="E2436" i="12"/>
  <c r="E2437" i="12"/>
  <c r="E2438" i="12"/>
  <c r="E2439" i="12"/>
  <c r="E2440" i="12"/>
  <c r="E2441" i="12"/>
  <c r="E2442" i="12"/>
  <c r="E2443" i="12"/>
  <c r="E2444" i="12"/>
  <c r="E2445" i="12"/>
  <c r="E2446" i="12"/>
  <c r="E2447" i="12"/>
  <c r="E2448" i="12"/>
  <c r="E2449" i="12"/>
  <c r="E2450" i="12"/>
  <c r="E2451" i="12"/>
  <c r="E2452" i="12"/>
  <c r="E2453" i="12"/>
  <c r="E2454" i="12"/>
  <c r="E2455" i="12"/>
  <c r="E2456" i="12"/>
  <c r="E2457" i="12"/>
  <c r="E2458" i="12"/>
  <c r="E2459" i="12"/>
  <c r="E2460" i="12"/>
  <c r="E2461" i="12"/>
  <c r="E2462" i="12"/>
  <c r="E2463" i="12"/>
  <c r="E2464" i="12"/>
  <c r="E2465" i="12"/>
  <c r="E2466" i="12"/>
  <c r="E2467" i="12"/>
  <c r="E2468" i="12"/>
  <c r="E2469" i="12"/>
  <c r="E2470" i="12"/>
  <c r="E2471" i="12"/>
  <c r="E2472" i="12"/>
  <c r="E2473" i="12"/>
  <c r="E2474" i="12"/>
  <c r="E2475" i="12"/>
  <c r="E2476" i="12"/>
  <c r="E2477" i="12"/>
  <c r="E2478" i="12"/>
  <c r="E2479" i="12"/>
  <c r="E2480" i="12"/>
  <c r="E2481" i="12"/>
  <c r="E2482" i="12"/>
  <c r="E2483" i="12"/>
  <c r="E2484" i="12"/>
  <c r="E2485" i="12"/>
  <c r="E2486" i="12"/>
  <c r="E2487" i="12"/>
  <c r="E2488" i="12"/>
  <c r="E2489" i="12"/>
  <c r="E2490" i="12"/>
  <c r="E2491" i="12"/>
  <c r="E2492" i="12"/>
  <c r="E2493" i="12"/>
  <c r="E2494" i="12"/>
  <c r="E2495" i="12"/>
  <c r="E2496" i="12"/>
  <c r="E2497" i="12"/>
  <c r="E2498" i="12"/>
  <c r="E2499" i="12"/>
  <c r="E2500" i="12"/>
  <c r="E2501" i="12"/>
  <c r="E2502" i="12"/>
  <c r="E2503" i="12"/>
  <c r="E2504" i="12"/>
  <c r="E2505" i="12"/>
  <c r="E2506" i="12"/>
  <c r="E2507" i="12"/>
  <c r="E2508" i="12"/>
  <c r="E2509" i="12"/>
  <c r="E2510" i="12"/>
  <c r="E2511" i="12"/>
  <c r="E2512" i="12"/>
  <c r="E2513" i="12"/>
  <c r="E2514" i="12"/>
  <c r="E2515" i="12"/>
  <c r="E2516" i="12"/>
  <c r="E2517" i="12"/>
  <c r="E2518" i="12"/>
  <c r="E2519" i="12"/>
  <c r="E2520" i="12"/>
  <c r="E2521" i="12"/>
  <c r="E2522" i="12"/>
  <c r="E2523" i="12"/>
  <c r="E2524" i="12"/>
  <c r="E2525" i="12"/>
  <c r="E2526" i="12"/>
  <c r="E2527" i="12"/>
  <c r="E2528" i="12"/>
  <c r="E2529" i="12"/>
  <c r="E2530" i="12"/>
  <c r="E2531" i="12"/>
  <c r="E2532" i="12"/>
  <c r="E2533" i="12"/>
  <c r="E2534" i="12"/>
  <c r="E2535" i="12"/>
  <c r="E2536" i="12"/>
  <c r="E2537" i="12"/>
  <c r="E2538" i="12"/>
  <c r="E2539" i="12"/>
  <c r="E2540" i="12"/>
  <c r="E2541" i="12"/>
  <c r="E2542" i="12"/>
  <c r="E2543" i="12"/>
  <c r="E2544" i="12"/>
  <c r="E2545" i="12"/>
  <c r="E2546" i="12"/>
  <c r="E2547" i="12"/>
  <c r="E2548" i="12"/>
  <c r="E2549" i="12"/>
  <c r="E2550" i="12"/>
  <c r="E2551" i="12"/>
  <c r="E2552" i="12"/>
  <c r="E2553" i="12"/>
  <c r="E2554" i="12"/>
  <c r="E2555" i="12"/>
  <c r="E2556" i="12"/>
  <c r="E2557" i="12"/>
  <c r="E2558" i="12"/>
  <c r="E2559" i="12"/>
  <c r="E2560" i="12"/>
  <c r="E2561" i="12"/>
  <c r="E2562" i="12"/>
  <c r="E2563" i="12"/>
  <c r="E2564" i="12"/>
  <c r="E2565" i="12"/>
  <c r="E2566" i="12"/>
  <c r="E2567" i="12"/>
  <c r="E2568" i="12"/>
  <c r="E2569" i="12"/>
  <c r="E2570" i="12"/>
  <c r="E2571" i="12"/>
  <c r="E2572" i="12"/>
  <c r="E2573" i="12"/>
  <c r="E2574" i="12"/>
  <c r="E2575" i="12"/>
  <c r="E2576" i="12"/>
  <c r="E2577" i="12"/>
  <c r="E2578" i="12"/>
  <c r="E2579" i="12"/>
  <c r="E2580" i="12"/>
  <c r="E2581" i="12"/>
  <c r="E2582" i="12"/>
  <c r="E2583" i="12"/>
  <c r="E2584" i="12"/>
  <c r="E2585" i="12"/>
  <c r="E2586" i="12"/>
  <c r="E2587" i="12"/>
  <c r="E2588" i="12"/>
  <c r="E2589" i="12"/>
  <c r="E2590" i="12"/>
  <c r="E2591" i="12"/>
  <c r="E2592" i="12"/>
  <c r="E2593" i="12"/>
  <c r="E2594" i="12"/>
  <c r="E2595" i="12"/>
  <c r="E2596" i="12"/>
  <c r="E2597" i="12"/>
  <c r="E2598" i="12"/>
  <c r="E2599" i="12"/>
  <c r="E2600" i="12"/>
  <c r="E2601" i="12"/>
  <c r="E2602" i="12"/>
  <c r="E2603" i="12"/>
  <c r="E2604" i="12"/>
  <c r="E2605" i="12"/>
  <c r="E2606" i="12"/>
  <c r="E2607" i="12"/>
  <c r="E2608" i="12"/>
  <c r="E2609" i="12"/>
  <c r="E2610" i="12"/>
  <c r="E2611" i="12"/>
  <c r="E2612" i="12"/>
  <c r="E2613" i="12"/>
  <c r="E2614" i="12"/>
  <c r="E2615" i="12"/>
  <c r="E2616" i="12"/>
  <c r="E2617" i="12"/>
  <c r="E2618" i="12"/>
  <c r="E2619" i="12"/>
  <c r="E2620" i="12"/>
  <c r="E2621" i="12"/>
  <c r="E2622" i="12"/>
  <c r="E2623" i="12"/>
  <c r="E2624" i="12"/>
  <c r="E2625" i="12"/>
  <c r="E2626" i="12"/>
  <c r="E2627" i="12"/>
  <c r="E2628" i="12"/>
  <c r="E2629" i="12"/>
  <c r="E2630" i="12"/>
  <c r="E2631" i="12"/>
  <c r="E2632" i="12"/>
  <c r="E2633" i="12"/>
  <c r="E2634" i="12"/>
  <c r="E2635" i="12"/>
  <c r="E2636" i="12"/>
  <c r="E2637" i="12"/>
  <c r="E2638" i="12"/>
  <c r="E2639" i="12"/>
  <c r="E2640" i="12"/>
  <c r="E2641" i="12"/>
  <c r="E2642" i="12"/>
  <c r="E2643" i="12"/>
  <c r="E2644" i="12"/>
  <c r="E2645" i="12"/>
  <c r="E2646" i="12"/>
  <c r="E2647" i="12"/>
  <c r="E2648" i="12"/>
  <c r="E2649" i="12"/>
  <c r="E2650" i="12"/>
  <c r="E2651" i="12"/>
  <c r="E2652" i="12"/>
  <c r="E2653" i="12"/>
  <c r="E2654" i="12"/>
  <c r="E2655" i="12"/>
  <c r="E2656" i="12"/>
  <c r="E2657" i="12"/>
  <c r="E2658" i="12"/>
  <c r="E2659" i="12"/>
  <c r="E2660" i="12"/>
  <c r="E2661" i="12"/>
  <c r="E2662" i="12"/>
  <c r="E2663" i="12"/>
  <c r="E2664" i="12"/>
  <c r="E2665" i="12"/>
  <c r="E2666" i="12"/>
  <c r="E2667" i="12"/>
  <c r="E2668" i="12"/>
  <c r="E2669" i="12"/>
  <c r="E2670" i="12"/>
  <c r="E2671" i="12"/>
  <c r="E2672" i="12"/>
  <c r="E2673" i="12"/>
  <c r="E2674" i="12"/>
  <c r="E2675" i="12"/>
  <c r="E2676" i="12"/>
  <c r="E2677" i="12"/>
  <c r="E2678" i="12"/>
  <c r="E2679" i="12"/>
  <c r="E2680" i="12"/>
  <c r="E2681" i="12"/>
  <c r="E2682" i="12"/>
  <c r="E2683" i="12"/>
  <c r="E2684" i="12"/>
  <c r="E2685" i="12"/>
  <c r="E2686" i="12"/>
  <c r="E2687" i="12"/>
  <c r="E2688" i="12"/>
  <c r="E2689" i="12"/>
  <c r="E2690" i="12"/>
  <c r="E2691" i="12"/>
  <c r="E2692" i="12"/>
  <c r="E2693" i="12"/>
  <c r="E2694" i="12"/>
  <c r="E2695" i="12"/>
  <c r="E2696" i="12"/>
  <c r="E2697" i="12"/>
  <c r="E2698" i="12"/>
  <c r="E2699" i="12"/>
  <c r="E2700" i="12"/>
  <c r="E2701" i="12"/>
  <c r="E2702" i="12"/>
  <c r="E2703" i="12"/>
  <c r="E2704" i="12"/>
  <c r="E2705" i="12"/>
  <c r="E2706" i="12"/>
  <c r="E2707" i="12"/>
  <c r="E2708" i="12"/>
  <c r="E2709" i="12"/>
  <c r="E2710" i="12"/>
  <c r="E2711" i="12"/>
  <c r="E2712" i="12"/>
  <c r="E2713" i="12"/>
  <c r="E2714" i="12"/>
  <c r="E2715" i="12"/>
  <c r="E2716" i="12"/>
  <c r="E2717" i="12"/>
  <c r="E2718" i="12"/>
  <c r="E2719" i="12"/>
  <c r="E2720" i="12"/>
  <c r="E2721" i="12"/>
  <c r="E2722" i="12"/>
  <c r="E2723" i="12"/>
  <c r="E2724" i="12"/>
  <c r="E2725" i="12"/>
  <c r="E2726" i="12"/>
  <c r="E2727" i="12"/>
  <c r="E2728" i="12"/>
  <c r="E2729" i="12"/>
  <c r="E2730" i="12"/>
  <c r="E2731" i="12"/>
  <c r="E2732" i="12"/>
  <c r="E2733" i="12"/>
  <c r="E2734" i="12"/>
  <c r="E2735" i="12"/>
  <c r="E2736" i="12"/>
  <c r="E2737" i="12"/>
  <c r="E2738" i="12"/>
  <c r="E2739" i="12"/>
  <c r="E2740" i="12"/>
  <c r="E2741" i="12"/>
  <c r="E2742" i="12"/>
  <c r="E2743" i="12"/>
  <c r="E2744" i="12"/>
  <c r="E2745" i="12"/>
  <c r="E2746" i="12"/>
  <c r="E2747" i="12"/>
  <c r="E2748" i="12"/>
  <c r="E2749" i="12"/>
  <c r="E2750" i="12"/>
  <c r="E2751" i="12"/>
  <c r="E2752" i="12"/>
  <c r="E2753" i="12"/>
  <c r="E2754" i="12"/>
  <c r="E2755" i="12"/>
  <c r="E2756" i="12"/>
  <c r="E2757" i="12"/>
  <c r="E2758" i="12"/>
  <c r="E2759" i="12"/>
  <c r="E2760" i="12"/>
  <c r="E2761" i="12"/>
  <c r="E2762" i="12"/>
  <c r="E2763" i="12"/>
  <c r="E2764" i="12"/>
  <c r="E2765" i="12"/>
  <c r="E2766" i="12"/>
  <c r="E2767" i="12"/>
  <c r="E2768" i="12"/>
  <c r="E2769" i="12"/>
  <c r="E2770" i="12"/>
  <c r="E2771" i="12"/>
  <c r="E2772" i="12"/>
  <c r="E2773" i="12"/>
  <c r="E2774" i="12"/>
  <c r="E2775" i="12"/>
  <c r="E2776" i="12"/>
  <c r="E2777" i="12"/>
  <c r="E2778" i="12"/>
  <c r="E2779" i="12"/>
  <c r="E2780" i="12"/>
  <c r="E2781" i="12"/>
  <c r="E2782" i="12"/>
  <c r="E2783" i="12"/>
  <c r="E2784" i="12"/>
  <c r="E2785" i="12"/>
  <c r="E2786" i="12"/>
  <c r="E2787" i="12"/>
  <c r="E2788" i="12"/>
  <c r="E2789" i="12"/>
  <c r="E2790" i="12"/>
  <c r="E2791" i="12"/>
  <c r="E2792" i="12"/>
  <c r="E2793" i="12"/>
  <c r="E2794" i="12"/>
  <c r="E2795" i="12"/>
  <c r="E2796" i="12"/>
  <c r="E2797" i="12"/>
  <c r="E2798" i="12"/>
  <c r="E2799" i="12"/>
  <c r="E2800" i="12"/>
  <c r="E2801" i="12"/>
  <c r="E2802" i="12"/>
  <c r="E2803" i="12"/>
  <c r="E2804" i="12"/>
  <c r="E2805" i="12"/>
  <c r="E2806" i="12"/>
  <c r="E2807" i="12"/>
  <c r="E2808" i="12"/>
  <c r="E2809" i="12"/>
  <c r="E2810" i="12"/>
  <c r="E2811" i="12"/>
  <c r="E2812" i="12"/>
  <c r="E2813" i="12"/>
  <c r="E2814" i="12"/>
  <c r="E2815" i="12"/>
  <c r="E2816" i="12"/>
  <c r="E2817" i="12"/>
  <c r="E2818" i="12"/>
  <c r="E2819" i="12"/>
  <c r="E2820" i="12"/>
  <c r="E2821" i="12"/>
  <c r="E2822" i="12"/>
  <c r="E2823" i="12"/>
  <c r="E2824" i="12"/>
  <c r="E2825" i="12"/>
  <c r="E2826" i="12"/>
  <c r="E2827" i="12"/>
  <c r="E2828" i="12"/>
  <c r="E2829" i="12"/>
  <c r="E2830" i="12"/>
  <c r="E2831" i="12"/>
  <c r="E2832" i="12"/>
  <c r="E2833" i="12"/>
  <c r="E2834" i="12"/>
  <c r="E2835" i="12"/>
  <c r="E2836" i="12"/>
  <c r="E2837" i="12"/>
  <c r="E2838" i="12"/>
  <c r="E2839" i="12"/>
  <c r="E2840" i="12"/>
  <c r="E2841" i="12"/>
  <c r="E2842" i="12"/>
  <c r="E2843" i="12"/>
  <c r="E2844" i="12"/>
  <c r="E2845" i="12"/>
  <c r="E2846" i="12"/>
  <c r="E2847" i="12"/>
  <c r="E2848" i="12"/>
  <c r="E2849" i="12"/>
  <c r="E2850" i="12"/>
  <c r="E2851" i="12"/>
  <c r="E2852" i="12"/>
  <c r="E2853" i="12"/>
  <c r="E2854" i="12"/>
  <c r="E2855" i="12"/>
  <c r="E2856" i="12"/>
  <c r="E2857" i="12"/>
  <c r="E2858" i="12"/>
  <c r="E2859" i="12"/>
  <c r="E2860" i="12"/>
  <c r="E2861" i="12"/>
  <c r="E2862" i="12"/>
  <c r="E2863" i="12"/>
  <c r="E2864" i="12"/>
  <c r="E2865" i="12"/>
  <c r="E2866" i="12"/>
  <c r="E2867" i="12"/>
  <c r="E2868" i="12"/>
  <c r="E2869" i="12"/>
  <c r="E2870" i="12"/>
  <c r="E2871" i="12"/>
  <c r="E2872" i="12"/>
  <c r="E2873" i="12"/>
  <c r="E2874" i="12"/>
  <c r="E2875" i="12"/>
  <c r="E2876" i="12"/>
  <c r="E2877" i="12"/>
  <c r="E2878" i="12"/>
  <c r="E2879" i="12"/>
  <c r="E2880" i="12"/>
  <c r="E2881" i="12"/>
  <c r="E2882" i="12"/>
  <c r="E2883" i="12"/>
  <c r="E2884" i="12"/>
  <c r="E2885" i="12"/>
  <c r="E2886" i="12"/>
  <c r="E2887" i="12"/>
  <c r="E2888" i="12"/>
  <c r="E2889" i="12"/>
  <c r="E2890" i="12"/>
  <c r="E2891" i="12"/>
  <c r="E2892" i="12"/>
  <c r="E2893" i="12"/>
  <c r="E2894" i="12"/>
  <c r="E2895" i="12"/>
  <c r="E2896" i="12"/>
  <c r="E2897" i="12"/>
  <c r="E2898" i="12"/>
  <c r="E2899" i="12"/>
  <c r="E2900" i="12"/>
  <c r="E2901" i="12"/>
  <c r="E2902" i="12"/>
  <c r="E2903" i="12"/>
  <c r="E2904" i="12"/>
  <c r="E2905" i="12"/>
  <c r="E2906" i="12"/>
  <c r="E2907" i="12"/>
  <c r="E2908" i="12"/>
  <c r="E2909" i="12"/>
  <c r="E2910" i="12"/>
  <c r="E2911" i="12"/>
  <c r="E2912" i="12"/>
  <c r="E2913" i="12"/>
  <c r="E2914" i="12"/>
  <c r="E2915" i="12"/>
  <c r="E2916" i="12"/>
  <c r="E2917" i="12"/>
  <c r="E2918" i="12"/>
  <c r="E2919" i="12"/>
  <c r="E2920" i="12"/>
  <c r="E2921" i="12"/>
  <c r="E2922" i="12"/>
  <c r="E2923" i="12"/>
  <c r="E2924" i="12"/>
  <c r="E2925" i="12"/>
  <c r="E2926" i="12"/>
  <c r="E2927" i="12"/>
  <c r="E2928" i="12"/>
  <c r="E2929" i="12"/>
  <c r="E2930" i="12"/>
  <c r="E2931" i="12"/>
  <c r="E2932" i="12"/>
  <c r="E2933" i="12"/>
  <c r="E2934" i="12"/>
  <c r="E2935" i="12"/>
  <c r="E2936" i="12"/>
  <c r="E2937" i="12"/>
  <c r="E2938" i="12"/>
  <c r="E2939" i="12"/>
  <c r="E2940" i="12"/>
  <c r="E2941" i="12"/>
  <c r="E2942" i="12"/>
  <c r="E2943" i="12"/>
  <c r="E2944" i="12"/>
  <c r="E2945" i="12"/>
  <c r="E2946" i="12"/>
  <c r="E2947" i="12"/>
  <c r="E2948" i="12"/>
  <c r="E2949" i="12"/>
  <c r="E2950" i="12"/>
  <c r="E2951" i="12"/>
  <c r="E2952" i="12"/>
  <c r="E2953" i="12"/>
  <c r="E2954" i="12"/>
  <c r="E2955" i="12"/>
  <c r="E2956" i="12"/>
  <c r="E2957" i="12"/>
  <c r="E2958" i="12"/>
  <c r="E2959" i="12"/>
  <c r="E2960" i="12"/>
  <c r="E2961" i="12"/>
  <c r="E2962" i="12"/>
  <c r="E2963" i="12"/>
  <c r="E2964" i="12"/>
  <c r="E2965" i="12"/>
  <c r="E2966" i="12"/>
  <c r="E2967" i="12"/>
  <c r="E2968" i="12"/>
  <c r="E2969" i="12"/>
  <c r="E2970" i="12"/>
  <c r="E2971" i="12"/>
  <c r="E2972" i="12"/>
  <c r="E2973" i="12"/>
  <c r="E2974" i="12"/>
  <c r="E2975" i="12"/>
  <c r="E2976" i="12"/>
  <c r="E2977" i="12"/>
  <c r="E2978" i="12"/>
  <c r="E2979" i="12"/>
  <c r="E2980" i="12"/>
  <c r="E2981" i="12"/>
  <c r="E2982" i="12"/>
  <c r="E2983" i="12"/>
  <c r="E2984" i="12"/>
  <c r="E2985" i="12"/>
  <c r="E2986" i="12"/>
  <c r="E2987" i="12"/>
  <c r="E2988" i="12"/>
  <c r="E2989" i="12"/>
  <c r="E2990" i="12"/>
  <c r="E2991" i="12"/>
  <c r="E2992" i="12"/>
  <c r="E2993" i="12"/>
  <c r="E2994" i="12"/>
  <c r="E2995" i="12"/>
  <c r="E2996" i="12"/>
  <c r="E2997" i="12"/>
  <c r="E2998" i="12"/>
  <c r="E2999" i="12"/>
  <c r="E3000" i="12"/>
  <c r="E3001" i="12"/>
  <c r="E3002" i="12"/>
  <c r="E3003" i="12"/>
  <c r="E3004" i="12"/>
  <c r="E3005" i="12"/>
  <c r="E3006" i="12"/>
  <c r="E3007" i="12"/>
  <c r="E3008" i="12"/>
  <c r="E3009" i="12"/>
  <c r="E3010" i="12"/>
  <c r="E3011" i="12"/>
  <c r="E3012" i="12"/>
  <c r="E3013" i="12"/>
  <c r="E3014" i="12"/>
  <c r="E3015" i="12"/>
  <c r="E3016" i="12"/>
  <c r="E3017" i="12"/>
  <c r="E3018" i="12"/>
  <c r="E3019" i="12"/>
  <c r="E3020" i="12"/>
  <c r="E3021" i="12"/>
  <c r="E3022" i="12"/>
  <c r="E3023" i="12"/>
  <c r="E3024" i="12"/>
  <c r="E3025" i="12"/>
  <c r="E3026" i="12"/>
  <c r="E3027" i="12"/>
  <c r="E3028" i="12"/>
  <c r="E3029" i="12"/>
  <c r="E3030" i="12"/>
  <c r="E3031" i="12"/>
  <c r="E3032" i="12"/>
  <c r="E3033" i="12"/>
  <c r="E3034" i="12"/>
  <c r="E3035" i="12"/>
  <c r="E3036" i="12"/>
  <c r="E3037" i="12"/>
  <c r="E3038" i="12"/>
  <c r="E3039" i="12"/>
  <c r="E3040" i="12"/>
  <c r="E3041" i="12"/>
  <c r="E3042" i="12"/>
  <c r="E3043" i="12"/>
  <c r="E3044" i="12"/>
  <c r="E3045" i="12"/>
  <c r="E3046" i="12"/>
  <c r="E3047" i="12"/>
  <c r="E3048" i="12"/>
  <c r="E3049" i="12"/>
  <c r="E3050" i="12"/>
  <c r="E3051" i="12"/>
  <c r="E3052" i="12"/>
  <c r="E3053" i="12"/>
  <c r="E3054" i="12"/>
  <c r="E3055" i="12"/>
  <c r="E3056" i="12"/>
  <c r="E3057" i="12"/>
  <c r="E3058" i="12"/>
  <c r="E3059" i="12"/>
  <c r="E3060" i="12"/>
  <c r="E3061" i="12"/>
  <c r="E3062" i="12"/>
  <c r="E3063" i="12"/>
  <c r="E3064" i="12"/>
  <c r="E3065" i="12"/>
  <c r="E3066" i="12"/>
  <c r="E3067" i="12"/>
  <c r="E3068" i="12"/>
  <c r="E3069" i="12"/>
  <c r="E3070" i="12"/>
  <c r="E3071" i="12"/>
  <c r="E3072" i="12"/>
  <c r="E3073" i="12"/>
  <c r="E3074" i="12"/>
  <c r="E3075" i="12"/>
  <c r="E3076" i="12"/>
  <c r="E3077" i="12"/>
  <c r="E3078" i="12"/>
  <c r="E3079" i="12"/>
  <c r="E3080" i="12"/>
  <c r="E3081" i="12"/>
  <c r="E3082" i="12"/>
  <c r="E3083" i="12"/>
  <c r="E3084" i="12"/>
  <c r="E3085" i="12"/>
  <c r="E3086" i="12"/>
  <c r="E3087" i="12"/>
  <c r="E3088" i="12"/>
  <c r="E3089" i="12"/>
  <c r="E3090" i="12"/>
  <c r="E3091" i="12"/>
  <c r="E3092" i="12"/>
  <c r="E3093" i="12"/>
  <c r="E3094" i="12"/>
  <c r="E3095" i="12"/>
  <c r="E3096" i="12"/>
  <c r="E3097" i="12"/>
  <c r="E3098" i="12"/>
  <c r="E3099" i="12"/>
  <c r="E3100" i="12"/>
  <c r="E3101" i="12"/>
  <c r="E3102" i="12"/>
  <c r="E3103" i="12"/>
  <c r="E3104" i="12"/>
  <c r="E3105" i="12"/>
  <c r="E3106" i="12"/>
  <c r="E3107" i="12"/>
  <c r="E3108" i="12"/>
  <c r="E3109" i="12"/>
  <c r="E3110" i="12"/>
  <c r="E3111" i="12"/>
  <c r="E3112" i="12"/>
  <c r="E3113" i="12"/>
  <c r="E3114" i="12"/>
  <c r="E3115" i="12"/>
  <c r="E3116" i="12"/>
  <c r="E3117" i="12"/>
  <c r="E3118" i="12"/>
  <c r="E3119" i="12"/>
  <c r="E3120" i="12"/>
  <c r="E3121" i="12"/>
  <c r="E3122" i="12"/>
  <c r="E3123" i="12"/>
  <c r="E3124" i="12"/>
  <c r="E3125" i="12"/>
  <c r="E3126" i="12"/>
  <c r="E3127" i="12"/>
  <c r="E3128" i="12"/>
  <c r="E3129" i="12"/>
  <c r="E3130" i="12"/>
  <c r="E3131" i="12"/>
  <c r="E3132" i="12"/>
  <c r="E3133" i="12"/>
  <c r="E3134" i="12"/>
  <c r="E3135" i="12"/>
  <c r="E3136" i="12"/>
  <c r="E3137" i="12"/>
  <c r="E3138" i="12"/>
  <c r="E3139" i="12"/>
  <c r="E3140" i="12"/>
  <c r="E3141" i="12"/>
  <c r="E3142" i="12"/>
  <c r="E3143" i="12"/>
  <c r="E3144" i="12"/>
  <c r="E3145" i="12"/>
  <c r="E3146" i="12"/>
  <c r="E3147" i="12"/>
  <c r="E3148" i="12"/>
  <c r="E3149" i="12"/>
  <c r="E3150" i="12"/>
  <c r="E3151" i="12"/>
  <c r="E3152" i="12"/>
  <c r="E3153" i="12"/>
  <c r="E3154" i="12"/>
  <c r="E3155" i="12"/>
  <c r="E3156" i="12"/>
  <c r="E3157" i="12"/>
  <c r="E3158" i="12"/>
  <c r="E3159" i="12"/>
  <c r="E3160" i="12"/>
  <c r="E3161" i="12"/>
  <c r="E3162" i="12"/>
  <c r="E3163" i="12"/>
  <c r="E3164" i="12"/>
  <c r="E3165" i="12"/>
  <c r="E3166" i="12"/>
  <c r="E3167" i="12"/>
  <c r="E3168" i="12"/>
  <c r="E3169" i="12"/>
  <c r="E3170" i="12"/>
  <c r="E3171" i="12"/>
  <c r="E3172" i="12"/>
  <c r="E3173" i="12"/>
  <c r="E3174" i="12"/>
  <c r="E3175" i="12"/>
  <c r="E3176" i="12"/>
  <c r="E3177" i="12"/>
  <c r="E3178" i="12"/>
  <c r="E3179" i="12"/>
  <c r="E3180" i="12"/>
  <c r="E3181" i="12"/>
  <c r="E3182" i="12"/>
  <c r="E3183" i="12"/>
  <c r="E3184" i="12"/>
  <c r="E3185" i="12"/>
  <c r="E3186" i="12"/>
  <c r="E3187" i="12"/>
  <c r="E3188" i="12"/>
  <c r="E3189" i="12"/>
  <c r="E3190" i="12"/>
  <c r="E3191" i="12"/>
  <c r="E3192" i="12"/>
  <c r="E3193" i="12"/>
  <c r="E3194" i="12"/>
  <c r="E3195" i="12"/>
  <c r="E3196" i="12"/>
  <c r="E3197" i="12"/>
  <c r="E3198" i="12"/>
  <c r="E3199" i="12"/>
  <c r="E3200" i="12"/>
  <c r="E3201" i="12"/>
  <c r="E3202" i="12"/>
  <c r="E3203" i="12"/>
  <c r="E3204" i="12"/>
  <c r="E3205" i="12"/>
  <c r="E3206" i="12"/>
  <c r="E3207" i="12"/>
  <c r="E3208" i="12"/>
  <c r="E3209" i="12"/>
  <c r="E3210" i="12"/>
  <c r="E3211" i="12"/>
  <c r="E3212" i="12"/>
  <c r="E3213" i="12"/>
  <c r="E3214" i="12"/>
  <c r="E3215" i="12"/>
  <c r="E3216" i="12"/>
  <c r="E3217" i="12"/>
  <c r="E3218" i="12"/>
  <c r="E3219" i="12"/>
  <c r="E3220" i="12"/>
  <c r="E3221" i="12"/>
  <c r="E3222" i="12"/>
  <c r="E3223" i="12"/>
  <c r="E3224" i="12"/>
  <c r="E3225" i="12"/>
  <c r="E3226" i="12"/>
  <c r="E3227" i="12"/>
  <c r="E3228" i="12"/>
  <c r="E3229" i="12"/>
  <c r="E3230" i="12"/>
  <c r="E3231" i="12"/>
  <c r="E3232" i="12"/>
  <c r="E3233" i="12"/>
  <c r="E3234" i="12"/>
  <c r="E3235" i="12"/>
  <c r="E3236" i="12"/>
  <c r="E3237" i="12"/>
  <c r="E3238" i="12"/>
  <c r="E3239" i="12"/>
  <c r="E3240" i="12"/>
  <c r="E3241" i="12"/>
  <c r="E3242" i="12"/>
  <c r="E3243" i="12"/>
  <c r="E3244" i="12"/>
  <c r="E3245" i="12"/>
  <c r="E3246" i="12"/>
  <c r="E3247" i="12"/>
  <c r="E3248" i="12"/>
  <c r="E3249" i="12"/>
  <c r="E3250" i="12"/>
  <c r="E3251" i="12"/>
  <c r="E3252" i="12"/>
  <c r="E3253" i="12"/>
  <c r="E3254" i="12"/>
  <c r="E3255" i="12"/>
  <c r="E3256" i="12"/>
  <c r="E3257" i="12"/>
  <c r="E3258" i="12"/>
  <c r="E3259" i="12"/>
  <c r="E3260" i="12"/>
  <c r="E3261" i="12"/>
  <c r="E3262" i="12"/>
  <c r="E3263" i="12"/>
  <c r="E3264" i="12"/>
  <c r="E3265" i="12"/>
  <c r="E3266" i="12"/>
  <c r="E3267" i="12"/>
  <c r="E3268" i="12"/>
  <c r="E3269" i="12"/>
  <c r="E3270" i="12"/>
  <c r="E3271" i="12"/>
  <c r="E3272" i="12"/>
  <c r="E3273" i="12"/>
  <c r="E3274" i="12"/>
  <c r="E3275" i="12"/>
  <c r="E3276" i="12"/>
  <c r="E3277" i="12"/>
  <c r="E3278" i="12"/>
  <c r="E3279" i="12"/>
  <c r="E3280" i="12"/>
  <c r="E3281" i="12"/>
  <c r="E3282" i="12"/>
  <c r="E3283" i="12"/>
  <c r="E3284" i="12"/>
  <c r="E3285" i="12"/>
  <c r="E3286" i="12"/>
  <c r="E3287" i="12"/>
  <c r="E3288" i="12"/>
  <c r="E3289" i="12"/>
  <c r="E3290" i="12"/>
  <c r="E3291" i="12"/>
  <c r="E3292" i="12"/>
  <c r="E3293" i="12"/>
  <c r="E3294" i="12"/>
  <c r="E3295" i="12"/>
  <c r="E3296" i="12"/>
  <c r="E3297" i="12"/>
  <c r="E3298" i="12"/>
  <c r="E3299" i="12"/>
  <c r="E3300" i="12"/>
  <c r="E3301" i="12"/>
  <c r="E3302" i="12"/>
  <c r="E3303" i="12"/>
  <c r="E3304" i="12"/>
  <c r="E3305" i="12"/>
  <c r="E3306" i="12"/>
  <c r="E3307" i="12"/>
  <c r="E3308" i="12"/>
  <c r="E3309" i="12"/>
  <c r="E3310" i="12"/>
  <c r="E3311" i="12"/>
  <c r="E3312" i="12"/>
  <c r="E3313" i="12"/>
  <c r="E3314" i="12"/>
  <c r="E3315" i="12"/>
  <c r="E3316" i="12"/>
  <c r="E3317" i="12"/>
  <c r="E3318" i="12"/>
  <c r="E3319" i="12"/>
  <c r="E3320" i="12"/>
  <c r="E3321" i="12"/>
  <c r="E3322" i="12"/>
  <c r="E3323" i="12"/>
  <c r="E3324" i="12"/>
  <c r="E3325" i="12"/>
  <c r="E3326" i="12"/>
  <c r="E3327" i="12"/>
  <c r="E3328" i="12"/>
  <c r="E3329" i="12"/>
  <c r="E3330" i="12"/>
  <c r="E3331" i="12"/>
  <c r="E3332" i="12"/>
  <c r="E3333" i="12"/>
  <c r="E3334" i="12"/>
  <c r="E3335" i="12"/>
  <c r="E3336" i="12"/>
  <c r="E3337" i="12"/>
  <c r="E3338" i="12"/>
  <c r="E3339" i="12"/>
  <c r="E3340" i="12"/>
  <c r="E3341" i="12"/>
  <c r="E3342" i="12"/>
  <c r="E3343" i="12"/>
  <c r="E3344" i="12"/>
  <c r="E3345" i="12"/>
  <c r="E3346" i="12"/>
  <c r="E3347" i="12"/>
  <c r="E3348" i="12"/>
  <c r="E3349" i="12"/>
  <c r="E3350" i="12"/>
  <c r="E3351" i="12"/>
  <c r="E3352" i="12"/>
  <c r="E3353" i="12"/>
  <c r="E3354" i="12"/>
  <c r="E3355" i="12"/>
  <c r="E3356" i="12"/>
  <c r="E3357" i="12"/>
  <c r="E3358" i="12"/>
  <c r="E3359" i="12"/>
  <c r="E3360" i="12"/>
  <c r="E3361" i="12"/>
  <c r="E3362" i="12"/>
  <c r="E3363" i="12"/>
  <c r="E3364" i="12"/>
  <c r="E3365" i="12"/>
  <c r="E3366" i="12"/>
  <c r="E3367" i="12"/>
  <c r="E3368" i="12"/>
  <c r="E3369" i="12"/>
  <c r="E3370" i="12"/>
  <c r="E3371" i="12"/>
  <c r="E3372" i="12"/>
  <c r="E3373" i="12"/>
  <c r="E3374" i="12"/>
  <c r="E3375" i="12"/>
  <c r="E3376" i="12"/>
  <c r="E3377" i="12"/>
  <c r="E3378" i="12"/>
  <c r="E3379" i="12"/>
  <c r="E3380" i="12"/>
  <c r="E3381" i="12"/>
  <c r="E3382" i="12"/>
  <c r="E3383" i="12"/>
  <c r="E3384" i="12"/>
  <c r="E3385" i="12"/>
  <c r="E3386" i="12"/>
  <c r="E3387" i="12"/>
  <c r="E3388" i="12"/>
  <c r="E3389" i="12"/>
  <c r="E3390" i="12"/>
  <c r="E3391" i="12"/>
  <c r="E3392" i="12"/>
  <c r="E3393" i="12"/>
  <c r="E3394" i="12"/>
  <c r="E3395" i="12"/>
  <c r="E3396" i="12"/>
  <c r="E3397" i="12"/>
  <c r="E3398" i="12"/>
  <c r="E3399" i="12"/>
  <c r="E3400" i="12"/>
  <c r="E3401" i="12"/>
  <c r="E3402" i="12"/>
  <c r="E3403" i="12"/>
  <c r="E3404" i="12"/>
  <c r="E3405" i="12"/>
  <c r="E3406" i="12"/>
  <c r="E3407" i="12"/>
  <c r="E3408" i="12"/>
  <c r="E3409" i="12"/>
  <c r="E3410" i="12"/>
  <c r="E3411" i="12"/>
  <c r="E3412" i="12"/>
  <c r="E3413" i="12"/>
  <c r="E3414" i="12"/>
  <c r="E3415" i="12"/>
  <c r="E3416" i="12"/>
  <c r="E3417" i="12"/>
  <c r="E3418" i="12"/>
  <c r="E3419" i="12"/>
  <c r="E3420" i="12"/>
  <c r="E3421" i="12"/>
  <c r="E3422" i="12"/>
  <c r="E3423" i="12"/>
  <c r="E3424" i="12"/>
  <c r="E3425" i="12"/>
  <c r="E3426" i="12"/>
  <c r="E3427" i="12"/>
  <c r="E3428" i="12"/>
  <c r="E3429" i="12"/>
  <c r="E3430" i="12"/>
  <c r="E3431" i="12"/>
  <c r="E3432" i="12"/>
  <c r="E3433" i="12"/>
  <c r="E3434" i="12"/>
  <c r="E3435" i="12"/>
  <c r="E3436" i="12"/>
  <c r="E3437" i="12"/>
  <c r="E3438" i="12"/>
  <c r="E3439" i="12"/>
  <c r="E3440" i="12"/>
  <c r="E3441" i="12"/>
  <c r="E3442" i="12"/>
  <c r="E3443" i="12"/>
  <c r="E3444" i="12"/>
  <c r="E3445" i="12"/>
  <c r="E3446" i="12"/>
  <c r="E3447" i="12"/>
  <c r="E3448" i="12"/>
  <c r="E3449" i="12"/>
  <c r="E3450" i="12"/>
  <c r="E3451" i="12"/>
  <c r="E3452" i="12"/>
  <c r="E3453" i="12"/>
  <c r="E3454" i="12"/>
  <c r="E3455" i="12"/>
  <c r="E3456" i="12"/>
  <c r="E3457" i="12"/>
  <c r="E3458" i="12"/>
  <c r="E3459" i="12"/>
  <c r="E3460" i="12"/>
  <c r="E3461" i="12"/>
  <c r="E3462" i="12"/>
  <c r="E3463" i="12"/>
  <c r="E3464" i="12"/>
  <c r="E3465" i="12"/>
  <c r="E3466" i="12"/>
  <c r="E3467" i="12"/>
  <c r="E3468" i="12"/>
  <c r="E3469" i="12"/>
  <c r="E3470" i="12"/>
  <c r="E3471" i="12"/>
  <c r="E3472" i="12"/>
  <c r="E3473" i="12"/>
  <c r="E3474" i="12"/>
  <c r="E3475" i="12"/>
  <c r="E3476" i="12"/>
  <c r="E3477" i="12"/>
  <c r="E3478" i="12"/>
  <c r="E3479" i="12"/>
  <c r="E3480" i="12"/>
  <c r="E3481" i="12"/>
  <c r="E3482" i="12"/>
  <c r="E3483" i="12"/>
  <c r="E3484" i="12"/>
  <c r="E3485" i="12"/>
  <c r="E3486" i="12"/>
  <c r="E3487" i="12"/>
  <c r="E3488" i="12"/>
  <c r="E3489" i="12"/>
  <c r="E3490" i="12"/>
  <c r="E3491" i="12"/>
  <c r="E3492" i="12"/>
  <c r="E3493" i="12"/>
  <c r="E3494" i="12"/>
  <c r="E3495" i="12"/>
  <c r="E3496" i="12"/>
  <c r="E3497" i="12"/>
  <c r="E3498" i="12"/>
  <c r="E3499" i="12"/>
  <c r="E3500" i="12"/>
  <c r="E3501" i="12"/>
  <c r="E3502" i="12"/>
  <c r="E3503" i="12"/>
  <c r="E3504" i="12"/>
  <c r="E3505" i="12"/>
  <c r="E3506" i="12"/>
  <c r="E3507" i="12"/>
  <c r="E3508" i="12"/>
  <c r="E3509" i="12"/>
  <c r="E3510" i="12"/>
  <c r="E3511" i="12"/>
  <c r="E3512" i="12"/>
  <c r="E3513" i="12"/>
  <c r="E3514" i="12"/>
  <c r="E3515" i="12"/>
  <c r="E3516" i="12"/>
  <c r="E3517" i="12"/>
  <c r="E3518" i="12"/>
  <c r="E3519" i="12"/>
  <c r="E3520" i="12"/>
  <c r="E3521" i="12"/>
  <c r="E3522" i="12"/>
  <c r="E3523" i="12"/>
  <c r="E3524" i="12"/>
  <c r="E3525" i="12"/>
  <c r="E3526" i="12"/>
  <c r="E3527" i="12"/>
  <c r="E3528" i="12"/>
  <c r="E3529" i="12"/>
  <c r="E3530" i="12"/>
  <c r="E3531" i="12"/>
  <c r="E3532" i="12"/>
  <c r="E3533" i="12"/>
  <c r="E3534" i="12"/>
  <c r="E3535" i="12"/>
  <c r="E3536" i="12"/>
  <c r="E3537" i="12"/>
  <c r="E3538" i="12"/>
  <c r="E3539" i="12"/>
  <c r="E3540" i="12"/>
  <c r="E3541" i="12"/>
  <c r="E3542" i="12"/>
  <c r="E3543" i="12"/>
  <c r="E3544" i="12"/>
  <c r="E3545" i="12"/>
  <c r="E3546" i="12"/>
  <c r="E3547" i="12"/>
  <c r="E3548" i="12"/>
  <c r="E3549" i="12"/>
  <c r="E3550" i="12"/>
  <c r="E3551" i="12"/>
  <c r="E3552" i="12"/>
  <c r="E3553" i="12"/>
  <c r="E3554" i="12"/>
  <c r="E3555" i="12"/>
  <c r="E3556" i="12"/>
  <c r="E3557" i="12"/>
  <c r="E3558" i="12"/>
  <c r="E3559" i="12"/>
  <c r="E3560" i="12"/>
  <c r="E3561" i="12"/>
  <c r="E3562" i="12"/>
  <c r="E3563" i="12"/>
  <c r="E3564" i="12"/>
  <c r="E3565" i="12"/>
  <c r="E3566" i="12"/>
  <c r="E3567" i="12"/>
  <c r="E3568" i="12"/>
  <c r="E3569" i="12"/>
  <c r="E3570" i="12"/>
  <c r="E3571" i="12"/>
  <c r="E3572" i="12"/>
  <c r="E3573" i="12"/>
  <c r="E3574" i="12"/>
  <c r="E3575" i="12"/>
  <c r="E3576" i="12"/>
  <c r="E3577" i="12"/>
  <c r="E3578" i="12"/>
  <c r="E3579" i="12"/>
  <c r="E3580" i="12"/>
  <c r="E3581" i="12"/>
  <c r="E3582" i="12"/>
  <c r="E3583" i="12"/>
  <c r="E3584" i="12"/>
  <c r="E3585" i="12"/>
  <c r="E3586" i="12"/>
  <c r="E3587" i="12"/>
  <c r="E3588" i="12"/>
  <c r="E3589" i="12"/>
  <c r="E3590" i="12"/>
  <c r="E3591" i="12"/>
  <c r="E3592" i="12"/>
  <c r="E3593" i="12"/>
  <c r="E3594" i="12"/>
  <c r="E3595" i="12"/>
  <c r="E3596" i="12"/>
  <c r="E3597" i="12"/>
  <c r="E3598" i="12"/>
  <c r="E3599" i="12"/>
  <c r="E3600" i="12"/>
  <c r="E3601" i="12"/>
  <c r="E3602" i="12"/>
  <c r="E3603" i="12"/>
  <c r="E3604" i="12"/>
  <c r="E3605" i="12"/>
  <c r="E3606" i="12"/>
  <c r="E3607" i="12"/>
  <c r="E3608" i="12"/>
  <c r="E3609" i="12"/>
  <c r="E3610" i="12"/>
  <c r="E3611" i="12"/>
  <c r="E3612" i="12"/>
  <c r="E3613" i="12"/>
  <c r="E3614" i="12"/>
  <c r="E3615" i="12"/>
  <c r="E3616" i="12"/>
  <c r="E3617" i="12"/>
  <c r="E3618" i="12"/>
  <c r="E3619" i="12"/>
  <c r="E3620" i="12"/>
  <c r="E3621" i="12"/>
  <c r="E3622" i="12"/>
  <c r="E3623" i="12"/>
  <c r="E3624" i="12"/>
  <c r="E3625" i="12"/>
  <c r="E3626" i="12"/>
  <c r="E3627" i="12"/>
  <c r="E3628" i="12"/>
  <c r="E3629" i="12"/>
  <c r="E3630" i="12"/>
  <c r="E3631" i="12"/>
  <c r="E3632" i="12"/>
  <c r="E3633" i="12"/>
  <c r="E3634" i="12"/>
  <c r="E3635" i="12"/>
  <c r="E3636" i="12"/>
  <c r="E3637" i="12"/>
  <c r="E3638" i="12"/>
  <c r="E3639" i="12"/>
  <c r="E3640" i="12"/>
  <c r="E3641" i="12"/>
  <c r="E3642" i="12"/>
  <c r="E3643" i="12"/>
  <c r="E3644" i="12"/>
  <c r="E3645" i="12"/>
  <c r="E3646" i="12"/>
  <c r="E3647" i="12"/>
  <c r="E3648" i="12"/>
  <c r="E3649" i="12"/>
  <c r="E3650" i="12"/>
  <c r="E3651" i="12"/>
  <c r="E3652" i="12"/>
  <c r="E3653" i="12"/>
  <c r="E3654" i="12"/>
  <c r="E3655" i="12"/>
  <c r="E3656" i="12"/>
  <c r="E3657" i="12"/>
  <c r="E3658" i="12"/>
  <c r="E3659" i="12"/>
  <c r="E3660" i="12"/>
  <c r="E3661" i="12"/>
  <c r="E3662" i="12"/>
  <c r="E3663" i="12"/>
  <c r="E3664" i="12"/>
  <c r="E3665" i="12"/>
  <c r="E3666" i="12"/>
  <c r="E3667" i="12"/>
  <c r="E3668" i="12"/>
  <c r="E3669" i="12"/>
  <c r="E3670" i="12"/>
  <c r="E3671" i="12"/>
  <c r="E3672" i="12"/>
  <c r="E3673" i="12"/>
  <c r="E3674" i="12"/>
  <c r="E3675" i="12"/>
  <c r="E3676" i="12"/>
  <c r="E3677" i="12"/>
  <c r="E3678" i="12"/>
  <c r="E3679" i="12"/>
  <c r="E3680" i="12"/>
  <c r="E3681" i="12"/>
  <c r="E3682" i="12"/>
  <c r="E3683" i="12"/>
  <c r="E3684" i="12"/>
  <c r="E3685" i="12"/>
  <c r="E3686" i="12"/>
  <c r="E3687" i="12"/>
  <c r="E3688" i="12"/>
  <c r="E3689" i="12"/>
  <c r="E3690" i="12"/>
  <c r="E3691" i="12"/>
  <c r="E3692" i="12"/>
  <c r="E3693" i="12"/>
  <c r="E3694" i="12"/>
  <c r="E3695" i="12"/>
  <c r="E3696" i="12"/>
  <c r="E3697" i="12"/>
  <c r="E3698" i="12"/>
  <c r="E3699" i="12"/>
  <c r="E3700" i="12"/>
  <c r="E3701" i="12"/>
  <c r="E3702" i="12"/>
  <c r="E3703" i="12"/>
  <c r="E3704" i="12"/>
  <c r="E3705" i="12"/>
  <c r="E3706" i="12"/>
  <c r="E3707" i="12"/>
  <c r="E3708" i="12"/>
  <c r="E3709" i="12"/>
  <c r="E3710" i="12"/>
  <c r="E3711" i="12"/>
  <c r="E3712" i="12"/>
  <c r="E3713" i="12"/>
  <c r="E3714" i="12"/>
  <c r="E3715" i="12"/>
  <c r="E3716" i="12"/>
  <c r="E3717" i="12"/>
  <c r="E3718" i="12"/>
  <c r="E3719" i="12"/>
  <c r="E3720" i="12"/>
  <c r="E3721" i="12"/>
  <c r="E3722" i="12"/>
  <c r="E3723" i="12"/>
  <c r="E3724" i="12"/>
  <c r="E3725" i="12"/>
  <c r="E3726" i="12"/>
  <c r="E3727" i="12"/>
  <c r="E3728" i="12"/>
  <c r="E3729" i="12"/>
  <c r="E3730" i="12"/>
  <c r="E3731" i="12"/>
  <c r="E3732" i="12"/>
  <c r="E3733" i="12"/>
  <c r="E3734" i="12"/>
  <c r="E3735" i="12"/>
  <c r="E3736" i="12"/>
  <c r="E3737" i="12"/>
  <c r="E3738" i="12"/>
  <c r="E3739" i="12"/>
  <c r="E3740" i="12"/>
  <c r="E3741" i="12"/>
  <c r="E3742" i="12"/>
  <c r="E3743" i="12"/>
  <c r="E3744" i="12"/>
  <c r="E3745" i="12"/>
  <c r="E3746" i="12"/>
  <c r="E3747" i="12"/>
  <c r="E3748" i="12"/>
  <c r="E3749" i="12"/>
  <c r="E3750" i="12"/>
  <c r="E3751" i="12"/>
  <c r="E3752" i="12"/>
  <c r="E3753" i="12"/>
  <c r="E3754" i="12"/>
  <c r="E3755" i="12"/>
  <c r="E3756" i="12"/>
  <c r="E3757" i="12"/>
  <c r="E3758" i="12"/>
  <c r="E3759" i="12"/>
  <c r="E3760" i="12"/>
  <c r="E3761" i="12"/>
  <c r="E3762" i="12"/>
  <c r="E3763" i="12"/>
  <c r="E3764" i="12"/>
  <c r="E3765" i="12"/>
  <c r="E3766" i="12"/>
  <c r="E3767" i="12"/>
  <c r="E3768" i="12"/>
  <c r="E3769" i="12"/>
  <c r="E3770" i="12"/>
  <c r="E3771" i="12"/>
  <c r="E3772" i="12"/>
  <c r="E3773" i="12"/>
  <c r="E3774" i="12"/>
  <c r="E3775" i="12"/>
  <c r="E3776" i="12"/>
  <c r="E3777" i="12"/>
  <c r="E3778" i="12"/>
  <c r="E3779" i="12"/>
  <c r="E3780" i="12"/>
  <c r="E3781" i="12"/>
  <c r="E3782" i="12"/>
  <c r="E3783" i="12"/>
  <c r="E3784" i="12"/>
  <c r="E3785" i="12"/>
  <c r="E3786" i="12"/>
  <c r="E3787" i="12"/>
  <c r="E3788" i="12"/>
  <c r="E3789" i="12"/>
  <c r="E3790" i="12"/>
  <c r="E3791" i="12"/>
  <c r="E3792" i="12"/>
  <c r="E3793" i="12"/>
  <c r="E3794" i="12"/>
  <c r="E3795" i="12"/>
  <c r="E3796" i="12"/>
  <c r="E3797" i="12"/>
  <c r="E3798" i="12"/>
  <c r="E3799" i="12"/>
  <c r="E3800" i="12"/>
  <c r="E3801" i="12"/>
  <c r="E3802" i="12"/>
  <c r="E3803" i="12"/>
  <c r="E3804" i="12"/>
  <c r="E3805" i="12"/>
  <c r="E3806" i="12"/>
  <c r="E3807" i="12"/>
  <c r="E3808" i="12"/>
  <c r="E3809" i="12"/>
  <c r="E3810" i="12"/>
  <c r="E3811" i="12"/>
  <c r="E3812" i="12"/>
  <c r="E3813" i="12"/>
  <c r="E3814" i="12"/>
  <c r="E3815" i="12"/>
  <c r="E3816" i="12"/>
  <c r="E3817" i="12"/>
  <c r="E3818" i="12"/>
  <c r="E3819" i="12"/>
  <c r="E3820" i="12"/>
  <c r="E3821" i="12"/>
  <c r="E3822" i="12"/>
  <c r="E3823" i="12"/>
  <c r="E3824" i="12"/>
  <c r="E3825" i="12"/>
  <c r="E3826" i="12"/>
  <c r="E3827" i="12"/>
  <c r="E3828" i="12"/>
  <c r="E3829" i="12"/>
  <c r="E3830" i="12"/>
  <c r="E3831" i="12"/>
  <c r="E3832" i="12"/>
  <c r="E3833" i="12"/>
  <c r="E3834" i="12"/>
  <c r="E3835" i="12"/>
  <c r="E3836" i="12"/>
  <c r="E3837" i="12"/>
  <c r="E3838" i="12"/>
  <c r="E3839" i="12"/>
  <c r="E3840" i="12"/>
  <c r="E3841" i="12"/>
  <c r="E3842" i="12"/>
  <c r="E3843" i="12"/>
  <c r="E3844" i="12"/>
  <c r="E3845" i="12"/>
  <c r="E3846" i="12"/>
  <c r="E3847" i="12"/>
  <c r="E3848" i="12"/>
  <c r="E3849" i="12"/>
  <c r="E3850" i="12"/>
  <c r="E3851" i="12"/>
  <c r="E3852" i="12"/>
  <c r="E3853" i="12"/>
  <c r="E3854" i="12"/>
  <c r="E3855" i="12"/>
  <c r="E3856" i="12"/>
  <c r="E3857" i="12"/>
  <c r="E3858" i="12"/>
  <c r="E3859" i="12"/>
  <c r="E3860" i="12"/>
  <c r="E3861" i="12"/>
  <c r="E3862" i="12"/>
  <c r="E3863" i="12"/>
  <c r="E3864" i="12"/>
  <c r="E3865" i="12"/>
  <c r="E3866" i="12"/>
  <c r="E3867" i="12"/>
  <c r="E3868" i="12"/>
  <c r="E3869" i="12"/>
  <c r="E3870" i="12"/>
  <c r="E3871" i="12"/>
  <c r="E3872" i="12"/>
  <c r="E3873" i="12"/>
  <c r="E3874" i="12"/>
  <c r="E3875" i="12"/>
  <c r="E3876" i="12"/>
  <c r="E3877" i="12"/>
  <c r="E3878" i="12"/>
  <c r="E3879" i="12"/>
  <c r="E3880" i="12"/>
  <c r="E3881" i="12"/>
  <c r="E3882" i="12"/>
  <c r="E3883" i="12"/>
  <c r="E3884" i="12"/>
  <c r="E3885" i="12"/>
  <c r="E3886" i="12"/>
  <c r="E3887" i="12"/>
  <c r="E3888" i="12"/>
  <c r="E3889" i="12"/>
  <c r="E3890" i="12"/>
  <c r="E3891" i="12"/>
  <c r="E3892" i="12"/>
  <c r="E3893" i="12"/>
  <c r="E3894" i="12"/>
  <c r="E3895" i="12"/>
  <c r="E3896" i="12"/>
  <c r="E3897" i="12"/>
  <c r="E3898" i="12"/>
  <c r="E3899" i="12"/>
  <c r="E3900" i="12"/>
  <c r="E3901" i="12"/>
  <c r="E3902" i="12"/>
  <c r="E3903" i="12"/>
  <c r="E3904" i="12"/>
  <c r="E3905" i="12"/>
  <c r="E3906" i="12"/>
  <c r="E3907" i="12"/>
  <c r="E3908" i="12"/>
  <c r="E3909" i="12"/>
  <c r="E3910" i="12"/>
  <c r="E3911" i="12"/>
  <c r="E3912" i="12"/>
  <c r="E3913" i="12"/>
  <c r="E3914" i="12"/>
  <c r="E3915" i="12"/>
  <c r="E3916" i="12"/>
  <c r="E3917" i="12"/>
  <c r="E3918" i="12"/>
  <c r="E3919" i="12"/>
  <c r="E3920" i="12"/>
  <c r="E3921" i="12"/>
  <c r="E3922" i="12"/>
  <c r="E3923" i="12"/>
  <c r="E3924" i="12"/>
  <c r="E3925" i="12"/>
  <c r="E3926" i="12"/>
  <c r="E3927" i="12"/>
  <c r="E3928" i="12"/>
  <c r="E3929" i="12"/>
  <c r="E3930" i="12"/>
  <c r="E3931" i="12"/>
  <c r="E3932" i="12"/>
  <c r="E3933" i="12"/>
  <c r="E3934" i="12"/>
  <c r="E3935" i="12"/>
  <c r="E3936" i="12"/>
  <c r="E3937" i="12"/>
  <c r="E3938" i="12"/>
  <c r="E3939" i="12"/>
  <c r="E3940" i="12"/>
  <c r="E3941" i="12"/>
  <c r="E3942" i="12"/>
  <c r="E3943" i="12"/>
  <c r="E3944" i="12"/>
  <c r="E3945" i="12"/>
  <c r="E3946" i="12"/>
  <c r="E3947" i="12"/>
  <c r="E3948" i="12"/>
  <c r="E3949" i="12"/>
  <c r="E3950" i="12"/>
  <c r="E3951" i="12"/>
  <c r="E3952" i="12"/>
  <c r="E3953" i="12"/>
  <c r="E3954" i="12"/>
  <c r="E3955" i="12"/>
  <c r="E3956" i="12"/>
  <c r="E3957" i="12"/>
  <c r="E3958" i="12"/>
  <c r="E3959" i="12"/>
  <c r="E3960" i="12"/>
  <c r="E3961" i="12"/>
  <c r="E3962" i="12"/>
  <c r="E3963" i="12"/>
  <c r="E3964" i="12"/>
  <c r="E3965" i="12"/>
  <c r="E3966" i="12"/>
  <c r="E3967" i="12"/>
  <c r="E3968" i="12"/>
  <c r="E3969" i="12"/>
  <c r="E3970" i="12"/>
  <c r="E3971" i="12"/>
  <c r="E3972" i="12"/>
  <c r="E3973" i="12"/>
  <c r="E3974" i="12"/>
  <c r="E3975" i="12"/>
  <c r="E3976" i="12"/>
  <c r="E3977" i="12"/>
  <c r="E3978" i="12"/>
  <c r="E3979" i="12"/>
  <c r="E3980" i="12"/>
  <c r="E3981" i="12"/>
  <c r="E3982" i="12"/>
  <c r="E3983" i="12"/>
  <c r="E3984" i="12"/>
  <c r="E3985" i="12"/>
  <c r="E3986" i="12"/>
  <c r="E3987" i="12"/>
  <c r="E3988" i="12"/>
  <c r="E3989" i="12"/>
  <c r="E3990" i="12"/>
  <c r="E3991" i="12"/>
  <c r="E3992" i="12"/>
  <c r="E3993" i="12"/>
  <c r="E3994" i="12"/>
  <c r="E3995" i="12"/>
  <c r="E3996" i="12"/>
  <c r="E3997" i="12"/>
  <c r="E3998" i="12"/>
  <c r="E3999" i="12"/>
  <c r="E4000" i="12"/>
  <c r="E4001" i="12"/>
  <c r="E4002" i="12"/>
  <c r="E4003" i="12"/>
  <c r="E4004" i="12"/>
  <c r="E4005" i="12"/>
  <c r="E4006" i="12"/>
  <c r="E4007" i="12"/>
  <c r="E4008" i="12"/>
  <c r="E4009" i="12"/>
  <c r="E4010" i="12"/>
  <c r="E4011" i="12"/>
  <c r="E4012" i="12"/>
  <c r="E4013" i="12"/>
  <c r="E4014" i="12"/>
  <c r="E4015" i="12"/>
  <c r="E4016" i="12"/>
  <c r="E4017" i="12"/>
  <c r="E4018" i="12"/>
  <c r="E4019" i="12"/>
  <c r="E4020" i="12"/>
  <c r="E4021" i="12"/>
  <c r="E4022" i="12"/>
  <c r="E4023" i="12"/>
  <c r="E4024" i="12"/>
  <c r="E4025" i="12"/>
  <c r="E4026" i="12"/>
  <c r="E4027" i="12"/>
  <c r="E4028" i="12"/>
  <c r="E4029" i="12"/>
  <c r="E4030" i="12"/>
  <c r="E4031" i="12"/>
  <c r="E4032" i="12"/>
  <c r="E4033" i="12"/>
  <c r="E4034" i="12"/>
  <c r="E4035" i="12"/>
  <c r="E4036" i="12"/>
  <c r="E4037" i="12"/>
  <c r="E4038" i="12"/>
  <c r="E4039" i="12"/>
  <c r="E4040" i="12"/>
  <c r="E4041" i="12"/>
  <c r="E4042" i="12"/>
  <c r="E4043" i="12"/>
  <c r="E4044" i="12"/>
  <c r="E4045" i="12"/>
  <c r="E4046" i="12"/>
  <c r="E4047" i="12"/>
  <c r="E4048" i="12"/>
  <c r="E4049" i="12"/>
  <c r="E4050" i="12"/>
  <c r="E4051" i="12"/>
  <c r="E4052" i="12"/>
  <c r="E4053" i="12"/>
  <c r="E4054" i="12"/>
  <c r="E4055" i="12"/>
  <c r="E4056" i="12"/>
  <c r="E4057" i="12"/>
  <c r="E4058" i="12"/>
  <c r="E4059" i="12"/>
  <c r="E4060" i="12"/>
  <c r="E4061" i="12"/>
  <c r="E4062" i="12"/>
  <c r="E4063" i="12"/>
  <c r="E4064" i="12"/>
  <c r="E4065" i="12"/>
  <c r="E4066" i="12"/>
  <c r="E4067" i="12"/>
  <c r="E4068" i="12"/>
  <c r="E4069" i="12"/>
  <c r="E4070" i="12"/>
  <c r="E4071" i="12"/>
  <c r="E4072" i="12"/>
  <c r="E4073" i="12"/>
  <c r="E4074" i="12"/>
  <c r="E4075" i="12"/>
  <c r="E4076" i="12"/>
  <c r="E4077" i="12"/>
  <c r="E4078" i="12"/>
  <c r="E4079" i="12"/>
  <c r="E4080" i="12"/>
  <c r="E4081" i="12"/>
  <c r="E4082" i="12"/>
  <c r="E4083" i="12"/>
  <c r="E4084" i="12"/>
  <c r="E4085" i="12"/>
  <c r="E4086" i="12"/>
  <c r="E4087" i="12"/>
  <c r="E4088" i="12"/>
  <c r="E4089" i="12"/>
  <c r="E4090" i="12"/>
  <c r="E4091" i="12"/>
  <c r="E4092" i="12"/>
  <c r="E4093" i="12"/>
  <c r="E4094" i="12"/>
  <c r="E4095" i="12"/>
  <c r="E4096" i="12"/>
  <c r="E4097" i="12"/>
  <c r="E4098" i="12"/>
  <c r="E4099" i="12"/>
  <c r="E4100" i="12"/>
  <c r="E4101" i="12"/>
  <c r="E4102" i="12"/>
  <c r="E4103" i="12"/>
  <c r="E4104" i="12"/>
  <c r="E4105" i="12"/>
  <c r="E4106" i="12"/>
  <c r="E4107" i="12"/>
  <c r="E4108" i="12"/>
  <c r="E4109" i="12"/>
  <c r="E4110" i="12"/>
  <c r="E4111" i="12"/>
  <c r="E4112" i="12"/>
  <c r="E4113" i="12"/>
  <c r="E4114" i="12"/>
  <c r="E4115" i="12"/>
  <c r="E4116" i="12"/>
  <c r="E4117" i="12"/>
  <c r="E4118" i="12"/>
  <c r="E4119" i="12"/>
  <c r="E4120" i="12"/>
  <c r="E4121" i="12"/>
  <c r="E4122" i="12"/>
  <c r="E4123" i="12"/>
  <c r="E4124" i="12"/>
  <c r="E4125" i="12"/>
  <c r="E4126" i="12"/>
  <c r="E4127" i="12"/>
  <c r="E4128" i="12"/>
  <c r="E4129" i="12"/>
  <c r="E4130" i="12"/>
  <c r="E4131" i="12"/>
  <c r="E4132" i="12"/>
  <c r="E4133" i="12"/>
  <c r="E4134" i="12"/>
  <c r="E4135" i="12"/>
  <c r="E4136" i="12"/>
  <c r="E4137" i="12"/>
  <c r="E4138" i="12"/>
  <c r="E4139" i="12"/>
  <c r="E4140" i="12"/>
  <c r="E4141" i="12"/>
  <c r="E4142" i="12"/>
  <c r="E4143" i="12"/>
  <c r="E4144" i="12"/>
  <c r="E4145" i="12"/>
  <c r="E4146" i="12"/>
  <c r="E4147" i="12"/>
  <c r="E4148" i="12"/>
  <c r="E4149" i="12"/>
  <c r="E4150" i="12"/>
  <c r="E4151" i="12"/>
  <c r="E4152" i="12"/>
  <c r="E4153" i="12"/>
  <c r="E4154" i="12"/>
  <c r="E4155" i="12"/>
  <c r="E4156" i="12"/>
  <c r="E4157" i="12"/>
  <c r="E4158" i="12"/>
  <c r="E4159" i="12"/>
  <c r="E4160" i="12"/>
  <c r="E4161" i="12"/>
  <c r="E4162" i="12"/>
  <c r="E4163" i="12"/>
  <c r="E4164" i="12"/>
  <c r="E4165" i="12"/>
  <c r="E4166" i="12"/>
  <c r="E4167" i="12"/>
  <c r="E4168" i="12"/>
  <c r="E4169" i="12"/>
  <c r="E4170" i="12"/>
  <c r="E4171" i="12"/>
  <c r="E4172" i="12"/>
  <c r="E4173" i="12"/>
  <c r="E4174" i="12"/>
  <c r="E4175" i="12"/>
  <c r="E4176" i="12"/>
  <c r="E4177" i="12"/>
  <c r="E4178" i="12"/>
  <c r="E4179" i="12"/>
  <c r="E4180" i="12"/>
  <c r="E4181" i="12"/>
  <c r="E4182" i="12"/>
  <c r="E4183" i="12"/>
  <c r="E4184" i="12"/>
  <c r="E4185" i="12"/>
  <c r="E4186" i="12"/>
  <c r="E4187" i="12"/>
  <c r="E4188" i="12"/>
  <c r="E4189" i="12"/>
  <c r="E4190" i="12"/>
  <c r="E4191" i="12"/>
  <c r="E4192" i="12"/>
  <c r="E4193" i="12"/>
  <c r="E4194" i="12"/>
  <c r="E4195" i="12"/>
  <c r="E4196" i="12"/>
  <c r="E4197" i="12"/>
  <c r="E4198" i="12"/>
  <c r="E4199" i="12"/>
  <c r="E4200" i="12"/>
  <c r="E4201" i="12"/>
  <c r="E4202" i="12"/>
  <c r="E4203" i="12"/>
  <c r="E4204" i="12"/>
  <c r="E4205" i="12"/>
  <c r="E4206" i="12"/>
  <c r="E4207" i="12"/>
  <c r="E4208" i="12"/>
  <c r="E4209" i="12"/>
  <c r="E4210" i="12"/>
  <c r="E4211" i="12"/>
  <c r="E4212" i="12"/>
  <c r="E4213" i="12"/>
  <c r="E4214" i="12"/>
  <c r="E4215" i="12"/>
  <c r="E4216" i="12"/>
  <c r="E4217" i="12"/>
  <c r="E4218" i="12"/>
  <c r="E4219" i="12"/>
  <c r="E4220" i="12"/>
  <c r="E4221" i="12"/>
  <c r="E4222" i="12"/>
  <c r="E4223" i="12"/>
  <c r="E4224" i="12"/>
  <c r="E4225" i="12"/>
  <c r="E4226" i="12"/>
  <c r="E4227" i="12"/>
  <c r="E4228" i="12"/>
  <c r="E4229" i="12"/>
  <c r="E4230" i="12"/>
  <c r="E4231" i="12"/>
  <c r="E4232" i="12"/>
  <c r="E4233" i="12"/>
  <c r="E4234" i="12"/>
  <c r="E4235" i="12"/>
  <c r="E4236" i="12"/>
  <c r="E4237" i="12"/>
  <c r="E4238" i="12"/>
  <c r="E4239" i="12"/>
  <c r="E4240" i="12"/>
  <c r="E4241" i="12"/>
  <c r="E4242" i="12"/>
  <c r="E4243" i="12"/>
  <c r="E4244" i="12"/>
  <c r="E4245" i="12"/>
  <c r="E4246" i="12"/>
  <c r="E4247" i="12"/>
  <c r="E4248" i="12"/>
  <c r="E4249" i="12"/>
  <c r="E4250" i="12"/>
  <c r="E4251" i="12"/>
  <c r="E4252" i="12"/>
  <c r="E4253" i="12"/>
  <c r="E4254" i="12"/>
  <c r="E4255" i="12"/>
  <c r="E4256" i="12"/>
  <c r="E4257" i="12"/>
  <c r="E4258" i="12"/>
  <c r="E4259" i="12"/>
  <c r="E4260" i="12"/>
  <c r="E4261" i="12"/>
  <c r="E4262" i="12"/>
  <c r="E4263" i="12"/>
  <c r="E4264" i="12"/>
  <c r="E4265" i="12"/>
  <c r="E4266" i="12"/>
  <c r="E4267" i="12"/>
  <c r="E4268" i="12"/>
  <c r="E4269" i="12"/>
  <c r="E4270" i="12"/>
  <c r="E4271" i="12"/>
  <c r="E4272" i="12"/>
  <c r="E4273" i="12"/>
  <c r="E4274" i="12"/>
  <c r="E4275" i="12"/>
  <c r="E4276" i="12"/>
  <c r="E4277" i="12"/>
  <c r="E4278" i="12"/>
  <c r="E4279" i="12"/>
  <c r="E4280" i="12"/>
  <c r="E4281" i="12"/>
  <c r="E4282" i="12"/>
  <c r="E4283" i="12"/>
  <c r="E4284" i="12"/>
  <c r="E4285" i="12"/>
  <c r="E4286" i="12"/>
  <c r="E4287" i="12"/>
  <c r="E4288" i="12"/>
  <c r="E4289" i="12"/>
  <c r="E4290" i="12"/>
  <c r="E4291" i="12"/>
  <c r="E4292" i="12"/>
  <c r="E4293" i="12"/>
  <c r="E4294" i="12"/>
  <c r="E4295" i="12"/>
  <c r="E4296" i="12"/>
  <c r="E4297" i="12"/>
  <c r="E4298" i="12"/>
  <c r="E4299" i="12"/>
  <c r="E4300" i="12"/>
  <c r="E4301" i="12"/>
  <c r="E4302" i="12"/>
  <c r="E4303" i="12"/>
  <c r="E4304" i="12"/>
  <c r="E4305" i="12"/>
  <c r="E4306" i="12"/>
  <c r="E4307" i="12"/>
  <c r="E4308" i="12"/>
  <c r="E4309" i="12"/>
  <c r="E4310" i="12"/>
  <c r="E4311" i="12"/>
  <c r="E4312" i="12"/>
  <c r="E4313" i="12"/>
  <c r="E4314" i="12"/>
  <c r="E4315" i="12"/>
  <c r="E4316" i="12"/>
  <c r="E4317" i="12"/>
  <c r="E4318" i="12"/>
  <c r="E4319" i="12"/>
  <c r="E4320" i="12"/>
  <c r="E4321" i="12"/>
  <c r="E4322" i="12"/>
  <c r="E4323" i="12"/>
  <c r="E4324" i="12"/>
  <c r="E4325" i="12"/>
  <c r="E4326" i="12"/>
  <c r="E4327" i="12"/>
  <c r="E4328" i="12"/>
  <c r="E4329" i="12"/>
  <c r="E4330" i="12"/>
  <c r="E4331" i="12"/>
  <c r="E4332" i="12"/>
  <c r="E4333" i="12"/>
  <c r="E4334" i="12"/>
  <c r="E4335" i="12"/>
  <c r="E4336" i="12"/>
  <c r="E4337" i="12"/>
  <c r="E4338" i="12"/>
  <c r="E4339" i="12"/>
  <c r="E4340" i="12"/>
  <c r="E4341" i="12"/>
  <c r="E4342" i="12"/>
  <c r="E4343" i="12"/>
  <c r="E4344" i="12"/>
  <c r="E4345" i="12"/>
  <c r="E4346" i="12"/>
  <c r="E4347" i="12"/>
  <c r="E4348" i="12"/>
  <c r="E4349" i="12"/>
  <c r="E4350" i="12"/>
  <c r="E4351" i="12"/>
  <c r="E4352" i="12"/>
  <c r="E4353" i="12"/>
  <c r="E4354" i="12"/>
  <c r="E4355" i="12"/>
  <c r="E4356" i="12"/>
  <c r="E4357" i="12"/>
  <c r="E4358" i="12"/>
  <c r="E4359" i="12"/>
  <c r="E4360" i="12"/>
  <c r="E4361" i="12"/>
  <c r="E4362" i="12"/>
  <c r="E4363" i="12"/>
  <c r="E4364" i="12"/>
  <c r="E4365" i="12"/>
  <c r="E4366" i="12"/>
  <c r="E4367" i="12"/>
  <c r="E4368" i="12"/>
  <c r="E4369" i="12"/>
  <c r="E4370" i="12"/>
  <c r="E4371" i="12"/>
  <c r="E4372" i="12"/>
  <c r="E4373" i="12"/>
  <c r="E4374" i="12"/>
  <c r="E4375" i="12"/>
  <c r="E4376" i="12"/>
  <c r="E4377" i="12"/>
  <c r="E4378" i="12"/>
  <c r="E4379" i="12"/>
  <c r="E4380" i="12"/>
  <c r="E4381" i="12"/>
  <c r="E4382" i="12"/>
  <c r="E4383" i="12"/>
  <c r="E4384" i="12"/>
  <c r="E4385" i="12"/>
  <c r="E4386" i="12"/>
  <c r="E4387" i="12"/>
  <c r="E4388" i="12"/>
  <c r="E4389" i="12"/>
  <c r="E4390" i="12"/>
  <c r="E4391" i="12"/>
  <c r="E4392" i="12"/>
  <c r="E4393" i="12"/>
  <c r="E4394" i="12"/>
  <c r="E4395" i="12"/>
  <c r="E4396" i="12"/>
  <c r="E4397" i="12"/>
  <c r="E4398" i="12"/>
  <c r="E4399" i="12"/>
  <c r="E4400" i="12"/>
  <c r="E4401" i="12"/>
  <c r="E4402" i="12"/>
  <c r="E4403" i="12"/>
  <c r="E4404" i="12"/>
  <c r="E4405" i="12"/>
  <c r="E4406" i="12"/>
  <c r="E4407" i="12"/>
  <c r="E4408" i="12"/>
  <c r="E4409" i="12"/>
  <c r="E4410" i="12"/>
  <c r="E4411" i="12"/>
  <c r="E4412" i="12"/>
  <c r="E4413" i="12"/>
  <c r="E4414" i="12"/>
  <c r="E4415" i="12"/>
  <c r="E4416" i="12"/>
  <c r="E4417" i="12"/>
  <c r="E4418" i="12"/>
  <c r="E4419" i="12"/>
  <c r="E4420" i="12"/>
  <c r="E4421" i="12"/>
  <c r="E4422" i="12"/>
  <c r="E4423" i="12"/>
  <c r="E4424" i="12"/>
  <c r="E4425" i="12"/>
  <c r="E4426" i="12"/>
  <c r="E4427" i="12"/>
  <c r="E4428" i="12"/>
  <c r="E4429" i="12"/>
  <c r="E4430" i="12"/>
  <c r="E4431" i="12"/>
  <c r="E4432" i="12"/>
  <c r="E4433" i="12"/>
  <c r="E4434" i="12"/>
  <c r="E4435" i="12"/>
  <c r="E4436" i="12"/>
  <c r="E4437" i="12"/>
  <c r="E4438" i="12"/>
  <c r="E4439" i="12"/>
  <c r="E4440" i="12"/>
  <c r="E4441" i="12"/>
  <c r="E4442" i="12"/>
  <c r="E4443" i="12"/>
  <c r="E4444" i="12"/>
  <c r="E4445" i="12"/>
  <c r="E4446" i="12"/>
  <c r="E4447" i="12"/>
  <c r="E4448" i="12"/>
  <c r="E4449" i="12"/>
  <c r="E4450" i="12"/>
  <c r="E4451" i="12"/>
  <c r="E4452" i="12"/>
  <c r="E4453" i="12"/>
  <c r="E4454" i="12"/>
  <c r="E4455" i="12"/>
  <c r="E4456" i="12"/>
  <c r="E4457" i="12"/>
  <c r="E4458" i="12"/>
  <c r="E4459" i="12"/>
  <c r="E4460" i="12"/>
  <c r="E4461" i="12"/>
  <c r="E4462" i="12"/>
  <c r="E4463" i="12"/>
  <c r="E4464" i="12"/>
  <c r="E4465" i="12"/>
  <c r="E4466" i="12"/>
  <c r="E4467" i="12"/>
  <c r="E4468" i="12"/>
  <c r="E4469" i="12"/>
  <c r="E4470" i="12"/>
  <c r="E4471" i="12"/>
  <c r="E4472" i="12"/>
  <c r="E4473" i="12"/>
  <c r="E4474" i="12"/>
  <c r="E4475" i="12"/>
  <c r="E4476" i="12"/>
  <c r="E4477" i="12"/>
  <c r="E4478" i="12"/>
  <c r="E4479" i="12"/>
  <c r="E4480" i="12"/>
  <c r="E4481" i="12"/>
  <c r="E4482" i="12"/>
  <c r="E4483" i="12"/>
  <c r="E4484" i="12"/>
  <c r="E4485" i="12"/>
  <c r="E4486" i="12"/>
  <c r="E4487" i="12"/>
  <c r="E4488" i="12"/>
  <c r="E4489" i="12"/>
  <c r="E4490" i="12"/>
  <c r="E4491" i="12"/>
  <c r="E4492" i="12"/>
  <c r="E4493" i="12"/>
  <c r="E4494" i="12"/>
  <c r="E4495" i="12"/>
  <c r="E4496" i="12"/>
  <c r="E4497" i="12"/>
  <c r="E4498" i="12"/>
  <c r="E4499" i="12"/>
  <c r="E4500" i="12"/>
  <c r="E4501" i="12"/>
  <c r="E4502" i="12"/>
  <c r="E4503" i="12"/>
  <c r="E4504" i="12"/>
  <c r="E4505" i="12"/>
  <c r="E4506" i="12"/>
  <c r="E4507" i="12"/>
  <c r="E4508" i="12"/>
  <c r="E4509" i="12"/>
  <c r="E4510" i="12"/>
  <c r="E4511" i="12"/>
  <c r="E4512" i="12"/>
  <c r="E4513" i="12"/>
  <c r="E4514" i="12"/>
  <c r="E4515" i="12"/>
  <c r="E4516" i="12"/>
  <c r="E4517" i="12"/>
  <c r="E4518" i="12"/>
  <c r="E4519" i="12"/>
  <c r="E4520" i="12"/>
  <c r="E4521" i="12"/>
  <c r="E4522" i="12"/>
  <c r="E4523" i="12"/>
  <c r="E4524" i="12"/>
  <c r="E4525" i="12"/>
  <c r="E4526" i="12"/>
  <c r="E4527" i="12"/>
  <c r="E4528" i="12"/>
  <c r="E4529" i="12"/>
  <c r="E4530" i="12"/>
  <c r="E4531" i="12"/>
  <c r="E4532" i="12"/>
  <c r="E4533" i="12"/>
  <c r="E4534" i="12"/>
  <c r="E4535" i="12"/>
  <c r="E4536" i="12"/>
  <c r="E4537" i="12"/>
  <c r="E4538" i="12"/>
  <c r="E4539" i="12"/>
  <c r="E4540" i="12"/>
  <c r="E4541" i="12"/>
  <c r="E4542" i="12"/>
  <c r="E4543" i="12"/>
  <c r="E4544" i="12"/>
  <c r="E4545" i="12"/>
  <c r="E4546" i="12"/>
  <c r="E4547" i="12"/>
  <c r="E4548" i="12"/>
  <c r="E4549" i="12"/>
  <c r="E4550" i="12"/>
  <c r="E4551" i="12"/>
  <c r="E4552" i="12"/>
  <c r="E4553" i="12"/>
  <c r="E4554" i="12"/>
  <c r="E4555" i="12"/>
  <c r="E4556" i="12"/>
  <c r="E4557" i="12"/>
  <c r="E4558" i="12"/>
  <c r="E4559" i="12"/>
  <c r="E4560" i="12"/>
  <c r="E4561" i="12"/>
  <c r="E4562" i="12"/>
  <c r="E4563" i="12"/>
  <c r="E4564" i="12"/>
  <c r="E4565" i="12"/>
  <c r="E4566" i="12"/>
  <c r="E4567" i="12"/>
  <c r="E4568" i="12"/>
  <c r="E4569" i="12"/>
  <c r="E4570" i="12"/>
  <c r="E4571" i="12"/>
  <c r="E4572" i="12"/>
  <c r="E4573" i="12"/>
  <c r="E4574" i="12"/>
  <c r="E4575" i="12"/>
  <c r="E4576" i="12"/>
  <c r="E4577" i="12"/>
  <c r="E4578" i="12"/>
  <c r="E4579" i="12"/>
  <c r="E4580" i="12"/>
  <c r="E4581" i="12"/>
  <c r="E4582" i="12"/>
  <c r="E4583" i="12"/>
  <c r="E4584" i="12"/>
  <c r="E4585" i="12"/>
  <c r="E4586" i="12"/>
  <c r="E4587" i="12"/>
  <c r="E4588" i="12"/>
  <c r="E4589" i="12"/>
  <c r="E4590" i="12"/>
  <c r="E4591" i="12"/>
  <c r="E4592" i="12"/>
  <c r="E4593" i="12"/>
  <c r="E4594" i="12"/>
  <c r="E4595" i="12"/>
  <c r="E4596" i="12"/>
  <c r="E4597" i="12"/>
  <c r="E4598" i="12"/>
  <c r="E4599" i="12"/>
  <c r="E4600" i="12"/>
  <c r="E4601" i="12"/>
  <c r="E4602" i="12"/>
  <c r="E4603" i="12"/>
  <c r="E4604" i="12"/>
  <c r="E4605" i="12"/>
  <c r="E4606" i="12"/>
  <c r="E4607" i="12"/>
  <c r="E4608" i="12"/>
  <c r="E4609" i="12"/>
  <c r="E4610" i="12"/>
  <c r="E4611" i="12"/>
  <c r="E4612" i="12"/>
  <c r="E4613" i="12"/>
  <c r="E4614" i="12"/>
  <c r="E4615" i="12"/>
  <c r="E4616" i="12"/>
  <c r="E4617" i="12"/>
  <c r="E4618" i="12"/>
  <c r="E4619" i="12"/>
  <c r="E4620" i="12"/>
  <c r="E4621" i="12"/>
  <c r="E4622" i="12"/>
  <c r="E4623" i="12"/>
  <c r="E4624" i="12"/>
  <c r="E4625" i="12"/>
  <c r="E4626" i="12"/>
  <c r="E4627" i="12"/>
  <c r="E4628" i="12"/>
  <c r="E4629" i="12"/>
  <c r="E4630" i="12"/>
  <c r="E4631" i="12"/>
  <c r="E4632" i="12"/>
  <c r="E4633" i="12"/>
  <c r="E4634" i="12"/>
  <c r="E4635" i="12"/>
  <c r="E4636" i="12"/>
  <c r="E4637" i="12"/>
  <c r="E4638" i="12"/>
  <c r="E4639" i="12"/>
  <c r="E4640" i="12"/>
  <c r="E4641" i="12"/>
  <c r="E4642" i="12"/>
  <c r="E4643" i="12"/>
  <c r="E4644" i="12"/>
  <c r="E4645" i="12"/>
  <c r="E4646" i="12"/>
  <c r="E4647" i="12"/>
  <c r="E4648" i="12"/>
  <c r="E4649" i="12"/>
  <c r="E4650" i="12"/>
  <c r="E4651" i="12"/>
  <c r="E4652" i="12"/>
  <c r="E4653" i="12"/>
  <c r="E4654" i="12"/>
  <c r="E4655" i="12"/>
  <c r="E4656" i="12"/>
  <c r="E4657" i="12"/>
  <c r="E4658" i="12"/>
  <c r="E4659" i="12"/>
  <c r="E4660" i="12"/>
  <c r="E4661" i="12"/>
  <c r="E4662" i="12"/>
  <c r="E4663" i="12"/>
  <c r="E4664" i="12"/>
  <c r="E4665" i="12"/>
  <c r="E4666" i="12"/>
  <c r="E4667" i="12"/>
  <c r="E4668" i="12"/>
  <c r="E4669" i="12"/>
  <c r="E4670" i="12"/>
  <c r="E4671" i="12"/>
  <c r="E4672" i="12"/>
  <c r="E4673" i="12"/>
  <c r="E4674" i="12"/>
  <c r="E4675" i="12"/>
  <c r="E4676" i="12"/>
  <c r="E4677" i="12"/>
  <c r="E4678" i="12"/>
  <c r="E4679" i="12"/>
  <c r="E4680" i="12"/>
  <c r="E4681" i="12"/>
  <c r="E4682" i="12"/>
  <c r="E4683" i="12"/>
  <c r="E4684" i="12"/>
  <c r="E4685" i="12"/>
  <c r="E4686" i="12"/>
  <c r="E4687" i="12"/>
  <c r="E4688" i="12"/>
  <c r="E4689" i="12"/>
  <c r="E4690" i="12"/>
  <c r="E4691" i="12"/>
  <c r="E4692" i="12"/>
  <c r="E4693" i="12"/>
  <c r="E4694" i="12"/>
  <c r="E4695" i="12"/>
  <c r="E4696" i="12"/>
  <c r="E4697" i="12"/>
  <c r="E4698" i="12"/>
  <c r="E4699" i="12"/>
  <c r="E4700" i="12"/>
  <c r="E4701" i="12"/>
  <c r="E4702" i="12"/>
  <c r="E4703" i="12"/>
  <c r="E4704" i="12"/>
  <c r="E4705" i="12"/>
  <c r="E4706" i="12"/>
  <c r="E4707" i="12"/>
  <c r="E4708" i="12"/>
  <c r="E4709" i="12"/>
  <c r="E4710" i="12"/>
  <c r="E4711" i="12"/>
  <c r="E4712" i="12"/>
  <c r="E4713" i="12"/>
  <c r="E4714" i="12"/>
  <c r="E4715" i="12"/>
  <c r="E4716" i="12"/>
  <c r="E4717" i="12"/>
  <c r="E4718" i="12"/>
  <c r="E4719" i="12"/>
  <c r="E4720" i="12"/>
  <c r="E4721" i="12"/>
  <c r="E4722" i="12"/>
  <c r="E4723" i="12"/>
  <c r="E4724" i="12"/>
  <c r="E4725" i="12"/>
  <c r="E4726" i="12"/>
  <c r="E4727" i="12"/>
  <c r="E4728" i="12"/>
  <c r="E4729" i="12"/>
  <c r="E4730" i="12"/>
  <c r="E4731" i="12"/>
  <c r="E4732" i="12"/>
  <c r="E4733" i="12"/>
  <c r="E4734" i="12"/>
  <c r="E4735" i="12"/>
  <c r="E4736" i="12"/>
  <c r="E4737" i="12"/>
  <c r="E4738" i="12"/>
  <c r="E4739" i="12"/>
  <c r="E4740" i="12"/>
  <c r="E4741" i="12"/>
  <c r="E4742" i="12"/>
  <c r="E4743" i="12"/>
  <c r="E4744" i="12"/>
  <c r="E4745" i="12"/>
  <c r="E4746" i="12"/>
  <c r="E4747" i="12"/>
  <c r="E4748" i="12"/>
  <c r="E4749" i="12"/>
  <c r="E4750" i="12"/>
  <c r="E4751" i="12"/>
  <c r="E4752" i="12"/>
  <c r="E4753" i="12"/>
  <c r="E4754" i="12"/>
  <c r="E4755" i="12"/>
  <c r="E4756" i="12"/>
  <c r="E4757" i="12"/>
  <c r="E4758" i="12"/>
  <c r="E4759" i="12"/>
  <c r="E4760" i="12"/>
  <c r="E4761" i="12"/>
  <c r="E4762" i="12"/>
  <c r="E4763" i="12"/>
  <c r="E4764" i="12"/>
  <c r="E4765" i="12"/>
  <c r="E4766" i="12"/>
  <c r="E4767" i="12"/>
  <c r="E4768" i="12"/>
  <c r="E4769" i="12"/>
  <c r="E4770" i="12"/>
  <c r="E4771" i="12"/>
  <c r="E4772" i="12"/>
  <c r="E4773" i="12"/>
  <c r="E4774" i="12"/>
  <c r="E4775" i="12"/>
  <c r="E4776" i="12"/>
  <c r="E4777" i="12"/>
  <c r="E4778" i="12"/>
  <c r="E4779" i="12"/>
  <c r="E4780" i="12"/>
  <c r="E4781" i="12"/>
  <c r="E4782" i="12"/>
  <c r="E4783" i="12"/>
  <c r="E4784" i="12"/>
  <c r="E4785" i="12"/>
  <c r="E4786" i="12"/>
  <c r="E4787" i="12"/>
  <c r="E4788" i="12"/>
  <c r="E4789" i="12"/>
  <c r="E4790" i="12"/>
  <c r="E4791" i="12"/>
  <c r="E4792" i="12"/>
  <c r="E4793" i="12"/>
  <c r="E4794" i="12"/>
  <c r="E4795" i="12"/>
  <c r="E4796" i="12"/>
  <c r="E4797" i="12"/>
  <c r="E4798" i="12"/>
  <c r="E4799" i="12"/>
  <c r="E4800" i="12"/>
  <c r="E4801" i="12"/>
  <c r="E4802" i="12"/>
  <c r="E4803" i="12"/>
  <c r="E4804" i="12"/>
  <c r="E4805" i="12"/>
  <c r="E4806" i="12"/>
  <c r="E4807" i="12"/>
  <c r="E4808" i="12"/>
  <c r="E4809" i="12"/>
  <c r="E4810" i="12"/>
  <c r="E4811" i="12"/>
  <c r="E4812" i="12"/>
  <c r="E4813" i="12"/>
  <c r="E4814" i="12"/>
  <c r="E4815" i="12"/>
  <c r="E4816" i="12"/>
  <c r="E4817" i="12"/>
  <c r="E4818" i="12"/>
  <c r="E4819" i="12"/>
  <c r="E4820" i="12"/>
  <c r="E4821" i="12"/>
  <c r="E4822" i="12"/>
  <c r="E4823" i="12"/>
  <c r="E4824" i="12"/>
  <c r="E4825" i="12"/>
  <c r="E4826" i="12"/>
  <c r="E4827" i="12"/>
  <c r="E4828" i="12"/>
  <c r="E4829" i="12"/>
  <c r="E4830" i="12"/>
  <c r="E4831" i="12"/>
  <c r="E4832" i="12"/>
  <c r="E4833" i="12"/>
  <c r="E4834" i="12"/>
  <c r="E4835" i="12"/>
  <c r="E4836" i="12"/>
  <c r="E4837" i="12"/>
  <c r="E4838" i="12"/>
  <c r="E4839" i="12"/>
  <c r="E4840" i="12"/>
  <c r="E4841" i="12"/>
  <c r="E4842" i="12"/>
  <c r="E4843" i="12"/>
  <c r="E4844" i="12"/>
  <c r="E4845" i="12"/>
  <c r="E4846" i="12"/>
  <c r="E4847" i="12"/>
  <c r="E4848" i="12"/>
  <c r="E4849" i="12"/>
  <c r="E4850" i="12"/>
  <c r="E4851" i="12"/>
  <c r="E4852" i="12"/>
  <c r="E4853" i="12"/>
  <c r="E4854" i="12"/>
  <c r="E4855" i="12"/>
  <c r="E4856" i="12"/>
  <c r="E4857" i="12"/>
  <c r="E4858" i="12"/>
  <c r="E4859" i="12"/>
  <c r="E4860" i="12"/>
  <c r="E4861" i="12"/>
  <c r="E4862" i="12"/>
  <c r="E4863" i="12"/>
  <c r="E4864" i="12"/>
  <c r="E4865" i="12"/>
  <c r="E4866" i="12"/>
  <c r="E4867" i="12"/>
  <c r="E4868" i="12"/>
  <c r="E4869" i="12"/>
  <c r="E4870" i="12"/>
  <c r="E4871" i="12"/>
  <c r="E4872" i="12"/>
  <c r="E4873" i="12"/>
  <c r="E4874" i="12"/>
  <c r="E4875" i="12"/>
  <c r="E4876" i="12"/>
  <c r="E4877" i="12"/>
  <c r="E4878" i="12"/>
  <c r="E4879" i="12"/>
  <c r="E4880" i="12"/>
  <c r="E4881" i="12"/>
  <c r="E4882" i="12"/>
  <c r="E4883" i="12"/>
  <c r="E4884" i="12"/>
  <c r="E4885" i="12"/>
  <c r="E4886" i="12"/>
  <c r="E4887" i="12"/>
  <c r="E4888" i="12"/>
  <c r="E4889" i="12"/>
  <c r="E4890" i="12"/>
  <c r="E4891" i="12"/>
  <c r="E4892" i="12"/>
  <c r="E4893" i="12"/>
  <c r="E4894" i="12"/>
  <c r="E4895" i="12"/>
  <c r="E4896" i="12"/>
  <c r="E4897" i="12"/>
  <c r="E4898" i="12"/>
  <c r="E4899" i="12"/>
  <c r="E4900" i="12"/>
  <c r="E4901" i="12"/>
  <c r="E4902" i="12"/>
  <c r="E4903" i="12"/>
  <c r="E4904" i="12"/>
  <c r="E4905" i="12"/>
  <c r="E4906" i="12"/>
  <c r="E4907" i="12"/>
  <c r="E4908" i="12"/>
  <c r="E4909" i="12"/>
  <c r="E4910" i="12"/>
  <c r="E4911" i="12"/>
  <c r="E4912" i="12"/>
  <c r="E4913" i="12"/>
  <c r="E4914" i="12"/>
  <c r="E4915" i="12"/>
  <c r="E4916" i="12"/>
  <c r="E4917" i="12"/>
  <c r="E4918" i="12"/>
  <c r="E4919" i="12"/>
  <c r="E4920" i="12"/>
  <c r="E4921" i="12"/>
  <c r="E4922" i="12"/>
  <c r="E4923" i="12"/>
  <c r="E4924" i="12"/>
  <c r="E4925" i="12"/>
  <c r="E4926" i="12"/>
  <c r="E4927" i="12"/>
  <c r="E4928" i="12"/>
  <c r="E4929" i="12"/>
  <c r="E4930" i="12"/>
  <c r="E4931" i="12"/>
  <c r="E4932" i="12"/>
  <c r="E4933" i="12"/>
  <c r="E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1331" i="12"/>
  <c r="G1332" i="12"/>
  <c r="G1333" i="12"/>
  <c r="G1334" i="12"/>
  <c r="G1335" i="12"/>
  <c r="G1336" i="12"/>
  <c r="G1337" i="12"/>
  <c r="G1338" i="12"/>
  <c r="G1339" i="12"/>
  <c r="G1340" i="12"/>
  <c r="G1341" i="12"/>
  <c r="G1342" i="12"/>
  <c r="G1343" i="12"/>
  <c r="G1344" i="12"/>
  <c r="G1345" i="12"/>
  <c r="G1346" i="12"/>
  <c r="G1347" i="12"/>
  <c r="G1348" i="12"/>
  <c r="G1349" i="12"/>
  <c r="G1350" i="12"/>
  <c r="G1351" i="12"/>
  <c r="G1352" i="12"/>
  <c r="G1353" i="12"/>
  <c r="G1354" i="12"/>
  <c r="G1355" i="12"/>
  <c r="G1356" i="12"/>
  <c r="G1357" i="12"/>
  <c r="G1358" i="12"/>
  <c r="G1359" i="12"/>
  <c r="G1360" i="12"/>
  <c r="G1361" i="12"/>
  <c r="G1362" i="12"/>
  <c r="G1363" i="12"/>
  <c r="G1364" i="12"/>
  <c r="G1365" i="12"/>
  <c r="G1366" i="12"/>
  <c r="G1367" i="12"/>
  <c r="G1368" i="12"/>
  <c r="G1369" i="12"/>
  <c r="G1370" i="12"/>
  <c r="G1371" i="12"/>
  <c r="G1372" i="12"/>
  <c r="G1373" i="12"/>
  <c r="G1374" i="12"/>
  <c r="G1375" i="12"/>
  <c r="G1376" i="12"/>
  <c r="G1377" i="12"/>
  <c r="G1378" i="12"/>
  <c r="G1379" i="12"/>
  <c r="G1380" i="12"/>
  <c r="G1381" i="12"/>
  <c r="G1382" i="12"/>
  <c r="G1383" i="12"/>
  <c r="G1384" i="12"/>
  <c r="G1385" i="12"/>
  <c r="G1386" i="12"/>
  <c r="G1387" i="12"/>
  <c r="G1388" i="12"/>
  <c r="G1389" i="12"/>
  <c r="G1390" i="12"/>
  <c r="G1391" i="12"/>
  <c r="G1392" i="12"/>
  <c r="G1393" i="12"/>
  <c r="G1394" i="12"/>
  <c r="G1395" i="12"/>
  <c r="G1396" i="12"/>
  <c r="G1397" i="12"/>
  <c r="G1398" i="12"/>
  <c r="G1399" i="12"/>
  <c r="G1400" i="12"/>
  <c r="G1401" i="12"/>
  <c r="G1402" i="12"/>
  <c r="G1403" i="12"/>
  <c r="G1404" i="12"/>
  <c r="G1405" i="12"/>
  <c r="G1406" i="12"/>
  <c r="G1407" i="12"/>
  <c r="G1408" i="12"/>
  <c r="G1409" i="12"/>
  <c r="G1410" i="12"/>
  <c r="G1411" i="12"/>
  <c r="G1412" i="12"/>
  <c r="G1413" i="12"/>
  <c r="G1414" i="12"/>
  <c r="G1415" i="12"/>
  <c r="G1416" i="12"/>
  <c r="G1417" i="12"/>
  <c r="G1418" i="12"/>
  <c r="G1419" i="12"/>
  <c r="G1420" i="12"/>
  <c r="G1421" i="12"/>
  <c r="G1422" i="12"/>
  <c r="G1423" i="12"/>
  <c r="G1424" i="12"/>
  <c r="G1425" i="12"/>
  <c r="G1426" i="12"/>
  <c r="G1427" i="12"/>
  <c r="G1428" i="12"/>
  <c r="G1429" i="12"/>
  <c r="G1430" i="12"/>
  <c r="G1431" i="12"/>
  <c r="G1432" i="12"/>
  <c r="G1433" i="12"/>
  <c r="G1434" i="12"/>
  <c r="G1435" i="12"/>
  <c r="G1436" i="12"/>
  <c r="G1437" i="12"/>
  <c r="G1438" i="12"/>
  <c r="G1439" i="12"/>
  <c r="G1440" i="12"/>
  <c r="G1441" i="12"/>
  <c r="G1442" i="12"/>
  <c r="G1443" i="12"/>
  <c r="G1444" i="12"/>
  <c r="G1445" i="12"/>
  <c r="G1446" i="12"/>
  <c r="G1447" i="12"/>
  <c r="G1448" i="12"/>
  <c r="G1449" i="12"/>
  <c r="G1450" i="12"/>
  <c r="G1451" i="12"/>
  <c r="G1452" i="12"/>
  <c r="G1453" i="12"/>
  <c r="G1454" i="12"/>
  <c r="G1455" i="12"/>
  <c r="G1456" i="12"/>
  <c r="G1457" i="12"/>
  <c r="G1458" i="12"/>
  <c r="G1459" i="12"/>
  <c r="G1460" i="12"/>
  <c r="G1461" i="12"/>
  <c r="G1462" i="12"/>
  <c r="G1463" i="12"/>
  <c r="G1464" i="12"/>
  <c r="G1465" i="12"/>
  <c r="G1466" i="12"/>
  <c r="G1467" i="12"/>
  <c r="G1468" i="12"/>
  <c r="G1469" i="12"/>
  <c r="G1470" i="12"/>
  <c r="G1471" i="12"/>
  <c r="G1472" i="12"/>
  <c r="G1473" i="12"/>
  <c r="G1474" i="12"/>
  <c r="G1475" i="12"/>
  <c r="G1476" i="12"/>
  <c r="G1477" i="12"/>
  <c r="G1478" i="12"/>
  <c r="G1479" i="12"/>
  <c r="G1480" i="12"/>
  <c r="G1481" i="12"/>
  <c r="G1482" i="12"/>
  <c r="G1483" i="12"/>
  <c r="G1484" i="12"/>
  <c r="G1485" i="12"/>
  <c r="G1486" i="12"/>
  <c r="G1487" i="12"/>
  <c r="G1488" i="12"/>
  <c r="G1489" i="12"/>
  <c r="G1490" i="12"/>
  <c r="G1491" i="12"/>
  <c r="G1492" i="12"/>
  <c r="G1493" i="12"/>
  <c r="G1494" i="12"/>
  <c r="G1495" i="12"/>
  <c r="G1496" i="12"/>
  <c r="G1497" i="12"/>
  <c r="G1498" i="12"/>
  <c r="G1499" i="12"/>
  <c r="G1500" i="12"/>
  <c r="G1501" i="12"/>
  <c r="G1502" i="12"/>
  <c r="G1503" i="12"/>
  <c r="G1504" i="12"/>
  <c r="G1505" i="12"/>
  <c r="G1506" i="12"/>
  <c r="G1507" i="12"/>
  <c r="G1508" i="12"/>
  <c r="G1509" i="12"/>
  <c r="G1510" i="12"/>
  <c r="G1511" i="12"/>
  <c r="G1512" i="12"/>
  <c r="G1513" i="12"/>
  <c r="G1514" i="12"/>
  <c r="G1515" i="12"/>
  <c r="G1516" i="12"/>
  <c r="G1517" i="12"/>
  <c r="G1518" i="12"/>
  <c r="G1519" i="12"/>
  <c r="G1520" i="12"/>
  <c r="G1521" i="12"/>
  <c r="G1522" i="12"/>
  <c r="G1523" i="12"/>
  <c r="G1524" i="12"/>
  <c r="G1525" i="12"/>
  <c r="G1526" i="12"/>
  <c r="G1527" i="12"/>
  <c r="G1528" i="12"/>
  <c r="G1529" i="12"/>
  <c r="G1530" i="12"/>
  <c r="G1531" i="12"/>
  <c r="G1532" i="12"/>
  <c r="G1533" i="12"/>
  <c r="G1534" i="12"/>
  <c r="G1535" i="12"/>
  <c r="G1536" i="12"/>
  <c r="G1537" i="12"/>
  <c r="G1538" i="12"/>
  <c r="G1539" i="12"/>
  <c r="G1540" i="12"/>
  <c r="G1541" i="12"/>
  <c r="G1542" i="12"/>
  <c r="G1543" i="12"/>
  <c r="G1544" i="12"/>
  <c r="G1545" i="12"/>
  <c r="G1546" i="12"/>
  <c r="G1547" i="12"/>
  <c r="G1548" i="12"/>
  <c r="G1549" i="12"/>
  <c r="G1550" i="12"/>
  <c r="G1551" i="12"/>
  <c r="G1552" i="12"/>
  <c r="G1553" i="12"/>
  <c r="G1554" i="12"/>
  <c r="G1555" i="12"/>
  <c r="G1556" i="12"/>
  <c r="G1557" i="12"/>
  <c r="G1558" i="12"/>
  <c r="G1559" i="12"/>
  <c r="G1560" i="12"/>
  <c r="G1561" i="12"/>
  <c r="G1562" i="12"/>
  <c r="G1563" i="12"/>
  <c r="G1564" i="12"/>
  <c r="G1565" i="12"/>
  <c r="G1566" i="12"/>
  <c r="G1567" i="12"/>
  <c r="G1568" i="12"/>
  <c r="G1569" i="12"/>
  <c r="G1570" i="12"/>
  <c r="G1571" i="12"/>
  <c r="G1572" i="12"/>
  <c r="G1573" i="12"/>
  <c r="G1574" i="12"/>
  <c r="G1575" i="12"/>
  <c r="G1576" i="12"/>
  <c r="G1577" i="12"/>
  <c r="G1578" i="12"/>
  <c r="G1579" i="12"/>
  <c r="G1580" i="12"/>
  <c r="G1581" i="12"/>
  <c r="G1582" i="12"/>
  <c r="G1583" i="12"/>
  <c r="G1584" i="12"/>
  <c r="G1585" i="12"/>
  <c r="G1586" i="12"/>
  <c r="G1587" i="12"/>
  <c r="G1588" i="12"/>
  <c r="G1589" i="12"/>
  <c r="G1590" i="12"/>
  <c r="G1591" i="12"/>
  <c r="G1592" i="12"/>
  <c r="G1593" i="12"/>
  <c r="G1594" i="12"/>
  <c r="G1595" i="12"/>
  <c r="G1596" i="12"/>
  <c r="G1597" i="12"/>
  <c r="G1598" i="12"/>
  <c r="G1599" i="12"/>
  <c r="G1600" i="12"/>
  <c r="G1601" i="12"/>
  <c r="G1602" i="12"/>
  <c r="G1603" i="12"/>
  <c r="G1604" i="12"/>
  <c r="G1605" i="12"/>
  <c r="G1606" i="12"/>
  <c r="G1607" i="12"/>
  <c r="G1608" i="12"/>
  <c r="G1609" i="12"/>
  <c r="G1610" i="12"/>
  <c r="G1611" i="12"/>
  <c r="G1612" i="12"/>
  <c r="G1613" i="12"/>
  <c r="G1614" i="12"/>
  <c r="G1615" i="12"/>
  <c r="G1616" i="12"/>
  <c r="G1617" i="12"/>
  <c r="G1618" i="12"/>
  <c r="G1619" i="12"/>
  <c r="G1620" i="12"/>
  <c r="G1621" i="12"/>
  <c r="G1622" i="12"/>
  <c r="G1623" i="12"/>
  <c r="G1624" i="12"/>
  <c r="G1625" i="12"/>
  <c r="G1626" i="12"/>
  <c r="G1627" i="12"/>
  <c r="G1628" i="12"/>
  <c r="G1629" i="12"/>
  <c r="G1630" i="12"/>
  <c r="G1631" i="12"/>
  <c r="G1632" i="12"/>
  <c r="G1633" i="12"/>
  <c r="G1634" i="12"/>
  <c r="G1635" i="12"/>
  <c r="G1636" i="12"/>
  <c r="G1637" i="12"/>
  <c r="G1638" i="12"/>
  <c r="G1639" i="12"/>
  <c r="G1640" i="12"/>
  <c r="G1641" i="12"/>
  <c r="G1642" i="12"/>
  <c r="G1643" i="12"/>
  <c r="G1644" i="12"/>
  <c r="G1645" i="12"/>
  <c r="G1646" i="12"/>
  <c r="G1647" i="12"/>
  <c r="G1648" i="12"/>
  <c r="G1649" i="12"/>
  <c r="G1650" i="12"/>
  <c r="G1651" i="12"/>
  <c r="G1652" i="12"/>
  <c r="G1653" i="12"/>
  <c r="G1654" i="12"/>
  <c r="G1655" i="12"/>
  <c r="G1656" i="12"/>
  <c r="G1657" i="12"/>
  <c r="G1658" i="12"/>
  <c r="G1659" i="12"/>
  <c r="G1660" i="12"/>
  <c r="G1661" i="12"/>
  <c r="G1662" i="12"/>
  <c r="G1663" i="12"/>
  <c r="G1664" i="12"/>
  <c r="G1665" i="12"/>
  <c r="G1666" i="12"/>
  <c r="G1667" i="12"/>
  <c r="G1668" i="12"/>
  <c r="G1669" i="12"/>
  <c r="G1670" i="12"/>
  <c r="G1671" i="12"/>
  <c r="G1672" i="12"/>
  <c r="G1673" i="12"/>
  <c r="G1674" i="12"/>
  <c r="G1675" i="12"/>
  <c r="G1676" i="12"/>
  <c r="G1677" i="12"/>
  <c r="G1678" i="12"/>
  <c r="G1679" i="12"/>
  <c r="G1680" i="12"/>
  <c r="G1681" i="12"/>
  <c r="G1682" i="12"/>
  <c r="G1683" i="12"/>
  <c r="G1684" i="12"/>
  <c r="G1685" i="12"/>
  <c r="G1686" i="12"/>
  <c r="G1687" i="12"/>
  <c r="G1688" i="12"/>
  <c r="G1689" i="12"/>
  <c r="G1690" i="12"/>
  <c r="G1691" i="12"/>
  <c r="G1692" i="12"/>
  <c r="G1693" i="12"/>
  <c r="G1694" i="12"/>
  <c r="G1695" i="12"/>
  <c r="G1696" i="12"/>
  <c r="G1697" i="12"/>
  <c r="G1698" i="12"/>
  <c r="G1699" i="12"/>
  <c r="G1700" i="12"/>
  <c r="G1701" i="12"/>
  <c r="G1702" i="12"/>
  <c r="G1703" i="12"/>
  <c r="G1704" i="12"/>
  <c r="G1705" i="12"/>
  <c r="G1706" i="12"/>
  <c r="G1707" i="12"/>
  <c r="G1708" i="12"/>
  <c r="G1709" i="12"/>
  <c r="G1710" i="12"/>
  <c r="G1711" i="12"/>
  <c r="G1712" i="12"/>
  <c r="G1713" i="12"/>
  <c r="G1714" i="12"/>
  <c r="G1715" i="12"/>
  <c r="G1716" i="12"/>
  <c r="G1717" i="12"/>
  <c r="G1718" i="12"/>
  <c r="G1719" i="12"/>
  <c r="G1720" i="12"/>
  <c r="G1721" i="12"/>
  <c r="G1722" i="12"/>
  <c r="G1723" i="12"/>
  <c r="G1724" i="12"/>
  <c r="G1725" i="12"/>
  <c r="G1726" i="12"/>
  <c r="G1727" i="12"/>
  <c r="G1728" i="12"/>
  <c r="G1729" i="12"/>
  <c r="G1730" i="12"/>
  <c r="G1731" i="12"/>
  <c r="G1732" i="12"/>
  <c r="G1733" i="12"/>
  <c r="G1734" i="12"/>
  <c r="G1735" i="12"/>
  <c r="G1736" i="12"/>
  <c r="G1737" i="12"/>
  <c r="G1738" i="12"/>
  <c r="G1739" i="12"/>
  <c r="G1740" i="12"/>
  <c r="G1741" i="12"/>
  <c r="G1742" i="12"/>
  <c r="G1743" i="12"/>
  <c r="G1744" i="12"/>
  <c r="G1745" i="12"/>
  <c r="G1746" i="12"/>
  <c r="G1747" i="12"/>
  <c r="G1748" i="12"/>
  <c r="G1749" i="12"/>
  <c r="G1750" i="12"/>
  <c r="G1751" i="12"/>
  <c r="G1752" i="12"/>
  <c r="G1753" i="12"/>
  <c r="G1754" i="12"/>
  <c r="G1755" i="12"/>
  <c r="G1756" i="12"/>
  <c r="G1757" i="12"/>
  <c r="G1758" i="12"/>
  <c r="G1759" i="12"/>
  <c r="G1760" i="12"/>
  <c r="G1761" i="12"/>
  <c r="G1762" i="12"/>
  <c r="G1763" i="12"/>
  <c r="G1764" i="12"/>
  <c r="G1765" i="12"/>
  <c r="G1766" i="12"/>
  <c r="G1767" i="12"/>
  <c r="G1768" i="12"/>
  <c r="G1769" i="12"/>
  <c r="G1770" i="12"/>
  <c r="G1771" i="12"/>
  <c r="G1772" i="12"/>
  <c r="G1773" i="12"/>
  <c r="G1774" i="12"/>
  <c r="G1775" i="12"/>
  <c r="G1776" i="12"/>
  <c r="G1777" i="12"/>
  <c r="G1778" i="12"/>
  <c r="G1779" i="12"/>
  <c r="G1780" i="12"/>
  <c r="G1781" i="12"/>
  <c r="G1782" i="12"/>
  <c r="G1783" i="12"/>
  <c r="G1784" i="12"/>
  <c r="G1785" i="12"/>
  <c r="G1786" i="12"/>
  <c r="G1787" i="12"/>
  <c r="G1788" i="12"/>
  <c r="G1789" i="12"/>
  <c r="G1790" i="12"/>
  <c r="G1791" i="12"/>
  <c r="G1792" i="12"/>
  <c r="G1793" i="12"/>
  <c r="G1794" i="12"/>
  <c r="G1795" i="12"/>
  <c r="G1796" i="12"/>
  <c r="G1797" i="12"/>
  <c r="G1798" i="12"/>
  <c r="G1799" i="12"/>
  <c r="G1800" i="12"/>
  <c r="G1801" i="12"/>
  <c r="G1802" i="12"/>
  <c r="G1803" i="12"/>
  <c r="G1804" i="12"/>
  <c r="G1805" i="12"/>
  <c r="G1806" i="12"/>
  <c r="G1807" i="12"/>
  <c r="G1808" i="12"/>
  <c r="G1809" i="12"/>
  <c r="G1810" i="12"/>
  <c r="G1811" i="12"/>
  <c r="G1812" i="12"/>
  <c r="G1813" i="12"/>
  <c r="G1814" i="12"/>
  <c r="G1815" i="12"/>
  <c r="G1816" i="12"/>
  <c r="G1817" i="12"/>
  <c r="G1818" i="12"/>
  <c r="G1819" i="12"/>
  <c r="G1820" i="12"/>
  <c r="G1821" i="12"/>
  <c r="G1822" i="12"/>
  <c r="G1823" i="12"/>
  <c r="G1824" i="12"/>
  <c r="G1825" i="12"/>
  <c r="G1826" i="12"/>
  <c r="G1827" i="12"/>
  <c r="G1828" i="12"/>
  <c r="G1829" i="12"/>
  <c r="G1830" i="12"/>
  <c r="G1831" i="12"/>
  <c r="G1832" i="12"/>
  <c r="G1833" i="12"/>
  <c r="G1834" i="12"/>
  <c r="G1835" i="12"/>
  <c r="G1836" i="12"/>
  <c r="G1837" i="12"/>
  <c r="G1838" i="12"/>
  <c r="G1839" i="12"/>
  <c r="G1840" i="12"/>
  <c r="G1841" i="12"/>
  <c r="G1842" i="12"/>
  <c r="G1843" i="12"/>
  <c r="G1844" i="12"/>
  <c r="G1845" i="12"/>
  <c r="G1846" i="12"/>
  <c r="G1847" i="12"/>
  <c r="G1848" i="12"/>
  <c r="G1849" i="12"/>
  <c r="G1850" i="12"/>
  <c r="G1851" i="12"/>
  <c r="G1852" i="12"/>
  <c r="G1853" i="12"/>
  <c r="G1854" i="12"/>
  <c r="G1855" i="12"/>
  <c r="G1856" i="12"/>
  <c r="G1857" i="12"/>
  <c r="G1858" i="12"/>
  <c r="G1859" i="12"/>
  <c r="G1860" i="12"/>
  <c r="G1861" i="12"/>
  <c r="G1862" i="12"/>
  <c r="G1863" i="12"/>
  <c r="G1864" i="12"/>
  <c r="G1865" i="12"/>
  <c r="G1866" i="12"/>
  <c r="G1867" i="12"/>
  <c r="G1868" i="12"/>
  <c r="G1869" i="12"/>
  <c r="G1870" i="12"/>
  <c r="G1871" i="12"/>
  <c r="G1872" i="12"/>
  <c r="G1873" i="12"/>
  <c r="G1874" i="12"/>
  <c r="G1875" i="12"/>
  <c r="G1876" i="12"/>
  <c r="G1877" i="12"/>
  <c r="G1878" i="12"/>
  <c r="G1879" i="12"/>
  <c r="G1880" i="12"/>
  <c r="G1881" i="12"/>
  <c r="G1882" i="12"/>
  <c r="G1883" i="12"/>
  <c r="G1884" i="12"/>
  <c r="G1885" i="12"/>
  <c r="G1886" i="12"/>
  <c r="G1887" i="12"/>
  <c r="G1888" i="12"/>
  <c r="G1889" i="12"/>
  <c r="G1890" i="12"/>
  <c r="G1891" i="12"/>
  <c r="G1892" i="12"/>
  <c r="G1893" i="12"/>
  <c r="G1894" i="12"/>
  <c r="G1895" i="12"/>
  <c r="G1896" i="12"/>
  <c r="G1897" i="12"/>
  <c r="G1898" i="12"/>
  <c r="G1899" i="12"/>
  <c r="G1900" i="12"/>
  <c r="G1901" i="12"/>
  <c r="G1902" i="12"/>
  <c r="G1903" i="12"/>
  <c r="G1904" i="12"/>
  <c r="G1905" i="12"/>
  <c r="G1906" i="12"/>
  <c r="G1907" i="12"/>
  <c r="G1908" i="12"/>
  <c r="G1909" i="12"/>
  <c r="G1910" i="12"/>
  <c r="G1911" i="12"/>
  <c r="G1912" i="12"/>
  <c r="G1913" i="12"/>
  <c r="G1914" i="12"/>
  <c r="G1915" i="12"/>
  <c r="G1916" i="12"/>
  <c r="G1917" i="12"/>
  <c r="G1918" i="12"/>
  <c r="G1919" i="12"/>
  <c r="G1920" i="12"/>
  <c r="G1921" i="12"/>
  <c r="G1922" i="12"/>
  <c r="G1923" i="12"/>
  <c r="G1924" i="12"/>
  <c r="G1925" i="12"/>
  <c r="G1926" i="12"/>
  <c r="G1927" i="12"/>
  <c r="G1928" i="12"/>
  <c r="G1929" i="12"/>
  <c r="G1930" i="12"/>
  <c r="G1931" i="12"/>
  <c r="G1932" i="12"/>
  <c r="G1933" i="12"/>
  <c r="G1934" i="12"/>
  <c r="G1935" i="12"/>
  <c r="G1936" i="12"/>
  <c r="G1937" i="12"/>
  <c r="G1938" i="12"/>
  <c r="G1939" i="12"/>
  <c r="G1940" i="12"/>
  <c r="G1941" i="12"/>
  <c r="G1942" i="12"/>
  <c r="G1943" i="12"/>
  <c r="G1944" i="12"/>
  <c r="G1945" i="12"/>
  <c r="G1946" i="12"/>
  <c r="G1947" i="12"/>
  <c r="G1948" i="12"/>
  <c r="G1949" i="12"/>
  <c r="G1950" i="12"/>
  <c r="G1951" i="12"/>
  <c r="G1952" i="12"/>
  <c r="G1953" i="12"/>
  <c r="G1954" i="12"/>
  <c r="G1955" i="12"/>
  <c r="G1956" i="12"/>
  <c r="G1957" i="12"/>
  <c r="G1958" i="12"/>
  <c r="G1959" i="12"/>
  <c r="G1960" i="12"/>
  <c r="G1961" i="12"/>
  <c r="G1962" i="12"/>
  <c r="G1963" i="12"/>
  <c r="G1964" i="12"/>
  <c r="G1965" i="12"/>
  <c r="G1966" i="12"/>
  <c r="G1967" i="12"/>
  <c r="G1968" i="12"/>
  <c r="G1969" i="12"/>
  <c r="G1970" i="12"/>
  <c r="G1971" i="12"/>
  <c r="G1972" i="12"/>
  <c r="G1973" i="12"/>
  <c r="G1974" i="12"/>
  <c r="G1975" i="12"/>
  <c r="G1976" i="12"/>
  <c r="G1977" i="12"/>
  <c r="G1978" i="12"/>
  <c r="G1979" i="12"/>
  <c r="G1980" i="12"/>
  <c r="G1981" i="12"/>
  <c r="G1982" i="12"/>
  <c r="G1983" i="12"/>
  <c r="G1984" i="12"/>
  <c r="G1985" i="12"/>
  <c r="G1986" i="12"/>
  <c r="G1987" i="12"/>
  <c r="G1988" i="12"/>
  <c r="G1989" i="12"/>
  <c r="G1990" i="12"/>
  <c r="G1991" i="12"/>
  <c r="G1992" i="12"/>
  <c r="G1993" i="12"/>
  <c r="G1994" i="12"/>
  <c r="G1995" i="12"/>
  <c r="G1996" i="12"/>
  <c r="G1997" i="12"/>
  <c r="G1998" i="12"/>
  <c r="G1999" i="12"/>
  <c r="G2000" i="12"/>
  <c r="G2001" i="12"/>
  <c r="G2002" i="12"/>
  <c r="G2003" i="12"/>
  <c r="G2004" i="12"/>
  <c r="G2005" i="12"/>
  <c r="G2006" i="12"/>
  <c r="G2007" i="12"/>
  <c r="G2008" i="12"/>
  <c r="G2009" i="12"/>
  <c r="G2010" i="12"/>
  <c r="G2011" i="12"/>
  <c r="G2012" i="12"/>
  <c r="G2013" i="12"/>
  <c r="G2014" i="12"/>
  <c r="G2015" i="12"/>
  <c r="G2016" i="12"/>
  <c r="G2017" i="12"/>
  <c r="G2018" i="12"/>
  <c r="G2019" i="12"/>
  <c r="G2020" i="12"/>
  <c r="G2021" i="12"/>
  <c r="G2022" i="12"/>
  <c r="G2023" i="12"/>
  <c r="G2024" i="12"/>
  <c r="G2025" i="12"/>
  <c r="G2026" i="12"/>
  <c r="G2027" i="12"/>
  <c r="G2028" i="12"/>
  <c r="G2029" i="12"/>
  <c r="G2030" i="12"/>
  <c r="G2031" i="12"/>
  <c r="G2032" i="12"/>
  <c r="G2033" i="12"/>
  <c r="G2034" i="12"/>
  <c r="G2035" i="12"/>
  <c r="G2036" i="12"/>
  <c r="G2037" i="12"/>
  <c r="G2038" i="12"/>
  <c r="G2039" i="12"/>
  <c r="G2040" i="12"/>
  <c r="G2041" i="12"/>
  <c r="G2042" i="12"/>
  <c r="G2043" i="12"/>
  <c r="G2044" i="12"/>
  <c r="G2045" i="12"/>
  <c r="G2046" i="12"/>
  <c r="G2047" i="12"/>
  <c r="G2048" i="12"/>
  <c r="G2049" i="12"/>
  <c r="G2050" i="12"/>
  <c r="G2051" i="12"/>
  <c r="G2052" i="12"/>
  <c r="G2053" i="12"/>
  <c r="G2054" i="12"/>
  <c r="G2055" i="12"/>
  <c r="G2056" i="12"/>
  <c r="G2057" i="12"/>
  <c r="G2058" i="12"/>
  <c r="G2059" i="12"/>
  <c r="G2060" i="12"/>
  <c r="G2061" i="12"/>
  <c r="G2062" i="12"/>
  <c r="G2063" i="12"/>
  <c r="G2064" i="12"/>
  <c r="G2065" i="12"/>
  <c r="G2066" i="12"/>
  <c r="G2067" i="12"/>
  <c r="G2068" i="12"/>
  <c r="G2069" i="12"/>
  <c r="G2070" i="12"/>
  <c r="G2071" i="12"/>
  <c r="G2072" i="12"/>
  <c r="G2073" i="12"/>
  <c r="G2074" i="12"/>
  <c r="G2075" i="12"/>
  <c r="G2076" i="12"/>
  <c r="G2077" i="12"/>
  <c r="G2078" i="12"/>
  <c r="G2079" i="12"/>
  <c r="G2080" i="12"/>
  <c r="G2081" i="12"/>
  <c r="G2082" i="12"/>
  <c r="G2083" i="12"/>
  <c r="G2084" i="12"/>
  <c r="G2085" i="12"/>
  <c r="G2086" i="12"/>
  <c r="G2087" i="12"/>
  <c r="G2088" i="12"/>
  <c r="G2089" i="12"/>
  <c r="G2090" i="12"/>
  <c r="G2091" i="12"/>
  <c r="G2092" i="12"/>
  <c r="G2093" i="12"/>
  <c r="G2094" i="12"/>
  <c r="G2095" i="12"/>
  <c r="G2096" i="12"/>
  <c r="G2097" i="12"/>
  <c r="G2098" i="12"/>
  <c r="G2099" i="12"/>
  <c r="G2100" i="12"/>
  <c r="G2101" i="12"/>
  <c r="G2102" i="12"/>
  <c r="G2103" i="12"/>
  <c r="G2104" i="12"/>
  <c r="G2105" i="12"/>
  <c r="G2106" i="12"/>
  <c r="G2107" i="12"/>
  <c r="G2108" i="12"/>
  <c r="G2109" i="12"/>
  <c r="G2110" i="12"/>
  <c r="G2111" i="12"/>
  <c r="G2112" i="12"/>
  <c r="G2113" i="12"/>
  <c r="G2114" i="12"/>
  <c r="G2115" i="12"/>
  <c r="G2116" i="12"/>
  <c r="G2117" i="12"/>
  <c r="G2118" i="12"/>
  <c r="G2119" i="12"/>
  <c r="G2120" i="12"/>
  <c r="G2121" i="12"/>
  <c r="G2122" i="12"/>
  <c r="G2123" i="12"/>
  <c r="G2124" i="12"/>
  <c r="G2125" i="12"/>
  <c r="G2126" i="12"/>
  <c r="G2127" i="12"/>
  <c r="G2128" i="12"/>
  <c r="G2129" i="12"/>
  <c r="G2130" i="12"/>
  <c r="G2131" i="12"/>
  <c r="G2132" i="12"/>
  <c r="G2133" i="12"/>
  <c r="G2134" i="12"/>
  <c r="G2135" i="12"/>
  <c r="G2136" i="12"/>
  <c r="G2137" i="12"/>
  <c r="G2138" i="12"/>
  <c r="G2139" i="12"/>
  <c r="G2140" i="12"/>
  <c r="G2141" i="12"/>
  <c r="G2142" i="12"/>
  <c r="G2143" i="12"/>
  <c r="G2144" i="12"/>
  <c r="G2145" i="12"/>
  <c r="G2146" i="12"/>
  <c r="G2147" i="12"/>
  <c r="G2148" i="12"/>
  <c r="G2149" i="12"/>
  <c r="G2150" i="12"/>
  <c r="G2151" i="12"/>
  <c r="G2152" i="12"/>
  <c r="G2153" i="12"/>
  <c r="G2154" i="12"/>
  <c r="G2155" i="12"/>
  <c r="G2156" i="12"/>
  <c r="G2157" i="12"/>
  <c r="G2158" i="12"/>
  <c r="G2159" i="12"/>
  <c r="G2160" i="12"/>
  <c r="G2161" i="12"/>
  <c r="G2162" i="12"/>
  <c r="G2163" i="12"/>
  <c r="G2164" i="12"/>
  <c r="G2165" i="12"/>
  <c r="G2166" i="12"/>
  <c r="G2167" i="12"/>
  <c r="G2168" i="12"/>
  <c r="G2169" i="12"/>
  <c r="G2170" i="12"/>
  <c r="G2171" i="12"/>
  <c r="G2172" i="12"/>
  <c r="G2173" i="12"/>
  <c r="G2174" i="12"/>
  <c r="G2175" i="12"/>
  <c r="G2176" i="12"/>
  <c r="G2177" i="12"/>
  <c r="G2178" i="12"/>
  <c r="G2179" i="12"/>
  <c r="G2180" i="12"/>
  <c r="G2181" i="12"/>
  <c r="G2182" i="12"/>
  <c r="G2183" i="12"/>
  <c r="G2184" i="12"/>
  <c r="G2185" i="12"/>
  <c r="G2186" i="12"/>
  <c r="G2187" i="12"/>
  <c r="G2188" i="12"/>
  <c r="G2189" i="12"/>
  <c r="G2190" i="12"/>
  <c r="G2191" i="12"/>
  <c r="G2192" i="12"/>
  <c r="G2193" i="12"/>
  <c r="G2194" i="12"/>
  <c r="G2195" i="12"/>
  <c r="G2196" i="12"/>
  <c r="G2197" i="12"/>
  <c r="G2198" i="12"/>
  <c r="G2199" i="12"/>
  <c r="G2200" i="12"/>
  <c r="G2201" i="12"/>
  <c r="G2202" i="12"/>
  <c r="G2203" i="12"/>
  <c r="G2204" i="12"/>
  <c r="G2205" i="12"/>
  <c r="G2206" i="12"/>
  <c r="G2207" i="12"/>
  <c r="G2208" i="12"/>
  <c r="G2209" i="12"/>
  <c r="G2210" i="12"/>
  <c r="G2211" i="12"/>
  <c r="G2212" i="12"/>
  <c r="G2213" i="12"/>
  <c r="G2214" i="12"/>
  <c r="G2215" i="12"/>
  <c r="G2216" i="12"/>
  <c r="G2217" i="12"/>
  <c r="G2218" i="12"/>
  <c r="G2219" i="12"/>
  <c r="G2220" i="12"/>
  <c r="G2221" i="12"/>
  <c r="G2222" i="12"/>
  <c r="G2223" i="12"/>
  <c r="G2224" i="12"/>
  <c r="G2225" i="12"/>
  <c r="G2226" i="12"/>
  <c r="G2227" i="12"/>
  <c r="G2228" i="12"/>
  <c r="G2229" i="12"/>
  <c r="G2230" i="12"/>
  <c r="G2231" i="12"/>
  <c r="G2232" i="12"/>
  <c r="G2233" i="12"/>
  <c r="G2234" i="12"/>
  <c r="G2235" i="12"/>
  <c r="G2236" i="12"/>
  <c r="G2237" i="12"/>
  <c r="G2238" i="12"/>
  <c r="G2239" i="12"/>
  <c r="G2240" i="12"/>
  <c r="G2241" i="12"/>
  <c r="G2242" i="12"/>
  <c r="G2243" i="12"/>
  <c r="G2244" i="12"/>
  <c r="G2245" i="12"/>
  <c r="G2246" i="12"/>
  <c r="G2247" i="12"/>
  <c r="G2248" i="12"/>
  <c r="G2249" i="12"/>
  <c r="G2250" i="12"/>
  <c r="G2251" i="12"/>
  <c r="G2252" i="12"/>
  <c r="G2253" i="12"/>
  <c r="G2254" i="12"/>
  <c r="G2255" i="12"/>
  <c r="G2256" i="12"/>
  <c r="G2257" i="12"/>
  <c r="G2258" i="12"/>
  <c r="G2259" i="12"/>
  <c r="G2260" i="12"/>
  <c r="G2261" i="12"/>
  <c r="G2262" i="12"/>
  <c r="G2263" i="12"/>
  <c r="G2264" i="12"/>
  <c r="G2265" i="12"/>
  <c r="G2266" i="12"/>
  <c r="G2267" i="12"/>
  <c r="G2268" i="12"/>
  <c r="G2269" i="12"/>
  <c r="G2270" i="12"/>
  <c r="G2271" i="12"/>
  <c r="G2272" i="12"/>
  <c r="G2273" i="12"/>
  <c r="G2274" i="12"/>
  <c r="G2275" i="12"/>
  <c r="G2276" i="12"/>
  <c r="G2277" i="12"/>
  <c r="G2278" i="12"/>
  <c r="G2279" i="12"/>
  <c r="G2280" i="12"/>
  <c r="G2281" i="12"/>
  <c r="G2282" i="12"/>
  <c r="G2283" i="12"/>
  <c r="G2284" i="12"/>
  <c r="G2285" i="12"/>
  <c r="G2286" i="12"/>
  <c r="G2287" i="12"/>
  <c r="G2288" i="12"/>
  <c r="G2289" i="12"/>
  <c r="G2290" i="12"/>
  <c r="G2291" i="12"/>
  <c r="G2292" i="12"/>
  <c r="G2293" i="12"/>
  <c r="G2294" i="12"/>
  <c r="G2295" i="12"/>
  <c r="G2296" i="12"/>
  <c r="G2297" i="12"/>
  <c r="G2298" i="12"/>
  <c r="G2299" i="12"/>
  <c r="G2300" i="12"/>
  <c r="G2301" i="12"/>
  <c r="G2302" i="12"/>
  <c r="G2303" i="12"/>
  <c r="G2304" i="12"/>
  <c r="G2305" i="12"/>
  <c r="G2306" i="12"/>
  <c r="G2307" i="12"/>
  <c r="G2308" i="12"/>
  <c r="G2309" i="12"/>
  <c r="G2310" i="12"/>
  <c r="G2311" i="12"/>
  <c r="G2312" i="12"/>
  <c r="G2313" i="12"/>
  <c r="G2314" i="12"/>
  <c r="G2315" i="12"/>
  <c r="G2316" i="12"/>
  <c r="G2317" i="12"/>
  <c r="G2318" i="12"/>
  <c r="G2319" i="12"/>
  <c r="G2320" i="12"/>
  <c r="G2321" i="12"/>
  <c r="G2322" i="12"/>
  <c r="G2323" i="12"/>
  <c r="G2324" i="12"/>
  <c r="G2325" i="12"/>
  <c r="G2326" i="12"/>
  <c r="G2327" i="12"/>
  <c r="G2328" i="12"/>
  <c r="G2329" i="12"/>
  <c r="G2330" i="12"/>
  <c r="G2331" i="12"/>
  <c r="G2332" i="12"/>
  <c r="G2333" i="12"/>
  <c r="G2334" i="12"/>
  <c r="G2335" i="12"/>
  <c r="G2336" i="12"/>
  <c r="G2337" i="12"/>
  <c r="G2338" i="12"/>
  <c r="G2339" i="12"/>
  <c r="G2340" i="12"/>
  <c r="G2341" i="12"/>
  <c r="G2342" i="12"/>
  <c r="G2343" i="12"/>
  <c r="G2344" i="12"/>
  <c r="G2345" i="12"/>
  <c r="G2346" i="12"/>
  <c r="G2347" i="12"/>
  <c r="G2348" i="12"/>
  <c r="G2349" i="12"/>
  <c r="G2350" i="12"/>
  <c r="G2351" i="12"/>
  <c r="G2352" i="12"/>
  <c r="G2353" i="12"/>
  <c r="G2354" i="12"/>
  <c r="G2355" i="12"/>
  <c r="G2356" i="12"/>
  <c r="G2357" i="12"/>
  <c r="G2358" i="12"/>
  <c r="G2359" i="12"/>
  <c r="G2360" i="12"/>
  <c r="G2361" i="12"/>
  <c r="G2362" i="12"/>
  <c r="G2363" i="12"/>
  <c r="G2364" i="12"/>
  <c r="G2365" i="12"/>
  <c r="G2366" i="12"/>
  <c r="G2367" i="12"/>
  <c r="G2368" i="12"/>
  <c r="G2369" i="12"/>
  <c r="G2370" i="12"/>
  <c r="G2371" i="12"/>
  <c r="G2372" i="12"/>
  <c r="G2373" i="12"/>
  <c r="G2374" i="12"/>
  <c r="G2375" i="12"/>
  <c r="G2376" i="12"/>
  <c r="G2377" i="12"/>
  <c r="G2378" i="12"/>
  <c r="G2379" i="12"/>
  <c r="G2380" i="12"/>
  <c r="G2381" i="12"/>
  <c r="G2382" i="12"/>
  <c r="G2383" i="12"/>
  <c r="G2384" i="12"/>
  <c r="G2385" i="12"/>
  <c r="G2386" i="12"/>
  <c r="G2387" i="12"/>
  <c r="G2388" i="12"/>
  <c r="G2389" i="12"/>
  <c r="G2390" i="12"/>
  <c r="G2391" i="12"/>
  <c r="G2392" i="12"/>
  <c r="G2393" i="12"/>
  <c r="G2394" i="12"/>
  <c r="G2395" i="12"/>
  <c r="G2396" i="12"/>
  <c r="G2397" i="12"/>
  <c r="G2398" i="12"/>
  <c r="G2399" i="12"/>
  <c r="G2400" i="12"/>
  <c r="G2401" i="12"/>
  <c r="G2402" i="12"/>
  <c r="G2403" i="12"/>
  <c r="G2404" i="12"/>
  <c r="G2405" i="12"/>
  <c r="G2406" i="12"/>
  <c r="G2407" i="12"/>
  <c r="G2408" i="12"/>
  <c r="G2409" i="12"/>
  <c r="G2410" i="12"/>
  <c r="G2411" i="12"/>
  <c r="G2412" i="12"/>
  <c r="G2413" i="12"/>
  <c r="G2414" i="12"/>
  <c r="G2415" i="12"/>
  <c r="G2416" i="12"/>
  <c r="G2417" i="12"/>
  <c r="G2418" i="12"/>
  <c r="G2419" i="12"/>
  <c r="G2420" i="12"/>
  <c r="G2421" i="12"/>
  <c r="G2422" i="12"/>
  <c r="G2423" i="12"/>
  <c r="G2424" i="12"/>
  <c r="G2425" i="12"/>
  <c r="G2426" i="12"/>
  <c r="G2427" i="12"/>
  <c r="G2428" i="12"/>
  <c r="G2429" i="12"/>
  <c r="G2430" i="12"/>
  <c r="G2431" i="12"/>
  <c r="G2432" i="12"/>
  <c r="G2433" i="12"/>
  <c r="G2434" i="12"/>
  <c r="G2435" i="12"/>
  <c r="G2436" i="12"/>
  <c r="G2437" i="12"/>
  <c r="G2438" i="12"/>
  <c r="G2439" i="12"/>
  <c r="G2440" i="12"/>
  <c r="G2441" i="12"/>
  <c r="G2442" i="12"/>
  <c r="G2443" i="12"/>
  <c r="G2444" i="12"/>
  <c r="G2445" i="12"/>
  <c r="G2446" i="12"/>
  <c r="G2447" i="12"/>
  <c r="G2448" i="12"/>
  <c r="G2449" i="12"/>
  <c r="G2450" i="12"/>
  <c r="G2451" i="12"/>
  <c r="G2452" i="12"/>
  <c r="G2453" i="12"/>
  <c r="G2454" i="12"/>
  <c r="G2455" i="12"/>
  <c r="G2456" i="12"/>
  <c r="G2457" i="12"/>
  <c r="G2458" i="12"/>
  <c r="G2459" i="12"/>
  <c r="G2460" i="12"/>
  <c r="G2461" i="12"/>
  <c r="G2462" i="12"/>
  <c r="G2463" i="12"/>
  <c r="G2464" i="12"/>
  <c r="G2465" i="12"/>
  <c r="G2466" i="12"/>
  <c r="G2467" i="12"/>
  <c r="G2468" i="12"/>
  <c r="G2469" i="12"/>
  <c r="G2470" i="12"/>
  <c r="G2471" i="12"/>
  <c r="G2472" i="12"/>
  <c r="G2473" i="12"/>
  <c r="G2474" i="12"/>
  <c r="G2475" i="12"/>
  <c r="G2476" i="12"/>
  <c r="G2477" i="12"/>
  <c r="G2478" i="12"/>
  <c r="G2479" i="12"/>
  <c r="G2480" i="12"/>
  <c r="G2481" i="12"/>
  <c r="G2482" i="12"/>
  <c r="G2483" i="12"/>
  <c r="G2484" i="12"/>
  <c r="G2485" i="12"/>
  <c r="G2486" i="12"/>
  <c r="G2487" i="12"/>
  <c r="G2488" i="12"/>
  <c r="G2489" i="12"/>
  <c r="G2490" i="12"/>
  <c r="G2491" i="12"/>
  <c r="G2492" i="12"/>
  <c r="G2493" i="12"/>
  <c r="G2494" i="12"/>
  <c r="G2495" i="12"/>
  <c r="G2496" i="12"/>
  <c r="G2497" i="12"/>
  <c r="G2498" i="12"/>
  <c r="G2499" i="12"/>
  <c r="G2500" i="12"/>
  <c r="G2501" i="12"/>
  <c r="G2502" i="12"/>
  <c r="G2503" i="12"/>
  <c r="G2504" i="12"/>
  <c r="G2505" i="12"/>
  <c r="G2506" i="12"/>
  <c r="G2507" i="12"/>
  <c r="G2508" i="12"/>
  <c r="G2509" i="12"/>
  <c r="G2510" i="12"/>
  <c r="G2511" i="12"/>
  <c r="G2512" i="12"/>
  <c r="G2513" i="12"/>
  <c r="G2514" i="12"/>
  <c r="G2515" i="12"/>
  <c r="G2516" i="12"/>
  <c r="G2517" i="12"/>
  <c r="G2518" i="12"/>
  <c r="G2519" i="12"/>
  <c r="G2520" i="12"/>
  <c r="G2521" i="12"/>
  <c r="G2522" i="12"/>
  <c r="G2523" i="12"/>
  <c r="G2524" i="12"/>
  <c r="G2525" i="12"/>
  <c r="G2526" i="12"/>
  <c r="G2527" i="12"/>
  <c r="G2528" i="12"/>
  <c r="G2529" i="12"/>
  <c r="G2530" i="12"/>
  <c r="G2531" i="12"/>
  <c r="G2532" i="12"/>
  <c r="G2533" i="12"/>
  <c r="G2534" i="12"/>
  <c r="G2535" i="12"/>
  <c r="G2536" i="12"/>
  <c r="G2537" i="12"/>
  <c r="G2538" i="12"/>
  <c r="G2539" i="12"/>
  <c r="G2540" i="12"/>
  <c r="G2541" i="12"/>
  <c r="G2542" i="12"/>
  <c r="G2543" i="12"/>
  <c r="G2544" i="12"/>
  <c r="G2545" i="12"/>
  <c r="G2546" i="12"/>
  <c r="G2547" i="12"/>
  <c r="G2548" i="12"/>
  <c r="G2549" i="12"/>
  <c r="G2550" i="12"/>
  <c r="G2551" i="12"/>
  <c r="G2552" i="12"/>
  <c r="G2553" i="12"/>
  <c r="G2554" i="12"/>
  <c r="G2555" i="12"/>
  <c r="G2556" i="12"/>
  <c r="G2557" i="12"/>
  <c r="G2558" i="12"/>
  <c r="G2559" i="12"/>
  <c r="G2560" i="12"/>
  <c r="G2561" i="12"/>
  <c r="G2562" i="12"/>
  <c r="G2563" i="12"/>
  <c r="G2564" i="12"/>
  <c r="G2565" i="12"/>
  <c r="G2566" i="12"/>
  <c r="G2567" i="12"/>
  <c r="G2568" i="12"/>
  <c r="G2569" i="12"/>
  <c r="G2570" i="12"/>
  <c r="G2571" i="12"/>
  <c r="G2572" i="12"/>
  <c r="G2573" i="12"/>
  <c r="G2574" i="12"/>
  <c r="G2575" i="12"/>
  <c r="G2576" i="12"/>
  <c r="G2577" i="12"/>
  <c r="G2578" i="12"/>
  <c r="G2579" i="12"/>
  <c r="G2580" i="12"/>
  <c r="G2581" i="12"/>
  <c r="G2582" i="12"/>
  <c r="G2583" i="12"/>
  <c r="G2584" i="12"/>
  <c r="G2585" i="12"/>
  <c r="G2586" i="12"/>
  <c r="G2587" i="12"/>
  <c r="G2588" i="12"/>
  <c r="G2589" i="12"/>
  <c r="G2590" i="12"/>
  <c r="G2591" i="12"/>
  <c r="G2592" i="12"/>
  <c r="G2593" i="12"/>
  <c r="G2594" i="12"/>
  <c r="G2595" i="12"/>
  <c r="G2596" i="12"/>
  <c r="G2597" i="12"/>
  <c r="G2598" i="12"/>
  <c r="G2599" i="12"/>
  <c r="G2600" i="12"/>
  <c r="G2601" i="12"/>
  <c r="G2602" i="12"/>
  <c r="G2603" i="12"/>
  <c r="G2604" i="12"/>
  <c r="G2605" i="12"/>
  <c r="G2606" i="12"/>
  <c r="G2607" i="12"/>
  <c r="G2608" i="12"/>
  <c r="G2609" i="12"/>
  <c r="G2610" i="12"/>
  <c r="G2611" i="12"/>
  <c r="G2612" i="12"/>
  <c r="G2613" i="12"/>
  <c r="G2614" i="12"/>
  <c r="G2615" i="12"/>
  <c r="G2616" i="12"/>
  <c r="G2617" i="12"/>
  <c r="G2618" i="12"/>
  <c r="G2619" i="12"/>
  <c r="G2620" i="12"/>
  <c r="G2621" i="12"/>
  <c r="G2622" i="12"/>
  <c r="G2623" i="12"/>
  <c r="G2624" i="12"/>
  <c r="G2625" i="12"/>
  <c r="G2626" i="12"/>
  <c r="G2627" i="12"/>
  <c r="G2628" i="12"/>
  <c r="G2629" i="12"/>
  <c r="G2630" i="12"/>
  <c r="G2631" i="12"/>
  <c r="G2632" i="12"/>
  <c r="G2633" i="12"/>
  <c r="G2634" i="12"/>
  <c r="G2635" i="12"/>
  <c r="G2636" i="12"/>
  <c r="G2637" i="12"/>
  <c r="G2638" i="12"/>
  <c r="G2639" i="12"/>
  <c r="G2640" i="12"/>
  <c r="G2641" i="12"/>
  <c r="G2642" i="12"/>
  <c r="G2643" i="12"/>
  <c r="G2644" i="12"/>
  <c r="G2645" i="12"/>
  <c r="G2646" i="12"/>
  <c r="G2647" i="12"/>
  <c r="G2648" i="12"/>
  <c r="G2649" i="12"/>
  <c r="G2650" i="12"/>
  <c r="G2651" i="12"/>
  <c r="G2652" i="12"/>
  <c r="G2653" i="12"/>
  <c r="G2654" i="12"/>
  <c r="G2655" i="12"/>
  <c r="G2656" i="12"/>
  <c r="G2657" i="12"/>
  <c r="G2658" i="12"/>
  <c r="G2659" i="12"/>
  <c r="G2660" i="12"/>
  <c r="G2661" i="12"/>
  <c r="G2662" i="12"/>
  <c r="G2663" i="12"/>
  <c r="G2664" i="12"/>
  <c r="G2665" i="12"/>
  <c r="G2666" i="12"/>
  <c r="G2667" i="12"/>
  <c r="G2668" i="12"/>
  <c r="G2669" i="12"/>
  <c r="G2670" i="12"/>
  <c r="G2671" i="12"/>
  <c r="G2672" i="12"/>
  <c r="G2673" i="12"/>
  <c r="G2674" i="12"/>
  <c r="G2675" i="12"/>
  <c r="G2676" i="12"/>
  <c r="G2677" i="12"/>
  <c r="G2678" i="12"/>
  <c r="G2679" i="12"/>
  <c r="G2680" i="12"/>
  <c r="G2681" i="12"/>
  <c r="G2682" i="12"/>
  <c r="G2683" i="12"/>
  <c r="G2684" i="12"/>
  <c r="G2685" i="12"/>
  <c r="G2686" i="12"/>
  <c r="G2687" i="12"/>
  <c r="G2688" i="12"/>
  <c r="G2689" i="12"/>
  <c r="G2690" i="12"/>
  <c r="G2691" i="12"/>
  <c r="G2692" i="12"/>
  <c r="G2693" i="12"/>
  <c r="G2694" i="12"/>
  <c r="G2695" i="12"/>
  <c r="G2696" i="12"/>
  <c r="G2697" i="12"/>
  <c r="G2698" i="12"/>
  <c r="G2699" i="12"/>
  <c r="G2700" i="12"/>
  <c r="G2701" i="12"/>
  <c r="G2702" i="12"/>
  <c r="G2703" i="12"/>
  <c r="G2704" i="12"/>
  <c r="G2705" i="12"/>
  <c r="G2706" i="12"/>
  <c r="G2707" i="12"/>
  <c r="G2708" i="12"/>
  <c r="G2709" i="12"/>
  <c r="G2710" i="12"/>
  <c r="G2711" i="12"/>
  <c r="G2712" i="12"/>
  <c r="G2713" i="12"/>
  <c r="G2714" i="12"/>
  <c r="G2715" i="12"/>
  <c r="G2716" i="12"/>
  <c r="G2717" i="12"/>
  <c r="G2718" i="12"/>
  <c r="G2719" i="12"/>
  <c r="G2720" i="12"/>
  <c r="G2721" i="12"/>
  <c r="G2722" i="12"/>
  <c r="G2723" i="12"/>
  <c r="G2724" i="12"/>
  <c r="G2725" i="12"/>
  <c r="G2726" i="12"/>
  <c r="G2727" i="12"/>
  <c r="G2728" i="12"/>
  <c r="G2729" i="12"/>
  <c r="G2730" i="12"/>
  <c r="G2731" i="12"/>
  <c r="G2732" i="12"/>
  <c r="G2733" i="12"/>
  <c r="G2734" i="12"/>
  <c r="G2735" i="12"/>
  <c r="G2736" i="12"/>
  <c r="G2737" i="12"/>
  <c r="G2738" i="12"/>
  <c r="G2739" i="12"/>
  <c r="G2740" i="12"/>
  <c r="G2741" i="12"/>
  <c r="G2742" i="12"/>
  <c r="G2743" i="12"/>
  <c r="G2744" i="12"/>
  <c r="G2745" i="12"/>
  <c r="G2746" i="12"/>
  <c r="G2747" i="12"/>
  <c r="G2748" i="12"/>
  <c r="G2749" i="12"/>
  <c r="G2750" i="12"/>
  <c r="G2751" i="12"/>
  <c r="G2752" i="12"/>
  <c r="G2753" i="12"/>
  <c r="G2754" i="12"/>
  <c r="G2755" i="12"/>
  <c r="G2756" i="12"/>
  <c r="G2757" i="12"/>
  <c r="G2758" i="12"/>
  <c r="G2759" i="12"/>
  <c r="G2760" i="12"/>
  <c r="G2761" i="12"/>
  <c r="G2762" i="12"/>
  <c r="G2763" i="12"/>
  <c r="G2764" i="12"/>
  <c r="G2765" i="12"/>
  <c r="G2766" i="12"/>
  <c r="G2767" i="12"/>
  <c r="G2768" i="12"/>
  <c r="G2769" i="12"/>
  <c r="G2770" i="12"/>
  <c r="G2771" i="12"/>
  <c r="G2772" i="12"/>
  <c r="G2773" i="12"/>
  <c r="G2774" i="12"/>
  <c r="G2775" i="12"/>
  <c r="G2776" i="12"/>
  <c r="G2777" i="12"/>
  <c r="G2778" i="12"/>
  <c r="G2779" i="12"/>
  <c r="G2780" i="12"/>
  <c r="G2781" i="12"/>
  <c r="G2782" i="12"/>
  <c r="G2783" i="12"/>
  <c r="G2784" i="12"/>
  <c r="G2785" i="12"/>
  <c r="G2786" i="12"/>
  <c r="G2787" i="12"/>
  <c r="G2788" i="12"/>
  <c r="G2789" i="12"/>
  <c r="G2790" i="12"/>
  <c r="G2791" i="12"/>
  <c r="G2792" i="12"/>
  <c r="G2793" i="12"/>
  <c r="G2794" i="12"/>
  <c r="G2795" i="12"/>
  <c r="G2796" i="12"/>
  <c r="G2797" i="12"/>
  <c r="G2798" i="12"/>
  <c r="G2799" i="12"/>
  <c r="G2800" i="12"/>
  <c r="G2801" i="12"/>
  <c r="G2802" i="12"/>
  <c r="G2803" i="12"/>
  <c r="G2804" i="12"/>
  <c r="G2805" i="12"/>
  <c r="G2806" i="12"/>
  <c r="G2807" i="12"/>
  <c r="G2808" i="12"/>
  <c r="G2809" i="12"/>
  <c r="G2810" i="12"/>
  <c r="G2811" i="12"/>
  <c r="G2812" i="12"/>
  <c r="G2813" i="12"/>
  <c r="G2814" i="12"/>
  <c r="G2815" i="12"/>
  <c r="G2816" i="12"/>
  <c r="G2817" i="12"/>
  <c r="G2818" i="12"/>
  <c r="G2819" i="12"/>
  <c r="G2820" i="12"/>
  <c r="G2821" i="12"/>
  <c r="G2822" i="12"/>
  <c r="G2823" i="12"/>
  <c r="G2824" i="12"/>
  <c r="G2825" i="12"/>
  <c r="G2826" i="12"/>
  <c r="G2827" i="12"/>
  <c r="G2828" i="12"/>
  <c r="G2829" i="12"/>
  <c r="G2830" i="12"/>
  <c r="G2831" i="12"/>
  <c r="G2832" i="12"/>
  <c r="G2833" i="12"/>
  <c r="G2834" i="12"/>
  <c r="G2835" i="12"/>
  <c r="G2836" i="12"/>
  <c r="G2837" i="12"/>
  <c r="G2838" i="12"/>
  <c r="G2839" i="12"/>
  <c r="G2840" i="12"/>
  <c r="G2841" i="12"/>
  <c r="G2842" i="12"/>
  <c r="G2843" i="12"/>
  <c r="G2844" i="12"/>
  <c r="G2845" i="12"/>
  <c r="G2846" i="12"/>
  <c r="G2847" i="12"/>
  <c r="G2848" i="12"/>
  <c r="G2849" i="12"/>
  <c r="G2850" i="12"/>
  <c r="G2851" i="12"/>
  <c r="G2852" i="12"/>
  <c r="G2853" i="12"/>
  <c r="G2854" i="12"/>
  <c r="G2855" i="12"/>
  <c r="G2856" i="12"/>
  <c r="G2857" i="12"/>
  <c r="G2858" i="12"/>
  <c r="G2859" i="12"/>
  <c r="G2860" i="12"/>
  <c r="G2861" i="12"/>
  <c r="G2862" i="12"/>
  <c r="G2863" i="12"/>
  <c r="G2864" i="12"/>
  <c r="G2865" i="12"/>
  <c r="G2866" i="12"/>
  <c r="G2867" i="12"/>
  <c r="G2868" i="12"/>
  <c r="G2869" i="12"/>
  <c r="G2870" i="12"/>
  <c r="G2871" i="12"/>
  <c r="G2872" i="12"/>
  <c r="G2873" i="12"/>
  <c r="G2874" i="12"/>
  <c r="G2875" i="12"/>
  <c r="G2876" i="12"/>
  <c r="G2877" i="12"/>
  <c r="G2878" i="12"/>
  <c r="G2879" i="12"/>
  <c r="G2880" i="12"/>
  <c r="G2881" i="12"/>
  <c r="G2882" i="12"/>
  <c r="G2883" i="12"/>
  <c r="G2884" i="12"/>
  <c r="G2885" i="12"/>
  <c r="G2886" i="12"/>
  <c r="G2887" i="12"/>
  <c r="G2888" i="12"/>
  <c r="G2889" i="12"/>
  <c r="G2890" i="12"/>
  <c r="G2891" i="12"/>
  <c r="G2892" i="12"/>
  <c r="G2893" i="12"/>
  <c r="G2894" i="12"/>
  <c r="G2895" i="12"/>
  <c r="G2896" i="12"/>
  <c r="G2897" i="12"/>
  <c r="G2898" i="12"/>
  <c r="G2899" i="12"/>
  <c r="G2900" i="12"/>
  <c r="G2901" i="12"/>
  <c r="G2902" i="12"/>
  <c r="G2903" i="12"/>
  <c r="G2904" i="12"/>
  <c r="G2905" i="12"/>
  <c r="G2906" i="12"/>
  <c r="G2907" i="12"/>
  <c r="G2908" i="12"/>
  <c r="G2909" i="12"/>
  <c r="G2910" i="12"/>
  <c r="G2911" i="12"/>
  <c r="G2912" i="12"/>
  <c r="G2913" i="12"/>
  <c r="G2914" i="12"/>
  <c r="G2915" i="12"/>
  <c r="G2916" i="12"/>
  <c r="G2917" i="12"/>
  <c r="G2918" i="12"/>
  <c r="G2919" i="12"/>
  <c r="G2920" i="12"/>
  <c r="G2921" i="12"/>
  <c r="G2922" i="12"/>
  <c r="G2923" i="12"/>
  <c r="G2924" i="12"/>
  <c r="G2925" i="12"/>
  <c r="G2926" i="12"/>
  <c r="G2927" i="12"/>
  <c r="G2928" i="12"/>
  <c r="G2929" i="12"/>
  <c r="G2930" i="12"/>
  <c r="G2931" i="12"/>
  <c r="G2932" i="12"/>
  <c r="G2933" i="12"/>
  <c r="G2934" i="12"/>
  <c r="G2935" i="12"/>
  <c r="G2936" i="12"/>
  <c r="G2937" i="12"/>
  <c r="G2938" i="12"/>
  <c r="G2939" i="12"/>
  <c r="G2940" i="12"/>
  <c r="G2941" i="12"/>
  <c r="G2942" i="12"/>
  <c r="G2943" i="12"/>
  <c r="G2944" i="12"/>
  <c r="G2945" i="12"/>
  <c r="G2946" i="12"/>
  <c r="G2947" i="12"/>
  <c r="G2948" i="12"/>
  <c r="G2949" i="12"/>
  <c r="G2950" i="12"/>
  <c r="G2951" i="12"/>
  <c r="G2952" i="12"/>
  <c r="G2953" i="12"/>
  <c r="G2954" i="12"/>
  <c r="G2955" i="12"/>
  <c r="G2956" i="12"/>
  <c r="G2957" i="12"/>
  <c r="G2958" i="12"/>
  <c r="G2959" i="12"/>
  <c r="G2960" i="12"/>
  <c r="G2961" i="12"/>
  <c r="G2962" i="12"/>
  <c r="G2963" i="12"/>
  <c r="G2964" i="12"/>
  <c r="G2965" i="12"/>
  <c r="G2966" i="12"/>
  <c r="G2967" i="12"/>
  <c r="G2968" i="12"/>
  <c r="G2969" i="12"/>
  <c r="G2970" i="12"/>
  <c r="G2971" i="12"/>
  <c r="G2972" i="12"/>
  <c r="G2973" i="12"/>
  <c r="G2974" i="12"/>
  <c r="G2975" i="12"/>
  <c r="G2976" i="12"/>
  <c r="G2977" i="12"/>
  <c r="G2978" i="12"/>
  <c r="G2979" i="12"/>
  <c r="G2980" i="12"/>
  <c r="G2981" i="12"/>
  <c r="G2982" i="12"/>
  <c r="G2983" i="12"/>
  <c r="G2984" i="12"/>
  <c r="G2985" i="12"/>
  <c r="G2986" i="12"/>
  <c r="G2987" i="12"/>
  <c r="G2988" i="12"/>
  <c r="G2989" i="12"/>
  <c r="G2990" i="12"/>
  <c r="G2991" i="12"/>
  <c r="G2992" i="12"/>
  <c r="G2993" i="12"/>
  <c r="G2994" i="12"/>
  <c r="G2995" i="12"/>
  <c r="G2996" i="12"/>
  <c r="G2997" i="12"/>
  <c r="G2998" i="12"/>
  <c r="G2999" i="12"/>
  <c r="G3000" i="12"/>
  <c r="G3001" i="12"/>
  <c r="G3002" i="12"/>
  <c r="G3003" i="12"/>
  <c r="G3004" i="12"/>
  <c r="G3005" i="12"/>
  <c r="G3006" i="12"/>
  <c r="G3007" i="12"/>
  <c r="G3008" i="12"/>
  <c r="G3009" i="12"/>
  <c r="G3010" i="12"/>
  <c r="G3011" i="12"/>
  <c r="G3012" i="12"/>
  <c r="G3013" i="12"/>
  <c r="G3014" i="12"/>
  <c r="G3015" i="12"/>
  <c r="G3016" i="12"/>
  <c r="G3017" i="12"/>
  <c r="G3018" i="12"/>
  <c r="G3019" i="12"/>
  <c r="G3020" i="12"/>
  <c r="G3021" i="12"/>
  <c r="G3022" i="12"/>
  <c r="G3023" i="12"/>
  <c r="G3024" i="12"/>
  <c r="G3025" i="12"/>
  <c r="G3026" i="12"/>
  <c r="G3027" i="12"/>
  <c r="G3028" i="12"/>
  <c r="G3029" i="12"/>
  <c r="G3030" i="12"/>
  <c r="G3031" i="12"/>
  <c r="G3032" i="12"/>
  <c r="G3033" i="12"/>
  <c r="G3034" i="12"/>
  <c r="G3035" i="12"/>
  <c r="G3036" i="12"/>
  <c r="G3037" i="12"/>
  <c r="G3038" i="12"/>
  <c r="G3039" i="12"/>
  <c r="G3040" i="12"/>
  <c r="G3041" i="12"/>
  <c r="G3042" i="12"/>
  <c r="G3043" i="12"/>
  <c r="G3044" i="12"/>
  <c r="G3045" i="12"/>
  <c r="G3046" i="12"/>
  <c r="G3047" i="12"/>
  <c r="G3048" i="12"/>
  <c r="G3049" i="12"/>
  <c r="G3050" i="12"/>
  <c r="G3051" i="12"/>
  <c r="G3052" i="12"/>
  <c r="G3053" i="12"/>
  <c r="G3054" i="12"/>
  <c r="G3055" i="12"/>
  <c r="G3056" i="12"/>
  <c r="G3057" i="12"/>
  <c r="G3058" i="12"/>
  <c r="G3059" i="12"/>
  <c r="G3060" i="12"/>
  <c r="G3061" i="12"/>
  <c r="G3062" i="12"/>
  <c r="G3063" i="12"/>
  <c r="G3064" i="12"/>
  <c r="G3065" i="12"/>
  <c r="G3066" i="12"/>
  <c r="G3067" i="12"/>
  <c r="G3068" i="12"/>
  <c r="G3069" i="12"/>
  <c r="G3070" i="12"/>
  <c r="G3071" i="12"/>
  <c r="G3072" i="12"/>
  <c r="G3073" i="12"/>
  <c r="G3074" i="12"/>
  <c r="G3075" i="12"/>
  <c r="G3076" i="12"/>
  <c r="G3077" i="12"/>
  <c r="G3078" i="12"/>
  <c r="G3079" i="12"/>
  <c r="G3080" i="12"/>
  <c r="G3081" i="12"/>
  <c r="G3082" i="12"/>
  <c r="G3083" i="12"/>
  <c r="G3084" i="12"/>
  <c r="G3085" i="12"/>
  <c r="G3086" i="12"/>
  <c r="G3087" i="12"/>
  <c r="G3088" i="12"/>
  <c r="G3089" i="12"/>
  <c r="G3090" i="12"/>
  <c r="G3091" i="12"/>
  <c r="G3092" i="12"/>
  <c r="G3093" i="12"/>
  <c r="G3094" i="12"/>
  <c r="G3095" i="12"/>
  <c r="G3096" i="12"/>
  <c r="G3097" i="12"/>
  <c r="G3098" i="12"/>
  <c r="G3099" i="12"/>
  <c r="G3100" i="12"/>
  <c r="G3101" i="12"/>
  <c r="G3102" i="12"/>
  <c r="G3103" i="12"/>
  <c r="G3104" i="12"/>
  <c r="G3105" i="12"/>
  <c r="G3106" i="12"/>
  <c r="G3107" i="12"/>
  <c r="G3108" i="12"/>
  <c r="G3109" i="12"/>
  <c r="G3110" i="12"/>
  <c r="G3111" i="12"/>
  <c r="G3112" i="12"/>
  <c r="G3113" i="12"/>
  <c r="G3114" i="12"/>
  <c r="G3115" i="12"/>
  <c r="G3116" i="12"/>
  <c r="G3117" i="12"/>
  <c r="G3118" i="12"/>
  <c r="G3119" i="12"/>
  <c r="G3120" i="12"/>
  <c r="G3121" i="12"/>
  <c r="G3122" i="12"/>
  <c r="G3123" i="12"/>
  <c r="G3124" i="12"/>
  <c r="G3125" i="12"/>
  <c r="G3126" i="12"/>
  <c r="G3127" i="12"/>
  <c r="G3128" i="12"/>
  <c r="G3129" i="12"/>
  <c r="G3130" i="12"/>
  <c r="G3131" i="12"/>
  <c r="G3132" i="12"/>
  <c r="G3133" i="12"/>
  <c r="G3134" i="12"/>
  <c r="G3135" i="12"/>
  <c r="G3136" i="12"/>
  <c r="G3137" i="12"/>
  <c r="G3138" i="12"/>
  <c r="G3139" i="12"/>
  <c r="G3140" i="12"/>
  <c r="G3141" i="12"/>
  <c r="G3142" i="12"/>
  <c r="G3143" i="12"/>
  <c r="G3144" i="12"/>
  <c r="G3145" i="12"/>
  <c r="G3146" i="12"/>
  <c r="G3147" i="12"/>
  <c r="G3148" i="12"/>
  <c r="G3149" i="12"/>
  <c r="G3150" i="12"/>
  <c r="G3151" i="12"/>
  <c r="G3152" i="12"/>
  <c r="G3153" i="12"/>
  <c r="G3154" i="12"/>
  <c r="G3155" i="12"/>
  <c r="G3156" i="12"/>
  <c r="G3157" i="12"/>
  <c r="G3158" i="12"/>
  <c r="G3159" i="12"/>
  <c r="G3160" i="12"/>
  <c r="G3161" i="12"/>
  <c r="G3162" i="12"/>
  <c r="G3163" i="12"/>
  <c r="G3164" i="12"/>
  <c r="G3165" i="12"/>
  <c r="G3166" i="12"/>
  <c r="G3167" i="12"/>
  <c r="G3168" i="12"/>
  <c r="G3169" i="12"/>
  <c r="G3170" i="12"/>
  <c r="G3171" i="12"/>
  <c r="G3172" i="12"/>
  <c r="G3173" i="12"/>
  <c r="G3174" i="12"/>
  <c r="G3175" i="12"/>
  <c r="G3176" i="12"/>
  <c r="G3177" i="12"/>
  <c r="G3178" i="12"/>
  <c r="G3179" i="12"/>
  <c r="G3180" i="12"/>
  <c r="G3181" i="12"/>
  <c r="G3182" i="12"/>
  <c r="G3183" i="12"/>
  <c r="G3184" i="12"/>
  <c r="G3185" i="12"/>
  <c r="G3186" i="12"/>
  <c r="G3187" i="12"/>
  <c r="G3188" i="12"/>
  <c r="G3189" i="12"/>
  <c r="G3190" i="12"/>
  <c r="G3191" i="12"/>
  <c r="G3192" i="12"/>
  <c r="G3193" i="12"/>
  <c r="G3194" i="12"/>
  <c r="G3195" i="12"/>
  <c r="G3196" i="12"/>
  <c r="G3197" i="12"/>
  <c r="G3198" i="12"/>
  <c r="G3199" i="12"/>
  <c r="G3200" i="12"/>
  <c r="G3201" i="12"/>
  <c r="G3202" i="12"/>
  <c r="G3203" i="12"/>
  <c r="G3204" i="12"/>
  <c r="G3205" i="12"/>
  <c r="G3206" i="12"/>
  <c r="G3207" i="12"/>
  <c r="G3208" i="12"/>
  <c r="G3209" i="12"/>
  <c r="G3210" i="12"/>
  <c r="G3211" i="12"/>
  <c r="G3212" i="12"/>
  <c r="G3213" i="12"/>
  <c r="G3214" i="12"/>
  <c r="G3215" i="12"/>
  <c r="G3216" i="12"/>
  <c r="G3217" i="12"/>
  <c r="G3218" i="12"/>
  <c r="G3219" i="12"/>
  <c r="G3220" i="12"/>
  <c r="G3221" i="12"/>
  <c r="G3222" i="12"/>
  <c r="G3223" i="12"/>
  <c r="G3224" i="12"/>
  <c r="G3225" i="12"/>
  <c r="G3226" i="12"/>
  <c r="G3227" i="12"/>
  <c r="G3228" i="12"/>
  <c r="G3229" i="12"/>
  <c r="G3230" i="12"/>
  <c r="G3231" i="12"/>
  <c r="G3232" i="12"/>
  <c r="G3233" i="12"/>
  <c r="G3234" i="12"/>
  <c r="G3235" i="12"/>
  <c r="G3236" i="12"/>
  <c r="G3237" i="12"/>
  <c r="G3238" i="12"/>
  <c r="G3239" i="12"/>
  <c r="G3240" i="12"/>
  <c r="G3241" i="12"/>
  <c r="G3242" i="12"/>
  <c r="G3243" i="12"/>
  <c r="G3244" i="12"/>
  <c r="G3245" i="12"/>
  <c r="G3246" i="12"/>
  <c r="G3247" i="12"/>
  <c r="G3248" i="12"/>
  <c r="G3249" i="12"/>
  <c r="G3250" i="12"/>
  <c r="G3251" i="12"/>
  <c r="G3252" i="12"/>
  <c r="G3253" i="12"/>
  <c r="G3254" i="12"/>
  <c r="G3255" i="12"/>
  <c r="G3256" i="12"/>
  <c r="G3257" i="12"/>
  <c r="G3258" i="12"/>
  <c r="G3259" i="12"/>
  <c r="G3260" i="12"/>
  <c r="G3261" i="12"/>
  <c r="G3262" i="12"/>
  <c r="G3263" i="12"/>
  <c r="G3264" i="12"/>
  <c r="G3265" i="12"/>
  <c r="G3266" i="12"/>
  <c r="G3267" i="12"/>
  <c r="G3268" i="12"/>
  <c r="G3269" i="12"/>
  <c r="G3270" i="12"/>
  <c r="G3271" i="12"/>
  <c r="G3272" i="12"/>
  <c r="G3273" i="12"/>
  <c r="G3274" i="12"/>
  <c r="G3275" i="12"/>
  <c r="G3276" i="12"/>
  <c r="G3277" i="12"/>
  <c r="G3278" i="12"/>
  <c r="G3279" i="12"/>
  <c r="G3280" i="12"/>
  <c r="G3281" i="12"/>
  <c r="G3282" i="12"/>
  <c r="G3283" i="12"/>
  <c r="G3284" i="12"/>
  <c r="G3285" i="12"/>
  <c r="G3286" i="12"/>
  <c r="G3287" i="12"/>
  <c r="G3288" i="12"/>
  <c r="G3289" i="12"/>
  <c r="G3290" i="12"/>
  <c r="G3291" i="12"/>
  <c r="G3292" i="12"/>
  <c r="G3293" i="12"/>
  <c r="G3294" i="12"/>
  <c r="G3295" i="12"/>
  <c r="G3296" i="12"/>
  <c r="G3297" i="12"/>
  <c r="G3298" i="12"/>
  <c r="G3299" i="12"/>
  <c r="G3300" i="12"/>
  <c r="G3301" i="12"/>
  <c r="G3302" i="12"/>
  <c r="G3303" i="12"/>
  <c r="G3304" i="12"/>
  <c r="G3305" i="12"/>
  <c r="G3306" i="12"/>
  <c r="G3307" i="12"/>
  <c r="G3308" i="12"/>
  <c r="G3309" i="12"/>
  <c r="G3310" i="12"/>
  <c r="G3311" i="12"/>
  <c r="G3312" i="12"/>
  <c r="G3313" i="12"/>
  <c r="G3314" i="12"/>
  <c r="G3315" i="12"/>
  <c r="G3316" i="12"/>
  <c r="G3317" i="12"/>
  <c r="G3318" i="12"/>
  <c r="G3319" i="12"/>
  <c r="G3320" i="12"/>
  <c r="G3321" i="12"/>
  <c r="G3322" i="12"/>
  <c r="G3323" i="12"/>
  <c r="G3324" i="12"/>
  <c r="G3325" i="12"/>
  <c r="G3326" i="12"/>
  <c r="G3327" i="12"/>
  <c r="G3328" i="12"/>
  <c r="G3329" i="12"/>
  <c r="G3330" i="12"/>
  <c r="G3331" i="12"/>
  <c r="G3332" i="12"/>
  <c r="G3333" i="12"/>
  <c r="G3334" i="12"/>
  <c r="G3335" i="12"/>
  <c r="G3336" i="12"/>
  <c r="G3337" i="12"/>
  <c r="G3338" i="12"/>
  <c r="G3339" i="12"/>
  <c r="G3340" i="12"/>
  <c r="G3341" i="12"/>
  <c r="G3342" i="12"/>
  <c r="G3343" i="12"/>
  <c r="G3344" i="12"/>
  <c r="G3345" i="12"/>
  <c r="G3346" i="12"/>
  <c r="G3347" i="12"/>
  <c r="G3348" i="12"/>
  <c r="G3349" i="12"/>
  <c r="G3350" i="12"/>
  <c r="G3351" i="12"/>
  <c r="G3352" i="12"/>
  <c r="G3353" i="12"/>
  <c r="G3354" i="12"/>
  <c r="G3355" i="12"/>
  <c r="G3356" i="12"/>
  <c r="G3357" i="12"/>
  <c r="G3358" i="12"/>
  <c r="G3359" i="12"/>
  <c r="G3360" i="12"/>
  <c r="G3361" i="12"/>
  <c r="G3362" i="12"/>
  <c r="G3363" i="12"/>
  <c r="G3364" i="12"/>
  <c r="G3365" i="12"/>
  <c r="G3366" i="12"/>
  <c r="G3367" i="12"/>
  <c r="G3368" i="12"/>
  <c r="G3369" i="12"/>
  <c r="G3370" i="12"/>
  <c r="G3371" i="12"/>
  <c r="G3372" i="12"/>
  <c r="G3373" i="12"/>
  <c r="G3374" i="12"/>
  <c r="G3375" i="12"/>
  <c r="G3376" i="12"/>
  <c r="G3377" i="12"/>
  <c r="G3378" i="12"/>
  <c r="G3379" i="12"/>
  <c r="G3380" i="12"/>
  <c r="G3381" i="12"/>
  <c r="G3382" i="12"/>
  <c r="G3383" i="12"/>
  <c r="G3384" i="12"/>
  <c r="G3385" i="12"/>
  <c r="G3386" i="12"/>
  <c r="G3387" i="12"/>
  <c r="G3388" i="12"/>
  <c r="G3389" i="12"/>
  <c r="G3390" i="12"/>
  <c r="G3391" i="12"/>
  <c r="G3392" i="12"/>
  <c r="G3393" i="12"/>
  <c r="G3394" i="12"/>
  <c r="G3395" i="12"/>
  <c r="G3396" i="12"/>
  <c r="G3397" i="12"/>
  <c r="G3398" i="12"/>
  <c r="G3399" i="12"/>
  <c r="G3400" i="12"/>
  <c r="G3401" i="12"/>
  <c r="G3402" i="12"/>
  <c r="G3403" i="12"/>
  <c r="G3404" i="12"/>
  <c r="G3405" i="12"/>
  <c r="G3406" i="12"/>
  <c r="G3407" i="12"/>
  <c r="G3408" i="12"/>
  <c r="G3409" i="12"/>
  <c r="G3410" i="12"/>
  <c r="G3411" i="12"/>
  <c r="G3412" i="12"/>
  <c r="G3413" i="12"/>
  <c r="G3414" i="12"/>
  <c r="G3415" i="12"/>
  <c r="G3416" i="12"/>
  <c r="G3417" i="12"/>
  <c r="G3418" i="12"/>
  <c r="G3419" i="12"/>
  <c r="G3420" i="12"/>
  <c r="G3421" i="12"/>
  <c r="G3422" i="12"/>
  <c r="G3423" i="12"/>
  <c r="G3424" i="12"/>
  <c r="G3425" i="12"/>
  <c r="G3426" i="12"/>
  <c r="G3427" i="12"/>
  <c r="G3428" i="12"/>
  <c r="G3429" i="12"/>
  <c r="G3430" i="12"/>
  <c r="G3431" i="12"/>
  <c r="G3432" i="12"/>
  <c r="G3433" i="12"/>
  <c r="G3434" i="12"/>
  <c r="G3435" i="12"/>
  <c r="G3436" i="12"/>
  <c r="G3437" i="12"/>
  <c r="G3438" i="12"/>
  <c r="G3439" i="12"/>
  <c r="G3440" i="12"/>
  <c r="G3441" i="12"/>
  <c r="G3442" i="12"/>
  <c r="G3443" i="12"/>
  <c r="G3444" i="12"/>
  <c r="G3445" i="12"/>
  <c r="G3446" i="12"/>
  <c r="G3447" i="12"/>
  <c r="G3448" i="12"/>
  <c r="G3449" i="12"/>
  <c r="G3450" i="12"/>
  <c r="G3451" i="12"/>
  <c r="G3452" i="12"/>
  <c r="G3453" i="12"/>
  <c r="G3454" i="12"/>
  <c r="G3455" i="12"/>
  <c r="G3456" i="12"/>
  <c r="G3457" i="12"/>
  <c r="G3458" i="12"/>
  <c r="G3459" i="12"/>
  <c r="G3460" i="12"/>
  <c r="G3461" i="12"/>
  <c r="G3462" i="12"/>
  <c r="G3463" i="12"/>
  <c r="G3464" i="12"/>
  <c r="G3465" i="12"/>
  <c r="G3466" i="12"/>
  <c r="G3467" i="12"/>
  <c r="G3468" i="12"/>
  <c r="G3469" i="12"/>
  <c r="G3470" i="12"/>
  <c r="G3471" i="12"/>
  <c r="G3472" i="12"/>
  <c r="G3473" i="12"/>
  <c r="G3474" i="12"/>
  <c r="G3475" i="12"/>
  <c r="G3476" i="12"/>
  <c r="G3477" i="12"/>
  <c r="G3478" i="12"/>
  <c r="G3479" i="12"/>
  <c r="G3480" i="12"/>
  <c r="G3481" i="12"/>
  <c r="G3482" i="12"/>
  <c r="G3483" i="12"/>
  <c r="G3484" i="12"/>
  <c r="G3485" i="12"/>
  <c r="G3486" i="12"/>
  <c r="G3487" i="12"/>
  <c r="G3488" i="12"/>
  <c r="G3489" i="12"/>
  <c r="G3490" i="12"/>
  <c r="G3491" i="12"/>
  <c r="G3492" i="12"/>
  <c r="G3493" i="12"/>
  <c r="G3494" i="12"/>
  <c r="G3495" i="12"/>
  <c r="G3496" i="12"/>
  <c r="G3497" i="12"/>
  <c r="G3498" i="12"/>
  <c r="G3499" i="12"/>
  <c r="G3500" i="12"/>
  <c r="G3501" i="12"/>
  <c r="G3502" i="12"/>
  <c r="G3503" i="12"/>
  <c r="G3504" i="12"/>
  <c r="G3505" i="12"/>
  <c r="G3506" i="12"/>
  <c r="G3507" i="12"/>
  <c r="G3508" i="12"/>
  <c r="G3509" i="12"/>
  <c r="G3510" i="12"/>
  <c r="G3511" i="12"/>
  <c r="G3512" i="12"/>
  <c r="G3513" i="12"/>
  <c r="G3514" i="12"/>
  <c r="G3515" i="12"/>
  <c r="G3516" i="12"/>
  <c r="G3517" i="12"/>
  <c r="G3518" i="12"/>
  <c r="G3519" i="12"/>
  <c r="G3520" i="12"/>
  <c r="G3521" i="12"/>
  <c r="G3522" i="12"/>
  <c r="G3523" i="12"/>
  <c r="G3524" i="12"/>
  <c r="G3525" i="12"/>
  <c r="G3526" i="12"/>
  <c r="G3527" i="12"/>
  <c r="G3528" i="12"/>
  <c r="G3529" i="12"/>
  <c r="G3530" i="12"/>
  <c r="G3531" i="12"/>
  <c r="G3532" i="12"/>
  <c r="G3533" i="12"/>
  <c r="G3534" i="12"/>
  <c r="G3535" i="12"/>
  <c r="G3536" i="12"/>
  <c r="G3537" i="12"/>
  <c r="G3538" i="12"/>
  <c r="G3539" i="12"/>
  <c r="G3540" i="12"/>
  <c r="G3541" i="12"/>
  <c r="G3542" i="12"/>
  <c r="G3543" i="12"/>
  <c r="G3544" i="12"/>
  <c r="G3545" i="12"/>
  <c r="G3546" i="12"/>
  <c r="G3547" i="12"/>
  <c r="G3548" i="12"/>
  <c r="G3549" i="12"/>
  <c r="G3550" i="12"/>
  <c r="G3551" i="12"/>
  <c r="G3552" i="12"/>
  <c r="G3553" i="12"/>
  <c r="G3554" i="12"/>
  <c r="G3555" i="12"/>
  <c r="G3556" i="12"/>
  <c r="G3557" i="12"/>
  <c r="G3558" i="12"/>
  <c r="G3559" i="12"/>
  <c r="G3560" i="12"/>
  <c r="G3561" i="12"/>
  <c r="G3562" i="12"/>
  <c r="G3563" i="12"/>
  <c r="G3564" i="12"/>
  <c r="G3565" i="12"/>
  <c r="G3566" i="12"/>
  <c r="G3567" i="12"/>
  <c r="G3568" i="12"/>
  <c r="G3569" i="12"/>
  <c r="G3570" i="12"/>
  <c r="G3571" i="12"/>
  <c r="G3572" i="12"/>
  <c r="G3573" i="12"/>
  <c r="G3574" i="12"/>
  <c r="G3575" i="12"/>
  <c r="G3576" i="12"/>
  <c r="G3577" i="12"/>
  <c r="G3578" i="12"/>
  <c r="G3579" i="12"/>
  <c r="G3580" i="12"/>
  <c r="G3581" i="12"/>
  <c r="G3582" i="12"/>
  <c r="G3583" i="12"/>
  <c r="G3584" i="12"/>
  <c r="G3585" i="12"/>
  <c r="G3586" i="12"/>
  <c r="G3587" i="12"/>
  <c r="G3588" i="12"/>
  <c r="G3589" i="12"/>
  <c r="G3590" i="12"/>
  <c r="G3591" i="12"/>
  <c r="G3592" i="12"/>
  <c r="G3593" i="12"/>
  <c r="G3594" i="12"/>
  <c r="G3595" i="12"/>
  <c r="G3596" i="12"/>
  <c r="G3597" i="12"/>
  <c r="G3598" i="12"/>
  <c r="G3599" i="12"/>
  <c r="G3600" i="12"/>
  <c r="G3601" i="12"/>
  <c r="G3602" i="12"/>
  <c r="G3603" i="12"/>
  <c r="G3604" i="12"/>
  <c r="G3605" i="12"/>
  <c r="G3606" i="12"/>
  <c r="G3607" i="12"/>
  <c r="G3608" i="12"/>
  <c r="G3609" i="12"/>
  <c r="G3610" i="12"/>
  <c r="G3611" i="12"/>
  <c r="G3612" i="12"/>
  <c r="G3613" i="12"/>
  <c r="G3614" i="12"/>
  <c r="G3615" i="12"/>
  <c r="G3616" i="12"/>
  <c r="G3617" i="12"/>
  <c r="G3618" i="12"/>
  <c r="G3619" i="12"/>
  <c r="G3620" i="12"/>
  <c r="G3621" i="12"/>
  <c r="G3622" i="12"/>
  <c r="G3623" i="12"/>
  <c r="G3624" i="12"/>
  <c r="G3625" i="12"/>
  <c r="G3626" i="12"/>
  <c r="G3627" i="12"/>
  <c r="G3628" i="12"/>
  <c r="G3629" i="12"/>
  <c r="G3630" i="12"/>
  <c r="G3631" i="12"/>
  <c r="G3632" i="12"/>
  <c r="G3633" i="12"/>
  <c r="G3634" i="12"/>
  <c r="G3635" i="12"/>
  <c r="G3636" i="12"/>
  <c r="G3637" i="12"/>
  <c r="G3638" i="12"/>
  <c r="G3639" i="12"/>
  <c r="G3640" i="12"/>
  <c r="G3641" i="12"/>
  <c r="G3642" i="12"/>
  <c r="G3643" i="12"/>
  <c r="G3644" i="12"/>
  <c r="G3645" i="12"/>
  <c r="G3646" i="12"/>
  <c r="G3647" i="12"/>
  <c r="G3648" i="12"/>
  <c r="G3649" i="12"/>
  <c r="G3650" i="12"/>
  <c r="G3651" i="12"/>
  <c r="G3652" i="12"/>
  <c r="G3653" i="12"/>
  <c r="G3654" i="12"/>
  <c r="G3655" i="12"/>
  <c r="G3656" i="12"/>
  <c r="G3657" i="12"/>
  <c r="G3658" i="12"/>
  <c r="G3659" i="12"/>
  <c r="G3660" i="12"/>
  <c r="G3661" i="12"/>
  <c r="G3662" i="12"/>
  <c r="G3663" i="12"/>
  <c r="G3664" i="12"/>
  <c r="G3665" i="12"/>
  <c r="G3666" i="12"/>
  <c r="G3667" i="12"/>
  <c r="G3668" i="12"/>
  <c r="G3669" i="12"/>
  <c r="G3670" i="12"/>
  <c r="G3671" i="12"/>
  <c r="G3672" i="12"/>
  <c r="G3673" i="12"/>
  <c r="G3674" i="12"/>
  <c r="G3675" i="12"/>
  <c r="G3676" i="12"/>
  <c r="G3677" i="12"/>
  <c r="G3678" i="12"/>
  <c r="G3679" i="12"/>
  <c r="G3680" i="12"/>
  <c r="G3681" i="12"/>
  <c r="G3682" i="12"/>
  <c r="G3683" i="12"/>
  <c r="G3684" i="12"/>
  <c r="G3685" i="12"/>
  <c r="G3686" i="12"/>
  <c r="G3687" i="12"/>
  <c r="G3688" i="12"/>
  <c r="G3689" i="12"/>
  <c r="G3690" i="12"/>
  <c r="G3691" i="12"/>
  <c r="G3692" i="12"/>
  <c r="G3693" i="12"/>
  <c r="G3694" i="12"/>
  <c r="G3695" i="12"/>
  <c r="G3696" i="12"/>
  <c r="G3697" i="12"/>
  <c r="G3698" i="12"/>
  <c r="G3699" i="12"/>
  <c r="G3700" i="12"/>
  <c r="G3701" i="12"/>
  <c r="G3702" i="12"/>
  <c r="G3703" i="12"/>
  <c r="G3704" i="12"/>
  <c r="G3705" i="12"/>
  <c r="G3706" i="12"/>
  <c r="G3707" i="12"/>
  <c r="G3708" i="12"/>
  <c r="G3709" i="12"/>
  <c r="G3710" i="12"/>
  <c r="G3711" i="12"/>
  <c r="G3712" i="12"/>
  <c r="G3713" i="12"/>
  <c r="G3714" i="12"/>
  <c r="G3715" i="12"/>
  <c r="G3716" i="12"/>
  <c r="G3717" i="12"/>
  <c r="G3718" i="12"/>
  <c r="G3719" i="12"/>
  <c r="G3720" i="12"/>
  <c r="G3721" i="12"/>
  <c r="G3722" i="12"/>
  <c r="G3723" i="12"/>
  <c r="G3724" i="12"/>
  <c r="G3725" i="12"/>
  <c r="G3726" i="12"/>
  <c r="G3727" i="12"/>
  <c r="G3728" i="12"/>
  <c r="G3729" i="12"/>
  <c r="G3730" i="12"/>
  <c r="G3731" i="12"/>
  <c r="G3732" i="12"/>
  <c r="G3733" i="12"/>
  <c r="G3734" i="12"/>
  <c r="G3735" i="12"/>
  <c r="G3736" i="12"/>
  <c r="G3737" i="12"/>
  <c r="G3738" i="12"/>
  <c r="G3739" i="12"/>
  <c r="G3740" i="12"/>
  <c r="G3741" i="12"/>
  <c r="G3742" i="12"/>
  <c r="G3743" i="12"/>
  <c r="G3744" i="12"/>
  <c r="G3745" i="12"/>
  <c r="G3746" i="12"/>
  <c r="G3747" i="12"/>
  <c r="G3748" i="12"/>
  <c r="G3749" i="12"/>
  <c r="G3750" i="12"/>
  <c r="G3751" i="12"/>
  <c r="G3752" i="12"/>
  <c r="G3753" i="12"/>
  <c r="G3754" i="12"/>
  <c r="G3755" i="12"/>
  <c r="G3756" i="12"/>
  <c r="G3757" i="12"/>
  <c r="G3758" i="12"/>
  <c r="G3759" i="12"/>
  <c r="G3760" i="12"/>
  <c r="G3761" i="12"/>
  <c r="G3762" i="12"/>
  <c r="G3763" i="12"/>
  <c r="G3764" i="12"/>
  <c r="G3765" i="12"/>
  <c r="G3766" i="12"/>
  <c r="G3767" i="12"/>
  <c r="G3768" i="12"/>
  <c r="G3769" i="12"/>
  <c r="G3770" i="12"/>
  <c r="G3771" i="12"/>
  <c r="G3772" i="12"/>
  <c r="G3773" i="12"/>
  <c r="G3774" i="12"/>
  <c r="G3775" i="12"/>
  <c r="G3776" i="12"/>
  <c r="G3777" i="12"/>
  <c r="G3778" i="12"/>
  <c r="G3779" i="12"/>
  <c r="G3780" i="12"/>
  <c r="G3781" i="12"/>
  <c r="G3782" i="12"/>
  <c r="G3783" i="12"/>
  <c r="G3784" i="12"/>
  <c r="G3785" i="12"/>
  <c r="G3786" i="12"/>
  <c r="G3787" i="12"/>
  <c r="G3788" i="12"/>
  <c r="G3789" i="12"/>
  <c r="G3790" i="12"/>
  <c r="G3791" i="12"/>
  <c r="G3792" i="12"/>
  <c r="G3793" i="12"/>
  <c r="G3794" i="12"/>
  <c r="G3795" i="12"/>
  <c r="G3796" i="12"/>
  <c r="G3797" i="12"/>
  <c r="G3798" i="12"/>
  <c r="G3799" i="12"/>
  <c r="G3800" i="12"/>
  <c r="G3801" i="12"/>
  <c r="G3802" i="12"/>
  <c r="G3803" i="12"/>
  <c r="G3804" i="12"/>
  <c r="G3805" i="12"/>
  <c r="G3806" i="12"/>
  <c r="G3807" i="12"/>
  <c r="G3808" i="12"/>
  <c r="G3809" i="12"/>
  <c r="G3810" i="12"/>
  <c r="G3811" i="12"/>
  <c r="G3812" i="12"/>
  <c r="G3813" i="12"/>
  <c r="G3814" i="12"/>
  <c r="G3815" i="12"/>
  <c r="G3816" i="12"/>
  <c r="G3817" i="12"/>
  <c r="G3818" i="12"/>
  <c r="G3819" i="12"/>
  <c r="G3820" i="12"/>
  <c r="G3821" i="12"/>
  <c r="G3822" i="12"/>
  <c r="G3823" i="12"/>
  <c r="G3824" i="12"/>
  <c r="G3825" i="12"/>
  <c r="G3826" i="12"/>
  <c r="G3827" i="12"/>
  <c r="G3828" i="12"/>
  <c r="G3829" i="12"/>
  <c r="G3830" i="12"/>
  <c r="G3831" i="12"/>
  <c r="G3832" i="12"/>
  <c r="G3833" i="12"/>
  <c r="G3834" i="12"/>
  <c r="G3835" i="12"/>
  <c r="G3836" i="12"/>
  <c r="G3837" i="12"/>
  <c r="G3838" i="12"/>
  <c r="G3839" i="12"/>
  <c r="G3840" i="12"/>
  <c r="G3841" i="12"/>
  <c r="G3842" i="12"/>
  <c r="G3843" i="12"/>
  <c r="G3844" i="12"/>
  <c r="G3845" i="12"/>
  <c r="G3846" i="12"/>
  <c r="G3847" i="12"/>
  <c r="G3848" i="12"/>
  <c r="G3849" i="12"/>
  <c r="G3850" i="12"/>
  <c r="G3851" i="12"/>
  <c r="G3852" i="12"/>
  <c r="G3853" i="12"/>
  <c r="G3854" i="12"/>
  <c r="G3855" i="12"/>
  <c r="G3856" i="12"/>
  <c r="G3857" i="12"/>
  <c r="G3858" i="12"/>
  <c r="G3859" i="12"/>
  <c r="G3860" i="12"/>
  <c r="G3861" i="12"/>
  <c r="G3862" i="12"/>
  <c r="G3863" i="12"/>
  <c r="G3864" i="12"/>
  <c r="G3865" i="12"/>
  <c r="G3866" i="12"/>
  <c r="G3867" i="12"/>
  <c r="G3868" i="12"/>
  <c r="G3869" i="12"/>
  <c r="G3870" i="12"/>
  <c r="G3871" i="12"/>
  <c r="G3872" i="12"/>
  <c r="G3873" i="12"/>
  <c r="G3874" i="12"/>
  <c r="G3875" i="12"/>
  <c r="G3876" i="12"/>
  <c r="G3877" i="12"/>
  <c r="G3878" i="12"/>
  <c r="G3879" i="12"/>
  <c r="G3880" i="12"/>
  <c r="G3881" i="12"/>
  <c r="G3882" i="12"/>
  <c r="G3883" i="12"/>
  <c r="G3884" i="12"/>
  <c r="G3885" i="12"/>
  <c r="G3886" i="12"/>
  <c r="G3887" i="12"/>
  <c r="G3888" i="12"/>
  <c r="G3889" i="12"/>
  <c r="G3890" i="12"/>
  <c r="G3891" i="12"/>
  <c r="G3892" i="12"/>
  <c r="G3893" i="12"/>
  <c r="G3894" i="12"/>
  <c r="G3895" i="12"/>
  <c r="G3896" i="12"/>
  <c r="G3897" i="12"/>
  <c r="G3898" i="12"/>
  <c r="G3899" i="12"/>
  <c r="G3900" i="12"/>
  <c r="G3901" i="12"/>
  <c r="G3902" i="12"/>
  <c r="G3903" i="12"/>
  <c r="G3904" i="12"/>
  <c r="G3905" i="12"/>
  <c r="G3906" i="12"/>
  <c r="G3907" i="12"/>
  <c r="G3908" i="12"/>
  <c r="G3909" i="12"/>
  <c r="G3910" i="12"/>
  <c r="G3911" i="12"/>
  <c r="G3912" i="12"/>
  <c r="G3913" i="12"/>
  <c r="G3914" i="12"/>
  <c r="G3915" i="12"/>
  <c r="G3916" i="12"/>
  <c r="G3917" i="12"/>
  <c r="G3918" i="12"/>
  <c r="G3919" i="12"/>
  <c r="G3920" i="12"/>
  <c r="G3921" i="12"/>
  <c r="G3922" i="12"/>
  <c r="G3923" i="12"/>
  <c r="G3924" i="12"/>
  <c r="G3925" i="12"/>
  <c r="G3926" i="12"/>
  <c r="G3927" i="12"/>
  <c r="G3928" i="12"/>
  <c r="G3929" i="12"/>
  <c r="G3930" i="12"/>
  <c r="G3931" i="12"/>
  <c r="G3932" i="12"/>
  <c r="G3933" i="12"/>
  <c r="G3934" i="12"/>
  <c r="G3935" i="12"/>
  <c r="G3936" i="12"/>
  <c r="G3937" i="12"/>
  <c r="G3938" i="12"/>
  <c r="G3939" i="12"/>
  <c r="G3940" i="12"/>
  <c r="G3941" i="12"/>
  <c r="G3942" i="12"/>
  <c r="G3943" i="12"/>
  <c r="G3944" i="12"/>
  <c r="G3945" i="12"/>
  <c r="G3946" i="12"/>
  <c r="G3947" i="12"/>
  <c r="G3948" i="12"/>
  <c r="G3949" i="12"/>
  <c r="G3950" i="12"/>
  <c r="G3951" i="12"/>
  <c r="G3952" i="12"/>
  <c r="G3953" i="12"/>
  <c r="G3954" i="12"/>
  <c r="G3955" i="12"/>
  <c r="G3956" i="12"/>
  <c r="G3957" i="12"/>
  <c r="G3958" i="12"/>
  <c r="G3959" i="12"/>
  <c r="G3960" i="12"/>
  <c r="G3961" i="12"/>
  <c r="G3962" i="12"/>
  <c r="G3963" i="12"/>
  <c r="G3964" i="12"/>
  <c r="G3965" i="12"/>
  <c r="G3966" i="12"/>
  <c r="G3967" i="12"/>
  <c r="G3968" i="12"/>
  <c r="G3969" i="12"/>
  <c r="G3970" i="12"/>
  <c r="G3971" i="12"/>
  <c r="G3972" i="12"/>
  <c r="G3973" i="12"/>
  <c r="G3974" i="12"/>
  <c r="G3975" i="12"/>
  <c r="G3976" i="12"/>
  <c r="G3977" i="12"/>
  <c r="G3978" i="12"/>
  <c r="G3979" i="12"/>
  <c r="G3980" i="12"/>
  <c r="G3981" i="12"/>
  <c r="G3982" i="12"/>
  <c r="G3983" i="12"/>
  <c r="G3984" i="12"/>
  <c r="G3985" i="12"/>
  <c r="G3986" i="12"/>
  <c r="G3987" i="12"/>
  <c r="G3988" i="12"/>
  <c r="G3989" i="12"/>
  <c r="G3990" i="12"/>
  <c r="G3991" i="12"/>
  <c r="G3992" i="12"/>
  <c r="G3993" i="12"/>
  <c r="G3994" i="12"/>
  <c r="G3995" i="12"/>
  <c r="G3996" i="12"/>
  <c r="G3997" i="12"/>
  <c r="G3998" i="12"/>
  <c r="G3999" i="12"/>
  <c r="G4000" i="12"/>
  <c r="G4001" i="12"/>
  <c r="G4002" i="12"/>
  <c r="G4003" i="12"/>
  <c r="G4004" i="12"/>
  <c r="G4005" i="12"/>
  <c r="G4006" i="12"/>
  <c r="G4007" i="12"/>
  <c r="G4008" i="12"/>
  <c r="G4009" i="12"/>
  <c r="G4010" i="12"/>
  <c r="G4011" i="12"/>
  <c r="G4012" i="12"/>
  <c r="G4013" i="12"/>
  <c r="G4014" i="12"/>
  <c r="G4015" i="12"/>
  <c r="G4016" i="12"/>
  <c r="G4017" i="12"/>
  <c r="G4018" i="12"/>
  <c r="G4019" i="12"/>
  <c r="G4020" i="12"/>
  <c r="G4021" i="12"/>
  <c r="G4022" i="12"/>
  <c r="G4023" i="12"/>
  <c r="G4024" i="12"/>
  <c r="G4025" i="12"/>
  <c r="G4026" i="12"/>
  <c r="G4027" i="12"/>
  <c r="G4028" i="12"/>
  <c r="G4029" i="12"/>
  <c r="G4030" i="12"/>
  <c r="G4031" i="12"/>
  <c r="G4032" i="12"/>
  <c r="G4033" i="12"/>
  <c r="G4034" i="12"/>
  <c r="G4035" i="12"/>
  <c r="G4036" i="12"/>
  <c r="G4037" i="12"/>
  <c r="G4038" i="12"/>
  <c r="G4039" i="12"/>
  <c r="G4040" i="12"/>
  <c r="G4041" i="12"/>
  <c r="G4042" i="12"/>
  <c r="G4043" i="12"/>
  <c r="G4044" i="12"/>
  <c r="G4045" i="12"/>
  <c r="G4046" i="12"/>
  <c r="G4047" i="12"/>
  <c r="G4048" i="12"/>
  <c r="G4049" i="12"/>
  <c r="G4050" i="12"/>
  <c r="G4051" i="12"/>
  <c r="G4052" i="12"/>
  <c r="G4053" i="12"/>
  <c r="G4054" i="12"/>
  <c r="G4055" i="12"/>
  <c r="G4056" i="12"/>
  <c r="G4057" i="12"/>
  <c r="G4058" i="12"/>
  <c r="G4059" i="12"/>
  <c r="G4060" i="12"/>
  <c r="G4061" i="12"/>
  <c r="G4062" i="12"/>
  <c r="G4063" i="12"/>
  <c r="G4064" i="12"/>
  <c r="G4065" i="12"/>
  <c r="G4066" i="12"/>
  <c r="G4067" i="12"/>
  <c r="G4068" i="12"/>
  <c r="G4069" i="12"/>
  <c r="G4070" i="12"/>
  <c r="G4071" i="12"/>
  <c r="G4072" i="12"/>
  <c r="G4073" i="12"/>
  <c r="G4074" i="12"/>
  <c r="G4075" i="12"/>
  <c r="G4076" i="12"/>
  <c r="G4077" i="12"/>
  <c r="G4078" i="12"/>
  <c r="G4079" i="12"/>
  <c r="G4080" i="12"/>
  <c r="G4081" i="12"/>
  <c r="G4082" i="12"/>
  <c r="G4083" i="12"/>
  <c r="G4084" i="12"/>
  <c r="G4085" i="12"/>
  <c r="G4086" i="12"/>
  <c r="G4087" i="12"/>
  <c r="G4088" i="12"/>
  <c r="G4089" i="12"/>
  <c r="G4090" i="12"/>
  <c r="G4091" i="12"/>
  <c r="G4092" i="12"/>
  <c r="G4093" i="12"/>
  <c r="G4094" i="12"/>
  <c r="G4095" i="12"/>
  <c r="G4096" i="12"/>
  <c r="G4097" i="12"/>
  <c r="G4098" i="12"/>
  <c r="G4099" i="12"/>
  <c r="G4100" i="12"/>
  <c r="G4101" i="12"/>
  <c r="G4102" i="12"/>
  <c r="G4103" i="12"/>
  <c r="G4104" i="12"/>
  <c r="G4105" i="12"/>
  <c r="G4106" i="12"/>
  <c r="G4107" i="12"/>
  <c r="G4108" i="12"/>
  <c r="G4109" i="12"/>
  <c r="G4110" i="12"/>
  <c r="G4111" i="12"/>
  <c r="G4112" i="12"/>
  <c r="G4113" i="12"/>
  <c r="G4114" i="12"/>
  <c r="G4115" i="12"/>
  <c r="G4116" i="12"/>
  <c r="G4117" i="12"/>
  <c r="G4118" i="12"/>
  <c r="G4119" i="12"/>
  <c r="G4120" i="12"/>
  <c r="G4121" i="12"/>
  <c r="G4122" i="12"/>
  <c r="G4123" i="12"/>
  <c r="G4124" i="12"/>
  <c r="G4125" i="12"/>
  <c r="G4126" i="12"/>
  <c r="G4127" i="12"/>
  <c r="G4128" i="12"/>
  <c r="G4129" i="12"/>
  <c r="G4130" i="12"/>
  <c r="G4131" i="12"/>
  <c r="G4132" i="12"/>
  <c r="G4133" i="12"/>
  <c r="G4134" i="12"/>
  <c r="G4135" i="12"/>
  <c r="G4136" i="12"/>
  <c r="G4137" i="12"/>
  <c r="G4138" i="12"/>
  <c r="G4139" i="12"/>
  <c r="G4140" i="12"/>
  <c r="G4141" i="12"/>
  <c r="G4142" i="12"/>
  <c r="G4143" i="12"/>
  <c r="G4144" i="12"/>
  <c r="G4145" i="12"/>
  <c r="G4146" i="12"/>
  <c r="G4147" i="12"/>
  <c r="G4148" i="12"/>
  <c r="G4149" i="12"/>
  <c r="G4150" i="12"/>
  <c r="G4151" i="12"/>
  <c r="G4152" i="12"/>
  <c r="G4153" i="12"/>
  <c r="G4154" i="12"/>
  <c r="G4155" i="12"/>
  <c r="G4156" i="12"/>
  <c r="G4157" i="12"/>
  <c r="G4158" i="12"/>
  <c r="G4159" i="12"/>
  <c r="G4160" i="12"/>
  <c r="G4161" i="12"/>
  <c r="G4162" i="12"/>
  <c r="G4163" i="12"/>
  <c r="G4164" i="12"/>
  <c r="G4165" i="12"/>
  <c r="G4166" i="12"/>
  <c r="G4167" i="12"/>
  <c r="G4168" i="12"/>
  <c r="G4169" i="12"/>
  <c r="G4170" i="12"/>
  <c r="G4171" i="12"/>
  <c r="G4172" i="12"/>
  <c r="G4173" i="12"/>
  <c r="G4174" i="12"/>
  <c r="G4175" i="12"/>
  <c r="G4176" i="12"/>
  <c r="G4177" i="12"/>
  <c r="G4178" i="12"/>
  <c r="G4179" i="12"/>
  <c r="G4180" i="12"/>
  <c r="G4181" i="12"/>
  <c r="G4182" i="12"/>
  <c r="G4183" i="12"/>
  <c r="G4184" i="12"/>
  <c r="G4185" i="12"/>
  <c r="G4186" i="12"/>
  <c r="G4187" i="12"/>
  <c r="G4188" i="12"/>
  <c r="G4189" i="12"/>
  <c r="G4190" i="12"/>
  <c r="G4191" i="12"/>
  <c r="G4192" i="12"/>
  <c r="G4193" i="12"/>
  <c r="G4194" i="12"/>
  <c r="G4195" i="12"/>
  <c r="G4196" i="12"/>
  <c r="G4197" i="12"/>
  <c r="G4198" i="12"/>
  <c r="G4199" i="12"/>
  <c r="G4200" i="12"/>
  <c r="G4201" i="12"/>
  <c r="G4202" i="12"/>
  <c r="G4203" i="12"/>
  <c r="G4204" i="12"/>
  <c r="G4205" i="12"/>
  <c r="G4206" i="12"/>
  <c r="G4207" i="12"/>
  <c r="G4208" i="12"/>
  <c r="G4209" i="12"/>
  <c r="G4210" i="12"/>
  <c r="G4211" i="12"/>
  <c r="G4212" i="12"/>
  <c r="G4213" i="12"/>
  <c r="G4214" i="12"/>
  <c r="G4215" i="12"/>
  <c r="G4216" i="12"/>
  <c r="G4217" i="12"/>
  <c r="G4218" i="12"/>
  <c r="G4219" i="12"/>
  <c r="G4220" i="12"/>
  <c r="G4221" i="12"/>
  <c r="G4222" i="12"/>
  <c r="G4223" i="12"/>
  <c r="G4224" i="12"/>
  <c r="G4225" i="12"/>
  <c r="G4226" i="12"/>
  <c r="G4227" i="12"/>
  <c r="G4228" i="12"/>
  <c r="G4229" i="12"/>
  <c r="G4230" i="12"/>
  <c r="G4231" i="12"/>
  <c r="G4232" i="12"/>
  <c r="G4233" i="12"/>
  <c r="G4234" i="12"/>
  <c r="G4235" i="12"/>
  <c r="G4236" i="12"/>
  <c r="G4237" i="12"/>
  <c r="G4238" i="12"/>
  <c r="G4239" i="12"/>
  <c r="G4240" i="12"/>
  <c r="G4241" i="12"/>
  <c r="G4242" i="12"/>
  <c r="G4243" i="12"/>
  <c r="G4244" i="12"/>
  <c r="G4245" i="12"/>
  <c r="G4246" i="12"/>
  <c r="G4247" i="12"/>
  <c r="G4248" i="12"/>
  <c r="G4249" i="12"/>
  <c r="G4250" i="12"/>
  <c r="G4251" i="12"/>
  <c r="G4252" i="12"/>
  <c r="G4253" i="12"/>
  <c r="G4254" i="12"/>
  <c r="G4255" i="12"/>
  <c r="G4256" i="12"/>
  <c r="G4257" i="12"/>
  <c r="G4258" i="12"/>
  <c r="G4259" i="12"/>
  <c r="G4260" i="12"/>
  <c r="G4261" i="12"/>
  <c r="G4262" i="12"/>
  <c r="G4263" i="12"/>
  <c r="G4264" i="12"/>
  <c r="G4265" i="12"/>
  <c r="G4266" i="12"/>
  <c r="G4267" i="12"/>
  <c r="G4268" i="12"/>
  <c r="G4269" i="12"/>
  <c r="G4270" i="12"/>
  <c r="G4271" i="12"/>
  <c r="G4272" i="12"/>
  <c r="G4273" i="12"/>
  <c r="G4274" i="12"/>
  <c r="G4275" i="12"/>
  <c r="G4276" i="12"/>
  <c r="G4277" i="12"/>
  <c r="G4278" i="12"/>
  <c r="G4279" i="12"/>
  <c r="G4280" i="12"/>
  <c r="G4281" i="12"/>
  <c r="G4282" i="12"/>
  <c r="G4283" i="12"/>
  <c r="G4284" i="12"/>
  <c r="G4285" i="12"/>
  <c r="G4286" i="12"/>
  <c r="G4287" i="12"/>
  <c r="G4288" i="12"/>
  <c r="G4289" i="12"/>
  <c r="G4290" i="12"/>
  <c r="G4291" i="12"/>
  <c r="G4292" i="12"/>
  <c r="G4293" i="12"/>
  <c r="G4294" i="12"/>
  <c r="G4295" i="12"/>
  <c r="G4296" i="12"/>
  <c r="G4297" i="12"/>
  <c r="G4298" i="12"/>
  <c r="G4299" i="12"/>
  <c r="G4300" i="12"/>
  <c r="G4301" i="12"/>
  <c r="G4302" i="12"/>
  <c r="G4303" i="12"/>
  <c r="G4304" i="12"/>
  <c r="G4305" i="12"/>
  <c r="G4306" i="12"/>
  <c r="G4307" i="12"/>
  <c r="G4308" i="12"/>
  <c r="G4309" i="12"/>
  <c r="G4310" i="12"/>
  <c r="G4311" i="12"/>
  <c r="G4312" i="12"/>
  <c r="G4313" i="12"/>
  <c r="G4314" i="12"/>
  <c r="G4315" i="12"/>
  <c r="G4316" i="12"/>
  <c r="G4317" i="12"/>
  <c r="G4318" i="12"/>
  <c r="G4319" i="12"/>
  <c r="G4320" i="12"/>
  <c r="G4321" i="12"/>
  <c r="G4322" i="12"/>
  <c r="G4323" i="12"/>
  <c r="G4324" i="12"/>
  <c r="G4325" i="12"/>
  <c r="G4326" i="12"/>
  <c r="G4327" i="12"/>
  <c r="G4328" i="12"/>
  <c r="G4329" i="12"/>
  <c r="G4330" i="12"/>
  <c r="G4331" i="12"/>
  <c r="G4332" i="12"/>
  <c r="G4333" i="12"/>
  <c r="G4334" i="12"/>
  <c r="G4335" i="12"/>
  <c r="G4336" i="12"/>
  <c r="G4337" i="12"/>
  <c r="G4338" i="12"/>
  <c r="G4339" i="12"/>
  <c r="G4340" i="12"/>
  <c r="G4341" i="12"/>
  <c r="G4342" i="12"/>
  <c r="G4343" i="12"/>
  <c r="G4344" i="12"/>
  <c r="G4345" i="12"/>
  <c r="G4346" i="12"/>
  <c r="G4347" i="12"/>
  <c r="G4348" i="12"/>
  <c r="G4349" i="12"/>
  <c r="G4350" i="12"/>
  <c r="G4351" i="12"/>
  <c r="G4352" i="12"/>
  <c r="G4353" i="12"/>
  <c r="G4354" i="12"/>
  <c r="G4355" i="12"/>
  <c r="G4356" i="12"/>
  <c r="G4357" i="12"/>
  <c r="G4358" i="12"/>
  <c r="G4359" i="12"/>
  <c r="G4360" i="12"/>
  <c r="G4361" i="12"/>
  <c r="G4362" i="12"/>
  <c r="G4363" i="12"/>
  <c r="G4364" i="12"/>
  <c r="G4365" i="12"/>
  <c r="G4366" i="12"/>
  <c r="G4367" i="12"/>
  <c r="G4368" i="12"/>
  <c r="G4369" i="12"/>
  <c r="G4370" i="12"/>
  <c r="G4371" i="12"/>
  <c r="G4372" i="12"/>
  <c r="G4373" i="12"/>
  <c r="G4374" i="12"/>
  <c r="G4375" i="12"/>
  <c r="G4376" i="12"/>
  <c r="G4377" i="12"/>
  <c r="G4378" i="12"/>
  <c r="G4379" i="12"/>
  <c r="G4380" i="12"/>
  <c r="G4381" i="12"/>
  <c r="G4382" i="12"/>
  <c r="G4383" i="12"/>
  <c r="G4384" i="12"/>
  <c r="G4385" i="12"/>
  <c r="G4386" i="12"/>
  <c r="G4387" i="12"/>
  <c r="G4388" i="12"/>
  <c r="G4389" i="12"/>
  <c r="G4390" i="12"/>
  <c r="G4391" i="12"/>
  <c r="G4392" i="12"/>
  <c r="G4393" i="12"/>
  <c r="G4394" i="12"/>
  <c r="G4395" i="12"/>
  <c r="G4396" i="12"/>
  <c r="G4397" i="12"/>
  <c r="G4398" i="12"/>
  <c r="G4399" i="12"/>
  <c r="G4400" i="12"/>
  <c r="G4401" i="12"/>
  <c r="G4402" i="12"/>
  <c r="G4403" i="12"/>
  <c r="G4404" i="12"/>
  <c r="G4405" i="12"/>
  <c r="G4406" i="12"/>
  <c r="G4407" i="12"/>
  <c r="G4408" i="12"/>
  <c r="G4409" i="12"/>
  <c r="G4410" i="12"/>
  <c r="G4411" i="12"/>
  <c r="G4412" i="12"/>
  <c r="G4413" i="12"/>
  <c r="G4414" i="12"/>
  <c r="G4415" i="12"/>
  <c r="G4416" i="12"/>
  <c r="G4417" i="12"/>
  <c r="G4418" i="12"/>
  <c r="G4419" i="12"/>
  <c r="G4420" i="12"/>
  <c r="G4421" i="12"/>
  <c r="G4422" i="12"/>
  <c r="G4423" i="12"/>
  <c r="G4424" i="12"/>
  <c r="G4425" i="12"/>
  <c r="G4426" i="12"/>
  <c r="G4427" i="12"/>
  <c r="G4428" i="12"/>
  <c r="G4429" i="12"/>
  <c r="G4430" i="12"/>
  <c r="G4431" i="12"/>
  <c r="G4432" i="12"/>
  <c r="G4433" i="12"/>
  <c r="G4434" i="12"/>
  <c r="G4435" i="12"/>
  <c r="G4436" i="12"/>
  <c r="G4437" i="12"/>
  <c r="G4438" i="12"/>
  <c r="G4439" i="12"/>
  <c r="G4440" i="12"/>
  <c r="G4441" i="12"/>
  <c r="G4442" i="12"/>
  <c r="G4443" i="12"/>
  <c r="G4444" i="12"/>
  <c r="G4445" i="12"/>
  <c r="G4446" i="12"/>
  <c r="G4447" i="12"/>
  <c r="G4448" i="12"/>
  <c r="G4449" i="12"/>
  <c r="G4450" i="12"/>
  <c r="G4451" i="12"/>
  <c r="G4452" i="12"/>
  <c r="G4453" i="12"/>
  <c r="G4454" i="12"/>
  <c r="G4455" i="12"/>
  <c r="G4456" i="12"/>
  <c r="G4457" i="12"/>
  <c r="G4458" i="12"/>
  <c r="G4459" i="12"/>
  <c r="G4460" i="12"/>
  <c r="G4461" i="12"/>
  <c r="G4462" i="12"/>
  <c r="G4463" i="12"/>
  <c r="G4464" i="12"/>
  <c r="G4465" i="12"/>
  <c r="G4466" i="12"/>
  <c r="G4467" i="12"/>
  <c r="G4468" i="12"/>
  <c r="G4469" i="12"/>
  <c r="G4470" i="12"/>
  <c r="G4471" i="12"/>
  <c r="G4472" i="12"/>
  <c r="G4473" i="12"/>
  <c r="G4474" i="12"/>
  <c r="G4475" i="12"/>
  <c r="G4476" i="12"/>
  <c r="G4477" i="12"/>
  <c r="G4478" i="12"/>
  <c r="G4479" i="12"/>
  <c r="G4480" i="12"/>
  <c r="G4481" i="12"/>
  <c r="G4482" i="12"/>
  <c r="G4483" i="12"/>
  <c r="G4484" i="12"/>
  <c r="G4485" i="12"/>
  <c r="G4486" i="12"/>
  <c r="G4487" i="12"/>
  <c r="G4488" i="12"/>
  <c r="G4489" i="12"/>
  <c r="G4490" i="12"/>
  <c r="G4491" i="12"/>
  <c r="G4492" i="12"/>
  <c r="G4493" i="12"/>
  <c r="G4494" i="12"/>
  <c r="G4495" i="12"/>
  <c r="G4496" i="12"/>
  <c r="G4497" i="12"/>
  <c r="G4498" i="12"/>
  <c r="G4499" i="12"/>
  <c r="G4500" i="12"/>
  <c r="G4501" i="12"/>
  <c r="G4502" i="12"/>
  <c r="G4503" i="12"/>
  <c r="G4504" i="12"/>
  <c r="G4505" i="12"/>
  <c r="G4506" i="12"/>
  <c r="G4507" i="12"/>
  <c r="G4508" i="12"/>
  <c r="G4509" i="12"/>
  <c r="G4510" i="12"/>
  <c r="G4511" i="12"/>
  <c r="G4512" i="12"/>
  <c r="G4513" i="12"/>
  <c r="G4514" i="12"/>
  <c r="G4515" i="12"/>
  <c r="G4516" i="12"/>
  <c r="G4517" i="12"/>
  <c r="G4518" i="12"/>
  <c r="G4519" i="12"/>
  <c r="G4520" i="12"/>
  <c r="G4521" i="12"/>
  <c r="G4522" i="12"/>
  <c r="G4523" i="12"/>
  <c r="G4524" i="12"/>
  <c r="G4525" i="12"/>
  <c r="G4526" i="12"/>
  <c r="G4527" i="12"/>
  <c r="G4528" i="12"/>
  <c r="G4529" i="12"/>
  <c r="G4530" i="12"/>
  <c r="G4531" i="12"/>
  <c r="G4532" i="12"/>
  <c r="G4533" i="12"/>
  <c r="G4534" i="12"/>
  <c r="G4535" i="12"/>
  <c r="G4536" i="12"/>
  <c r="G4537" i="12"/>
  <c r="G4538" i="12"/>
  <c r="G4539" i="12"/>
  <c r="G4540" i="12"/>
  <c r="G4541" i="12"/>
  <c r="G4542" i="12"/>
  <c r="G4543" i="12"/>
  <c r="G4544" i="12"/>
  <c r="G4545" i="12"/>
  <c r="G4546" i="12"/>
  <c r="G4547" i="12"/>
  <c r="G4548" i="12"/>
  <c r="G4549" i="12"/>
  <c r="G4550" i="12"/>
  <c r="G4551" i="12"/>
  <c r="G4552" i="12"/>
  <c r="G4553" i="12"/>
  <c r="G4554" i="12"/>
  <c r="G4555" i="12"/>
  <c r="G4556" i="12"/>
  <c r="G4557" i="12"/>
  <c r="G4558" i="12"/>
  <c r="G4559" i="12"/>
  <c r="G4560" i="12"/>
  <c r="G4561" i="12"/>
  <c r="G4562" i="12"/>
  <c r="G4563" i="12"/>
  <c r="G4564" i="12"/>
  <c r="G4565" i="12"/>
  <c r="G4566" i="12"/>
  <c r="G4567" i="12"/>
  <c r="G4568" i="12"/>
  <c r="G4569" i="12"/>
  <c r="G4570" i="12"/>
  <c r="G4571" i="12"/>
  <c r="G4572" i="12"/>
  <c r="G4573" i="12"/>
  <c r="G4574" i="12"/>
  <c r="G4575" i="12"/>
  <c r="G4576" i="12"/>
  <c r="G4577" i="12"/>
  <c r="G4578" i="12"/>
  <c r="G4579" i="12"/>
  <c r="G4580" i="12"/>
  <c r="G4581" i="12"/>
  <c r="G4582" i="12"/>
  <c r="G4583" i="12"/>
  <c r="G4584" i="12"/>
  <c r="G4585" i="12"/>
  <c r="G4586" i="12"/>
  <c r="G4587" i="12"/>
  <c r="G4588" i="12"/>
  <c r="G4589" i="12"/>
  <c r="G4590" i="12"/>
  <c r="G4591" i="12"/>
  <c r="G4592" i="12"/>
  <c r="G4593" i="12"/>
  <c r="G4594" i="12"/>
  <c r="G4595" i="12"/>
  <c r="G4596" i="12"/>
  <c r="G4597" i="12"/>
  <c r="G4598" i="12"/>
  <c r="G4599" i="12"/>
  <c r="G4600" i="12"/>
  <c r="G4601" i="12"/>
  <c r="G4602" i="12"/>
  <c r="G4603" i="12"/>
  <c r="G4604" i="12"/>
  <c r="G4605" i="12"/>
  <c r="G4606" i="12"/>
  <c r="G4607" i="12"/>
  <c r="G4608" i="12"/>
  <c r="G4609" i="12"/>
  <c r="G4610" i="12"/>
  <c r="G4611" i="12"/>
  <c r="G4612" i="12"/>
  <c r="G4613" i="12"/>
  <c r="G4614" i="12"/>
  <c r="G4615" i="12"/>
  <c r="G4616" i="12"/>
  <c r="G4617" i="12"/>
  <c r="G4618" i="12"/>
  <c r="G4619" i="12"/>
  <c r="G4620" i="12"/>
  <c r="G4621" i="12"/>
  <c r="G4622" i="12"/>
  <c r="G4623" i="12"/>
  <c r="G4624" i="12"/>
  <c r="G4625" i="12"/>
  <c r="G4626" i="12"/>
  <c r="G4627" i="12"/>
  <c r="G4628" i="12"/>
  <c r="G4629" i="12"/>
  <c r="G4630" i="12"/>
  <c r="G4631" i="12"/>
  <c r="G4632" i="12"/>
  <c r="G4633" i="12"/>
  <c r="G4634" i="12"/>
  <c r="G4635" i="12"/>
  <c r="G4636" i="12"/>
  <c r="G4637" i="12"/>
  <c r="G4638" i="12"/>
  <c r="G4639" i="12"/>
  <c r="G4640" i="12"/>
  <c r="G4641" i="12"/>
  <c r="G4642" i="12"/>
  <c r="G4643" i="12"/>
  <c r="G4644" i="12"/>
  <c r="G4645" i="12"/>
  <c r="G4646" i="12"/>
  <c r="G4647" i="12"/>
  <c r="G4648" i="12"/>
  <c r="G4649" i="12"/>
  <c r="G4650" i="12"/>
  <c r="G4651" i="12"/>
  <c r="G4652" i="12"/>
  <c r="G4653" i="12"/>
  <c r="G4654" i="12"/>
  <c r="G4655" i="12"/>
  <c r="G4656" i="12"/>
  <c r="G4657" i="12"/>
  <c r="G4658" i="12"/>
  <c r="G4659" i="12"/>
  <c r="G4660" i="12"/>
  <c r="G4661" i="12"/>
  <c r="G4662" i="12"/>
  <c r="G4663" i="12"/>
  <c r="G4664" i="12"/>
  <c r="G4665" i="12"/>
  <c r="G4666" i="12"/>
  <c r="G4667" i="12"/>
  <c r="G4668" i="12"/>
  <c r="G4669" i="12"/>
  <c r="G4670" i="12"/>
  <c r="G4671" i="12"/>
  <c r="G4672" i="12"/>
  <c r="G4673" i="12"/>
  <c r="G4674" i="12"/>
  <c r="G4675" i="12"/>
  <c r="G4676" i="12"/>
  <c r="G4677" i="12"/>
  <c r="G4678" i="12"/>
  <c r="G4679" i="12"/>
  <c r="G4680" i="12"/>
  <c r="G4681" i="12"/>
  <c r="G4682" i="12"/>
  <c r="G4683" i="12"/>
  <c r="G4684" i="12"/>
  <c r="G4685" i="12"/>
  <c r="G4686" i="12"/>
  <c r="G4687" i="12"/>
  <c r="G4688" i="12"/>
  <c r="G4689" i="12"/>
  <c r="G4690" i="12"/>
  <c r="G4691" i="12"/>
  <c r="G4692" i="12"/>
  <c r="G4693" i="12"/>
  <c r="G4694" i="12"/>
  <c r="G4695" i="12"/>
  <c r="G4696" i="12"/>
  <c r="G4697" i="12"/>
  <c r="G4698" i="12"/>
  <c r="G4699" i="12"/>
  <c r="G4700" i="12"/>
  <c r="G4701" i="12"/>
  <c r="G4702" i="12"/>
  <c r="G4703" i="12"/>
  <c r="G4704" i="12"/>
  <c r="G4705" i="12"/>
  <c r="G4706" i="12"/>
  <c r="G4707" i="12"/>
  <c r="G4708" i="12"/>
  <c r="G4709" i="12"/>
  <c r="G4710" i="12"/>
  <c r="G4711" i="12"/>
  <c r="G4712" i="12"/>
  <c r="G4713" i="12"/>
  <c r="G4714" i="12"/>
  <c r="G4715" i="12"/>
  <c r="G4716" i="12"/>
  <c r="G4717" i="12"/>
  <c r="G4718" i="12"/>
  <c r="G4719" i="12"/>
  <c r="G4720" i="12"/>
  <c r="G4721" i="12"/>
  <c r="G4722" i="12"/>
  <c r="G4723" i="12"/>
  <c r="G4724" i="12"/>
  <c r="G4725" i="12"/>
  <c r="G4726" i="12"/>
  <c r="G4727" i="12"/>
  <c r="G4728" i="12"/>
  <c r="G4729" i="12"/>
  <c r="G4730" i="12"/>
  <c r="G4731" i="12"/>
  <c r="G4732" i="12"/>
  <c r="G4733" i="12"/>
  <c r="G4734" i="12"/>
  <c r="G4735" i="12"/>
  <c r="G4736" i="12"/>
  <c r="G4737" i="12"/>
  <c r="G4738" i="12"/>
  <c r="G4739" i="12"/>
  <c r="G4740" i="12"/>
  <c r="G4741" i="12"/>
  <c r="G4742" i="12"/>
  <c r="G4743" i="12"/>
  <c r="G4744" i="12"/>
  <c r="G4745" i="12"/>
  <c r="G4746" i="12"/>
  <c r="G4747" i="12"/>
  <c r="G4748" i="12"/>
  <c r="G4749" i="12"/>
  <c r="G4750" i="12"/>
  <c r="G4751" i="12"/>
  <c r="G4752" i="12"/>
  <c r="G4753" i="12"/>
  <c r="G4754" i="12"/>
  <c r="G4755" i="12"/>
  <c r="G4756" i="12"/>
  <c r="G4757" i="12"/>
  <c r="G4758" i="12"/>
  <c r="G4759" i="12"/>
  <c r="G4760" i="12"/>
  <c r="G4761" i="12"/>
  <c r="G4762" i="12"/>
  <c r="G4763" i="12"/>
  <c r="G4764" i="12"/>
  <c r="G4765" i="12"/>
  <c r="G4766" i="12"/>
  <c r="G4767" i="12"/>
  <c r="G4768" i="12"/>
  <c r="G4769" i="12"/>
  <c r="G4770" i="12"/>
  <c r="G4771" i="12"/>
  <c r="G4772" i="12"/>
  <c r="G4773" i="12"/>
  <c r="G4774" i="12"/>
  <c r="G4775" i="12"/>
  <c r="G4776" i="12"/>
  <c r="G4777" i="12"/>
  <c r="G4778" i="12"/>
  <c r="G4779" i="12"/>
  <c r="G4780" i="12"/>
  <c r="G4781" i="12"/>
  <c r="G4782" i="12"/>
  <c r="G4783" i="12"/>
  <c r="G4784" i="12"/>
  <c r="G4785" i="12"/>
  <c r="G4786" i="12"/>
  <c r="G4787" i="12"/>
  <c r="G4788" i="12"/>
  <c r="G4789" i="12"/>
  <c r="G4790" i="12"/>
  <c r="G4791" i="12"/>
  <c r="G4792" i="12"/>
  <c r="G4793" i="12"/>
  <c r="G4794" i="12"/>
  <c r="G4795" i="12"/>
  <c r="G4796" i="12"/>
  <c r="G4797" i="12"/>
  <c r="G4798" i="12"/>
  <c r="G4799" i="12"/>
  <c r="G4800" i="12"/>
  <c r="G4801" i="12"/>
  <c r="G4802" i="12"/>
  <c r="G4803" i="12"/>
  <c r="G4804" i="12"/>
  <c r="G4805" i="12"/>
  <c r="G4806" i="12"/>
  <c r="G4807" i="12"/>
  <c r="G4808" i="12"/>
  <c r="G4809" i="12"/>
  <c r="G4810" i="12"/>
  <c r="G4811" i="12"/>
  <c r="G4812" i="12"/>
  <c r="G4813" i="12"/>
  <c r="G4814" i="12"/>
  <c r="G4815" i="12"/>
  <c r="G4816" i="12"/>
  <c r="G4817" i="12"/>
  <c r="G4818" i="12"/>
  <c r="G4819" i="12"/>
  <c r="G4820" i="12"/>
  <c r="G4821" i="12"/>
  <c r="G4822" i="12"/>
  <c r="G4823" i="12"/>
  <c r="G4824" i="12"/>
  <c r="G4825" i="12"/>
  <c r="G4826" i="12"/>
  <c r="G4827" i="12"/>
  <c r="G4828" i="12"/>
  <c r="G4829" i="12"/>
  <c r="G4830" i="12"/>
  <c r="G4831" i="12"/>
  <c r="G4832" i="12"/>
  <c r="G4833" i="12"/>
  <c r="G4834" i="12"/>
  <c r="G4835" i="12"/>
  <c r="G4836" i="12"/>
  <c r="G4837" i="12"/>
  <c r="G4838" i="12"/>
  <c r="G4839" i="12"/>
  <c r="G4840" i="12"/>
  <c r="G4841" i="12"/>
  <c r="G4842" i="12"/>
  <c r="G4843" i="12"/>
  <c r="G4844" i="12"/>
  <c r="G4845" i="12"/>
  <c r="G4846" i="12"/>
  <c r="G4847" i="12"/>
  <c r="G4848" i="12"/>
  <c r="G4849" i="12"/>
  <c r="G4850" i="12"/>
  <c r="G4851" i="12"/>
  <c r="G4852" i="12"/>
  <c r="G4853" i="12"/>
  <c r="G4854" i="12"/>
  <c r="G4855" i="12"/>
  <c r="G4856" i="12"/>
  <c r="G4857" i="12"/>
  <c r="G4858" i="12"/>
  <c r="G4859" i="12"/>
  <c r="G4860" i="12"/>
  <c r="G4861" i="12"/>
  <c r="G4862" i="12"/>
  <c r="G4863" i="12"/>
  <c r="G4864" i="12"/>
  <c r="G4865" i="12"/>
  <c r="G4866" i="12"/>
  <c r="G4867" i="12"/>
  <c r="G4868" i="12"/>
  <c r="G4869" i="12"/>
  <c r="G4870" i="12"/>
  <c r="G4871" i="12"/>
  <c r="G4872" i="12"/>
  <c r="G4873" i="12"/>
  <c r="G4874" i="12"/>
  <c r="G4875" i="12"/>
  <c r="G4876" i="12"/>
  <c r="G4877" i="12"/>
  <c r="G4878" i="12"/>
  <c r="G4879" i="12"/>
  <c r="G4880" i="12"/>
  <c r="G4881" i="12"/>
  <c r="G4882" i="12"/>
  <c r="G4883" i="12"/>
  <c r="G4884" i="12"/>
  <c r="G4885" i="12"/>
  <c r="G4886" i="12"/>
  <c r="G4887" i="12"/>
  <c r="G4888" i="12"/>
  <c r="G4889" i="12"/>
  <c r="G4890" i="12"/>
  <c r="G4891" i="12"/>
  <c r="G4892" i="12"/>
  <c r="G4893" i="12"/>
  <c r="G4894" i="12"/>
  <c r="G4895" i="12"/>
  <c r="G4896" i="12"/>
  <c r="G4897" i="12"/>
  <c r="G4898" i="12"/>
  <c r="G4899" i="12"/>
  <c r="G4900" i="12"/>
  <c r="G4901" i="12"/>
  <c r="G4902" i="12"/>
  <c r="G4903" i="12"/>
  <c r="G4904" i="12"/>
  <c r="G4905" i="12"/>
  <c r="G4906" i="12"/>
  <c r="G4907" i="12"/>
  <c r="G4908" i="12"/>
  <c r="G4909" i="12"/>
  <c r="G4910" i="12"/>
  <c r="G4911" i="12"/>
  <c r="G4912" i="12"/>
  <c r="G4913" i="12"/>
  <c r="G4914" i="12"/>
  <c r="G4915" i="12"/>
  <c r="G4916" i="12"/>
  <c r="G4917" i="12"/>
  <c r="G4918" i="12"/>
  <c r="G4919" i="12"/>
  <c r="G4920" i="12"/>
  <c r="G4921" i="12"/>
  <c r="G4922" i="12"/>
  <c r="G4923" i="12"/>
  <c r="G4924" i="12"/>
  <c r="G4925" i="12"/>
  <c r="G4926" i="12"/>
  <c r="G4927" i="12"/>
  <c r="G4928" i="12"/>
  <c r="G4929" i="12"/>
  <c r="G4930" i="12"/>
  <c r="G4931" i="12"/>
  <c r="G4932" i="12"/>
  <c r="G4933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2" i="12"/>
  <c r="K1043" i="12"/>
  <c r="K1044" i="12"/>
  <c r="K1045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8" i="12"/>
  <c r="K1059" i="12"/>
  <c r="K1060" i="12"/>
  <c r="K1061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4" i="12"/>
  <c r="K1235" i="12"/>
  <c r="K1236" i="12"/>
  <c r="K1237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0" i="12"/>
  <c r="K1251" i="12"/>
  <c r="K1252" i="12"/>
  <c r="K1253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66" i="12"/>
  <c r="K1267" i="12"/>
  <c r="K1268" i="12"/>
  <c r="K1269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2" i="12"/>
  <c r="K1283" i="12"/>
  <c r="K1284" i="12"/>
  <c r="K1285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8" i="12"/>
  <c r="K1299" i="12"/>
  <c r="K1300" i="12"/>
  <c r="K1301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4" i="12"/>
  <c r="K1315" i="12"/>
  <c r="K1316" i="12"/>
  <c r="K1317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0" i="12"/>
  <c r="K1331" i="12"/>
  <c r="K1332" i="12"/>
  <c r="K1333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6" i="12"/>
  <c r="K1347" i="12"/>
  <c r="K1348" i="12"/>
  <c r="K1349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2" i="12"/>
  <c r="K1363" i="12"/>
  <c r="K1364" i="12"/>
  <c r="K1365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8" i="12"/>
  <c r="K1379" i="12"/>
  <c r="K1380" i="12"/>
  <c r="K1381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4" i="12"/>
  <c r="K1395" i="12"/>
  <c r="K1396" i="12"/>
  <c r="K1397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0" i="12"/>
  <c r="K1411" i="12"/>
  <c r="K1412" i="12"/>
  <c r="K1413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5" i="12"/>
  <c r="K1426" i="12"/>
  <c r="K1427" i="12"/>
  <c r="K1428" i="12"/>
  <c r="K1429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2" i="12"/>
  <c r="K1443" i="12"/>
  <c r="K1444" i="12"/>
  <c r="K1445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8" i="12"/>
  <c r="K1459" i="12"/>
  <c r="K1460" i="12"/>
  <c r="K1461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4" i="12"/>
  <c r="K1475" i="12"/>
  <c r="K1476" i="12"/>
  <c r="K1477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89" i="12"/>
  <c r="K1490" i="12"/>
  <c r="K1491" i="12"/>
  <c r="K1492" i="12"/>
  <c r="K1493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6" i="12"/>
  <c r="K1507" i="12"/>
  <c r="K1508" i="12"/>
  <c r="K1509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2" i="12"/>
  <c r="K1523" i="12"/>
  <c r="K1524" i="12"/>
  <c r="K1525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8" i="12"/>
  <c r="K1539" i="12"/>
  <c r="K1540" i="12"/>
  <c r="K1541" i="12"/>
  <c r="K1542" i="12"/>
  <c r="K1543" i="12"/>
  <c r="K1544" i="12"/>
  <c r="K1545" i="12"/>
  <c r="K1546" i="12"/>
  <c r="K1547" i="12"/>
  <c r="K1548" i="12"/>
  <c r="K1549" i="12"/>
  <c r="K1550" i="12"/>
  <c r="K1551" i="12"/>
  <c r="K1552" i="12"/>
  <c r="K1553" i="12"/>
  <c r="K1554" i="12"/>
  <c r="K1555" i="12"/>
  <c r="K1556" i="12"/>
  <c r="K1557" i="12"/>
  <c r="K1558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0" i="12"/>
  <c r="K1571" i="12"/>
  <c r="K1572" i="12"/>
  <c r="K1573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6" i="12"/>
  <c r="K1587" i="12"/>
  <c r="K1588" i="12"/>
  <c r="K1589" i="12"/>
  <c r="K1590" i="12"/>
  <c r="K1591" i="12"/>
  <c r="K1592" i="12"/>
  <c r="K1593" i="12"/>
  <c r="K1594" i="12"/>
  <c r="K1595" i="12"/>
  <c r="K1596" i="12"/>
  <c r="K1597" i="12"/>
  <c r="K1598" i="12"/>
  <c r="K1599" i="12"/>
  <c r="K1600" i="12"/>
  <c r="K1601" i="12"/>
  <c r="K1602" i="12"/>
  <c r="K1603" i="12"/>
  <c r="K1604" i="12"/>
  <c r="K1605" i="12"/>
  <c r="K1606" i="12"/>
  <c r="K1607" i="12"/>
  <c r="K1608" i="12"/>
  <c r="K1609" i="12"/>
  <c r="K1610" i="12"/>
  <c r="K1611" i="12"/>
  <c r="K1612" i="12"/>
  <c r="K1613" i="12"/>
  <c r="K1614" i="12"/>
  <c r="K1615" i="12"/>
  <c r="K1616" i="12"/>
  <c r="K1617" i="12"/>
  <c r="K1618" i="12"/>
  <c r="K1619" i="12"/>
  <c r="K1620" i="12"/>
  <c r="K1621" i="12"/>
  <c r="K1622" i="12"/>
  <c r="K1623" i="12"/>
  <c r="K1624" i="12"/>
  <c r="K1625" i="12"/>
  <c r="K1626" i="12"/>
  <c r="K1627" i="12"/>
  <c r="K1628" i="12"/>
  <c r="K1629" i="12"/>
  <c r="K1630" i="12"/>
  <c r="K1631" i="12"/>
  <c r="K1632" i="12"/>
  <c r="K1633" i="12"/>
  <c r="K1634" i="12"/>
  <c r="K1635" i="12"/>
  <c r="K1636" i="12"/>
  <c r="K1637" i="12"/>
  <c r="K1638" i="12"/>
  <c r="K1639" i="12"/>
  <c r="K1640" i="12"/>
  <c r="K1641" i="12"/>
  <c r="K1642" i="12"/>
  <c r="K1643" i="12"/>
  <c r="K1644" i="12"/>
  <c r="K1645" i="12"/>
  <c r="K1646" i="12"/>
  <c r="K1647" i="12"/>
  <c r="K1648" i="12"/>
  <c r="K1649" i="12"/>
  <c r="K1650" i="12"/>
  <c r="K1651" i="12"/>
  <c r="K1652" i="12"/>
  <c r="K1653" i="12"/>
  <c r="K1654" i="12"/>
  <c r="K1655" i="12"/>
  <c r="K1656" i="12"/>
  <c r="K1657" i="12"/>
  <c r="K1658" i="12"/>
  <c r="K1659" i="12"/>
  <c r="K1660" i="12"/>
  <c r="K1661" i="12"/>
  <c r="K1662" i="12"/>
  <c r="K1663" i="12"/>
  <c r="K1664" i="12"/>
  <c r="K1665" i="12"/>
  <c r="K1666" i="12"/>
  <c r="K1667" i="12"/>
  <c r="K1668" i="12"/>
  <c r="K1669" i="12"/>
  <c r="K1670" i="12"/>
  <c r="K1671" i="12"/>
  <c r="K1672" i="12"/>
  <c r="K1673" i="12"/>
  <c r="K1674" i="12"/>
  <c r="K1675" i="12"/>
  <c r="K1676" i="12"/>
  <c r="K1677" i="12"/>
  <c r="K1678" i="12"/>
  <c r="K1679" i="12"/>
  <c r="K1680" i="12"/>
  <c r="K1681" i="12"/>
  <c r="K1682" i="12"/>
  <c r="K1683" i="12"/>
  <c r="K1684" i="12"/>
  <c r="K1685" i="12"/>
  <c r="K1686" i="12"/>
  <c r="K1687" i="12"/>
  <c r="K1688" i="12"/>
  <c r="K1689" i="12"/>
  <c r="K1690" i="12"/>
  <c r="K1691" i="12"/>
  <c r="K1692" i="12"/>
  <c r="K1693" i="12"/>
  <c r="K1694" i="12"/>
  <c r="K1695" i="12"/>
  <c r="K1696" i="12"/>
  <c r="K1697" i="12"/>
  <c r="K1698" i="12"/>
  <c r="K1699" i="12"/>
  <c r="K1700" i="12"/>
  <c r="K1701" i="12"/>
  <c r="K1702" i="12"/>
  <c r="K1703" i="12"/>
  <c r="K1704" i="12"/>
  <c r="K1705" i="12"/>
  <c r="K1706" i="12"/>
  <c r="K1707" i="12"/>
  <c r="K1708" i="12"/>
  <c r="K1709" i="12"/>
  <c r="K1710" i="12"/>
  <c r="K1711" i="12"/>
  <c r="K1712" i="12"/>
  <c r="K1713" i="12"/>
  <c r="K1714" i="12"/>
  <c r="K1715" i="12"/>
  <c r="K1716" i="12"/>
  <c r="K1717" i="12"/>
  <c r="K1718" i="12"/>
  <c r="K1719" i="12"/>
  <c r="K1720" i="12"/>
  <c r="K1721" i="12"/>
  <c r="K1722" i="12"/>
  <c r="K1723" i="12"/>
  <c r="K1724" i="12"/>
  <c r="K1725" i="12"/>
  <c r="K1726" i="12"/>
  <c r="K1727" i="12"/>
  <c r="K1728" i="12"/>
  <c r="K1729" i="12"/>
  <c r="K1730" i="12"/>
  <c r="K1731" i="12"/>
  <c r="K1732" i="12"/>
  <c r="K1733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6" i="12"/>
  <c r="K1747" i="12"/>
  <c r="K1748" i="12"/>
  <c r="K1749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2" i="12"/>
  <c r="K1763" i="12"/>
  <c r="K1764" i="12"/>
  <c r="K1765" i="12"/>
  <c r="K1766" i="12"/>
  <c r="K1767" i="12"/>
  <c r="K1768" i="12"/>
  <c r="K1769" i="12"/>
  <c r="K1770" i="12"/>
  <c r="K1771" i="12"/>
  <c r="K1772" i="12"/>
  <c r="K1773" i="12"/>
  <c r="K1774" i="12"/>
  <c r="K1775" i="12"/>
  <c r="K1776" i="12"/>
  <c r="K1777" i="12"/>
  <c r="K1778" i="12"/>
  <c r="K1779" i="12"/>
  <c r="K1780" i="12"/>
  <c r="K1781" i="12"/>
  <c r="K1782" i="12"/>
  <c r="K1783" i="12"/>
  <c r="K1784" i="12"/>
  <c r="K1785" i="12"/>
  <c r="K1786" i="12"/>
  <c r="K1787" i="12"/>
  <c r="K1788" i="12"/>
  <c r="K1789" i="12"/>
  <c r="K1790" i="12"/>
  <c r="K1791" i="12"/>
  <c r="K1792" i="12"/>
  <c r="K1793" i="12"/>
  <c r="K1794" i="12"/>
  <c r="K1795" i="12"/>
  <c r="K1796" i="12"/>
  <c r="K1797" i="12"/>
  <c r="K1798" i="12"/>
  <c r="K1799" i="12"/>
  <c r="K1800" i="12"/>
  <c r="K1801" i="12"/>
  <c r="K1802" i="12"/>
  <c r="K1803" i="12"/>
  <c r="K1804" i="12"/>
  <c r="K1805" i="12"/>
  <c r="K1806" i="12"/>
  <c r="K1807" i="12"/>
  <c r="K1808" i="12"/>
  <c r="K1809" i="12"/>
  <c r="K1810" i="12"/>
  <c r="K1811" i="12"/>
  <c r="K1812" i="12"/>
  <c r="K1813" i="12"/>
  <c r="K1814" i="12"/>
  <c r="K1815" i="12"/>
  <c r="K1816" i="12"/>
  <c r="K1817" i="12"/>
  <c r="K1818" i="12"/>
  <c r="K1819" i="12"/>
  <c r="K1820" i="12"/>
  <c r="K1821" i="12"/>
  <c r="K1822" i="12"/>
  <c r="K1823" i="12"/>
  <c r="K1824" i="12"/>
  <c r="K1825" i="12"/>
  <c r="K1826" i="12"/>
  <c r="K1827" i="12"/>
  <c r="K1828" i="12"/>
  <c r="K1829" i="12"/>
  <c r="K1830" i="12"/>
  <c r="K1831" i="12"/>
  <c r="K1832" i="12"/>
  <c r="K1833" i="12"/>
  <c r="K1834" i="12"/>
  <c r="K1835" i="12"/>
  <c r="K1836" i="12"/>
  <c r="K1837" i="12"/>
  <c r="K1838" i="12"/>
  <c r="K1839" i="12"/>
  <c r="K1840" i="12"/>
  <c r="K1841" i="12"/>
  <c r="K1842" i="12"/>
  <c r="K1843" i="12"/>
  <c r="K1844" i="12"/>
  <c r="K1845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8" i="12"/>
  <c r="K1859" i="12"/>
  <c r="K1860" i="12"/>
  <c r="K1861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4" i="12"/>
  <c r="K1875" i="12"/>
  <c r="K1876" i="12"/>
  <c r="K1877" i="12"/>
  <c r="K1878" i="12"/>
  <c r="K1879" i="12"/>
  <c r="K1880" i="12"/>
  <c r="K1881" i="12"/>
  <c r="K1882" i="12"/>
  <c r="K1883" i="12"/>
  <c r="K1884" i="12"/>
  <c r="K1885" i="12"/>
  <c r="K1886" i="12"/>
  <c r="K1887" i="12"/>
  <c r="K1888" i="12"/>
  <c r="K1889" i="12"/>
  <c r="K1890" i="12"/>
  <c r="K1891" i="12"/>
  <c r="K1892" i="12"/>
  <c r="K1893" i="12"/>
  <c r="K1894" i="12"/>
  <c r="K1895" i="12"/>
  <c r="K1896" i="12"/>
  <c r="K1897" i="12"/>
  <c r="K1898" i="12"/>
  <c r="K1899" i="12"/>
  <c r="K1900" i="12"/>
  <c r="K1901" i="12"/>
  <c r="K1902" i="12"/>
  <c r="K1903" i="12"/>
  <c r="K1904" i="12"/>
  <c r="K1905" i="12"/>
  <c r="K1906" i="12"/>
  <c r="K1907" i="12"/>
  <c r="K1908" i="12"/>
  <c r="K1909" i="12"/>
  <c r="K1910" i="12"/>
  <c r="K1911" i="12"/>
  <c r="K1912" i="12"/>
  <c r="K1913" i="12"/>
  <c r="K1914" i="12"/>
  <c r="K1915" i="12"/>
  <c r="K1916" i="12"/>
  <c r="K1917" i="12"/>
  <c r="K1918" i="12"/>
  <c r="K1919" i="12"/>
  <c r="K1920" i="12"/>
  <c r="K1921" i="12"/>
  <c r="K1922" i="12"/>
  <c r="K1923" i="12"/>
  <c r="K1924" i="12"/>
  <c r="K1925" i="12"/>
  <c r="K1926" i="12"/>
  <c r="K1927" i="12"/>
  <c r="K1928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0" i="12"/>
  <c r="K1941" i="12"/>
  <c r="K1942" i="12"/>
  <c r="K1943" i="12"/>
  <c r="K1944" i="12"/>
  <c r="K1945" i="12"/>
  <c r="K1946" i="12"/>
  <c r="K1947" i="12"/>
  <c r="K1948" i="12"/>
  <c r="K1949" i="12"/>
  <c r="K1950" i="12"/>
  <c r="K1951" i="12"/>
  <c r="K1952" i="12"/>
  <c r="K1953" i="12"/>
  <c r="K1954" i="12"/>
  <c r="K1955" i="12"/>
  <c r="K1956" i="12"/>
  <c r="K1957" i="12"/>
  <c r="K1958" i="12"/>
  <c r="K1959" i="12"/>
  <c r="K1960" i="12"/>
  <c r="K1961" i="12"/>
  <c r="K1962" i="12"/>
  <c r="K1963" i="12"/>
  <c r="K1964" i="12"/>
  <c r="K1965" i="12"/>
  <c r="K1966" i="12"/>
  <c r="K1967" i="12"/>
  <c r="K1968" i="12"/>
  <c r="K1969" i="12"/>
  <c r="K1970" i="12"/>
  <c r="K1971" i="12"/>
  <c r="K1972" i="12"/>
  <c r="K1973" i="12"/>
  <c r="K1974" i="12"/>
  <c r="K1975" i="12"/>
  <c r="K1976" i="12"/>
  <c r="K1977" i="12"/>
  <c r="K1978" i="12"/>
  <c r="K1979" i="12"/>
  <c r="K1980" i="12"/>
  <c r="K1981" i="12"/>
  <c r="K1982" i="12"/>
  <c r="K1983" i="12"/>
  <c r="K1984" i="12"/>
  <c r="K1985" i="12"/>
  <c r="K1986" i="12"/>
  <c r="K1987" i="12"/>
  <c r="K1988" i="12"/>
  <c r="K1989" i="12"/>
  <c r="K1990" i="12"/>
  <c r="K1991" i="12"/>
  <c r="K1992" i="12"/>
  <c r="K1993" i="12"/>
  <c r="K1994" i="12"/>
  <c r="K1995" i="12"/>
  <c r="K1996" i="12"/>
  <c r="K1997" i="12"/>
  <c r="K1998" i="12"/>
  <c r="K1999" i="12"/>
  <c r="K2000" i="12"/>
  <c r="K2001" i="12"/>
  <c r="K2002" i="12"/>
  <c r="K2003" i="12"/>
  <c r="K2004" i="12"/>
  <c r="K2005" i="12"/>
  <c r="K2006" i="12"/>
  <c r="K2007" i="12"/>
  <c r="K2008" i="12"/>
  <c r="K2009" i="12"/>
  <c r="K2010" i="12"/>
  <c r="K2011" i="12"/>
  <c r="K2012" i="12"/>
  <c r="K2013" i="12"/>
  <c r="K2014" i="12"/>
  <c r="K2015" i="12"/>
  <c r="K2016" i="12"/>
  <c r="K2017" i="12"/>
  <c r="K2018" i="12"/>
  <c r="K2019" i="12"/>
  <c r="K2020" i="12"/>
  <c r="K2021" i="12"/>
  <c r="K2022" i="12"/>
  <c r="K2023" i="12"/>
  <c r="K2024" i="12"/>
  <c r="K2025" i="12"/>
  <c r="K2026" i="12"/>
  <c r="K2027" i="12"/>
  <c r="K2028" i="12"/>
  <c r="K2029" i="12"/>
  <c r="K2030" i="12"/>
  <c r="K2031" i="12"/>
  <c r="K2032" i="12"/>
  <c r="K2033" i="12"/>
  <c r="K2034" i="12"/>
  <c r="K2035" i="12"/>
  <c r="K2036" i="12"/>
  <c r="K2037" i="12"/>
  <c r="K2038" i="12"/>
  <c r="K2039" i="12"/>
  <c r="K2040" i="12"/>
  <c r="K2041" i="12"/>
  <c r="K2042" i="12"/>
  <c r="K2043" i="12"/>
  <c r="K2044" i="12"/>
  <c r="K2045" i="12"/>
  <c r="K2046" i="12"/>
  <c r="K2047" i="12"/>
  <c r="K2048" i="12"/>
  <c r="K2049" i="12"/>
  <c r="K2050" i="12"/>
  <c r="K2051" i="12"/>
  <c r="K2052" i="12"/>
  <c r="K2053" i="12"/>
  <c r="K2054" i="12"/>
  <c r="K2055" i="12"/>
  <c r="K2056" i="12"/>
  <c r="K2057" i="12"/>
  <c r="K2058" i="12"/>
  <c r="K2059" i="12"/>
  <c r="K2060" i="12"/>
  <c r="K2061" i="12"/>
  <c r="K2062" i="12"/>
  <c r="K2063" i="12"/>
  <c r="K2064" i="12"/>
  <c r="K2065" i="12"/>
  <c r="K2066" i="12"/>
  <c r="K2067" i="12"/>
  <c r="K2068" i="12"/>
  <c r="K2069" i="12"/>
  <c r="K2070" i="12"/>
  <c r="K2071" i="12"/>
  <c r="K2072" i="12"/>
  <c r="K2073" i="12"/>
  <c r="K2074" i="12"/>
  <c r="K2075" i="12"/>
  <c r="K2076" i="12"/>
  <c r="K2077" i="12"/>
  <c r="K2078" i="12"/>
  <c r="K2079" i="12"/>
  <c r="K2080" i="12"/>
  <c r="K2081" i="12"/>
  <c r="K2082" i="12"/>
  <c r="K2083" i="12"/>
  <c r="K2084" i="12"/>
  <c r="K2085" i="12"/>
  <c r="K2086" i="12"/>
  <c r="K2087" i="12"/>
  <c r="K2088" i="12"/>
  <c r="K2089" i="12"/>
  <c r="K2090" i="12"/>
  <c r="K2091" i="12"/>
  <c r="K2092" i="12"/>
  <c r="K2093" i="12"/>
  <c r="K2094" i="12"/>
  <c r="K2095" i="12"/>
  <c r="K2096" i="12"/>
  <c r="K2097" i="12"/>
  <c r="K2098" i="12"/>
  <c r="K2099" i="12"/>
  <c r="K2100" i="12"/>
  <c r="K2101" i="12"/>
  <c r="K2102" i="12"/>
  <c r="K2103" i="12"/>
  <c r="K2104" i="12"/>
  <c r="K2105" i="12"/>
  <c r="K2106" i="12"/>
  <c r="K2107" i="12"/>
  <c r="K2108" i="12"/>
  <c r="K2109" i="12"/>
  <c r="K2110" i="12"/>
  <c r="K2111" i="12"/>
  <c r="K2112" i="12"/>
  <c r="K2113" i="12"/>
  <c r="K2114" i="12"/>
  <c r="K2115" i="12"/>
  <c r="K2116" i="12"/>
  <c r="K2117" i="12"/>
  <c r="K2118" i="12"/>
  <c r="K2119" i="12"/>
  <c r="K2120" i="12"/>
  <c r="K2121" i="12"/>
  <c r="K2122" i="12"/>
  <c r="K2123" i="12"/>
  <c r="K2124" i="12"/>
  <c r="K2125" i="12"/>
  <c r="K2126" i="12"/>
  <c r="K2127" i="12"/>
  <c r="K2128" i="12"/>
  <c r="K2129" i="12"/>
  <c r="K2130" i="12"/>
  <c r="K2131" i="12"/>
  <c r="K2132" i="12"/>
  <c r="K2133" i="12"/>
  <c r="K2134" i="12"/>
  <c r="K2135" i="12"/>
  <c r="K2136" i="12"/>
  <c r="K2137" i="12"/>
  <c r="K2138" i="12"/>
  <c r="K2139" i="12"/>
  <c r="K2140" i="12"/>
  <c r="K2141" i="12"/>
  <c r="K2142" i="12"/>
  <c r="K2143" i="12"/>
  <c r="K2144" i="12"/>
  <c r="K2145" i="12"/>
  <c r="K2146" i="12"/>
  <c r="K2147" i="12"/>
  <c r="K2148" i="12"/>
  <c r="K2149" i="12"/>
  <c r="K2150" i="12"/>
  <c r="K2151" i="12"/>
  <c r="K2152" i="12"/>
  <c r="K2153" i="12"/>
  <c r="K2154" i="12"/>
  <c r="K2155" i="12"/>
  <c r="K2156" i="12"/>
  <c r="K2157" i="12"/>
  <c r="K2158" i="12"/>
  <c r="K2159" i="12"/>
  <c r="K2160" i="12"/>
  <c r="K2161" i="12"/>
  <c r="K2162" i="12"/>
  <c r="K2163" i="12"/>
  <c r="K2164" i="12"/>
  <c r="K2165" i="12"/>
  <c r="K2166" i="12"/>
  <c r="K2167" i="12"/>
  <c r="K2168" i="12"/>
  <c r="K2169" i="12"/>
  <c r="K2170" i="12"/>
  <c r="K2171" i="12"/>
  <c r="K2172" i="12"/>
  <c r="K2173" i="12"/>
  <c r="K2174" i="12"/>
  <c r="K2175" i="12"/>
  <c r="K2176" i="12"/>
  <c r="K2177" i="12"/>
  <c r="K2178" i="12"/>
  <c r="K2179" i="12"/>
  <c r="K2180" i="12"/>
  <c r="K2181" i="12"/>
  <c r="K2182" i="12"/>
  <c r="K2183" i="12"/>
  <c r="K2184" i="12"/>
  <c r="K2185" i="12"/>
  <c r="K2186" i="12"/>
  <c r="K2187" i="12"/>
  <c r="K2188" i="12"/>
  <c r="K2189" i="12"/>
  <c r="K2190" i="12"/>
  <c r="K2191" i="12"/>
  <c r="K2192" i="12"/>
  <c r="K2193" i="12"/>
  <c r="K2194" i="12"/>
  <c r="K2195" i="12"/>
  <c r="K2196" i="12"/>
  <c r="K2197" i="12"/>
  <c r="K2198" i="12"/>
  <c r="K2199" i="12"/>
  <c r="K2200" i="12"/>
  <c r="K2201" i="12"/>
  <c r="K2202" i="12"/>
  <c r="K2203" i="12"/>
  <c r="K2204" i="12"/>
  <c r="K2205" i="12"/>
  <c r="K2206" i="12"/>
  <c r="K2207" i="12"/>
  <c r="K2208" i="12"/>
  <c r="K2209" i="12"/>
  <c r="K2210" i="12"/>
  <c r="K2211" i="12"/>
  <c r="K2212" i="12"/>
  <c r="K2213" i="12"/>
  <c r="K2214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6" i="12"/>
  <c r="K2227" i="12"/>
  <c r="K2228" i="12"/>
  <c r="K2229" i="12"/>
  <c r="K2230" i="12"/>
  <c r="K2231" i="12"/>
  <c r="K2232" i="12"/>
  <c r="K2233" i="12"/>
  <c r="K2234" i="12"/>
  <c r="K2235" i="12"/>
  <c r="K2236" i="12"/>
  <c r="K2237" i="12"/>
  <c r="K2238" i="12"/>
  <c r="K2239" i="12"/>
  <c r="K2240" i="12"/>
  <c r="K2241" i="12"/>
  <c r="K2242" i="12"/>
  <c r="K2243" i="12"/>
  <c r="K2244" i="12"/>
  <c r="K2245" i="12"/>
  <c r="K2246" i="12"/>
  <c r="K2247" i="12"/>
  <c r="K2248" i="12"/>
  <c r="K2249" i="12"/>
  <c r="K2250" i="12"/>
  <c r="K2251" i="12"/>
  <c r="K2252" i="12"/>
  <c r="K2253" i="12"/>
  <c r="K2254" i="12"/>
  <c r="K2255" i="12"/>
  <c r="K2256" i="12"/>
  <c r="K2257" i="12"/>
  <c r="K2258" i="12"/>
  <c r="K2259" i="12"/>
  <c r="K2260" i="12"/>
  <c r="K2261" i="12"/>
  <c r="K2262" i="12"/>
  <c r="K2263" i="12"/>
  <c r="K2264" i="12"/>
  <c r="K2265" i="12"/>
  <c r="K2266" i="12"/>
  <c r="K2267" i="12"/>
  <c r="K2268" i="12"/>
  <c r="K2269" i="12"/>
  <c r="K2270" i="12"/>
  <c r="K2271" i="12"/>
  <c r="K2272" i="12"/>
  <c r="K2273" i="12"/>
  <c r="K2274" i="12"/>
  <c r="K2275" i="12"/>
  <c r="K2276" i="12"/>
  <c r="K2277" i="12"/>
  <c r="K2278" i="12"/>
  <c r="K2279" i="12"/>
  <c r="K2280" i="12"/>
  <c r="K2281" i="12"/>
  <c r="K2282" i="12"/>
  <c r="K2283" i="12"/>
  <c r="K2284" i="12"/>
  <c r="K2285" i="12"/>
  <c r="K2286" i="12"/>
  <c r="K2287" i="12"/>
  <c r="K2288" i="12"/>
  <c r="K2289" i="12"/>
  <c r="K2290" i="12"/>
  <c r="K2291" i="12"/>
  <c r="K2292" i="12"/>
  <c r="K2293" i="12"/>
  <c r="K2294" i="12"/>
  <c r="K2295" i="12"/>
  <c r="K2296" i="12"/>
  <c r="K2297" i="12"/>
  <c r="K2298" i="12"/>
  <c r="K2299" i="12"/>
  <c r="K2300" i="12"/>
  <c r="K2301" i="12"/>
  <c r="K2302" i="12"/>
  <c r="K2303" i="12"/>
  <c r="K2304" i="12"/>
  <c r="K2305" i="12"/>
  <c r="K2306" i="12"/>
  <c r="K2307" i="12"/>
  <c r="K2308" i="12"/>
  <c r="K2309" i="12"/>
  <c r="K2310" i="12"/>
  <c r="K2311" i="12"/>
  <c r="K2312" i="12"/>
  <c r="K2313" i="12"/>
  <c r="K2314" i="12"/>
  <c r="K2315" i="12"/>
  <c r="K2316" i="12"/>
  <c r="K2317" i="12"/>
  <c r="K2318" i="12"/>
  <c r="K2319" i="12"/>
  <c r="K2320" i="12"/>
  <c r="K2321" i="12"/>
  <c r="K2322" i="12"/>
  <c r="K2323" i="12"/>
  <c r="K2324" i="12"/>
  <c r="K2325" i="12"/>
  <c r="K2326" i="12"/>
  <c r="K2327" i="12"/>
  <c r="K2328" i="12"/>
  <c r="K2329" i="12"/>
  <c r="K2330" i="12"/>
  <c r="K2331" i="12"/>
  <c r="K2332" i="12"/>
  <c r="K2333" i="12"/>
  <c r="K2334" i="12"/>
  <c r="K2335" i="12"/>
  <c r="K2336" i="12"/>
  <c r="K2337" i="12"/>
  <c r="K2338" i="12"/>
  <c r="K2339" i="12"/>
  <c r="K2340" i="12"/>
  <c r="K2341" i="12"/>
  <c r="K2342" i="12"/>
  <c r="K2343" i="12"/>
  <c r="K2344" i="12"/>
  <c r="K2345" i="12"/>
  <c r="K2346" i="12"/>
  <c r="K2347" i="12"/>
  <c r="K2348" i="12"/>
  <c r="K2349" i="12"/>
  <c r="K2350" i="12"/>
  <c r="K2351" i="12"/>
  <c r="K2352" i="12"/>
  <c r="K2353" i="12"/>
  <c r="K2354" i="12"/>
  <c r="K2355" i="12"/>
  <c r="K2356" i="12"/>
  <c r="K2357" i="12"/>
  <c r="K2358" i="12"/>
  <c r="K2359" i="12"/>
  <c r="K2360" i="12"/>
  <c r="K2361" i="12"/>
  <c r="K2362" i="12"/>
  <c r="K2363" i="12"/>
  <c r="K2364" i="12"/>
  <c r="K2365" i="12"/>
  <c r="K2366" i="12"/>
  <c r="K2367" i="12"/>
  <c r="K2368" i="12"/>
  <c r="K2369" i="12"/>
  <c r="K2370" i="12"/>
  <c r="K2371" i="12"/>
  <c r="K2372" i="12"/>
  <c r="K2373" i="12"/>
  <c r="K2374" i="12"/>
  <c r="K2375" i="12"/>
  <c r="K2376" i="12"/>
  <c r="K2377" i="12"/>
  <c r="K2378" i="12"/>
  <c r="K2379" i="12"/>
  <c r="K2380" i="12"/>
  <c r="K2381" i="12"/>
  <c r="K2382" i="12"/>
  <c r="K2383" i="12"/>
  <c r="K2384" i="12"/>
  <c r="K2385" i="12"/>
  <c r="K2386" i="12"/>
  <c r="K2387" i="12"/>
  <c r="K2388" i="12"/>
  <c r="K2389" i="12"/>
  <c r="K2390" i="12"/>
  <c r="K2391" i="12"/>
  <c r="K2392" i="12"/>
  <c r="K2393" i="12"/>
  <c r="K2394" i="12"/>
  <c r="K2395" i="12"/>
  <c r="K2396" i="12"/>
  <c r="K2397" i="12"/>
  <c r="K2398" i="12"/>
  <c r="K2399" i="12"/>
  <c r="K2400" i="12"/>
  <c r="K2401" i="12"/>
  <c r="K2402" i="12"/>
  <c r="K2403" i="12"/>
  <c r="K2404" i="12"/>
  <c r="K2405" i="12"/>
  <c r="K2406" i="12"/>
  <c r="K2407" i="12"/>
  <c r="K2408" i="12"/>
  <c r="K2409" i="12"/>
  <c r="K2410" i="12"/>
  <c r="K2411" i="12"/>
  <c r="K2412" i="12"/>
  <c r="K2413" i="12"/>
  <c r="K2414" i="12"/>
  <c r="K2415" i="12"/>
  <c r="K2416" i="12"/>
  <c r="K2417" i="12"/>
  <c r="K2418" i="12"/>
  <c r="K2419" i="12"/>
  <c r="K2420" i="12"/>
  <c r="K2421" i="12"/>
  <c r="K2422" i="12"/>
  <c r="K2423" i="12"/>
  <c r="K2424" i="12"/>
  <c r="K2425" i="12"/>
  <c r="K2426" i="12"/>
  <c r="K2427" i="12"/>
  <c r="K2428" i="12"/>
  <c r="K2429" i="12"/>
  <c r="K2430" i="12"/>
  <c r="K2431" i="12"/>
  <c r="K2432" i="12"/>
  <c r="K2433" i="12"/>
  <c r="K2434" i="12"/>
  <c r="K2435" i="12"/>
  <c r="K2436" i="12"/>
  <c r="K2437" i="12"/>
  <c r="K2438" i="12"/>
  <c r="K2439" i="12"/>
  <c r="K2440" i="12"/>
  <c r="K2441" i="12"/>
  <c r="K2442" i="12"/>
  <c r="K2443" i="12"/>
  <c r="K2444" i="12"/>
  <c r="K2445" i="12"/>
  <c r="K2446" i="12"/>
  <c r="K2447" i="12"/>
  <c r="K2448" i="12"/>
  <c r="K2449" i="12"/>
  <c r="K2450" i="12"/>
  <c r="K2451" i="12"/>
  <c r="K2452" i="12"/>
  <c r="K2453" i="12"/>
  <c r="K2454" i="12"/>
  <c r="K2455" i="12"/>
  <c r="K2456" i="12"/>
  <c r="K2457" i="12"/>
  <c r="K2458" i="12"/>
  <c r="K2459" i="12"/>
  <c r="K2460" i="12"/>
  <c r="K2461" i="12"/>
  <c r="K2462" i="12"/>
  <c r="K2463" i="12"/>
  <c r="K2464" i="12"/>
  <c r="K2465" i="12"/>
  <c r="K2466" i="12"/>
  <c r="K2467" i="12"/>
  <c r="K2468" i="12"/>
  <c r="K2469" i="12"/>
  <c r="K2470" i="12"/>
  <c r="K2471" i="12"/>
  <c r="K2472" i="12"/>
  <c r="K2473" i="12"/>
  <c r="K2474" i="12"/>
  <c r="K2475" i="12"/>
  <c r="K2476" i="12"/>
  <c r="K2477" i="12"/>
  <c r="K2478" i="12"/>
  <c r="K2479" i="12"/>
  <c r="K2480" i="12"/>
  <c r="K2481" i="12"/>
  <c r="K2482" i="12"/>
  <c r="K2483" i="12"/>
  <c r="K2484" i="12"/>
  <c r="K2485" i="12"/>
  <c r="K2486" i="12"/>
  <c r="K2487" i="12"/>
  <c r="K2488" i="12"/>
  <c r="K2489" i="12"/>
  <c r="K2490" i="12"/>
  <c r="K2491" i="12"/>
  <c r="K2492" i="12"/>
  <c r="K2493" i="12"/>
  <c r="K2494" i="12"/>
  <c r="K2495" i="12"/>
  <c r="K2496" i="12"/>
  <c r="K2497" i="12"/>
  <c r="K2498" i="12"/>
  <c r="K2499" i="12"/>
  <c r="K2500" i="12"/>
  <c r="K2501" i="12"/>
  <c r="K2502" i="12"/>
  <c r="K2503" i="12"/>
  <c r="K2504" i="12"/>
  <c r="K2505" i="12"/>
  <c r="K2506" i="12"/>
  <c r="K2507" i="12"/>
  <c r="K2508" i="12"/>
  <c r="K2509" i="12"/>
  <c r="K2510" i="12"/>
  <c r="K2511" i="12"/>
  <c r="K2512" i="12"/>
  <c r="K2513" i="12"/>
  <c r="K2514" i="12"/>
  <c r="K2515" i="12"/>
  <c r="K2516" i="12"/>
  <c r="K2517" i="12"/>
  <c r="K2518" i="12"/>
  <c r="K2519" i="12"/>
  <c r="K2520" i="12"/>
  <c r="K2521" i="12"/>
  <c r="K2522" i="12"/>
  <c r="K2523" i="12"/>
  <c r="K2524" i="12"/>
  <c r="K2525" i="12"/>
  <c r="K2526" i="12"/>
  <c r="K2527" i="12"/>
  <c r="K2528" i="12"/>
  <c r="K2529" i="12"/>
  <c r="K2530" i="12"/>
  <c r="K2531" i="12"/>
  <c r="K2532" i="12"/>
  <c r="K2533" i="12"/>
  <c r="K2534" i="12"/>
  <c r="K2535" i="12"/>
  <c r="K2536" i="12"/>
  <c r="K2537" i="12"/>
  <c r="K2538" i="12"/>
  <c r="K2539" i="12"/>
  <c r="K2540" i="12"/>
  <c r="K2541" i="12"/>
  <c r="K2542" i="12"/>
  <c r="K2543" i="12"/>
  <c r="K2544" i="12"/>
  <c r="K2545" i="12"/>
  <c r="K2546" i="12"/>
  <c r="K2547" i="12"/>
  <c r="K2548" i="12"/>
  <c r="K2549" i="12"/>
  <c r="K2550" i="12"/>
  <c r="K2551" i="12"/>
  <c r="K2552" i="12"/>
  <c r="K2553" i="12"/>
  <c r="K2554" i="12"/>
  <c r="K2555" i="12"/>
  <c r="K2556" i="12"/>
  <c r="K2557" i="12"/>
  <c r="K2558" i="12"/>
  <c r="K2559" i="12"/>
  <c r="K2560" i="12"/>
  <c r="K2561" i="12"/>
  <c r="K2562" i="12"/>
  <c r="K2563" i="12"/>
  <c r="K2564" i="12"/>
  <c r="K2565" i="12"/>
  <c r="K2566" i="12"/>
  <c r="K2567" i="12"/>
  <c r="K2568" i="12"/>
  <c r="K2569" i="12"/>
  <c r="K2570" i="12"/>
  <c r="K2571" i="12"/>
  <c r="K2572" i="12"/>
  <c r="K2573" i="12"/>
  <c r="K2574" i="12"/>
  <c r="K2575" i="12"/>
  <c r="K2576" i="12"/>
  <c r="K2577" i="12"/>
  <c r="K2578" i="12"/>
  <c r="K2579" i="12"/>
  <c r="K2580" i="12"/>
  <c r="K2581" i="12"/>
  <c r="K2582" i="12"/>
  <c r="K2583" i="12"/>
  <c r="K2584" i="12"/>
  <c r="K2585" i="12"/>
  <c r="K2586" i="12"/>
  <c r="K2587" i="12"/>
  <c r="K2588" i="12"/>
  <c r="K2589" i="12"/>
  <c r="K2590" i="12"/>
  <c r="K2591" i="12"/>
  <c r="K2592" i="12"/>
  <c r="K2593" i="12"/>
  <c r="K2594" i="12"/>
  <c r="K2595" i="12"/>
  <c r="K2596" i="12"/>
  <c r="K2597" i="12"/>
  <c r="K2598" i="12"/>
  <c r="K2599" i="12"/>
  <c r="K2600" i="12"/>
  <c r="K2601" i="12"/>
  <c r="K2602" i="12"/>
  <c r="K2603" i="12"/>
  <c r="K2604" i="12"/>
  <c r="K2605" i="12"/>
  <c r="K2606" i="12"/>
  <c r="K2607" i="12"/>
  <c r="K2608" i="12"/>
  <c r="K2609" i="12"/>
  <c r="K2610" i="12"/>
  <c r="K2611" i="12"/>
  <c r="K2612" i="12"/>
  <c r="K2613" i="12"/>
  <c r="K2614" i="12"/>
  <c r="K2615" i="12"/>
  <c r="K2616" i="12"/>
  <c r="K2617" i="12"/>
  <c r="K2618" i="12"/>
  <c r="K2619" i="12"/>
  <c r="K2620" i="12"/>
  <c r="K2621" i="12"/>
  <c r="K2622" i="12"/>
  <c r="K2623" i="12"/>
  <c r="K2624" i="12"/>
  <c r="K2625" i="12"/>
  <c r="K2626" i="12"/>
  <c r="K2627" i="12"/>
  <c r="K2628" i="12"/>
  <c r="K2629" i="12"/>
  <c r="K2630" i="12"/>
  <c r="K2631" i="12"/>
  <c r="K2632" i="12"/>
  <c r="K2633" i="12"/>
  <c r="K2634" i="12"/>
  <c r="K2635" i="12"/>
  <c r="K2636" i="12"/>
  <c r="K2637" i="12"/>
  <c r="K2638" i="12"/>
  <c r="K2639" i="12"/>
  <c r="K2640" i="12"/>
  <c r="K2641" i="12"/>
  <c r="K2642" i="12"/>
  <c r="K2643" i="12"/>
  <c r="K2644" i="12"/>
  <c r="K2645" i="12"/>
  <c r="K2646" i="12"/>
  <c r="K2647" i="12"/>
  <c r="K2648" i="12"/>
  <c r="K2649" i="12"/>
  <c r="K2650" i="12"/>
  <c r="K2651" i="12"/>
  <c r="K2652" i="12"/>
  <c r="K2653" i="12"/>
  <c r="K2654" i="12"/>
  <c r="K2655" i="12"/>
  <c r="K2656" i="12"/>
  <c r="K2657" i="12"/>
  <c r="K2658" i="12"/>
  <c r="K2659" i="12"/>
  <c r="K2660" i="12"/>
  <c r="K2661" i="12"/>
  <c r="K2662" i="12"/>
  <c r="K2663" i="12"/>
  <c r="K2664" i="12"/>
  <c r="K2665" i="12"/>
  <c r="K2666" i="12"/>
  <c r="K2667" i="12"/>
  <c r="K2668" i="12"/>
  <c r="K2669" i="12"/>
  <c r="K2670" i="12"/>
  <c r="K2671" i="12"/>
  <c r="K2672" i="12"/>
  <c r="K2673" i="12"/>
  <c r="K2674" i="12"/>
  <c r="K2675" i="12"/>
  <c r="K2676" i="12"/>
  <c r="K2677" i="12"/>
  <c r="K2678" i="12"/>
  <c r="K2679" i="12"/>
  <c r="K2680" i="12"/>
  <c r="K2681" i="12"/>
  <c r="K2682" i="12"/>
  <c r="K2683" i="12"/>
  <c r="K2684" i="12"/>
  <c r="K2685" i="12"/>
  <c r="K2686" i="12"/>
  <c r="K2687" i="12"/>
  <c r="K2688" i="12"/>
  <c r="K2689" i="12"/>
  <c r="K2690" i="12"/>
  <c r="K2691" i="12"/>
  <c r="K2692" i="12"/>
  <c r="K2693" i="12"/>
  <c r="K2694" i="12"/>
  <c r="K2695" i="12"/>
  <c r="K2696" i="12"/>
  <c r="K2697" i="12"/>
  <c r="K2698" i="12"/>
  <c r="K2699" i="12"/>
  <c r="K2700" i="12"/>
  <c r="K2701" i="12"/>
  <c r="K2702" i="12"/>
  <c r="K2703" i="12"/>
  <c r="K2704" i="12"/>
  <c r="K2705" i="12"/>
  <c r="K2706" i="12"/>
  <c r="K2707" i="12"/>
  <c r="K2708" i="12"/>
  <c r="K2709" i="12"/>
  <c r="K2710" i="12"/>
  <c r="K2711" i="12"/>
  <c r="K2712" i="12"/>
  <c r="K2713" i="12"/>
  <c r="K2714" i="12"/>
  <c r="K2715" i="12"/>
  <c r="K2716" i="12"/>
  <c r="K2717" i="12"/>
  <c r="K2718" i="12"/>
  <c r="K2719" i="12"/>
  <c r="K2720" i="12"/>
  <c r="K2721" i="12"/>
  <c r="K2722" i="12"/>
  <c r="K2723" i="12"/>
  <c r="K2724" i="12"/>
  <c r="K2725" i="12"/>
  <c r="K2726" i="12"/>
  <c r="K2727" i="12"/>
  <c r="K2728" i="12"/>
  <c r="K2729" i="12"/>
  <c r="K2730" i="12"/>
  <c r="K2731" i="12"/>
  <c r="K2732" i="12"/>
  <c r="K2733" i="12"/>
  <c r="K2734" i="12"/>
  <c r="K2735" i="12"/>
  <c r="K2736" i="12"/>
  <c r="K2737" i="12"/>
  <c r="K2738" i="12"/>
  <c r="K2739" i="12"/>
  <c r="K2740" i="12"/>
  <c r="K2741" i="12"/>
  <c r="K2742" i="12"/>
  <c r="K2743" i="12"/>
  <c r="K2744" i="12"/>
  <c r="K2745" i="12"/>
  <c r="K2746" i="12"/>
  <c r="K2747" i="12"/>
  <c r="K2748" i="12"/>
  <c r="K2749" i="12"/>
  <c r="K2750" i="12"/>
  <c r="K2751" i="12"/>
  <c r="K2752" i="12"/>
  <c r="K2753" i="12"/>
  <c r="K2754" i="12"/>
  <c r="K2755" i="12"/>
  <c r="K2756" i="12"/>
  <c r="K2757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0" i="12"/>
  <c r="K2771" i="12"/>
  <c r="K2772" i="12"/>
  <c r="K2773" i="12"/>
  <c r="K2774" i="12"/>
  <c r="K2775" i="12"/>
  <c r="K2776" i="12"/>
  <c r="K2777" i="12"/>
  <c r="K2778" i="12"/>
  <c r="K2779" i="12"/>
  <c r="K2780" i="12"/>
  <c r="K2781" i="12"/>
  <c r="K2782" i="12"/>
  <c r="K2783" i="12"/>
  <c r="K2784" i="12"/>
  <c r="K2785" i="12"/>
  <c r="K2786" i="12"/>
  <c r="K2787" i="12"/>
  <c r="K2788" i="12"/>
  <c r="K2789" i="12"/>
  <c r="K2790" i="12"/>
  <c r="K2791" i="12"/>
  <c r="K2792" i="12"/>
  <c r="K2793" i="12"/>
  <c r="K2794" i="12"/>
  <c r="K2795" i="12"/>
  <c r="K2796" i="12"/>
  <c r="K2797" i="12"/>
  <c r="K2798" i="12"/>
  <c r="K2799" i="12"/>
  <c r="K2800" i="12"/>
  <c r="K2801" i="12"/>
  <c r="K2802" i="12"/>
  <c r="K2803" i="12"/>
  <c r="K2804" i="12"/>
  <c r="K2805" i="12"/>
  <c r="K2806" i="12"/>
  <c r="K2807" i="12"/>
  <c r="K2808" i="12"/>
  <c r="K2809" i="12"/>
  <c r="K2810" i="12"/>
  <c r="K2811" i="12"/>
  <c r="K2812" i="12"/>
  <c r="K2813" i="12"/>
  <c r="K2814" i="12"/>
  <c r="K2815" i="12"/>
  <c r="K2816" i="12"/>
  <c r="K2817" i="12"/>
  <c r="K2818" i="12"/>
  <c r="K2819" i="12"/>
  <c r="K2820" i="12"/>
  <c r="K2821" i="12"/>
  <c r="K2822" i="12"/>
  <c r="K2823" i="12"/>
  <c r="K2824" i="12"/>
  <c r="K2825" i="12"/>
  <c r="K2826" i="12"/>
  <c r="K2827" i="12"/>
  <c r="K2828" i="12"/>
  <c r="K2829" i="12"/>
  <c r="K2830" i="12"/>
  <c r="K2831" i="12"/>
  <c r="K2832" i="12"/>
  <c r="K2833" i="12"/>
  <c r="K2834" i="12"/>
  <c r="K2835" i="12"/>
  <c r="K2836" i="12"/>
  <c r="K2837" i="12"/>
  <c r="K2838" i="12"/>
  <c r="K2839" i="12"/>
  <c r="K2840" i="12"/>
  <c r="K2841" i="12"/>
  <c r="K2842" i="12"/>
  <c r="K2843" i="12"/>
  <c r="K2844" i="12"/>
  <c r="K2845" i="12"/>
  <c r="K2846" i="12"/>
  <c r="K2847" i="12"/>
  <c r="K2848" i="12"/>
  <c r="K2849" i="12"/>
  <c r="K2850" i="12"/>
  <c r="K2851" i="12"/>
  <c r="K2852" i="12"/>
  <c r="K2853" i="12"/>
  <c r="K2854" i="12"/>
  <c r="K2855" i="12"/>
  <c r="K2856" i="12"/>
  <c r="K2857" i="12"/>
  <c r="K2858" i="12"/>
  <c r="K2859" i="12"/>
  <c r="K2860" i="12"/>
  <c r="K2861" i="12"/>
  <c r="K2862" i="12"/>
  <c r="K2863" i="12"/>
  <c r="K2864" i="12"/>
  <c r="K2865" i="12"/>
  <c r="K2866" i="12"/>
  <c r="K2867" i="12"/>
  <c r="K2868" i="12"/>
  <c r="K2869" i="12"/>
  <c r="K2870" i="12"/>
  <c r="K2871" i="12"/>
  <c r="K2872" i="12"/>
  <c r="K2873" i="12"/>
  <c r="K2874" i="12"/>
  <c r="K2875" i="12"/>
  <c r="K2876" i="12"/>
  <c r="K2877" i="12"/>
  <c r="K2878" i="12"/>
  <c r="K2879" i="12"/>
  <c r="K2880" i="12"/>
  <c r="K2881" i="12"/>
  <c r="K2882" i="12"/>
  <c r="K2883" i="12"/>
  <c r="K2884" i="12"/>
  <c r="K2885" i="12"/>
  <c r="K2886" i="12"/>
  <c r="K2887" i="12"/>
  <c r="K2888" i="12"/>
  <c r="K2889" i="12"/>
  <c r="K2890" i="12"/>
  <c r="K2891" i="12"/>
  <c r="K2892" i="12"/>
  <c r="K2893" i="12"/>
  <c r="K2894" i="12"/>
  <c r="K2895" i="12"/>
  <c r="K2896" i="12"/>
  <c r="K2897" i="12"/>
  <c r="K2898" i="12"/>
  <c r="K2899" i="12"/>
  <c r="K2900" i="12"/>
  <c r="K2901" i="12"/>
  <c r="K2902" i="12"/>
  <c r="K2903" i="12"/>
  <c r="K2904" i="12"/>
  <c r="K2905" i="12"/>
  <c r="K2906" i="12"/>
  <c r="K2907" i="12"/>
  <c r="K2908" i="12"/>
  <c r="K2909" i="12"/>
  <c r="K2910" i="12"/>
  <c r="K2911" i="12"/>
  <c r="K2912" i="12"/>
  <c r="K2913" i="12"/>
  <c r="K2914" i="12"/>
  <c r="K2915" i="12"/>
  <c r="K2916" i="12"/>
  <c r="K2917" i="12"/>
  <c r="K2918" i="12"/>
  <c r="K2919" i="12"/>
  <c r="K2920" i="12"/>
  <c r="K2921" i="12"/>
  <c r="K2922" i="12"/>
  <c r="K2923" i="12"/>
  <c r="K2924" i="12"/>
  <c r="K2925" i="12"/>
  <c r="K2926" i="12"/>
  <c r="K2927" i="12"/>
  <c r="K2928" i="12"/>
  <c r="K2929" i="12"/>
  <c r="K2930" i="12"/>
  <c r="K2931" i="12"/>
  <c r="K2932" i="12"/>
  <c r="K2933" i="12"/>
  <c r="K2934" i="12"/>
  <c r="K2935" i="12"/>
  <c r="K2936" i="12"/>
  <c r="K2937" i="12"/>
  <c r="K2938" i="12"/>
  <c r="K2939" i="12"/>
  <c r="K2940" i="12"/>
  <c r="K2941" i="12"/>
  <c r="K2942" i="12"/>
  <c r="K2943" i="12"/>
  <c r="K2944" i="12"/>
  <c r="K2945" i="12"/>
  <c r="K2946" i="12"/>
  <c r="K2947" i="12"/>
  <c r="K2948" i="12"/>
  <c r="K2949" i="12"/>
  <c r="K2950" i="12"/>
  <c r="K2951" i="12"/>
  <c r="K2952" i="12"/>
  <c r="K2953" i="12"/>
  <c r="K2954" i="12"/>
  <c r="K2955" i="12"/>
  <c r="K2956" i="12"/>
  <c r="K2957" i="12"/>
  <c r="K2958" i="12"/>
  <c r="K2959" i="12"/>
  <c r="K2960" i="12"/>
  <c r="K2961" i="12"/>
  <c r="K2962" i="12"/>
  <c r="K2963" i="12"/>
  <c r="K2964" i="12"/>
  <c r="K2965" i="12"/>
  <c r="K2966" i="12"/>
  <c r="K2967" i="12"/>
  <c r="K2968" i="12"/>
  <c r="K2969" i="12"/>
  <c r="K2970" i="12"/>
  <c r="K2971" i="12"/>
  <c r="K2972" i="12"/>
  <c r="K2973" i="12"/>
  <c r="K2974" i="12"/>
  <c r="K2975" i="12"/>
  <c r="K2976" i="12"/>
  <c r="K2977" i="12"/>
  <c r="K2978" i="12"/>
  <c r="K2979" i="12"/>
  <c r="K2980" i="12"/>
  <c r="K2981" i="12"/>
  <c r="K2982" i="12"/>
  <c r="K2983" i="12"/>
  <c r="K2984" i="12"/>
  <c r="K2985" i="12"/>
  <c r="K2986" i="12"/>
  <c r="K2987" i="12"/>
  <c r="K2988" i="12"/>
  <c r="K2989" i="12"/>
  <c r="K2990" i="12"/>
  <c r="K2991" i="12"/>
  <c r="K2992" i="12"/>
  <c r="K2993" i="12"/>
  <c r="K2994" i="12"/>
  <c r="K2995" i="12"/>
  <c r="K2996" i="12"/>
  <c r="K2997" i="12"/>
  <c r="K2998" i="12"/>
  <c r="K2999" i="12"/>
  <c r="K3000" i="12"/>
  <c r="K3001" i="12"/>
  <c r="K3002" i="12"/>
  <c r="K3003" i="12"/>
  <c r="K3004" i="12"/>
  <c r="K3005" i="12"/>
  <c r="K3006" i="12"/>
  <c r="K3007" i="12"/>
  <c r="K3008" i="12"/>
  <c r="K3009" i="12"/>
  <c r="K3010" i="12"/>
  <c r="K3011" i="12"/>
  <c r="K3012" i="12"/>
  <c r="K3013" i="12"/>
  <c r="K3014" i="12"/>
  <c r="K3015" i="12"/>
  <c r="K3016" i="12"/>
  <c r="K3017" i="12"/>
  <c r="K3018" i="12"/>
  <c r="K3019" i="12"/>
  <c r="K3020" i="12"/>
  <c r="K3021" i="12"/>
  <c r="K3022" i="12"/>
  <c r="K3023" i="12"/>
  <c r="K3024" i="12"/>
  <c r="K3025" i="12"/>
  <c r="K3026" i="12"/>
  <c r="K3027" i="12"/>
  <c r="K3028" i="12"/>
  <c r="K3029" i="12"/>
  <c r="K3030" i="12"/>
  <c r="K3031" i="12"/>
  <c r="K3032" i="12"/>
  <c r="K3033" i="12"/>
  <c r="K3034" i="12"/>
  <c r="K3035" i="12"/>
  <c r="K3036" i="12"/>
  <c r="K3037" i="12"/>
  <c r="K3038" i="12"/>
  <c r="K3039" i="12"/>
  <c r="K3040" i="12"/>
  <c r="K3041" i="12"/>
  <c r="K3042" i="12"/>
  <c r="K3043" i="12"/>
  <c r="K3044" i="12"/>
  <c r="K3045" i="12"/>
  <c r="K3046" i="12"/>
  <c r="K3047" i="12"/>
  <c r="K3048" i="12"/>
  <c r="K3049" i="12"/>
  <c r="K3050" i="12"/>
  <c r="K3051" i="12"/>
  <c r="K3052" i="12"/>
  <c r="K3053" i="12"/>
  <c r="K3054" i="12"/>
  <c r="K3055" i="12"/>
  <c r="K3056" i="12"/>
  <c r="K3057" i="12"/>
  <c r="K3058" i="12"/>
  <c r="K3059" i="12"/>
  <c r="K3060" i="12"/>
  <c r="K3061" i="12"/>
  <c r="K3062" i="12"/>
  <c r="K3063" i="12"/>
  <c r="K3064" i="12"/>
  <c r="K3065" i="12"/>
  <c r="K3066" i="12"/>
  <c r="K3067" i="12"/>
  <c r="K3068" i="12"/>
  <c r="K3069" i="12"/>
  <c r="K3070" i="12"/>
  <c r="K3071" i="12"/>
  <c r="K3072" i="12"/>
  <c r="K3073" i="12"/>
  <c r="K3074" i="12"/>
  <c r="K3075" i="12"/>
  <c r="K3076" i="12"/>
  <c r="K3077" i="12"/>
  <c r="K3078" i="12"/>
  <c r="K3079" i="12"/>
  <c r="K3080" i="12"/>
  <c r="K3081" i="12"/>
  <c r="K3082" i="12"/>
  <c r="K3083" i="12"/>
  <c r="K3084" i="12"/>
  <c r="K3085" i="12"/>
  <c r="K3086" i="12"/>
  <c r="K3087" i="12"/>
  <c r="K3088" i="12"/>
  <c r="K3089" i="12"/>
  <c r="K3090" i="12"/>
  <c r="K3091" i="12"/>
  <c r="K3092" i="12"/>
  <c r="K3093" i="12"/>
  <c r="K3094" i="12"/>
  <c r="K3095" i="12"/>
  <c r="K3096" i="12"/>
  <c r="K3097" i="12"/>
  <c r="K3098" i="12"/>
  <c r="K3099" i="12"/>
  <c r="K3100" i="12"/>
  <c r="K3101" i="12"/>
  <c r="K3102" i="12"/>
  <c r="K3103" i="12"/>
  <c r="K3104" i="12"/>
  <c r="K3105" i="12"/>
  <c r="K3106" i="12"/>
  <c r="K3107" i="12"/>
  <c r="K3108" i="12"/>
  <c r="K3109" i="12"/>
  <c r="K3110" i="12"/>
  <c r="K3111" i="12"/>
  <c r="K3112" i="12"/>
  <c r="K3113" i="12"/>
  <c r="K3114" i="12"/>
  <c r="K3115" i="12"/>
  <c r="K3116" i="12"/>
  <c r="K3117" i="12"/>
  <c r="K3118" i="12"/>
  <c r="K3119" i="12"/>
  <c r="K3120" i="12"/>
  <c r="K3121" i="12"/>
  <c r="K3122" i="12"/>
  <c r="K3123" i="12"/>
  <c r="K3124" i="12"/>
  <c r="K3125" i="12"/>
  <c r="K3126" i="12"/>
  <c r="K3127" i="12"/>
  <c r="K3128" i="12"/>
  <c r="K3129" i="12"/>
  <c r="K3130" i="12"/>
  <c r="K3131" i="12"/>
  <c r="K3132" i="12"/>
  <c r="K3133" i="12"/>
  <c r="K3134" i="12"/>
  <c r="K3135" i="12"/>
  <c r="K3136" i="12"/>
  <c r="K3137" i="12"/>
  <c r="K3138" i="12"/>
  <c r="K3139" i="12"/>
  <c r="K3140" i="12"/>
  <c r="K3141" i="12"/>
  <c r="K3142" i="12"/>
  <c r="K3143" i="12"/>
  <c r="K3144" i="12"/>
  <c r="K3145" i="12"/>
  <c r="K3146" i="12"/>
  <c r="K3147" i="12"/>
  <c r="K3148" i="12"/>
  <c r="K3149" i="12"/>
  <c r="K3150" i="12"/>
  <c r="K3151" i="12"/>
  <c r="K3152" i="12"/>
  <c r="K3153" i="12"/>
  <c r="K3154" i="12"/>
  <c r="K3155" i="12"/>
  <c r="K3156" i="12"/>
  <c r="K3157" i="12"/>
  <c r="K3158" i="12"/>
  <c r="K3159" i="12"/>
  <c r="K3160" i="12"/>
  <c r="K3161" i="12"/>
  <c r="K3162" i="12"/>
  <c r="K3163" i="12"/>
  <c r="K3164" i="12"/>
  <c r="K3165" i="12"/>
  <c r="K3166" i="12"/>
  <c r="K3167" i="12"/>
  <c r="K3168" i="12"/>
  <c r="K3169" i="12"/>
  <c r="K3170" i="12"/>
  <c r="K3171" i="12"/>
  <c r="K3172" i="12"/>
  <c r="K3173" i="12"/>
  <c r="K3174" i="12"/>
  <c r="K3175" i="12"/>
  <c r="K3176" i="12"/>
  <c r="K3177" i="12"/>
  <c r="K3178" i="12"/>
  <c r="K3179" i="12"/>
  <c r="K3180" i="12"/>
  <c r="K3181" i="12"/>
  <c r="K3182" i="12"/>
  <c r="K3183" i="12"/>
  <c r="K3184" i="12"/>
  <c r="K3185" i="12"/>
  <c r="K3186" i="12"/>
  <c r="K3187" i="12"/>
  <c r="K3188" i="12"/>
  <c r="K3189" i="12"/>
  <c r="K3190" i="12"/>
  <c r="K3191" i="12"/>
  <c r="K3192" i="12"/>
  <c r="K3193" i="12"/>
  <c r="K3194" i="12"/>
  <c r="K3195" i="12"/>
  <c r="K3196" i="12"/>
  <c r="K3197" i="12"/>
  <c r="K3198" i="12"/>
  <c r="K3199" i="12"/>
  <c r="K3200" i="12"/>
  <c r="K3201" i="12"/>
  <c r="K3202" i="12"/>
  <c r="K3203" i="12"/>
  <c r="K3204" i="12"/>
  <c r="K3205" i="12"/>
  <c r="K3206" i="12"/>
  <c r="K3207" i="12"/>
  <c r="K3208" i="12"/>
  <c r="K3209" i="12"/>
  <c r="K3210" i="12"/>
  <c r="K3211" i="12"/>
  <c r="K3212" i="12"/>
  <c r="K3213" i="12"/>
  <c r="K3214" i="12"/>
  <c r="K3215" i="12"/>
  <c r="K3216" i="12"/>
  <c r="K3217" i="12"/>
  <c r="K3218" i="12"/>
  <c r="K3219" i="12"/>
  <c r="K3220" i="12"/>
  <c r="K3221" i="12"/>
  <c r="K3222" i="12"/>
  <c r="K3223" i="12"/>
  <c r="K3224" i="12"/>
  <c r="K3225" i="12"/>
  <c r="K3226" i="12"/>
  <c r="K3227" i="12"/>
  <c r="K3228" i="12"/>
  <c r="K3229" i="12"/>
  <c r="K3230" i="12"/>
  <c r="K3231" i="12"/>
  <c r="K3232" i="12"/>
  <c r="K3233" i="12"/>
  <c r="K3234" i="12"/>
  <c r="K3235" i="12"/>
  <c r="K3236" i="12"/>
  <c r="K3237" i="12"/>
  <c r="K3238" i="12"/>
  <c r="K3239" i="12"/>
  <c r="K3240" i="12"/>
  <c r="K3241" i="12"/>
  <c r="K3242" i="12"/>
  <c r="K3243" i="12"/>
  <c r="K3244" i="12"/>
  <c r="K3245" i="12"/>
  <c r="K3246" i="12"/>
  <c r="K3247" i="12"/>
  <c r="K3248" i="12"/>
  <c r="K3249" i="12"/>
  <c r="K3250" i="12"/>
  <c r="K3251" i="12"/>
  <c r="K3252" i="12"/>
  <c r="K3253" i="12"/>
  <c r="K3254" i="12"/>
  <c r="K3255" i="12"/>
  <c r="K3256" i="12"/>
  <c r="K3257" i="12"/>
  <c r="K3258" i="12"/>
  <c r="K3259" i="12"/>
  <c r="K3260" i="12"/>
  <c r="K3261" i="12"/>
  <c r="K3262" i="12"/>
  <c r="K3263" i="12"/>
  <c r="K3264" i="12"/>
  <c r="K3265" i="12"/>
  <c r="K3266" i="12"/>
  <c r="K3267" i="12"/>
  <c r="K3268" i="12"/>
  <c r="K3269" i="12"/>
  <c r="K3270" i="12"/>
  <c r="K3271" i="12"/>
  <c r="K3272" i="12"/>
  <c r="K3273" i="12"/>
  <c r="K3274" i="12"/>
  <c r="K3275" i="12"/>
  <c r="K3276" i="12"/>
  <c r="K3277" i="12"/>
  <c r="K3278" i="12"/>
  <c r="K3279" i="12"/>
  <c r="K3280" i="12"/>
  <c r="K3281" i="12"/>
  <c r="K3282" i="12"/>
  <c r="K3283" i="12"/>
  <c r="K3284" i="12"/>
  <c r="K3285" i="12"/>
  <c r="K3286" i="12"/>
  <c r="K3287" i="12"/>
  <c r="K3288" i="12"/>
  <c r="K3289" i="12"/>
  <c r="K3290" i="12"/>
  <c r="K3291" i="12"/>
  <c r="K3292" i="12"/>
  <c r="K3293" i="12"/>
  <c r="K3294" i="12"/>
  <c r="K3295" i="12"/>
  <c r="K3296" i="12"/>
  <c r="K3297" i="12"/>
  <c r="K3298" i="12"/>
  <c r="K3299" i="12"/>
  <c r="K3300" i="12"/>
  <c r="K3301" i="12"/>
  <c r="K3302" i="12"/>
  <c r="K3303" i="12"/>
  <c r="K3304" i="12"/>
  <c r="K3305" i="12"/>
  <c r="K3306" i="12"/>
  <c r="K3307" i="12"/>
  <c r="K3308" i="12"/>
  <c r="K3309" i="12"/>
  <c r="K3310" i="12"/>
  <c r="K3311" i="12"/>
  <c r="K3312" i="12"/>
  <c r="K3313" i="12"/>
  <c r="K3314" i="12"/>
  <c r="K3315" i="12"/>
  <c r="K3316" i="12"/>
  <c r="K3317" i="12"/>
  <c r="K3318" i="12"/>
  <c r="K3319" i="12"/>
  <c r="K3320" i="12"/>
  <c r="K3321" i="12"/>
  <c r="K3322" i="12"/>
  <c r="K3323" i="12"/>
  <c r="K3324" i="12"/>
  <c r="K3325" i="12"/>
  <c r="K3326" i="12"/>
  <c r="K3327" i="12"/>
  <c r="K3328" i="12"/>
  <c r="K3329" i="12"/>
  <c r="K3330" i="12"/>
  <c r="K3331" i="12"/>
  <c r="K3332" i="12"/>
  <c r="K3333" i="12"/>
  <c r="K3334" i="12"/>
  <c r="K3335" i="12"/>
  <c r="K3336" i="12"/>
  <c r="K3337" i="12"/>
  <c r="K3338" i="12"/>
  <c r="K3339" i="12"/>
  <c r="K3340" i="12"/>
  <c r="K3341" i="12"/>
  <c r="K3342" i="12"/>
  <c r="K3343" i="12"/>
  <c r="K3344" i="12"/>
  <c r="K3345" i="12"/>
  <c r="K3346" i="12"/>
  <c r="K3347" i="12"/>
  <c r="K3348" i="12"/>
  <c r="K3349" i="12"/>
  <c r="K3350" i="12"/>
  <c r="K3351" i="12"/>
  <c r="K3352" i="12"/>
  <c r="K3353" i="12"/>
  <c r="K3354" i="12"/>
  <c r="K3355" i="12"/>
  <c r="K3356" i="12"/>
  <c r="K3357" i="12"/>
  <c r="K3358" i="12"/>
  <c r="K3359" i="12"/>
  <c r="K3360" i="12"/>
  <c r="K3361" i="12"/>
  <c r="K3362" i="12"/>
  <c r="K3363" i="12"/>
  <c r="K3364" i="12"/>
  <c r="K3365" i="12"/>
  <c r="K3366" i="12"/>
  <c r="K3367" i="12"/>
  <c r="K3368" i="12"/>
  <c r="K3369" i="12"/>
  <c r="K3370" i="12"/>
  <c r="K3371" i="12"/>
  <c r="K3372" i="12"/>
  <c r="K3373" i="12"/>
  <c r="K3374" i="12"/>
  <c r="K3375" i="12"/>
  <c r="K3376" i="12"/>
  <c r="K3377" i="12"/>
  <c r="K3378" i="12"/>
  <c r="K3379" i="12"/>
  <c r="K3380" i="12"/>
  <c r="K3381" i="12"/>
  <c r="K3382" i="12"/>
  <c r="K3383" i="12"/>
  <c r="K3384" i="12"/>
  <c r="K3385" i="12"/>
  <c r="K3386" i="12"/>
  <c r="K3387" i="12"/>
  <c r="K3388" i="12"/>
  <c r="K3389" i="12"/>
  <c r="K3390" i="12"/>
  <c r="K3391" i="12"/>
  <c r="K3392" i="12"/>
  <c r="K3393" i="12"/>
  <c r="K3394" i="12"/>
  <c r="K3395" i="12"/>
  <c r="K3396" i="12"/>
  <c r="K3397" i="12"/>
  <c r="K3398" i="12"/>
  <c r="K3399" i="12"/>
  <c r="K3400" i="12"/>
  <c r="K3401" i="12"/>
  <c r="K3402" i="12"/>
  <c r="K3403" i="12"/>
  <c r="K3404" i="12"/>
  <c r="K3405" i="12"/>
  <c r="K3406" i="12"/>
  <c r="K3407" i="12"/>
  <c r="K3408" i="12"/>
  <c r="K3409" i="12"/>
  <c r="K3410" i="12"/>
  <c r="K3411" i="12"/>
  <c r="K3412" i="12"/>
  <c r="K3413" i="12"/>
  <c r="K3414" i="12"/>
  <c r="K3415" i="12"/>
  <c r="K3416" i="12"/>
  <c r="K3417" i="12"/>
  <c r="K3418" i="12"/>
  <c r="K3419" i="12"/>
  <c r="K3420" i="12"/>
  <c r="K3421" i="12"/>
  <c r="K3422" i="12"/>
  <c r="K3423" i="12"/>
  <c r="K3424" i="12"/>
  <c r="K3425" i="12"/>
  <c r="K3426" i="12"/>
  <c r="K3427" i="12"/>
  <c r="K3428" i="12"/>
  <c r="K3429" i="12"/>
  <c r="K3430" i="12"/>
  <c r="K3431" i="12"/>
  <c r="K3432" i="12"/>
  <c r="K3433" i="12"/>
  <c r="K3434" i="12"/>
  <c r="K3435" i="12"/>
  <c r="K3436" i="12"/>
  <c r="K3437" i="12"/>
  <c r="K3438" i="12"/>
  <c r="K3439" i="12"/>
  <c r="K3440" i="12"/>
  <c r="K3441" i="12"/>
  <c r="K3442" i="12"/>
  <c r="K3443" i="12"/>
  <c r="K3444" i="12"/>
  <c r="K3445" i="12"/>
  <c r="K3446" i="12"/>
  <c r="K3447" i="12"/>
  <c r="K3448" i="12"/>
  <c r="K3449" i="12"/>
  <c r="K3450" i="12"/>
  <c r="K3451" i="12"/>
  <c r="K3452" i="12"/>
  <c r="K3453" i="12"/>
  <c r="K3454" i="12"/>
  <c r="K3455" i="12"/>
  <c r="K3456" i="12"/>
  <c r="K3457" i="12"/>
  <c r="K3458" i="12"/>
  <c r="K3459" i="12"/>
  <c r="K3460" i="12"/>
  <c r="K3461" i="12"/>
  <c r="K3462" i="12"/>
  <c r="K3463" i="12"/>
  <c r="K3464" i="12"/>
  <c r="K3465" i="12"/>
  <c r="K3466" i="12"/>
  <c r="K3467" i="12"/>
  <c r="K3468" i="12"/>
  <c r="K3469" i="12"/>
  <c r="K3470" i="12"/>
  <c r="K3471" i="12"/>
  <c r="K3472" i="12"/>
  <c r="K3473" i="12"/>
  <c r="K3474" i="12"/>
  <c r="K3475" i="12"/>
  <c r="K3476" i="12"/>
  <c r="K3477" i="12"/>
  <c r="K3478" i="12"/>
  <c r="K3479" i="12"/>
  <c r="K3480" i="12"/>
  <c r="K3481" i="12"/>
  <c r="K3482" i="12"/>
  <c r="K3483" i="12"/>
  <c r="K3484" i="12"/>
  <c r="K3485" i="12"/>
  <c r="K3486" i="12"/>
  <c r="K3487" i="12"/>
  <c r="K3488" i="12"/>
  <c r="K3489" i="12"/>
  <c r="K3490" i="12"/>
  <c r="K3491" i="12"/>
  <c r="K3492" i="12"/>
  <c r="K3493" i="12"/>
  <c r="K3494" i="12"/>
  <c r="K3495" i="12"/>
  <c r="K3496" i="12"/>
  <c r="K3497" i="12"/>
  <c r="K3498" i="12"/>
  <c r="K3499" i="12"/>
  <c r="K3500" i="12"/>
  <c r="K3501" i="12"/>
  <c r="K3502" i="12"/>
  <c r="K3503" i="12"/>
  <c r="K3504" i="12"/>
  <c r="K3505" i="12"/>
  <c r="K3506" i="12"/>
  <c r="K3507" i="12"/>
  <c r="K3508" i="12"/>
  <c r="K3509" i="12"/>
  <c r="K3510" i="12"/>
  <c r="K3511" i="12"/>
  <c r="K3512" i="12"/>
  <c r="K3513" i="12"/>
  <c r="K3514" i="12"/>
  <c r="K3515" i="12"/>
  <c r="K3516" i="12"/>
  <c r="K3517" i="12"/>
  <c r="K3518" i="12"/>
  <c r="K3519" i="12"/>
  <c r="K3520" i="12"/>
  <c r="K3521" i="12"/>
  <c r="K3522" i="12"/>
  <c r="K3523" i="12"/>
  <c r="K3524" i="12"/>
  <c r="K3525" i="12"/>
  <c r="K3526" i="12"/>
  <c r="K3527" i="12"/>
  <c r="K3528" i="12"/>
  <c r="K3529" i="12"/>
  <c r="K3530" i="12"/>
  <c r="K3531" i="12"/>
  <c r="K3532" i="12"/>
  <c r="K3533" i="12"/>
  <c r="K3534" i="12"/>
  <c r="K3535" i="12"/>
  <c r="K3536" i="12"/>
  <c r="K3537" i="12"/>
  <c r="K3538" i="12"/>
  <c r="K3539" i="12"/>
  <c r="K3540" i="12"/>
  <c r="K3541" i="12"/>
  <c r="K3542" i="12"/>
  <c r="K3543" i="12"/>
  <c r="K3544" i="12"/>
  <c r="K3545" i="12"/>
  <c r="K3546" i="12"/>
  <c r="K3547" i="12"/>
  <c r="K3548" i="12"/>
  <c r="K3549" i="12"/>
  <c r="K3550" i="12"/>
  <c r="K3551" i="12"/>
  <c r="K3552" i="12"/>
  <c r="K3553" i="12"/>
  <c r="K3554" i="12"/>
  <c r="K3555" i="12"/>
  <c r="K3556" i="12"/>
  <c r="K3557" i="12"/>
  <c r="K3558" i="12"/>
  <c r="K3559" i="12"/>
  <c r="K3560" i="12"/>
  <c r="K3561" i="12"/>
  <c r="K3562" i="12"/>
  <c r="K3563" i="12"/>
  <c r="K3564" i="12"/>
  <c r="K3565" i="12"/>
  <c r="K3566" i="12"/>
  <c r="K3567" i="12"/>
  <c r="K3568" i="12"/>
  <c r="K3569" i="12"/>
  <c r="K3570" i="12"/>
  <c r="K3571" i="12"/>
  <c r="K3572" i="12"/>
  <c r="K3573" i="12"/>
  <c r="K3574" i="12"/>
  <c r="K3575" i="12"/>
  <c r="K3576" i="12"/>
  <c r="K3577" i="12"/>
  <c r="K3578" i="12"/>
  <c r="K3579" i="12"/>
  <c r="K3580" i="12"/>
  <c r="K3581" i="12"/>
  <c r="K3582" i="12"/>
  <c r="K3583" i="12"/>
  <c r="K3584" i="12"/>
  <c r="K3585" i="12"/>
  <c r="K3586" i="12"/>
  <c r="K3587" i="12"/>
  <c r="K3588" i="12"/>
  <c r="K3589" i="12"/>
  <c r="K3590" i="12"/>
  <c r="K3591" i="12"/>
  <c r="K3592" i="12"/>
  <c r="K3593" i="12"/>
  <c r="K3594" i="12"/>
  <c r="K3595" i="12"/>
  <c r="K3596" i="12"/>
  <c r="K3597" i="12"/>
  <c r="K3598" i="12"/>
  <c r="K3599" i="12"/>
  <c r="K3600" i="12"/>
  <c r="K3601" i="12"/>
  <c r="K3602" i="12"/>
  <c r="K3603" i="12"/>
  <c r="K3604" i="12"/>
  <c r="K3605" i="12"/>
  <c r="K3606" i="12"/>
  <c r="K3607" i="12"/>
  <c r="K3608" i="12"/>
  <c r="K3609" i="12"/>
  <c r="K3610" i="12"/>
  <c r="K3611" i="12"/>
  <c r="K3612" i="12"/>
  <c r="K3613" i="12"/>
  <c r="K3614" i="12"/>
  <c r="K3615" i="12"/>
  <c r="K3616" i="12"/>
  <c r="K3617" i="12"/>
  <c r="K3618" i="12"/>
  <c r="K3619" i="12"/>
  <c r="K3620" i="12"/>
  <c r="K3621" i="12"/>
  <c r="K3622" i="12"/>
  <c r="K3623" i="12"/>
  <c r="K3624" i="12"/>
  <c r="K3625" i="12"/>
  <c r="K3626" i="12"/>
  <c r="K3627" i="12"/>
  <c r="K3628" i="12"/>
  <c r="K3629" i="12"/>
  <c r="K3630" i="12"/>
  <c r="K3631" i="12"/>
  <c r="K3632" i="12"/>
  <c r="K3633" i="12"/>
  <c r="K3634" i="12"/>
  <c r="K3635" i="12"/>
  <c r="K3636" i="12"/>
  <c r="K3637" i="12"/>
  <c r="K3638" i="12"/>
  <c r="K3639" i="12"/>
  <c r="K3640" i="12"/>
  <c r="K3641" i="12"/>
  <c r="K3642" i="12"/>
  <c r="K3643" i="12"/>
  <c r="K3644" i="12"/>
  <c r="K3645" i="12"/>
  <c r="K3646" i="12"/>
  <c r="K3647" i="12"/>
  <c r="K3648" i="12"/>
  <c r="K3649" i="12"/>
  <c r="K3650" i="12"/>
  <c r="K3651" i="12"/>
  <c r="K3652" i="12"/>
  <c r="K3653" i="12"/>
  <c r="K3654" i="12"/>
  <c r="K3655" i="12"/>
  <c r="K3656" i="12"/>
  <c r="K3657" i="12"/>
  <c r="K3658" i="12"/>
  <c r="K3659" i="12"/>
  <c r="K3660" i="12"/>
  <c r="K3661" i="12"/>
  <c r="K3662" i="12"/>
  <c r="K3663" i="12"/>
  <c r="K3664" i="12"/>
  <c r="K3665" i="12"/>
  <c r="K3666" i="12"/>
  <c r="K3667" i="12"/>
  <c r="K3668" i="12"/>
  <c r="K3669" i="12"/>
  <c r="K3670" i="12"/>
  <c r="K3671" i="12"/>
  <c r="K3672" i="12"/>
  <c r="K3673" i="12"/>
  <c r="K3674" i="12"/>
  <c r="K3675" i="12"/>
  <c r="K3676" i="12"/>
  <c r="K3677" i="12"/>
  <c r="K3678" i="12"/>
  <c r="K3679" i="12"/>
  <c r="K3680" i="12"/>
  <c r="K3681" i="12"/>
  <c r="K3682" i="12"/>
  <c r="K3683" i="12"/>
  <c r="K3684" i="12"/>
  <c r="K3685" i="12"/>
  <c r="K3686" i="12"/>
  <c r="K3687" i="12"/>
  <c r="K3688" i="12"/>
  <c r="K3689" i="12"/>
  <c r="K3690" i="12"/>
  <c r="K3691" i="12"/>
  <c r="K3692" i="12"/>
  <c r="K3693" i="12"/>
  <c r="K3694" i="12"/>
  <c r="K3695" i="12"/>
  <c r="K3696" i="12"/>
  <c r="K3697" i="12"/>
  <c r="K3698" i="12"/>
  <c r="K3699" i="12"/>
  <c r="K3700" i="12"/>
  <c r="K3701" i="12"/>
  <c r="K3702" i="12"/>
  <c r="K3703" i="12"/>
  <c r="K3704" i="12"/>
  <c r="K3705" i="12"/>
  <c r="K3706" i="12"/>
  <c r="K3707" i="12"/>
  <c r="K3708" i="12"/>
  <c r="K3709" i="12"/>
  <c r="K3710" i="12"/>
  <c r="K3711" i="12"/>
  <c r="K3712" i="12"/>
  <c r="K3713" i="12"/>
  <c r="K3714" i="12"/>
  <c r="K3715" i="12"/>
  <c r="K3716" i="12"/>
  <c r="K3717" i="12"/>
  <c r="K3718" i="12"/>
  <c r="K3719" i="12"/>
  <c r="K3720" i="12"/>
  <c r="K3721" i="12"/>
  <c r="K3722" i="12"/>
  <c r="K3723" i="12"/>
  <c r="K3724" i="12"/>
  <c r="K3725" i="12"/>
  <c r="K3726" i="12"/>
  <c r="K3727" i="12"/>
  <c r="K3728" i="12"/>
  <c r="K3729" i="12"/>
  <c r="K3730" i="12"/>
  <c r="K3731" i="12"/>
  <c r="K3732" i="12"/>
  <c r="K3733" i="12"/>
  <c r="K3734" i="12"/>
  <c r="K3735" i="12"/>
  <c r="K3736" i="12"/>
  <c r="K3737" i="12"/>
  <c r="K3738" i="12"/>
  <c r="K3739" i="12"/>
  <c r="K3740" i="12"/>
  <c r="K3741" i="12"/>
  <c r="K3742" i="12"/>
  <c r="K3743" i="12"/>
  <c r="K3744" i="12"/>
  <c r="K3745" i="12"/>
  <c r="K3746" i="12"/>
  <c r="K3747" i="12"/>
  <c r="K3748" i="12"/>
  <c r="K3749" i="12"/>
  <c r="K3750" i="12"/>
  <c r="K3751" i="12"/>
  <c r="K3752" i="12"/>
  <c r="K3753" i="12"/>
  <c r="K3754" i="12"/>
  <c r="K3755" i="12"/>
  <c r="K3756" i="12"/>
  <c r="K3757" i="12"/>
  <c r="K3758" i="12"/>
  <c r="K3759" i="12"/>
  <c r="K3760" i="12"/>
  <c r="K3761" i="12"/>
  <c r="K3762" i="12"/>
  <c r="K3763" i="12"/>
  <c r="K3764" i="12"/>
  <c r="K3765" i="12"/>
  <c r="K3766" i="12"/>
  <c r="K3767" i="12"/>
  <c r="K3768" i="12"/>
  <c r="K3769" i="12"/>
  <c r="K3770" i="12"/>
  <c r="K3771" i="12"/>
  <c r="K3772" i="12"/>
  <c r="K3773" i="12"/>
  <c r="K3774" i="12"/>
  <c r="K3775" i="12"/>
  <c r="K3776" i="12"/>
  <c r="K3777" i="12"/>
  <c r="K3778" i="12"/>
  <c r="K3779" i="12"/>
  <c r="K3780" i="12"/>
  <c r="K3781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4" i="12"/>
  <c r="K3795" i="12"/>
  <c r="K3796" i="12"/>
  <c r="K3797" i="12"/>
  <c r="K3798" i="12"/>
  <c r="K3799" i="12"/>
  <c r="K3800" i="12"/>
  <c r="K3801" i="12"/>
  <c r="K3802" i="12"/>
  <c r="K3803" i="12"/>
  <c r="K3804" i="12"/>
  <c r="K3805" i="12"/>
  <c r="K3806" i="12"/>
  <c r="K3807" i="12"/>
  <c r="K3808" i="12"/>
  <c r="K3809" i="12"/>
  <c r="K3810" i="12"/>
  <c r="K3811" i="12"/>
  <c r="K3812" i="12"/>
  <c r="K3813" i="12"/>
  <c r="K3814" i="12"/>
  <c r="K3815" i="12"/>
  <c r="K3816" i="12"/>
  <c r="K3817" i="12"/>
  <c r="K3818" i="12"/>
  <c r="K3819" i="12"/>
  <c r="K3820" i="12"/>
  <c r="K3821" i="12"/>
  <c r="K3822" i="12"/>
  <c r="K3823" i="12"/>
  <c r="K3824" i="12"/>
  <c r="K3825" i="12"/>
  <c r="K3826" i="12"/>
  <c r="K3827" i="12"/>
  <c r="K3828" i="12"/>
  <c r="K3829" i="12"/>
  <c r="K3830" i="12"/>
  <c r="K3831" i="12"/>
  <c r="K3832" i="12"/>
  <c r="K3833" i="12"/>
  <c r="K3834" i="12"/>
  <c r="K3835" i="12"/>
  <c r="K3836" i="12"/>
  <c r="K3837" i="12"/>
  <c r="K3838" i="12"/>
  <c r="K3839" i="12"/>
  <c r="K3840" i="12"/>
  <c r="K3841" i="12"/>
  <c r="K3842" i="12"/>
  <c r="K3843" i="12"/>
  <c r="K3844" i="12"/>
  <c r="K3845" i="12"/>
  <c r="K3846" i="12"/>
  <c r="K3847" i="12"/>
  <c r="K3848" i="12"/>
  <c r="K3849" i="12"/>
  <c r="K3850" i="12"/>
  <c r="K3851" i="12"/>
  <c r="K3852" i="12"/>
  <c r="K3853" i="12"/>
  <c r="K3854" i="12"/>
  <c r="K3855" i="12"/>
  <c r="K3856" i="12"/>
  <c r="K3857" i="12"/>
  <c r="K3858" i="12"/>
  <c r="K3859" i="12"/>
  <c r="K3860" i="12"/>
  <c r="K3861" i="12"/>
  <c r="K3862" i="12"/>
  <c r="K3863" i="12"/>
  <c r="K3864" i="12"/>
  <c r="K3865" i="12"/>
  <c r="K3866" i="12"/>
  <c r="K3867" i="12"/>
  <c r="K3868" i="12"/>
  <c r="K3869" i="12"/>
  <c r="K3870" i="12"/>
  <c r="K3871" i="12"/>
  <c r="K3872" i="12"/>
  <c r="K3873" i="12"/>
  <c r="K3874" i="12"/>
  <c r="K3875" i="12"/>
  <c r="K3876" i="12"/>
  <c r="K3877" i="12"/>
  <c r="K3878" i="12"/>
  <c r="K3879" i="12"/>
  <c r="K3880" i="12"/>
  <c r="K3881" i="12"/>
  <c r="K3882" i="12"/>
  <c r="K3883" i="12"/>
  <c r="K3884" i="12"/>
  <c r="K3885" i="12"/>
  <c r="K3886" i="12"/>
  <c r="K3887" i="12"/>
  <c r="K3888" i="12"/>
  <c r="K3889" i="12"/>
  <c r="K3890" i="12"/>
  <c r="K3891" i="12"/>
  <c r="K3892" i="12"/>
  <c r="K3893" i="12"/>
  <c r="K3894" i="12"/>
  <c r="K3895" i="12"/>
  <c r="K3896" i="12"/>
  <c r="K3897" i="12"/>
  <c r="K3898" i="12"/>
  <c r="K3899" i="12"/>
  <c r="K3900" i="12"/>
  <c r="K3901" i="12"/>
  <c r="K3902" i="12"/>
  <c r="K3903" i="12"/>
  <c r="K3904" i="12"/>
  <c r="K3905" i="12"/>
  <c r="K3906" i="12"/>
  <c r="K3907" i="12"/>
  <c r="K3908" i="12"/>
  <c r="K3909" i="12"/>
  <c r="K3910" i="12"/>
  <c r="K3911" i="12"/>
  <c r="K3912" i="12"/>
  <c r="K3913" i="12"/>
  <c r="K3914" i="12"/>
  <c r="K3915" i="12"/>
  <c r="K3916" i="12"/>
  <c r="K3917" i="12"/>
  <c r="K3918" i="12"/>
  <c r="K3919" i="12"/>
  <c r="K3920" i="12"/>
  <c r="K3921" i="12"/>
  <c r="K3922" i="12"/>
  <c r="K3923" i="12"/>
  <c r="K3924" i="12"/>
  <c r="K3925" i="12"/>
  <c r="K3926" i="12"/>
  <c r="K3927" i="12"/>
  <c r="K3928" i="12"/>
  <c r="K3929" i="12"/>
  <c r="K3930" i="12"/>
  <c r="K3931" i="12"/>
  <c r="K3932" i="12"/>
  <c r="K3933" i="12"/>
  <c r="K3934" i="12"/>
  <c r="K3935" i="12"/>
  <c r="K3936" i="12"/>
  <c r="K3937" i="12"/>
  <c r="K3938" i="12"/>
  <c r="K3939" i="12"/>
  <c r="K3940" i="12"/>
  <c r="K3941" i="12"/>
  <c r="K3942" i="12"/>
  <c r="K3943" i="12"/>
  <c r="K3944" i="12"/>
  <c r="K3945" i="12"/>
  <c r="K3946" i="12"/>
  <c r="K3947" i="12"/>
  <c r="K3948" i="12"/>
  <c r="K3949" i="12"/>
  <c r="K3950" i="12"/>
  <c r="K3951" i="12"/>
  <c r="K3952" i="12"/>
  <c r="K3953" i="12"/>
  <c r="K3954" i="12"/>
  <c r="K3955" i="12"/>
  <c r="K3956" i="12"/>
  <c r="K3957" i="12"/>
  <c r="K3958" i="12"/>
  <c r="K3959" i="12"/>
  <c r="K3960" i="12"/>
  <c r="K3961" i="12"/>
  <c r="K3962" i="12"/>
  <c r="K3963" i="12"/>
  <c r="K3964" i="12"/>
  <c r="K3965" i="12"/>
  <c r="K3966" i="12"/>
  <c r="K3967" i="12"/>
  <c r="K3968" i="12"/>
  <c r="K3969" i="12"/>
  <c r="K3970" i="12"/>
  <c r="K3971" i="12"/>
  <c r="K3972" i="12"/>
  <c r="K3973" i="12"/>
  <c r="K3974" i="12"/>
  <c r="K3975" i="12"/>
  <c r="K3976" i="12"/>
  <c r="K3977" i="12"/>
  <c r="K3978" i="12"/>
  <c r="K3979" i="12"/>
  <c r="K3980" i="12"/>
  <c r="K3981" i="12"/>
  <c r="K3982" i="12"/>
  <c r="K3983" i="12"/>
  <c r="K3984" i="12"/>
  <c r="K3985" i="12"/>
  <c r="K3986" i="12"/>
  <c r="K3987" i="12"/>
  <c r="K3988" i="12"/>
  <c r="K3989" i="12"/>
  <c r="K3990" i="12"/>
  <c r="K3991" i="12"/>
  <c r="K3992" i="12"/>
  <c r="K3993" i="12"/>
  <c r="K3994" i="12"/>
  <c r="K3995" i="12"/>
  <c r="K3996" i="12"/>
  <c r="K3997" i="12"/>
  <c r="K3998" i="12"/>
  <c r="K3999" i="12"/>
  <c r="K4000" i="12"/>
  <c r="K4001" i="12"/>
  <c r="K4002" i="12"/>
  <c r="K4003" i="12"/>
  <c r="K4004" i="12"/>
  <c r="K4005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18" i="12"/>
  <c r="K4019" i="12"/>
  <c r="K4020" i="12"/>
  <c r="K4021" i="12"/>
  <c r="K4022" i="12"/>
  <c r="K4023" i="12"/>
  <c r="K4024" i="12"/>
  <c r="K4025" i="12"/>
  <c r="K4026" i="12"/>
  <c r="K4027" i="12"/>
  <c r="K4028" i="12"/>
  <c r="K4029" i="12"/>
  <c r="K4030" i="12"/>
  <c r="K4031" i="12"/>
  <c r="K4032" i="12"/>
  <c r="K4033" i="12"/>
  <c r="K4034" i="12"/>
  <c r="K4035" i="12"/>
  <c r="K4036" i="12"/>
  <c r="K4037" i="12"/>
  <c r="K4038" i="12"/>
  <c r="K4039" i="12"/>
  <c r="K4040" i="12"/>
  <c r="K4041" i="12"/>
  <c r="K4042" i="12"/>
  <c r="K4043" i="12"/>
  <c r="K4044" i="12"/>
  <c r="K4045" i="12"/>
  <c r="K4046" i="12"/>
  <c r="K4047" i="12"/>
  <c r="K4048" i="12"/>
  <c r="K4049" i="12"/>
  <c r="K4050" i="12"/>
  <c r="K4051" i="12"/>
  <c r="K4052" i="12"/>
  <c r="K4053" i="12"/>
  <c r="K4054" i="12"/>
  <c r="K4055" i="12"/>
  <c r="K4056" i="12"/>
  <c r="K4057" i="12"/>
  <c r="K4058" i="12"/>
  <c r="K4059" i="12"/>
  <c r="K4060" i="12"/>
  <c r="K4061" i="12"/>
  <c r="K4062" i="12"/>
  <c r="K4063" i="12"/>
  <c r="K4064" i="12"/>
  <c r="K4065" i="12"/>
  <c r="K4066" i="12"/>
  <c r="K4067" i="12"/>
  <c r="K4068" i="12"/>
  <c r="K4069" i="12"/>
  <c r="K4070" i="12"/>
  <c r="K4071" i="12"/>
  <c r="K4072" i="12"/>
  <c r="K4073" i="12"/>
  <c r="K4074" i="12"/>
  <c r="K4075" i="12"/>
  <c r="K4076" i="12"/>
  <c r="K4077" i="12"/>
  <c r="K4078" i="12"/>
  <c r="K4079" i="12"/>
  <c r="K4080" i="12"/>
  <c r="K4081" i="12"/>
  <c r="K4082" i="12"/>
  <c r="K4083" i="12"/>
  <c r="K4084" i="12"/>
  <c r="K4085" i="12"/>
  <c r="K4086" i="12"/>
  <c r="K4087" i="12"/>
  <c r="K4088" i="12"/>
  <c r="K4089" i="12"/>
  <c r="K4090" i="12"/>
  <c r="K4091" i="12"/>
  <c r="K4092" i="12"/>
  <c r="K4093" i="12"/>
  <c r="K4094" i="12"/>
  <c r="K4095" i="12"/>
  <c r="K4096" i="12"/>
  <c r="K4097" i="12"/>
  <c r="K4098" i="12"/>
  <c r="K4099" i="12"/>
  <c r="K4100" i="12"/>
  <c r="K4101" i="12"/>
  <c r="K4102" i="12"/>
  <c r="K4103" i="12"/>
  <c r="K4104" i="12"/>
  <c r="K4105" i="12"/>
  <c r="K4106" i="12"/>
  <c r="K4107" i="12"/>
  <c r="K4108" i="12"/>
  <c r="K4109" i="12"/>
  <c r="K4110" i="12"/>
  <c r="K4111" i="12"/>
  <c r="K4112" i="12"/>
  <c r="K4113" i="12"/>
  <c r="K4114" i="12"/>
  <c r="K4115" i="12"/>
  <c r="K4116" i="12"/>
  <c r="K4117" i="12"/>
  <c r="K4118" i="12"/>
  <c r="K4119" i="12"/>
  <c r="K4120" i="12"/>
  <c r="K4121" i="12"/>
  <c r="K4122" i="12"/>
  <c r="K4123" i="12"/>
  <c r="K4124" i="12"/>
  <c r="K4125" i="12"/>
  <c r="K4126" i="12"/>
  <c r="K4127" i="12"/>
  <c r="K4128" i="12"/>
  <c r="K4129" i="12"/>
  <c r="K4130" i="12"/>
  <c r="K4131" i="12"/>
  <c r="K4132" i="12"/>
  <c r="K4133" i="12"/>
  <c r="K4134" i="12"/>
  <c r="K4135" i="12"/>
  <c r="K4136" i="12"/>
  <c r="K4137" i="12"/>
  <c r="K4138" i="12"/>
  <c r="K4139" i="12"/>
  <c r="K4140" i="12"/>
  <c r="K4141" i="12"/>
  <c r="K4142" i="12"/>
  <c r="K4143" i="12"/>
  <c r="K4144" i="12"/>
  <c r="K4145" i="12"/>
  <c r="K4146" i="12"/>
  <c r="K4147" i="12"/>
  <c r="K4148" i="12"/>
  <c r="K4149" i="12"/>
  <c r="K4150" i="12"/>
  <c r="K4151" i="12"/>
  <c r="K4152" i="12"/>
  <c r="K4153" i="12"/>
  <c r="K4154" i="12"/>
  <c r="K4155" i="12"/>
  <c r="K4156" i="12"/>
  <c r="K4157" i="12"/>
  <c r="K4158" i="12"/>
  <c r="K4159" i="12"/>
  <c r="K4160" i="12"/>
  <c r="K4161" i="12"/>
  <c r="K4162" i="12"/>
  <c r="K4163" i="12"/>
  <c r="K4164" i="12"/>
  <c r="K4165" i="12"/>
  <c r="K4166" i="12"/>
  <c r="K4167" i="12"/>
  <c r="K4168" i="12"/>
  <c r="K4169" i="12"/>
  <c r="K4170" i="12"/>
  <c r="K4171" i="12"/>
  <c r="K4172" i="12"/>
  <c r="K4173" i="12"/>
  <c r="K4174" i="12"/>
  <c r="K4175" i="12"/>
  <c r="K4176" i="12"/>
  <c r="K4177" i="12"/>
  <c r="K4178" i="12"/>
  <c r="K4179" i="12"/>
  <c r="K4180" i="12"/>
  <c r="K4181" i="12"/>
  <c r="K4182" i="12"/>
  <c r="K4183" i="12"/>
  <c r="K4184" i="12"/>
  <c r="K4185" i="12"/>
  <c r="K4186" i="12"/>
  <c r="K4187" i="12"/>
  <c r="K4188" i="12"/>
  <c r="K4189" i="12"/>
  <c r="K4190" i="12"/>
  <c r="K4191" i="12"/>
  <c r="K4192" i="12"/>
  <c r="K4193" i="12"/>
  <c r="K4194" i="12"/>
  <c r="K4195" i="12"/>
  <c r="K4196" i="12"/>
  <c r="K4197" i="12"/>
  <c r="K4198" i="12"/>
  <c r="K4199" i="12"/>
  <c r="K4200" i="12"/>
  <c r="K4201" i="12"/>
  <c r="K4202" i="12"/>
  <c r="K4203" i="12"/>
  <c r="K4204" i="12"/>
  <c r="K4205" i="12"/>
  <c r="K4206" i="12"/>
  <c r="K4207" i="12"/>
  <c r="K4208" i="12"/>
  <c r="K4209" i="12"/>
  <c r="K4210" i="12"/>
  <c r="K4211" i="12"/>
  <c r="K4212" i="12"/>
  <c r="K4213" i="12"/>
  <c r="K4214" i="12"/>
  <c r="K4215" i="12"/>
  <c r="K4216" i="12"/>
  <c r="K4217" i="12"/>
  <c r="K4218" i="12"/>
  <c r="K4219" i="12"/>
  <c r="K4220" i="12"/>
  <c r="K4221" i="12"/>
  <c r="K4222" i="12"/>
  <c r="K4223" i="12"/>
  <c r="K4224" i="12"/>
  <c r="K4225" i="12"/>
  <c r="K4226" i="12"/>
  <c r="K4227" i="12"/>
  <c r="K4228" i="12"/>
  <c r="K4229" i="12"/>
  <c r="K4230" i="12"/>
  <c r="K4231" i="12"/>
  <c r="K4232" i="12"/>
  <c r="K4233" i="12"/>
  <c r="K4234" i="12"/>
  <c r="K4235" i="12"/>
  <c r="K4236" i="12"/>
  <c r="K4237" i="12"/>
  <c r="K4238" i="12"/>
  <c r="K4239" i="12"/>
  <c r="K4240" i="12"/>
  <c r="K4241" i="12"/>
  <c r="K4242" i="12"/>
  <c r="K4243" i="12"/>
  <c r="K4244" i="12"/>
  <c r="K4245" i="12"/>
  <c r="K4246" i="12"/>
  <c r="K4247" i="12"/>
  <c r="K4248" i="12"/>
  <c r="K4249" i="12"/>
  <c r="K4250" i="12"/>
  <c r="K4251" i="12"/>
  <c r="K4252" i="12"/>
  <c r="K4253" i="12"/>
  <c r="K4254" i="12"/>
  <c r="K4255" i="12"/>
  <c r="K4256" i="12"/>
  <c r="K4257" i="12"/>
  <c r="K4258" i="12"/>
  <c r="K4259" i="12"/>
  <c r="K4260" i="12"/>
  <c r="K4261" i="12"/>
  <c r="K4262" i="12"/>
  <c r="K4263" i="12"/>
  <c r="K4264" i="12"/>
  <c r="K4265" i="12"/>
  <c r="K4266" i="12"/>
  <c r="K4267" i="12"/>
  <c r="K4268" i="12"/>
  <c r="K4269" i="12"/>
  <c r="K4270" i="12"/>
  <c r="K4271" i="12"/>
  <c r="K4272" i="12"/>
  <c r="K4273" i="12"/>
  <c r="K4274" i="12"/>
  <c r="K4275" i="12"/>
  <c r="K4276" i="12"/>
  <c r="K4277" i="12"/>
  <c r="K4278" i="12"/>
  <c r="K4279" i="12"/>
  <c r="K4280" i="12"/>
  <c r="K4281" i="12"/>
  <c r="K4282" i="12"/>
  <c r="K4283" i="12"/>
  <c r="K4284" i="12"/>
  <c r="K4285" i="12"/>
  <c r="K4286" i="12"/>
  <c r="K4287" i="12"/>
  <c r="K4288" i="12"/>
  <c r="K4289" i="12"/>
  <c r="K4290" i="12"/>
  <c r="K4291" i="12"/>
  <c r="K4292" i="12"/>
  <c r="K4293" i="12"/>
  <c r="K4294" i="12"/>
  <c r="K4295" i="12"/>
  <c r="K4296" i="12"/>
  <c r="K4297" i="12"/>
  <c r="K4298" i="12"/>
  <c r="K4299" i="12"/>
  <c r="K4300" i="12"/>
  <c r="K4301" i="12"/>
  <c r="K4302" i="12"/>
  <c r="K4303" i="12"/>
  <c r="K4304" i="12"/>
  <c r="K4305" i="12"/>
  <c r="K4306" i="12"/>
  <c r="K4307" i="12"/>
  <c r="K4308" i="12"/>
  <c r="K4309" i="12"/>
  <c r="K4310" i="12"/>
  <c r="K4311" i="12"/>
  <c r="K4312" i="12"/>
  <c r="K4313" i="12"/>
  <c r="K4314" i="12"/>
  <c r="K4315" i="12"/>
  <c r="K4316" i="12"/>
  <c r="K4317" i="12"/>
  <c r="K4318" i="12"/>
  <c r="K4319" i="12"/>
  <c r="K4320" i="12"/>
  <c r="K4321" i="12"/>
  <c r="K4322" i="12"/>
  <c r="K4323" i="12"/>
  <c r="K4324" i="12"/>
  <c r="K4325" i="12"/>
  <c r="K4326" i="12"/>
  <c r="K4327" i="12"/>
  <c r="K4328" i="12"/>
  <c r="K4329" i="12"/>
  <c r="K4330" i="12"/>
  <c r="K4331" i="12"/>
  <c r="K4332" i="12"/>
  <c r="K4333" i="12"/>
  <c r="K4334" i="12"/>
  <c r="K4335" i="12"/>
  <c r="K4336" i="12"/>
  <c r="K4337" i="12"/>
  <c r="K4338" i="12"/>
  <c r="K4339" i="12"/>
  <c r="K4340" i="12"/>
  <c r="K4341" i="12"/>
  <c r="K4342" i="12"/>
  <c r="K4343" i="12"/>
  <c r="K4344" i="12"/>
  <c r="K4345" i="12"/>
  <c r="K4346" i="12"/>
  <c r="K4347" i="12"/>
  <c r="K4348" i="12"/>
  <c r="K4349" i="12"/>
  <c r="K4350" i="12"/>
  <c r="K4351" i="12"/>
  <c r="K4352" i="12"/>
  <c r="K4353" i="12"/>
  <c r="K4354" i="12"/>
  <c r="K4355" i="12"/>
  <c r="K4356" i="12"/>
  <c r="K4357" i="12"/>
  <c r="K4358" i="12"/>
  <c r="K4359" i="12"/>
  <c r="K4360" i="12"/>
  <c r="K4361" i="12"/>
  <c r="K4362" i="12"/>
  <c r="K4363" i="12"/>
  <c r="K4364" i="12"/>
  <c r="K4365" i="12"/>
  <c r="K4366" i="12"/>
  <c r="K4367" i="12"/>
  <c r="K4368" i="12"/>
  <c r="K4369" i="12"/>
  <c r="K4370" i="12"/>
  <c r="K4371" i="12"/>
  <c r="K4372" i="12"/>
  <c r="K4373" i="12"/>
  <c r="K4374" i="12"/>
  <c r="K4375" i="12"/>
  <c r="K4376" i="12"/>
  <c r="K4377" i="12"/>
  <c r="K4378" i="12"/>
  <c r="K4379" i="12"/>
  <c r="K4380" i="12"/>
  <c r="K4381" i="12"/>
  <c r="K4382" i="12"/>
  <c r="K4383" i="12"/>
  <c r="K4384" i="12"/>
  <c r="K4385" i="12"/>
  <c r="K4386" i="12"/>
  <c r="K4387" i="12"/>
  <c r="K4388" i="12"/>
  <c r="K4389" i="12"/>
  <c r="K4390" i="12"/>
  <c r="K4391" i="12"/>
  <c r="K4392" i="12"/>
  <c r="K4393" i="12"/>
  <c r="K4394" i="12"/>
  <c r="K4395" i="12"/>
  <c r="K4396" i="12"/>
  <c r="K4397" i="12"/>
  <c r="K4398" i="12"/>
  <c r="K4399" i="12"/>
  <c r="K4400" i="12"/>
  <c r="K4401" i="12"/>
  <c r="K4402" i="12"/>
  <c r="K4403" i="12"/>
  <c r="K4404" i="12"/>
  <c r="K4405" i="12"/>
  <c r="K4406" i="12"/>
  <c r="K4407" i="12"/>
  <c r="K4408" i="12"/>
  <c r="K4409" i="12"/>
  <c r="K4410" i="12"/>
  <c r="K4411" i="12"/>
  <c r="K4412" i="12"/>
  <c r="K4413" i="12"/>
  <c r="K4414" i="12"/>
  <c r="K4415" i="12"/>
  <c r="K4416" i="12"/>
  <c r="K4417" i="12"/>
  <c r="K4418" i="12"/>
  <c r="K4419" i="12"/>
  <c r="K4420" i="12"/>
  <c r="K4421" i="12"/>
  <c r="K4422" i="12"/>
  <c r="K4423" i="12"/>
  <c r="K4424" i="12"/>
  <c r="K4425" i="12"/>
  <c r="K4426" i="12"/>
  <c r="K4427" i="12"/>
  <c r="K4428" i="12"/>
  <c r="K4429" i="12"/>
  <c r="K4430" i="12"/>
  <c r="K4431" i="12"/>
  <c r="K4432" i="12"/>
  <c r="K4433" i="12"/>
  <c r="K4434" i="12"/>
  <c r="K4435" i="12"/>
  <c r="K4436" i="12"/>
  <c r="K4437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0" i="12"/>
  <c r="K4451" i="12"/>
  <c r="K4452" i="12"/>
  <c r="K4453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66" i="12"/>
  <c r="K4467" i="12"/>
  <c r="K4468" i="12"/>
  <c r="K4469" i="12"/>
  <c r="K4470" i="12"/>
  <c r="K4471" i="12"/>
  <c r="K4472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4" i="12"/>
  <c r="K4485" i="12"/>
  <c r="K4486" i="12"/>
  <c r="K4487" i="12"/>
  <c r="K4488" i="12"/>
  <c r="K4489" i="12"/>
  <c r="K4490" i="12"/>
  <c r="K4491" i="12"/>
  <c r="K4492" i="12"/>
  <c r="K4493" i="12"/>
  <c r="K4494" i="12"/>
  <c r="K4495" i="12"/>
  <c r="K4496" i="12"/>
  <c r="K4497" i="12"/>
  <c r="K4498" i="12"/>
  <c r="K4499" i="12"/>
  <c r="K4500" i="12"/>
  <c r="K4501" i="12"/>
  <c r="K4502" i="12"/>
  <c r="K4503" i="12"/>
  <c r="K4504" i="12"/>
  <c r="K4505" i="12"/>
  <c r="K4506" i="12"/>
  <c r="K4507" i="12"/>
  <c r="K4508" i="12"/>
  <c r="K4509" i="12"/>
  <c r="K4510" i="12"/>
  <c r="K4511" i="12"/>
  <c r="K4512" i="12"/>
  <c r="K4513" i="12"/>
  <c r="K4514" i="12"/>
  <c r="K4515" i="12"/>
  <c r="K4516" i="12"/>
  <c r="K4517" i="12"/>
  <c r="K4518" i="12"/>
  <c r="K4519" i="12"/>
  <c r="K4520" i="12"/>
  <c r="K4521" i="12"/>
  <c r="K4522" i="12"/>
  <c r="K4523" i="12"/>
  <c r="K4524" i="12"/>
  <c r="K4525" i="12"/>
  <c r="K4526" i="12"/>
  <c r="K4527" i="12"/>
  <c r="K4528" i="12"/>
  <c r="K4529" i="12"/>
  <c r="K4530" i="12"/>
  <c r="K4531" i="12"/>
  <c r="K4532" i="12"/>
  <c r="K4533" i="12"/>
  <c r="K4534" i="12"/>
  <c r="K4535" i="12"/>
  <c r="K4536" i="12"/>
  <c r="K4537" i="12"/>
  <c r="K4538" i="12"/>
  <c r="K4539" i="12"/>
  <c r="K4540" i="12"/>
  <c r="K4541" i="12"/>
  <c r="K4542" i="12"/>
  <c r="K4543" i="12"/>
  <c r="K4544" i="12"/>
  <c r="K4545" i="12"/>
  <c r="K4546" i="12"/>
  <c r="K4547" i="12"/>
  <c r="K4548" i="12"/>
  <c r="K4549" i="12"/>
  <c r="K4550" i="12"/>
  <c r="K4551" i="12"/>
  <c r="K4552" i="12"/>
  <c r="K4553" i="12"/>
  <c r="K4554" i="12"/>
  <c r="K4555" i="12"/>
  <c r="K4556" i="12"/>
  <c r="K4557" i="12"/>
  <c r="K4558" i="12"/>
  <c r="K4559" i="12"/>
  <c r="K4560" i="12"/>
  <c r="K4561" i="12"/>
  <c r="K4562" i="12"/>
  <c r="K4563" i="12"/>
  <c r="K4564" i="12"/>
  <c r="K4565" i="12"/>
  <c r="K4566" i="12"/>
  <c r="K4567" i="12"/>
  <c r="K4568" i="12"/>
  <c r="K4569" i="12"/>
  <c r="K4570" i="12"/>
  <c r="K4571" i="12"/>
  <c r="K4572" i="12"/>
  <c r="K4573" i="12"/>
  <c r="K4574" i="12"/>
  <c r="K4575" i="12"/>
  <c r="K4576" i="12"/>
  <c r="K4577" i="12"/>
  <c r="K4578" i="12"/>
  <c r="K4579" i="12"/>
  <c r="K4580" i="12"/>
  <c r="K4581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4" i="12"/>
  <c r="K4595" i="12"/>
  <c r="K4596" i="12"/>
  <c r="K4597" i="12"/>
  <c r="K4598" i="12"/>
  <c r="K4599" i="12"/>
  <c r="K4600" i="12"/>
  <c r="K4601" i="12"/>
  <c r="K4602" i="12"/>
  <c r="K4603" i="12"/>
  <c r="K4604" i="12"/>
  <c r="K4605" i="12"/>
  <c r="K4606" i="12"/>
  <c r="K4607" i="12"/>
  <c r="K4608" i="12"/>
  <c r="K4609" i="12"/>
  <c r="K4610" i="12"/>
  <c r="K4611" i="12"/>
  <c r="K4612" i="12"/>
  <c r="K4613" i="12"/>
  <c r="K4614" i="12"/>
  <c r="K4615" i="12"/>
  <c r="K4616" i="12"/>
  <c r="K4617" i="12"/>
  <c r="K4618" i="12"/>
  <c r="K4619" i="12"/>
  <c r="K4620" i="12"/>
  <c r="K4621" i="12"/>
  <c r="K4622" i="12"/>
  <c r="K4623" i="12"/>
  <c r="K4624" i="12"/>
  <c r="K4625" i="12"/>
  <c r="K4626" i="12"/>
  <c r="K4627" i="12"/>
  <c r="K4628" i="12"/>
  <c r="K4629" i="12"/>
  <c r="K4630" i="12"/>
  <c r="K4631" i="12"/>
  <c r="K4632" i="12"/>
  <c r="K4633" i="12"/>
  <c r="K4634" i="12"/>
  <c r="K4635" i="12"/>
  <c r="K4636" i="12"/>
  <c r="K4637" i="12"/>
  <c r="K4638" i="12"/>
  <c r="K4639" i="12"/>
  <c r="K4640" i="12"/>
  <c r="K4641" i="12"/>
  <c r="K4642" i="12"/>
  <c r="K4643" i="12"/>
  <c r="K4644" i="12"/>
  <c r="K4645" i="12"/>
  <c r="K4646" i="12"/>
  <c r="K4647" i="12"/>
  <c r="K4648" i="12"/>
  <c r="K4649" i="12"/>
  <c r="K4650" i="12"/>
  <c r="K4651" i="12"/>
  <c r="K4652" i="12"/>
  <c r="K4653" i="12"/>
  <c r="K4654" i="12"/>
  <c r="K4655" i="12"/>
  <c r="K4656" i="12"/>
  <c r="K4657" i="12"/>
  <c r="K4658" i="12"/>
  <c r="K4659" i="12"/>
  <c r="K4660" i="12"/>
  <c r="K4661" i="12"/>
  <c r="K4662" i="12"/>
  <c r="K4663" i="12"/>
  <c r="K4664" i="12"/>
  <c r="K4665" i="12"/>
  <c r="K4666" i="12"/>
  <c r="K4667" i="12"/>
  <c r="K4668" i="12"/>
  <c r="K4669" i="12"/>
  <c r="K4670" i="12"/>
  <c r="K4671" i="12"/>
  <c r="K4672" i="12"/>
  <c r="K4673" i="12"/>
  <c r="K4674" i="12"/>
  <c r="K4675" i="12"/>
  <c r="K4676" i="12"/>
  <c r="K4677" i="12"/>
  <c r="K4678" i="12"/>
  <c r="K4679" i="12"/>
  <c r="K4680" i="12"/>
  <c r="K4681" i="12"/>
  <c r="K4682" i="12"/>
  <c r="K4683" i="12"/>
  <c r="K4684" i="12"/>
  <c r="K4685" i="12"/>
  <c r="K4686" i="12"/>
  <c r="K4687" i="12"/>
  <c r="K4688" i="12"/>
  <c r="K4689" i="12"/>
  <c r="K4690" i="12"/>
  <c r="K4691" i="12"/>
  <c r="K4692" i="12"/>
  <c r="K4693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6" i="12"/>
  <c r="K4707" i="12"/>
  <c r="K4708" i="12"/>
  <c r="K4709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2" i="12"/>
  <c r="K4723" i="12"/>
  <c r="K4724" i="12"/>
  <c r="K4725" i="12"/>
  <c r="K4726" i="12"/>
  <c r="K4727" i="12"/>
  <c r="K4728" i="12"/>
  <c r="K4729" i="12"/>
  <c r="K4730" i="12"/>
  <c r="K4731" i="12"/>
  <c r="K4732" i="12"/>
  <c r="K4733" i="12"/>
  <c r="K4734" i="12"/>
  <c r="K4735" i="12"/>
  <c r="K4736" i="12"/>
  <c r="K4737" i="12"/>
  <c r="K4738" i="12"/>
  <c r="K4739" i="12"/>
  <c r="K4740" i="12"/>
  <c r="K4741" i="12"/>
  <c r="K4742" i="12"/>
  <c r="K4743" i="12"/>
  <c r="K4744" i="12"/>
  <c r="K4745" i="12"/>
  <c r="K4746" i="12"/>
  <c r="K4747" i="12"/>
  <c r="K4748" i="12"/>
  <c r="K4749" i="12"/>
  <c r="K4750" i="12"/>
  <c r="K4751" i="12"/>
  <c r="K4752" i="12"/>
  <c r="K4753" i="12"/>
  <c r="K4754" i="12"/>
  <c r="K4755" i="12"/>
  <c r="K4756" i="12"/>
  <c r="K4757" i="12"/>
  <c r="K4758" i="12"/>
  <c r="K4759" i="12"/>
  <c r="K4760" i="12"/>
  <c r="K4761" i="12"/>
  <c r="K4762" i="12"/>
  <c r="K4763" i="12"/>
  <c r="K4764" i="12"/>
  <c r="K4765" i="12"/>
  <c r="K4766" i="12"/>
  <c r="K4767" i="12"/>
  <c r="K4768" i="12"/>
  <c r="K4769" i="12"/>
  <c r="K4770" i="12"/>
  <c r="K4771" i="12"/>
  <c r="K4772" i="12"/>
  <c r="K4773" i="12"/>
  <c r="K4774" i="12"/>
  <c r="K4775" i="12"/>
  <c r="K4776" i="12"/>
  <c r="K4777" i="12"/>
  <c r="K4778" i="12"/>
  <c r="K4779" i="12"/>
  <c r="K4780" i="12"/>
  <c r="K4781" i="12"/>
  <c r="K4782" i="12"/>
  <c r="K4783" i="12"/>
  <c r="K4784" i="12"/>
  <c r="K4785" i="12"/>
  <c r="K4786" i="12"/>
  <c r="K4787" i="12"/>
  <c r="K4788" i="12"/>
  <c r="K4789" i="12"/>
  <c r="K4790" i="12"/>
  <c r="K4791" i="12"/>
  <c r="K4792" i="12"/>
  <c r="K4793" i="12"/>
  <c r="K4794" i="12"/>
  <c r="K4795" i="12"/>
  <c r="K4796" i="12"/>
  <c r="K4797" i="12"/>
  <c r="K4798" i="12"/>
  <c r="K4799" i="12"/>
  <c r="K4800" i="12"/>
  <c r="K4801" i="12"/>
  <c r="K4802" i="12"/>
  <c r="K4803" i="12"/>
  <c r="K4804" i="12"/>
  <c r="K4805" i="12"/>
  <c r="K4806" i="12"/>
  <c r="K4807" i="12"/>
  <c r="K4808" i="12"/>
  <c r="K4809" i="12"/>
  <c r="K4810" i="12"/>
  <c r="K4811" i="12"/>
  <c r="K4812" i="12"/>
  <c r="K4813" i="12"/>
  <c r="K4814" i="12"/>
  <c r="K4815" i="12"/>
  <c r="K4816" i="12"/>
  <c r="K4817" i="12"/>
  <c r="K4818" i="12"/>
  <c r="K4819" i="12"/>
  <c r="K4820" i="12"/>
  <c r="K4821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4" i="12"/>
  <c r="K4835" i="12"/>
  <c r="K4836" i="12"/>
  <c r="K4837" i="12"/>
  <c r="K4838" i="12"/>
  <c r="K4839" i="12"/>
  <c r="K4840" i="12"/>
  <c r="K4841" i="12"/>
  <c r="K4842" i="12"/>
  <c r="K4843" i="12"/>
  <c r="K4844" i="12"/>
  <c r="K4845" i="12"/>
  <c r="K4846" i="12"/>
  <c r="K4847" i="12"/>
  <c r="K4848" i="12"/>
  <c r="K4849" i="12"/>
  <c r="K4850" i="12"/>
  <c r="K4851" i="12"/>
  <c r="K4852" i="12"/>
  <c r="K4853" i="12"/>
  <c r="K4854" i="12"/>
  <c r="K4855" i="12"/>
  <c r="K4856" i="12"/>
  <c r="K4857" i="12"/>
  <c r="K4858" i="12"/>
  <c r="K4859" i="12"/>
  <c r="K4860" i="12"/>
  <c r="K4861" i="12"/>
  <c r="K4862" i="12"/>
  <c r="K4863" i="12"/>
  <c r="K4864" i="12"/>
  <c r="K4865" i="12"/>
  <c r="K4866" i="12"/>
  <c r="K4867" i="12"/>
  <c r="K4868" i="12"/>
  <c r="K4869" i="12"/>
  <c r="K4870" i="12"/>
  <c r="K4871" i="12"/>
  <c r="K4872" i="12"/>
  <c r="K4873" i="12"/>
  <c r="K4874" i="12"/>
  <c r="K4875" i="12"/>
  <c r="K4876" i="12"/>
  <c r="K4877" i="12"/>
  <c r="K4878" i="12"/>
  <c r="K4879" i="12"/>
  <c r="K4880" i="12"/>
  <c r="K4881" i="12"/>
  <c r="K4882" i="12"/>
  <c r="K4883" i="12"/>
  <c r="K4884" i="12"/>
  <c r="K4885" i="12"/>
  <c r="K4886" i="12"/>
  <c r="K4887" i="12"/>
  <c r="K4888" i="12"/>
  <c r="K4889" i="12"/>
  <c r="K4890" i="12"/>
  <c r="K4891" i="12"/>
  <c r="K4892" i="12"/>
  <c r="K4893" i="12"/>
  <c r="K4894" i="12"/>
  <c r="K4895" i="12"/>
  <c r="K4896" i="12"/>
  <c r="K4897" i="12"/>
  <c r="K4898" i="12"/>
  <c r="K4899" i="12"/>
  <c r="K4900" i="12"/>
  <c r="K4901" i="12"/>
  <c r="K4902" i="12"/>
  <c r="K4903" i="12"/>
  <c r="K4904" i="12"/>
  <c r="K4905" i="12"/>
  <c r="K4906" i="12"/>
  <c r="K4907" i="12"/>
  <c r="K4908" i="12"/>
  <c r="K4909" i="12"/>
  <c r="K4910" i="12"/>
  <c r="K4911" i="12"/>
  <c r="K4912" i="12"/>
  <c r="K4913" i="12"/>
  <c r="K4914" i="12"/>
  <c r="K4915" i="12"/>
  <c r="K4916" i="12"/>
  <c r="K4917" i="12"/>
  <c r="K4918" i="12"/>
  <c r="K4919" i="12"/>
  <c r="K4920" i="12"/>
  <c r="K4921" i="12"/>
  <c r="K4922" i="12"/>
  <c r="K4923" i="12"/>
  <c r="K4924" i="12"/>
  <c r="K4925" i="12"/>
  <c r="K4926" i="12"/>
  <c r="K4927" i="12"/>
  <c r="K4928" i="12"/>
  <c r="K4929" i="12"/>
  <c r="K4930" i="12"/>
  <c r="K4931" i="12"/>
  <c r="K4932" i="12"/>
  <c r="K4933" i="12"/>
  <c r="K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L559" i="12"/>
  <c r="L560" i="12"/>
  <c r="L561" i="12"/>
  <c r="L562" i="12"/>
  <c r="L563" i="12"/>
  <c r="L564" i="12"/>
  <c r="L565" i="12"/>
  <c r="L566" i="12"/>
  <c r="L567" i="12"/>
  <c r="L568" i="12"/>
  <c r="L569" i="12"/>
  <c r="L570" i="12"/>
  <c r="L571" i="12"/>
  <c r="L572" i="12"/>
  <c r="L573" i="12"/>
  <c r="L574" i="12"/>
  <c r="L575" i="12"/>
  <c r="L576" i="12"/>
  <c r="L577" i="12"/>
  <c r="L578" i="12"/>
  <c r="L579" i="12"/>
  <c r="L580" i="12"/>
  <c r="L581" i="12"/>
  <c r="L582" i="12"/>
  <c r="L583" i="12"/>
  <c r="L584" i="12"/>
  <c r="L585" i="12"/>
  <c r="L586" i="12"/>
  <c r="L587" i="12"/>
  <c r="L588" i="12"/>
  <c r="L589" i="12"/>
  <c r="L590" i="12"/>
  <c r="L591" i="12"/>
  <c r="L592" i="12"/>
  <c r="L593" i="12"/>
  <c r="L594" i="12"/>
  <c r="L595" i="12"/>
  <c r="L596" i="12"/>
  <c r="L597" i="12"/>
  <c r="L598" i="12"/>
  <c r="L599" i="12"/>
  <c r="L600" i="12"/>
  <c r="L601" i="12"/>
  <c r="L602" i="12"/>
  <c r="L603" i="12"/>
  <c r="L604" i="12"/>
  <c r="L605" i="12"/>
  <c r="L606" i="12"/>
  <c r="L607" i="12"/>
  <c r="L608" i="12"/>
  <c r="L609" i="12"/>
  <c r="L610" i="12"/>
  <c r="L611" i="12"/>
  <c r="L612" i="12"/>
  <c r="L613" i="12"/>
  <c r="L614" i="12"/>
  <c r="L615" i="12"/>
  <c r="L616" i="12"/>
  <c r="L617" i="12"/>
  <c r="L618" i="12"/>
  <c r="L619" i="12"/>
  <c r="L620" i="12"/>
  <c r="L621" i="12"/>
  <c r="L622" i="12"/>
  <c r="L623" i="12"/>
  <c r="L624" i="12"/>
  <c r="L625" i="12"/>
  <c r="L626" i="12"/>
  <c r="L627" i="12"/>
  <c r="L628" i="12"/>
  <c r="L629" i="12"/>
  <c r="L630" i="12"/>
  <c r="L631" i="12"/>
  <c r="L632" i="12"/>
  <c r="L633" i="12"/>
  <c r="L634" i="12"/>
  <c r="L635" i="12"/>
  <c r="L636" i="12"/>
  <c r="L637" i="12"/>
  <c r="L638" i="12"/>
  <c r="L639" i="12"/>
  <c r="L640" i="12"/>
  <c r="L641" i="12"/>
  <c r="L642" i="12"/>
  <c r="L643" i="12"/>
  <c r="L644" i="12"/>
  <c r="L645" i="12"/>
  <c r="L646" i="12"/>
  <c r="L647" i="12"/>
  <c r="L648" i="12"/>
  <c r="L649" i="12"/>
  <c r="L650" i="12"/>
  <c r="L651" i="12"/>
  <c r="L652" i="12"/>
  <c r="L653" i="12"/>
  <c r="L654" i="12"/>
  <c r="L655" i="12"/>
  <c r="L656" i="12"/>
  <c r="L657" i="12"/>
  <c r="L658" i="12"/>
  <c r="L659" i="12"/>
  <c r="L660" i="12"/>
  <c r="L661" i="12"/>
  <c r="L662" i="12"/>
  <c r="L663" i="12"/>
  <c r="L664" i="12"/>
  <c r="L665" i="12"/>
  <c r="L666" i="12"/>
  <c r="L667" i="12"/>
  <c r="L668" i="12"/>
  <c r="L669" i="12"/>
  <c r="L670" i="12"/>
  <c r="L671" i="12"/>
  <c r="L672" i="12"/>
  <c r="L673" i="12"/>
  <c r="L674" i="12"/>
  <c r="L675" i="12"/>
  <c r="L676" i="12"/>
  <c r="L677" i="12"/>
  <c r="L678" i="12"/>
  <c r="L679" i="12"/>
  <c r="L680" i="12"/>
  <c r="L681" i="12"/>
  <c r="L682" i="12"/>
  <c r="L683" i="12"/>
  <c r="L684" i="12"/>
  <c r="L685" i="12"/>
  <c r="L686" i="12"/>
  <c r="L687" i="12"/>
  <c r="L688" i="12"/>
  <c r="L689" i="12"/>
  <c r="L690" i="12"/>
  <c r="L691" i="12"/>
  <c r="L692" i="12"/>
  <c r="L693" i="12"/>
  <c r="L694" i="12"/>
  <c r="L695" i="12"/>
  <c r="L696" i="12"/>
  <c r="L697" i="12"/>
  <c r="L698" i="12"/>
  <c r="L699" i="12"/>
  <c r="L700" i="12"/>
  <c r="L701" i="12"/>
  <c r="L702" i="12"/>
  <c r="L703" i="12"/>
  <c r="L704" i="12"/>
  <c r="L705" i="12"/>
  <c r="L706" i="12"/>
  <c r="L707" i="12"/>
  <c r="L708" i="12"/>
  <c r="L709" i="12"/>
  <c r="L710" i="12"/>
  <c r="L711" i="12"/>
  <c r="L712" i="12"/>
  <c r="L713" i="12"/>
  <c r="L714" i="12"/>
  <c r="L715" i="12"/>
  <c r="L716" i="12"/>
  <c r="L717" i="12"/>
  <c r="L718" i="12"/>
  <c r="L719" i="12"/>
  <c r="L720" i="12"/>
  <c r="L721" i="12"/>
  <c r="L722" i="12"/>
  <c r="L723" i="12"/>
  <c r="L724" i="12"/>
  <c r="L725" i="12"/>
  <c r="L726" i="12"/>
  <c r="L727" i="12"/>
  <c r="L728" i="12"/>
  <c r="L729" i="12"/>
  <c r="L730" i="12"/>
  <c r="L731" i="12"/>
  <c r="L732" i="12"/>
  <c r="L733" i="12"/>
  <c r="L734" i="12"/>
  <c r="L735" i="12"/>
  <c r="L736" i="12"/>
  <c r="L737" i="12"/>
  <c r="L738" i="12"/>
  <c r="L739" i="12"/>
  <c r="L740" i="12"/>
  <c r="L741" i="12"/>
  <c r="L742" i="12"/>
  <c r="L743" i="12"/>
  <c r="L744" i="12"/>
  <c r="L745" i="12"/>
  <c r="L746" i="12"/>
  <c r="L747" i="12"/>
  <c r="L748" i="12"/>
  <c r="L749" i="12"/>
  <c r="L750" i="12"/>
  <c r="L751" i="12"/>
  <c r="L752" i="12"/>
  <c r="L753" i="12"/>
  <c r="L754" i="12"/>
  <c r="L755" i="12"/>
  <c r="L756" i="12"/>
  <c r="L757" i="12"/>
  <c r="L758" i="12"/>
  <c r="L759" i="12"/>
  <c r="L760" i="12"/>
  <c r="L761" i="12"/>
  <c r="L762" i="12"/>
  <c r="L763" i="12"/>
  <c r="L764" i="12"/>
  <c r="L765" i="12"/>
  <c r="L766" i="12"/>
  <c r="L767" i="12"/>
  <c r="L768" i="12"/>
  <c r="L769" i="12"/>
  <c r="L770" i="12"/>
  <c r="L771" i="12"/>
  <c r="L772" i="12"/>
  <c r="L773" i="12"/>
  <c r="L774" i="12"/>
  <c r="L775" i="12"/>
  <c r="L776" i="12"/>
  <c r="L777" i="12"/>
  <c r="L778" i="12"/>
  <c r="L779" i="12"/>
  <c r="L780" i="12"/>
  <c r="L781" i="12"/>
  <c r="L782" i="12"/>
  <c r="L783" i="12"/>
  <c r="L784" i="12"/>
  <c r="L785" i="12"/>
  <c r="L786" i="12"/>
  <c r="L787" i="12"/>
  <c r="L788" i="12"/>
  <c r="L789" i="12"/>
  <c r="L790" i="12"/>
  <c r="L791" i="12"/>
  <c r="L792" i="12"/>
  <c r="L793" i="12"/>
  <c r="L794" i="12"/>
  <c r="L795" i="12"/>
  <c r="L796" i="12"/>
  <c r="L797" i="12"/>
  <c r="L798" i="12"/>
  <c r="L799" i="12"/>
  <c r="L800" i="12"/>
  <c r="L801" i="12"/>
  <c r="L802" i="12"/>
  <c r="L803" i="12"/>
  <c r="L804" i="12"/>
  <c r="L805" i="12"/>
  <c r="L806" i="12"/>
  <c r="L807" i="12"/>
  <c r="L808" i="12"/>
  <c r="L809" i="12"/>
  <c r="L810" i="12"/>
  <c r="L811" i="12"/>
  <c r="L812" i="12"/>
  <c r="L813" i="12"/>
  <c r="L814" i="12"/>
  <c r="L815" i="12"/>
  <c r="L816" i="12"/>
  <c r="L817" i="12"/>
  <c r="L818" i="12"/>
  <c r="L819" i="12"/>
  <c r="L820" i="12"/>
  <c r="L821" i="12"/>
  <c r="L822" i="12"/>
  <c r="L823" i="12"/>
  <c r="L824" i="12"/>
  <c r="L825" i="12"/>
  <c r="L826" i="12"/>
  <c r="L827" i="12"/>
  <c r="L828" i="12"/>
  <c r="L829" i="12"/>
  <c r="L830" i="12"/>
  <c r="L831" i="12"/>
  <c r="L832" i="12"/>
  <c r="L833" i="12"/>
  <c r="L834" i="12"/>
  <c r="L835" i="12"/>
  <c r="L836" i="12"/>
  <c r="L837" i="12"/>
  <c r="L838" i="12"/>
  <c r="L839" i="12"/>
  <c r="L840" i="12"/>
  <c r="L841" i="12"/>
  <c r="L842" i="12"/>
  <c r="L843" i="12"/>
  <c r="L844" i="12"/>
  <c r="L845" i="12"/>
  <c r="L846" i="12"/>
  <c r="L847" i="12"/>
  <c r="L848" i="12"/>
  <c r="L849" i="12"/>
  <c r="L850" i="12"/>
  <c r="L851" i="12"/>
  <c r="L852" i="12"/>
  <c r="L853" i="12"/>
  <c r="L854" i="12"/>
  <c r="L855" i="12"/>
  <c r="L856" i="12"/>
  <c r="L857" i="12"/>
  <c r="L858" i="12"/>
  <c r="L859" i="12"/>
  <c r="L860" i="12"/>
  <c r="L861" i="12"/>
  <c r="L862" i="12"/>
  <c r="L863" i="12"/>
  <c r="L864" i="12"/>
  <c r="L865" i="12"/>
  <c r="L866" i="12"/>
  <c r="L867" i="12"/>
  <c r="L868" i="12"/>
  <c r="L869" i="12"/>
  <c r="L870" i="12"/>
  <c r="L871" i="12"/>
  <c r="L872" i="12"/>
  <c r="L873" i="12"/>
  <c r="L874" i="12"/>
  <c r="L875" i="12"/>
  <c r="L876" i="12"/>
  <c r="L877" i="12"/>
  <c r="L878" i="12"/>
  <c r="L879" i="12"/>
  <c r="L880" i="12"/>
  <c r="L881" i="12"/>
  <c r="L882" i="12"/>
  <c r="L883" i="12"/>
  <c r="L884" i="12"/>
  <c r="L885" i="12"/>
  <c r="L886" i="12"/>
  <c r="L887" i="12"/>
  <c r="L888" i="12"/>
  <c r="L889" i="12"/>
  <c r="L890" i="12"/>
  <c r="L891" i="12"/>
  <c r="L892" i="12"/>
  <c r="L893" i="12"/>
  <c r="L894" i="12"/>
  <c r="L895" i="12"/>
  <c r="L896" i="12"/>
  <c r="L897" i="12"/>
  <c r="L898" i="12"/>
  <c r="L899" i="12"/>
  <c r="L900" i="12"/>
  <c r="L901" i="12"/>
  <c r="L902" i="12"/>
  <c r="L903" i="12"/>
  <c r="L904" i="12"/>
  <c r="L905" i="12"/>
  <c r="L906" i="12"/>
  <c r="L907" i="12"/>
  <c r="L908" i="12"/>
  <c r="L909" i="12"/>
  <c r="L910" i="12"/>
  <c r="L911" i="12"/>
  <c r="L912" i="12"/>
  <c r="L913" i="12"/>
  <c r="L914" i="12"/>
  <c r="L915" i="12"/>
  <c r="L916" i="12"/>
  <c r="L917" i="12"/>
  <c r="L918" i="12"/>
  <c r="L919" i="12"/>
  <c r="L920" i="12"/>
  <c r="L921" i="12"/>
  <c r="L922" i="12"/>
  <c r="L923" i="12"/>
  <c r="L924" i="12"/>
  <c r="L925" i="12"/>
  <c r="L926" i="12"/>
  <c r="L927" i="12"/>
  <c r="L928" i="12"/>
  <c r="L929" i="12"/>
  <c r="L930" i="12"/>
  <c r="L931" i="12"/>
  <c r="L932" i="12"/>
  <c r="L933" i="12"/>
  <c r="L934" i="12"/>
  <c r="L935" i="12"/>
  <c r="L936" i="12"/>
  <c r="L937" i="12"/>
  <c r="L938" i="12"/>
  <c r="L939" i="12"/>
  <c r="L940" i="12"/>
  <c r="L941" i="12"/>
  <c r="L942" i="12"/>
  <c r="L943" i="12"/>
  <c r="L944" i="12"/>
  <c r="L945" i="12"/>
  <c r="L946" i="12"/>
  <c r="L947" i="12"/>
  <c r="L948" i="12"/>
  <c r="L949" i="12"/>
  <c r="L950" i="12"/>
  <c r="L951" i="12"/>
  <c r="L952" i="12"/>
  <c r="L953" i="12"/>
  <c r="L954" i="12"/>
  <c r="L955" i="12"/>
  <c r="L956" i="12"/>
  <c r="L957" i="12"/>
  <c r="L958" i="12"/>
  <c r="L959" i="12"/>
  <c r="L960" i="12"/>
  <c r="L961" i="12"/>
  <c r="L962" i="12"/>
  <c r="L963" i="12"/>
  <c r="L964" i="12"/>
  <c r="L965" i="12"/>
  <c r="L966" i="12"/>
  <c r="L967" i="12"/>
  <c r="L968" i="12"/>
  <c r="L969" i="12"/>
  <c r="L970" i="12"/>
  <c r="L971" i="12"/>
  <c r="L972" i="12"/>
  <c r="L973" i="12"/>
  <c r="L974" i="12"/>
  <c r="L975" i="12"/>
  <c r="L976" i="12"/>
  <c r="L977" i="12"/>
  <c r="L978" i="12"/>
  <c r="L979" i="12"/>
  <c r="L980" i="12"/>
  <c r="L981" i="12"/>
  <c r="L982" i="12"/>
  <c r="L983" i="12"/>
  <c r="L984" i="12"/>
  <c r="L985" i="12"/>
  <c r="L986" i="12"/>
  <c r="L987" i="12"/>
  <c r="L988" i="12"/>
  <c r="L989" i="12"/>
  <c r="L990" i="12"/>
  <c r="L991" i="12"/>
  <c r="L992" i="12"/>
  <c r="L993" i="12"/>
  <c r="L994" i="12"/>
  <c r="L995" i="12"/>
  <c r="L996" i="12"/>
  <c r="L997" i="12"/>
  <c r="L998" i="12"/>
  <c r="L999" i="12"/>
  <c r="L1000" i="12"/>
  <c r="L1001" i="12"/>
  <c r="L1002" i="12"/>
  <c r="L1003" i="12"/>
  <c r="L1004" i="12"/>
  <c r="L1005" i="12"/>
  <c r="L1006" i="12"/>
  <c r="L1007" i="12"/>
  <c r="L1008" i="12"/>
  <c r="L1009" i="12"/>
  <c r="L1010" i="12"/>
  <c r="L1011" i="12"/>
  <c r="L1012" i="12"/>
  <c r="L1013" i="12"/>
  <c r="L1014" i="12"/>
  <c r="L1015" i="12"/>
  <c r="L1016" i="12"/>
  <c r="L1017" i="12"/>
  <c r="L1018" i="12"/>
  <c r="L1019" i="12"/>
  <c r="L1020" i="12"/>
  <c r="L1021" i="12"/>
  <c r="L1022" i="12"/>
  <c r="L1023" i="12"/>
  <c r="L1024" i="12"/>
  <c r="L1025" i="12"/>
  <c r="L1026" i="12"/>
  <c r="L1027" i="12"/>
  <c r="L1028" i="12"/>
  <c r="L1029" i="12"/>
  <c r="L1030" i="12"/>
  <c r="L1031" i="12"/>
  <c r="L1032" i="12"/>
  <c r="L1033" i="12"/>
  <c r="L1034" i="12"/>
  <c r="L1035" i="12"/>
  <c r="L1036" i="12"/>
  <c r="L1037" i="12"/>
  <c r="L1038" i="12"/>
  <c r="L1039" i="12"/>
  <c r="L1040" i="12"/>
  <c r="L1041" i="12"/>
  <c r="L1042" i="12"/>
  <c r="L1043" i="12"/>
  <c r="L1044" i="12"/>
  <c r="L1045" i="12"/>
  <c r="L1046" i="12"/>
  <c r="L1047" i="12"/>
  <c r="L1048" i="12"/>
  <c r="L1049" i="12"/>
  <c r="L1050" i="12"/>
  <c r="L1051" i="12"/>
  <c r="L1052" i="12"/>
  <c r="L1053" i="12"/>
  <c r="L1054" i="12"/>
  <c r="L1055" i="12"/>
  <c r="L1056" i="12"/>
  <c r="L1057" i="12"/>
  <c r="L1058" i="12"/>
  <c r="L1059" i="12"/>
  <c r="L1060" i="12"/>
  <c r="L1061" i="12"/>
  <c r="L1062" i="12"/>
  <c r="L1063" i="12"/>
  <c r="L1064" i="12"/>
  <c r="L1065" i="12"/>
  <c r="L1066" i="12"/>
  <c r="L1067" i="12"/>
  <c r="L1068" i="12"/>
  <c r="L1069" i="12"/>
  <c r="L1070" i="12"/>
  <c r="L1071" i="12"/>
  <c r="L1072" i="12"/>
  <c r="L1073" i="12"/>
  <c r="L1074" i="12"/>
  <c r="L1075" i="12"/>
  <c r="L1076" i="12"/>
  <c r="L1077" i="12"/>
  <c r="L1078" i="12"/>
  <c r="L1079" i="12"/>
  <c r="L1080" i="12"/>
  <c r="L1081" i="12"/>
  <c r="L1082" i="12"/>
  <c r="L1083" i="12"/>
  <c r="L1084" i="12"/>
  <c r="L1085" i="12"/>
  <c r="L1086" i="12"/>
  <c r="L1087" i="12"/>
  <c r="L1088" i="12"/>
  <c r="L1089" i="12"/>
  <c r="L1090" i="12"/>
  <c r="L1091" i="12"/>
  <c r="L1092" i="12"/>
  <c r="L1093" i="12"/>
  <c r="L1094" i="12"/>
  <c r="L1095" i="12"/>
  <c r="L1096" i="12"/>
  <c r="L1097" i="12"/>
  <c r="L1098" i="12"/>
  <c r="L1099" i="12"/>
  <c r="L1100" i="12"/>
  <c r="L1101" i="12"/>
  <c r="L1102" i="12"/>
  <c r="L1103" i="12"/>
  <c r="L1104" i="12"/>
  <c r="L1105" i="12"/>
  <c r="L1106" i="12"/>
  <c r="L1107" i="12"/>
  <c r="L1108" i="12"/>
  <c r="L1109" i="12"/>
  <c r="L1110" i="12"/>
  <c r="L1111" i="12"/>
  <c r="L1112" i="12"/>
  <c r="L1113" i="12"/>
  <c r="L1114" i="12"/>
  <c r="L1115" i="12"/>
  <c r="L1116" i="12"/>
  <c r="L1117" i="12"/>
  <c r="L1118" i="12"/>
  <c r="L1119" i="12"/>
  <c r="L1120" i="12"/>
  <c r="L1121" i="12"/>
  <c r="L1122" i="12"/>
  <c r="L1123" i="12"/>
  <c r="L1124" i="12"/>
  <c r="L1125" i="12"/>
  <c r="L1126" i="12"/>
  <c r="L1127" i="12"/>
  <c r="L1128" i="12"/>
  <c r="L1129" i="12"/>
  <c r="L1130" i="12"/>
  <c r="L1131" i="12"/>
  <c r="L1132" i="12"/>
  <c r="L1133" i="12"/>
  <c r="L1134" i="12"/>
  <c r="L1135" i="12"/>
  <c r="L1136" i="12"/>
  <c r="L1137" i="12"/>
  <c r="L1138" i="12"/>
  <c r="L1139" i="12"/>
  <c r="L1140" i="12"/>
  <c r="L1141" i="12"/>
  <c r="L1142" i="12"/>
  <c r="L1143" i="12"/>
  <c r="L1144" i="12"/>
  <c r="L1145" i="12"/>
  <c r="L1146" i="12"/>
  <c r="L1147" i="12"/>
  <c r="L1148" i="12"/>
  <c r="L1149" i="12"/>
  <c r="L1150" i="12"/>
  <c r="L1151" i="12"/>
  <c r="L1152" i="12"/>
  <c r="L1153" i="12"/>
  <c r="L1154" i="12"/>
  <c r="L1155" i="12"/>
  <c r="L1156" i="12"/>
  <c r="L1157" i="12"/>
  <c r="L1158" i="12"/>
  <c r="L1159" i="12"/>
  <c r="L1160" i="12"/>
  <c r="L1161" i="12"/>
  <c r="L1162" i="12"/>
  <c r="L1163" i="12"/>
  <c r="L1164" i="12"/>
  <c r="L1165" i="12"/>
  <c r="L1166" i="12"/>
  <c r="L1167" i="12"/>
  <c r="L1168" i="12"/>
  <c r="L1169" i="12"/>
  <c r="L1170" i="12"/>
  <c r="L1171" i="12"/>
  <c r="L1172" i="12"/>
  <c r="L1173" i="12"/>
  <c r="L1174" i="12"/>
  <c r="L1175" i="12"/>
  <c r="L1176" i="12"/>
  <c r="L1177" i="12"/>
  <c r="L1178" i="12"/>
  <c r="L1179" i="12"/>
  <c r="L1180" i="12"/>
  <c r="L1181" i="12"/>
  <c r="L1182" i="12"/>
  <c r="L1183" i="12"/>
  <c r="L1184" i="12"/>
  <c r="L1185" i="12"/>
  <c r="L1186" i="12"/>
  <c r="L1187" i="12"/>
  <c r="L1188" i="12"/>
  <c r="L1189" i="12"/>
  <c r="L1190" i="12"/>
  <c r="L1191" i="12"/>
  <c r="L1192" i="12"/>
  <c r="L1193" i="12"/>
  <c r="L1194" i="12"/>
  <c r="L1195" i="12"/>
  <c r="L1196" i="12"/>
  <c r="L1197" i="12"/>
  <c r="L1198" i="12"/>
  <c r="L1199" i="12"/>
  <c r="L1200" i="12"/>
  <c r="L1201" i="12"/>
  <c r="L1202" i="12"/>
  <c r="L1203" i="12"/>
  <c r="L1204" i="12"/>
  <c r="L1205" i="12"/>
  <c r="L1206" i="12"/>
  <c r="L1207" i="12"/>
  <c r="L1208" i="12"/>
  <c r="L1209" i="12"/>
  <c r="L1210" i="12"/>
  <c r="L1211" i="12"/>
  <c r="L1212" i="12"/>
  <c r="L1213" i="12"/>
  <c r="L1214" i="12"/>
  <c r="L1215" i="12"/>
  <c r="L1216" i="12"/>
  <c r="L1217" i="12"/>
  <c r="L1218" i="12"/>
  <c r="L1219" i="12"/>
  <c r="L1220" i="12"/>
  <c r="L1221" i="12"/>
  <c r="L1222" i="12"/>
  <c r="L1223" i="12"/>
  <c r="L1224" i="12"/>
  <c r="L1225" i="12"/>
  <c r="L1226" i="12"/>
  <c r="L1227" i="12"/>
  <c r="L1228" i="12"/>
  <c r="L1229" i="12"/>
  <c r="L1230" i="12"/>
  <c r="L1231" i="12"/>
  <c r="L1232" i="12"/>
  <c r="L1233" i="12"/>
  <c r="L1234" i="12"/>
  <c r="L1235" i="12"/>
  <c r="L1236" i="12"/>
  <c r="L1237" i="12"/>
  <c r="L1238" i="12"/>
  <c r="L1239" i="12"/>
  <c r="L1240" i="12"/>
  <c r="L1241" i="12"/>
  <c r="L1242" i="12"/>
  <c r="L1243" i="12"/>
  <c r="L1244" i="12"/>
  <c r="L1245" i="12"/>
  <c r="L1246" i="12"/>
  <c r="L1247" i="12"/>
  <c r="L1248" i="12"/>
  <c r="L1249" i="12"/>
  <c r="L1250" i="12"/>
  <c r="L1251" i="12"/>
  <c r="L1252" i="12"/>
  <c r="L1253" i="12"/>
  <c r="L1254" i="12"/>
  <c r="L1255" i="12"/>
  <c r="L1256" i="12"/>
  <c r="L1257" i="12"/>
  <c r="L1258" i="12"/>
  <c r="L1259" i="12"/>
  <c r="L1260" i="12"/>
  <c r="L1261" i="12"/>
  <c r="L1262" i="12"/>
  <c r="L1263" i="12"/>
  <c r="L1264" i="12"/>
  <c r="L1265" i="12"/>
  <c r="L1266" i="12"/>
  <c r="L1267" i="12"/>
  <c r="L1268" i="12"/>
  <c r="L1269" i="12"/>
  <c r="L1270" i="12"/>
  <c r="L1271" i="12"/>
  <c r="L1272" i="12"/>
  <c r="L1273" i="12"/>
  <c r="L1274" i="12"/>
  <c r="L1275" i="12"/>
  <c r="L1276" i="12"/>
  <c r="L1277" i="12"/>
  <c r="L1278" i="12"/>
  <c r="L1279" i="12"/>
  <c r="L1280" i="12"/>
  <c r="L1281" i="12"/>
  <c r="L1282" i="12"/>
  <c r="L1283" i="12"/>
  <c r="L1284" i="12"/>
  <c r="L1285" i="12"/>
  <c r="L1286" i="12"/>
  <c r="L1287" i="12"/>
  <c r="L1288" i="12"/>
  <c r="L1289" i="12"/>
  <c r="L1290" i="12"/>
  <c r="L1291" i="12"/>
  <c r="L1292" i="12"/>
  <c r="L1293" i="12"/>
  <c r="L1294" i="12"/>
  <c r="L1295" i="12"/>
  <c r="L1296" i="12"/>
  <c r="L1297" i="12"/>
  <c r="L1298" i="12"/>
  <c r="L1299" i="12"/>
  <c r="L1300" i="12"/>
  <c r="L1301" i="12"/>
  <c r="L1302" i="12"/>
  <c r="L1303" i="12"/>
  <c r="L1304" i="12"/>
  <c r="L1305" i="12"/>
  <c r="L1306" i="12"/>
  <c r="L1307" i="12"/>
  <c r="L1308" i="12"/>
  <c r="L1309" i="12"/>
  <c r="L1310" i="12"/>
  <c r="L1311" i="12"/>
  <c r="L1312" i="12"/>
  <c r="L1313" i="12"/>
  <c r="L1314" i="12"/>
  <c r="L1315" i="12"/>
  <c r="L1316" i="12"/>
  <c r="L1317" i="12"/>
  <c r="L1318" i="12"/>
  <c r="L1319" i="12"/>
  <c r="L1320" i="12"/>
  <c r="L1321" i="12"/>
  <c r="L1322" i="12"/>
  <c r="L1323" i="12"/>
  <c r="L1324" i="12"/>
  <c r="L1325" i="12"/>
  <c r="L1326" i="12"/>
  <c r="L1327" i="12"/>
  <c r="L1328" i="12"/>
  <c r="L1329" i="12"/>
  <c r="L1330" i="12"/>
  <c r="L1331" i="12"/>
  <c r="L1332" i="12"/>
  <c r="L1333" i="12"/>
  <c r="L1334" i="12"/>
  <c r="L1335" i="12"/>
  <c r="L1336" i="12"/>
  <c r="L1337" i="12"/>
  <c r="L1338" i="12"/>
  <c r="L1339" i="12"/>
  <c r="L1340" i="12"/>
  <c r="L1341" i="12"/>
  <c r="L1342" i="12"/>
  <c r="L1343" i="12"/>
  <c r="L1344" i="12"/>
  <c r="L1345" i="12"/>
  <c r="L1346" i="12"/>
  <c r="L1347" i="12"/>
  <c r="L1348" i="12"/>
  <c r="L1349" i="12"/>
  <c r="L1350" i="12"/>
  <c r="L1351" i="12"/>
  <c r="L1352" i="12"/>
  <c r="L1353" i="12"/>
  <c r="L1354" i="12"/>
  <c r="L1355" i="12"/>
  <c r="L1356" i="12"/>
  <c r="L1357" i="12"/>
  <c r="L1358" i="12"/>
  <c r="L1359" i="12"/>
  <c r="L1360" i="12"/>
  <c r="L1361" i="12"/>
  <c r="L1362" i="12"/>
  <c r="L1363" i="12"/>
  <c r="L1364" i="12"/>
  <c r="L1365" i="12"/>
  <c r="L1366" i="12"/>
  <c r="L1367" i="12"/>
  <c r="L1368" i="12"/>
  <c r="L1369" i="12"/>
  <c r="L1370" i="12"/>
  <c r="L1371" i="12"/>
  <c r="L1372" i="12"/>
  <c r="L1373" i="12"/>
  <c r="L1374" i="12"/>
  <c r="L1375" i="12"/>
  <c r="L1376" i="12"/>
  <c r="L1377" i="12"/>
  <c r="L1378" i="12"/>
  <c r="L1379" i="12"/>
  <c r="L1380" i="12"/>
  <c r="L1381" i="12"/>
  <c r="L1382" i="12"/>
  <c r="L1383" i="12"/>
  <c r="L1384" i="12"/>
  <c r="L1385" i="12"/>
  <c r="L1386" i="12"/>
  <c r="L1387" i="12"/>
  <c r="L1388" i="12"/>
  <c r="L1389" i="12"/>
  <c r="L1390" i="12"/>
  <c r="L1391" i="12"/>
  <c r="L1392" i="12"/>
  <c r="L1393" i="12"/>
  <c r="L1394" i="12"/>
  <c r="L1395" i="12"/>
  <c r="L1396" i="12"/>
  <c r="L1397" i="12"/>
  <c r="L1398" i="12"/>
  <c r="L1399" i="12"/>
  <c r="L1400" i="12"/>
  <c r="L1401" i="12"/>
  <c r="L1402" i="12"/>
  <c r="L1403" i="12"/>
  <c r="L1404" i="12"/>
  <c r="L1405" i="12"/>
  <c r="L1406" i="12"/>
  <c r="L1407" i="12"/>
  <c r="L1408" i="12"/>
  <c r="L1409" i="12"/>
  <c r="L1410" i="12"/>
  <c r="L1411" i="12"/>
  <c r="L1412" i="12"/>
  <c r="L1413" i="12"/>
  <c r="L1414" i="12"/>
  <c r="L1415" i="12"/>
  <c r="L1416" i="12"/>
  <c r="L1417" i="12"/>
  <c r="L1418" i="12"/>
  <c r="L1419" i="12"/>
  <c r="L1420" i="12"/>
  <c r="L1421" i="12"/>
  <c r="L1422" i="12"/>
  <c r="L1423" i="12"/>
  <c r="L1424" i="12"/>
  <c r="L1425" i="12"/>
  <c r="L1426" i="12"/>
  <c r="L1427" i="12"/>
  <c r="L1428" i="12"/>
  <c r="L1429" i="12"/>
  <c r="L1430" i="12"/>
  <c r="L1431" i="12"/>
  <c r="L1432" i="12"/>
  <c r="L1433" i="12"/>
  <c r="L1434" i="12"/>
  <c r="L1435" i="12"/>
  <c r="L1436" i="12"/>
  <c r="L1437" i="12"/>
  <c r="L1438" i="12"/>
  <c r="L1439" i="12"/>
  <c r="L1440" i="12"/>
  <c r="L1441" i="12"/>
  <c r="L1442" i="12"/>
  <c r="L1443" i="12"/>
  <c r="L1444" i="12"/>
  <c r="L1445" i="12"/>
  <c r="L1446" i="12"/>
  <c r="L1447" i="12"/>
  <c r="L1448" i="12"/>
  <c r="L1449" i="12"/>
  <c r="L1450" i="12"/>
  <c r="L1451" i="12"/>
  <c r="L1452" i="12"/>
  <c r="L1453" i="12"/>
  <c r="L1454" i="12"/>
  <c r="L1455" i="12"/>
  <c r="L1456" i="12"/>
  <c r="L1457" i="12"/>
  <c r="L1458" i="12"/>
  <c r="L1459" i="12"/>
  <c r="L1460" i="12"/>
  <c r="L1461" i="12"/>
  <c r="L1462" i="12"/>
  <c r="L1463" i="12"/>
  <c r="L1464" i="12"/>
  <c r="L1465" i="12"/>
  <c r="L1466" i="12"/>
  <c r="L1467" i="12"/>
  <c r="L1468" i="12"/>
  <c r="L1469" i="12"/>
  <c r="L1470" i="12"/>
  <c r="L1471" i="12"/>
  <c r="L1472" i="12"/>
  <c r="L1473" i="12"/>
  <c r="L1474" i="12"/>
  <c r="L1475" i="12"/>
  <c r="L1476" i="12"/>
  <c r="L1477" i="12"/>
  <c r="L1478" i="12"/>
  <c r="L1479" i="12"/>
  <c r="L1480" i="12"/>
  <c r="L1481" i="12"/>
  <c r="L1482" i="12"/>
  <c r="L1483" i="12"/>
  <c r="L1484" i="12"/>
  <c r="L1485" i="12"/>
  <c r="L1486" i="12"/>
  <c r="L1487" i="12"/>
  <c r="L1488" i="12"/>
  <c r="L1489" i="12"/>
  <c r="L1490" i="12"/>
  <c r="L1491" i="12"/>
  <c r="L1492" i="12"/>
  <c r="L1493" i="12"/>
  <c r="L1494" i="12"/>
  <c r="L1495" i="12"/>
  <c r="L1496" i="12"/>
  <c r="L1497" i="12"/>
  <c r="L1498" i="12"/>
  <c r="L1499" i="12"/>
  <c r="L1500" i="12"/>
  <c r="L1501" i="12"/>
  <c r="L1502" i="12"/>
  <c r="L1503" i="12"/>
  <c r="L1504" i="12"/>
  <c r="L1505" i="12"/>
  <c r="L1506" i="12"/>
  <c r="L1507" i="12"/>
  <c r="L1508" i="12"/>
  <c r="L1509" i="12"/>
  <c r="L1510" i="12"/>
  <c r="L1511" i="12"/>
  <c r="L1512" i="12"/>
  <c r="L1513" i="12"/>
  <c r="L1514" i="12"/>
  <c r="L1515" i="12"/>
  <c r="L1516" i="12"/>
  <c r="L1517" i="12"/>
  <c r="L1518" i="12"/>
  <c r="L1519" i="12"/>
  <c r="L1520" i="12"/>
  <c r="L1521" i="12"/>
  <c r="L1522" i="12"/>
  <c r="L1523" i="12"/>
  <c r="L1524" i="12"/>
  <c r="L1525" i="12"/>
  <c r="L1526" i="12"/>
  <c r="L1527" i="12"/>
  <c r="L1528" i="12"/>
  <c r="L1529" i="12"/>
  <c r="L1530" i="12"/>
  <c r="L1531" i="12"/>
  <c r="L1532" i="12"/>
  <c r="L1533" i="12"/>
  <c r="L1534" i="12"/>
  <c r="L1535" i="12"/>
  <c r="L1536" i="12"/>
  <c r="L1537" i="12"/>
  <c r="L1538" i="12"/>
  <c r="L1539" i="12"/>
  <c r="L1540" i="12"/>
  <c r="L1541" i="12"/>
  <c r="L1542" i="12"/>
  <c r="L1543" i="12"/>
  <c r="L1544" i="12"/>
  <c r="L1545" i="12"/>
  <c r="L1546" i="12"/>
  <c r="L1547" i="12"/>
  <c r="L1548" i="12"/>
  <c r="L1549" i="12"/>
  <c r="L1550" i="12"/>
  <c r="L1551" i="12"/>
  <c r="L1552" i="12"/>
  <c r="L1553" i="12"/>
  <c r="L1554" i="12"/>
  <c r="L1555" i="12"/>
  <c r="L1556" i="12"/>
  <c r="L1557" i="12"/>
  <c r="L1558" i="12"/>
  <c r="L1559" i="12"/>
  <c r="L1560" i="12"/>
  <c r="L1561" i="12"/>
  <c r="L1562" i="12"/>
  <c r="L1563" i="12"/>
  <c r="L1564" i="12"/>
  <c r="L1565" i="12"/>
  <c r="L1566" i="12"/>
  <c r="L1567" i="12"/>
  <c r="L1568" i="12"/>
  <c r="L1569" i="12"/>
  <c r="L1570" i="12"/>
  <c r="L1571" i="12"/>
  <c r="L1572" i="12"/>
  <c r="L1573" i="12"/>
  <c r="L1574" i="12"/>
  <c r="L1575" i="12"/>
  <c r="L1576" i="12"/>
  <c r="L1577" i="12"/>
  <c r="L1578" i="12"/>
  <c r="L1579" i="12"/>
  <c r="L1580" i="12"/>
  <c r="L1581" i="12"/>
  <c r="L1582" i="12"/>
  <c r="L1583" i="12"/>
  <c r="L1584" i="12"/>
  <c r="L1585" i="12"/>
  <c r="L1586" i="12"/>
  <c r="L1587" i="12"/>
  <c r="L1588" i="12"/>
  <c r="L1589" i="12"/>
  <c r="L1590" i="12"/>
  <c r="L1591" i="12"/>
  <c r="L1592" i="12"/>
  <c r="L1593" i="12"/>
  <c r="L1594" i="12"/>
  <c r="L1595" i="12"/>
  <c r="L1596" i="12"/>
  <c r="L1597" i="12"/>
  <c r="L1598" i="12"/>
  <c r="L1599" i="12"/>
  <c r="L1600" i="12"/>
  <c r="L1601" i="12"/>
  <c r="L1602" i="12"/>
  <c r="L1603" i="12"/>
  <c r="L1604" i="12"/>
  <c r="L1605" i="12"/>
  <c r="L1606" i="12"/>
  <c r="L1607" i="12"/>
  <c r="L1608" i="12"/>
  <c r="L1609" i="12"/>
  <c r="L1610" i="12"/>
  <c r="L1611" i="12"/>
  <c r="L1612" i="12"/>
  <c r="L1613" i="12"/>
  <c r="L1614" i="12"/>
  <c r="L1615" i="12"/>
  <c r="L1616" i="12"/>
  <c r="L1617" i="12"/>
  <c r="L1618" i="12"/>
  <c r="L1619" i="12"/>
  <c r="L1620" i="12"/>
  <c r="L1621" i="12"/>
  <c r="L1622" i="12"/>
  <c r="L1623" i="12"/>
  <c r="L1624" i="12"/>
  <c r="L1625" i="12"/>
  <c r="L1626" i="12"/>
  <c r="L1627" i="12"/>
  <c r="L1628" i="12"/>
  <c r="L1629" i="12"/>
  <c r="L1630" i="12"/>
  <c r="L1631" i="12"/>
  <c r="L1632" i="12"/>
  <c r="L1633" i="12"/>
  <c r="L1634" i="12"/>
  <c r="L1635" i="12"/>
  <c r="L1636" i="12"/>
  <c r="L1637" i="12"/>
  <c r="L1638" i="12"/>
  <c r="L1639" i="12"/>
  <c r="L1640" i="12"/>
  <c r="L1641" i="12"/>
  <c r="L1642" i="12"/>
  <c r="L1643" i="12"/>
  <c r="L1644" i="12"/>
  <c r="L1645" i="12"/>
  <c r="L1646" i="12"/>
  <c r="L1647" i="12"/>
  <c r="L1648" i="12"/>
  <c r="L1649" i="12"/>
  <c r="L1650" i="12"/>
  <c r="L1651" i="12"/>
  <c r="L1652" i="12"/>
  <c r="L1653" i="12"/>
  <c r="L1654" i="12"/>
  <c r="L1655" i="12"/>
  <c r="L1656" i="12"/>
  <c r="L1657" i="12"/>
  <c r="L1658" i="12"/>
  <c r="L1659" i="12"/>
  <c r="L1660" i="12"/>
  <c r="L1661" i="12"/>
  <c r="L1662" i="12"/>
  <c r="L1663" i="12"/>
  <c r="L1664" i="12"/>
  <c r="L1665" i="12"/>
  <c r="L1666" i="12"/>
  <c r="L1667" i="12"/>
  <c r="L1668" i="12"/>
  <c r="L1669" i="12"/>
  <c r="L1670" i="12"/>
  <c r="L1671" i="12"/>
  <c r="L1672" i="12"/>
  <c r="L1673" i="12"/>
  <c r="L1674" i="12"/>
  <c r="L1675" i="12"/>
  <c r="L1676" i="12"/>
  <c r="L1677" i="12"/>
  <c r="L1678" i="12"/>
  <c r="L1679" i="12"/>
  <c r="L1680" i="12"/>
  <c r="L1681" i="12"/>
  <c r="L1682" i="12"/>
  <c r="L1683" i="12"/>
  <c r="L1684" i="12"/>
  <c r="L1685" i="12"/>
  <c r="L1686" i="12"/>
  <c r="L1687" i="12"/>
  <c r="L1688" i="12"/>
  <c r="L1689" i="12"/>
  <c r="L1690" i="12"/>
  <c r="L1691" i="12"/>
  <c r="L1692" i="12"/>
  <c r="L1693" i="12"/>
  <c r="L1694" i="12"/>
  <c r="L1695" i="12"/>
  <c r="L1696" i="12"/>
  <c r="L1697" i="12"/>
  <c r="L1698" i="12"/>
  <c r="L1699" i="12"/>
  <c r="L1700" i="12"/>
  <c r="L1701" i="12"/>
  <c r="L1702" i="12"/>
  <c r="L1703" i="12"/>
  <c r="L1704" i="12"/>
  <c r="L1705" i="12"/>
  <c r="L1706" i="12"/>
  <c r="L1707" i="12"/>
  <c r="L1708" i="12"/>
  <c r="L1709" i="12"/>
  <c r="L1710" i="12"/>
  <c r="L1711" i="12"/>
  <c r="L1712" i="12"/>
  <c r="L1713" i="12"/>
  <c r="L1714" i="12"/>
  <c r="L1715" i="12"/>
  <c r="L1716" i="12"/>
  <c r="L1717" i="12"/>
  <c r="L1718" i="12"/>
  <c r="L1719" i="12"/>
  <c r="L1720" i="12"/>
  <c r="L1721" i="12"/>
  <c r="L1722" i="12"/>
  <c r="L1723" i="12"/>
  <c r="L1724" i="12"/>
  <c r="L1725" i="12"/>
  <c r="L1726" i="12"/>
  <c r="L1727" i="12"/>
  <c r="L1728" i="12"/>
  <c r="L1729" i="12"/>
  <c r="L1730" i="12"/>
  <c r="L1731" i="12"/>
  <c r="L1732" i="12"/>
  <c r="L1733" i="12"/>
  <c r="L1734" i="12"/>
  <c r="L1735" i="12"/>
  <c r="L1736" i="12"/>
  <c r="L1737" i="12"/>
  <c r="L1738" i="12"/>
  <c r="L1739" i="12"/>
  <c r="L1740" i="12"/>
  <c r="L1741" i="12"/>
  <c r="L1742" i="12"/>
  <c r="L1743" i="12"/>
  <c r="L1744" i="12"/>
  <c r="L1745" i="12"/>
  <c r="L1746" i="12"/>
  <c r="L1747" i="12"/>
  <c r="L1748" i="12"/>
  <c r="L1749" i="12"/>
  <c r="L1750" i="12"/>
  <c r="L1751" i="12"/>
  <c r="L1752" i="12"/>
  <c r="L1753" i="12"/>
  <c r="L1754" i="12"/>
  <c r="L1755" i="12"/>
  <c r="L1756" i="12"/>
  <c r="L1757" i="12"/>
  <c r="L1758" i="12"/>
  <c r="L1759" i="12"/>
  <c r="L1760" i="12"/>
  <c r="L1761" i="12"/>
  <c r="L1762" i="12"/>
  <c r="L1763" i="12"/>
  <c r="L1764" i="12"/>
  <c r="L1765" i="12"/>
  <c r="L1766" i="12"/>
  <c r="L1767" i="12"/>
  <c r="L1768" i="12"/>
  <c r="L1769" i="12"/>
  <c r="L1770" i="12"/>
  <c r="L1771" i="12"/>
  <c r="L1772" i="12"/>
  <c r="L1773" i="12"/>
  <c r="L1774" i="12"/>
  <c r="L1775" i="12"/>
  <c r="L1776" i="12"/>
  <c r="L1777" i="12"/>
  <c r="L1778" i="12"/>
  <c r="L1779" i="12"/>
  <c r="L1780" i="12"/>
  <c r="L1781" i="12"/>
  <c r="L1782" i="12"/>
  <c r="L1783" i="12"/>
  <c r="L1784" i="12"/>
  <c r="L1785" i="12"/>
  <c r="L1786" i="12"/>
  <c r="L1787" i="12"/>
  <c r="L1788" i="12"/>
  <c r="L1789" i="12"/>
  <c r="L1790" i="12"/>
  <c r="L1791" i="12"/>
  <c r="L1792" i="12"/>
  <c r="L1793" i="12"/>
  <c r="L1794" i="12"/>
  <c r="L1795" i="12"/>
  <c r="L1796" i="12"/>
  <c r="L1797" i="12"/>
  <c r="L1798" i="12"/>
  <c r="L1799" i="12"/>
  <c r="L1800" i="12"/>
  <c r="L1801" i="12"/>
  <c r="L1802" i="12"/>
  <c r="L1803" i="12"/>
  <c r="L1804" i="12"/>
  <c r="L1805" i="12"/>
  <c r="L1806" i="12"/>
  <c r="L1807" i="12"/>
  <c r="L1808" i="12"/>
  <c r="L1809" i="12"/>
  <c r="L1810" i="12"/>
  <c r="L1811" i="12"/>
  <c r="L1812" i="12"/>
  <c r="L1813" i="12"/>
  <c r="L1814" i="12"/>
  <c r="L1815" i="12"/>
  <c r="L1816" i="12"/>
  <c r="L1817" i="12"/>
  <c r="L1818" i="12"/>
  <c r="L1819" i="12"/>
  <c r="L1820" i="12"/>
  <c r="L1821" i="12"/>
  <c r="L1822" i="12"/>
  <c r="L1823" i="12"/>
  <c r="L1824" i="12"/>
  <c r="L1825" i="12"/>
  <c r="L1826" i="12"/>
  <c r="L1827" i="12"/>
  <c r="L1828" i="12"/>
  <c r="L1829" i="12"/>
  <c r="L1830" i="12"/>
  <c r="L1831" i="12"/>
  <c r="L1832" i="12"/>
  <c r="L1833" i="12"/>
  <c r="L1834" i="12"/>
  <c r="L1835" i="12"/>
  <c r="L1836" i="12"/>
  <c r="L1837" i="12"/>
  <c r="L1838" i="12"/>
  <c r="L1839" i="12"/>
  <c r="L1840" i="12"/>
  <c r="L1841" i="12"/>
  <c r="L1842" i="12"/>
  <c r="L1843" i="12"/>
  <c r="L1844" i="12"/>
  <c r="L1845" i="12"/>
  <c r="L1846" i="12"/>
  <c r="L1847" i="12"/>
  <c r="L1848" i="12"/>
  <c r="L1849" i="12"/>
  <c r="L1850" i="12"/>
  <c r="L1851" i="12"/>
  <c r="L1852" i="12"/>
  <c r="L1853" i="12"/>
  <c r="L1854" i="12"/>
  <c r="L1855" i="12"/>
  <c r="L1856" i="12"/>
  <c r="L1857" i="12"/>
  <c r="L1858" i="12"/>
  <c r="L1859" i="12"/>
  <c r="L1860" i="12"/>
  <c r="L1861" i="12"/>
  <c r="L1862" i="12"/>
  <c r="L1863" i="12"/>
  <c r="L1864" i="12"/>
  <c r="L1865" i="12"/>
  <c r="L1866" i="12"/>
  <c r="L1867" i="12"/>
  <c r="L1868" i="12"/>
  <c r="L1869" i="12"/>
  <c r="L1870" i="12"/>
  <c r="L1871" i="12"/>
  <c r="L1872" i="12"/>
  <c r="L1873" i="12"/>
  <c r="L1874" i="12"/>
  <c r="L1875" i="12"/>
  <c r="L1876" i="12"/>
  <c r="L1877" i="12"/>
  <c r="L1878" i="12"/>
  <c r="L1879" i="12"/>
  <c r="L1880" i="12"/>
  <c r="L1881" i="12"/>
  <c r="L1882" i="12"/>
  <c r="L1883" i="12"/>
  <c r="L1884" i="12"/>
  <c r="L1885" i="12"/>
  <c r="L1886" i="12"/>
  <c r="L1887" i="12"/>
  <c r="L1888" i="12"/>
  <c r="L1889" i="12"/>
  <c r="L1890" i="12"/>
  <c r="L1891" i="12"/>
  <c r="L1892" i="12"/>
  <c r="L1893" i="12"/>
  <c r="L1894" i="12"/>
  <c r="L1895" i="12"/>
  <c r="L1896" i="12"/>
  <c r="L1897" i="12"/>
  <c r="L1898" i="12"/>
  <c r="L1899" i="12"/>
  <c r="L1900" i="12"/>
  <c r="L1901" i="12"/>
  <c r="L1902" i="12"/>
  <c r="L1903" i="12"/>
  <c r="L1904" i="12"/>
  <c r="L1905" i="12"/>
  <c r="L1906" i="12"/>
  <c r="L1907" i="12"/>
  <c r="L1908" i="12"/>
  <c r="L1909" i="12"/>
  <c r="L1910" i="12"/>
  <c r="L1911" i="12"/>
  <c r="L1912" i="12"/>
  <c r="L1913" i="12"/>
  <c r="L1914" i="12"/>
  <c r="L1915" i="12"/>
  <c r="L1916" i="12"/>
  <c r="L1917" i="12"/>
  <c r="L1918" i="12"/>
  <c r="L1919" i="12"/>
  <c r="L1920" i="12"/>
  <c r="L1921" i="12"/>
  <c r="L1922" i="12"/>
  <c r="L1923" i="12"/>
  <c r="L1924" i="12"/>
  <c r="L1925" i="12"/>
  <c r="L1926" i="12"/>
  <c r="L1927" i="12"/>
  <c r="L1928" i="12"/>
  <c r="L1929" i="12"/>
  <c r="L1930" i="12"/>
  <c r="L1931" i="12"/>
  <c r="L1932" i="12"/>
  <c r="L1933" i="12"/>
  <c r="L1934" i="12"/>
  <c r="L1935" i="12"/>
  <c r="L1936" i="12"/>
  <c r="L1937" i="12"/>
  <c r="L1938" i="12"/>
  <c r="L1939" i="12"/>
  <c r="L1940" i="12"/>
  <c r="L1941" i="12"/>
  <c r="L1942" i="12"/>
  <c r="L1943" i="12"/>
  <c r="L1944" i="12"/>
  <c r="L1945" i="12"/>
  <c r="L1946" i="12"/>
  <c r="L1947" i="12"/>
  <c r="L1948" i="12"/>
  <c r="L1949" i="12"/>
  <c r="L1950" i="12"/>
  <c r="L1951" i="12"/>
  <c r="L1952" i="12"/>
  <c r="L1953" i="12"/>
  <c r="L1954" i="12"/>
  <c r="L1955" i="12"/>
  <c r="L1956" i="12"/>
  <c r="L1957" i="12"/>
  <c r="L1958" i="12"/>
  <c r="L1959" i="12"/>
  <c r="L1960" i="12"/>
  <c r="L1961" i="12"/>
  <c r="L1962" i="12"/>
  <c r="L1963" i="12"/>
  <c r="L1964" i="12"/>
  <c r="L1965" i="12"/>
  <c r="L1966" i="12"/>
  <c r="L1967" i="12"/>
  <c r="L1968" i="12"/>
  <c r="L1969" i="12"/>
  <c r="L1970" i="12"/>
  <c r="L1971" i="12"/>
  <c r="L1972" i="12"/>
  <c r="L1973" i="12"/>
  <c r="L1974" i="12"/>
  <c r="L1975" i="12"/>
  <c r="L1976" i="12"/>
  <c r="L1977" i="12"/>
  <c r="L1978" i="12"/>
  <c r="L1979" i="12"/>
  <c r="L1980" i="12"/>
  <c r="L1981" i="12"/>
  <c r="L1982" i="12"/>
  <c r="L1983" i="12"/>
  <c r="L1984" i="12"/>
  <c r="L1985" i="12"/>
  <c r="L1986" i="12"/>
  <c r="L1987" i="12"/>
  <c r="L1988" i="12"/>
  <c r="L1989" i="12"/>
  <c r="L1990" i="12"/>
  <c r="L1991" i="12"/>
  <c r="L1992" i="12"/>
  <c r="L1993" i="12"/>
  <c r="L1994" i="12"/>
  <c r="L1995" i="12"/>
  <c r="L1996" i="12"/>
  <c r="L1997" i="12"/>
  <c r="L1998" i="12"/>
  <c r="L1999" i="12"/>
  <c r="L2000" i="12"/>
  <c r="L2001" i="12"/>
  <c r="L2002" i="12"/>
  <c r="L2003" i="12"/>
  <c r="L2004" i="12"/>
  <c r="L2005" i="12"/>
  <c r="L2006" i="12"/>
  <c r="L2007" i="12"/>
  <c r="L2008" i="12"/>
  <c r="L2009" i="12"/>
  <c r="L2010" i="12"/>
  <c r="L2011" i="12"/>
  <c r="L2012" i="12"/>
  <c r="L2013" i="12"/>
  <c r="L2014" i="12"/>
  <c r="L2015" i="12"/>
  <c r="L2016" i="12"/>
  <c r="L2017" i="12"/>
  <c r="L2018" i="12"/>
  <c r="L2019" i="12"/>
  <c r="L2020" i="12"/>
  <c r="L2021" i="12"/>
  <c r="L2022" i="12"/>
  <c r="L2023" i="12"/>
  <c r="L2024" i="12"/>
  <c r="L2025" i="12"/>
  <c r="L2026" i="12"/>
  <c r="L2027" i="12"/>
  <c r="L2028" i="12"/>
  <c r="L2029" i="12"/>
  <c r="L2030" i="12"/>
  <c r="L2031" i="12"/>
  <c r="L2032" i="12"/>
  <c r="L2033" i="12"/>
  <c r="L2034" i="12"/>
  <c r="L2035" i="12"/>
  <c r="L2036" i="12"/>
  <c r="L2037" i="12"/>
  <c r="L2038" i="12"/>
  <c r="L2039" i="12"/>
  <c r="L2040" i="12"/>
  <c r="L2041" i="12"/>
  <c r="L2042" i="12"/>
  <c r="L2043" i="12"/>
  <c r="L2044" i="12"/>
  <c r="L2045" i="12"/>
  <c r="L2046" i="12"/>
  <c r="L2047" i="12"/>
  <c r="L2048" i="12"/>
  <c r="L2049" i="12"/>
  <c r="L2050" i="12"/>
  <c r="L2051" i="12"/>
  <c r="L2052" i="12"/>
  <c r="L2053" i="12"/>
  <c r="L2054" i="12"/>
  <c r="L2055" i="12"/>
  <c r="L2056" i="12"/>
  <c r="L2057" i="12"/>
  <c r="L2058" i="12"/>
  <c r="L2059" i="12"/>
  <c r="L2060" i="12"/>
  <c r="L2061" i="12"/>
  <c r="L2062" i="12"/>
  <c r="L2063" i="12"/>
  <c r="L2064" i="12"/>
  <c r="L2065" i="12"/>
  <c r="L2066" i="12"/>
  <c r="L2067" i="12"/>
  <c r="L2068" i="12"/>
  <c r="L2069" i="12"/>
  <c r="L2070" i="12"/>
  <c r="L2071" i="12"/>
  <c r="L2072" i="12"/>
  <c r="L2073" i="12"/>
  <c r="L2074" i="12"/>
  <c r="L2075" i="12"/>
  <c r="L2076" i="12"/>
  <c r="L2077" i="12"/>
  <c r="L2078" i="12"/>
  <c r="L2079" i="12"/>
  <c r="L2080" i="12"/>
  <c r="L2081" i="12"/>
  <c r="L2082" i="12"/>
  <c r="L2083" i="12"/>
  <c r="L2084" i="12"/>
  <c r="L2085" i="12"/>
  <c r="L2086" i="12"/>
  <c r="L2087" i="12"/>
  <c r="L2088" i="12"/>
  <c r="L2089" i="12"/>
  <c r="L2090" i="12"/>
  <c r="L2091" i="12"/>
  <c r="L2092" i="12"/>
  <c r="L2093" i="12"/>
  <c r="L2094" i="12"/>
  <c r="L2095" i="12"/>
  <c r="L2096" i="12"/>
  <c r="L2097" i="12"/>
  <c r="L2098" i="12"/>
  <c r="L2099" i="12"/>
  <c r="L2100" i="12"/>
  <c r="L2101" i="12"/>
  <c r="L2102" i="12"/>
  <c r="L2103" i="12"/>
  <c r="L2104" i="12"/>
  <c r="L2105" i="12"/>
  <c r="L2106" i="12"/>
  <c r="L2107" i="12"/>
  <c r="L2108" i="12"/>
  <c r="L2109" i="12"/>
  <c r="L2110" i="12"/>
  <c r="L2111" i="12"/>
  <c r="L2112" i="12"/>
  <c r="L2113" i="12"/>
  <c r="L2114" i="12"/>
  <c r="L2115" i="12"/>
  <c r="L2116" i="12"/>
  <c r="L2117" i="12"/>
  <c r="L2118" i="12"/>
  <c r="L2119" i="12"/>
  <c r="L2120" i="12"/>
  <c r="L2121" i="12"/>
  <c r="L2122" i="12"/>
  <c r="L2123" i="12"/>
  <c r="L2124" i="12"/>
  <c r="L2125" i="12"/>
  <c r="L2126" i="12"/>
  <c r="L2127" i="12"/>
  <c r="L2128" i="12"/>
  <c r="L2129" i="12"/>
  <c r="L2130" i="12"/>
  <c r="L2131" i="12"/>
  <c r="L2132" i="12"/>
  <c r="L2133" i="12"/>
  <c r="L2134" i="12"/>
  <c r="L2135" i="12"/>
  <c r="L2136" i="12"/>
  <c r="L2137" i="12"/>
  <c r="L2138" i="12"/>
  <c r="L2139" i="12"/>
  <c r="L2140" i="12"/>
  <c r="L2141" i="12"/>
  <c r="L2142" i="12"/>
  <c r="L2143" i="12"/>
  <c r="L2144" i="12"/>
  <c r="L2145" i="12"/>
  <c r="L2146" i="12"/>
  <c r="L2147" i="12"/>
  <c r="L2148" i="12"/>
  <c r="L2149" i="12"/>
  <c r="L2150" i="12"/>
  <c r="L2151" i="12"/>
  <c r="L2152" i="12"/>
  <c r="L2153" i="12"/>
  <c r="L2154" i="12"/>
  <c r="L2155" i="12"/>
  <c r="L2156" i="12"/>
  <c r="L2157" i="12"/>
  <c r="L2158" i="12"/>
  <c r="L2159" i="12"/>
  <c r="L2160" i="12"/>
  <c r="L2161" i="12"/>
  <c r="L2162" i="12"/>
  <c r="L2163" i="12"/>
  <c r="L2164" i="12"/>
  <c r="L2165" i="12"/>
  <c r="L2166" i="12"/>
  <c r="L2167" i="12"/>
  <c r="L2168" i="12"/>
  <c r="L2169" i="12"/>
  <c r="L2170" i="12"/>
  <c r="L2171" i="12"/>
  <c r="L2172" i="12"/>
  <c r="L2173" i="12"/>
  <c r="L2174" i="12"/>
  <c r="L2175" i="12"/>
  <c r="L2176" i="12"/>
  <c r="L2177" i="12"/>
  <c r="L2178" i="12"/>
  <c r="L2179" i="12"/>
  <c r="L2180" i="12"/>
  <c r="L2181" i="12"/>
  <c r="L2182" i="12"/>
  <c r="L2183" i="12"/>
  <c r="L2184" i="12"/>
  <c r="L2185" i="12"/>
  <c r="L2186" i="12"/>
  <c r="L2187" i="12"/>
  <c r="L2188" i="12"/>
  <c r="L2189" i="12"/>
  <c r="L2190" i="12"/>
  <c r="L2191" i="12"/>
  <c r="L2192" i="12"/>
  <c r="L2193" i="12"/>
  <c r="L2194" i="12"/>
  <c r="L2195" i="12"/>
  <c r="L2196" i="12"/>
  <c r="L2197" i="12"/>
  <c r="L2198" i="12"/>
  <c r="L2199" i="12"/>
  <c r="L2200" i="12"/>
  <c r="L2201" i="12"/>
  <c r="L2202" i="12"/>
  <c r="L2203" i="12"/>
  <c r="L2204" i="12"/>
  <c r="L2205" i="12"/>
  <c r="L2206" i="12"/>
  <c r="L2207" i="12"/>
  <c r="L2208" i="12"/>
  <c r="L2209" i="12"/>
  <c r="L2210" i="12"/>
  <c r="L2211" i="12"/>
  <c r="L2212" i="12"/>
  <c r="L2213" i="12"/>
  <c r="L2214" i="12"/>
  <c r="L2215" i="12"/>
  <c r="L2216" i="12"/>
  <c r="L2217" i="12"/>
  <c r="L2218" i="12"/>
  <c r="L2219" i="12"/>
  <c r="L2220" i="12"/>
  <c r="L2221" i="12"/>
  <c r="L2222" i="12"/>
  <c r="L2223" i="12"/>
  <c r="L2224" i="12"/>
  <c r="L2225" i="12"/>
  <c r="L2226" i="12"/>
  <c r="L2227" i="12"/>
  <c r="L2228" i="12"/>
  <c r="L2229" i="12"/>
  <c r="L2230" i="12"/>
  <c r="L2231" i="12"/>
  <c r="L2232" i="12"/>
  <c r="L2233" i="12"/>
  <c r="L2234" i="12"/>
  <c r="L2235" i="12"/>
  <c r="L2236" i="12"/>
  <c r="L2237" i="12"/>
  <c r="L2238" i="12"/>
  <c r="L2239" i="12"/>
  <c r="L2240" i="12"/>
  <c r="L2241" i="12"/>
  <c r="L2242" i="12"/>
  <c r="L2243" i="12"/>
  <c r="L2244" i="12"/>
  <c r="L2245" i="12"/>
  <c r="L2246" i="12"/>
  <c r="L2247" i="12"/>
  <c r="L2248" i="12"/>
  <c r="L2249" i="12"/>
  <c r="L2250" i="12"/>
  <c r="L2251" i="12"/>
  <c r="L2252" i="12"/>
  <c r="L2253" i="12"/>
  <c r="L2254" i="12"/>
  <c r="L2255" i="12"/>
  <c r="L2256" i="12"/>
  <c r="L2257" i="12"/>
  <c r="L2258" i="12"/>
  <c r="L2259" i="12"/>
  <c r="L2260" i="12"/>
  <c r="L2261" i="12"/>
  <c r="L2262" i="12"/>
  <c r="L2263" i="12"/>
  <c r="L2264" i="12"/>
  <c r="L2265" i="12"/>
  <c r="L2266" i="12"/>
  <c r="L2267" i="12"/>
  <c r="L2268" i="12"/>
  <c r="L2269" i="12"/>
  <c r="L2270" i="12"/>
  <c r="L2271" i="12"/>
  <c r="L2272" i="12"/>
  <c r="L2273" i="12"/>
  <c r="L2274" i="12"/>
  <c r="L2275" i="12"/>
  <c r="L2276" i="12"/>
  <c r="L2277" i="12"/>
  <c r="L2278" i="12"/>
  <c r="L2279" i="12"/>
  <c r="L2280" i="12"/>
  <c r="L2281" i="12"/>
  <c r="L2282" i="12"/>
  <c r="L2283" i="12"/>
  <c r="L2284" i="12"/>
  <c r="L2285" i="12"/>
  <c r="L2286" i="12"/>
  <c r="L2287" i="12"/>
  <c r="L2288" i="12"/>
  <c r="L2289" i="12"/>
  <c r="L2290" i="12"/>
  <c r="L2291" i="12"/>
  <c r="L2292" i="12"/>
  <c r="L2293" i="12"/>
  <c r="L2294" i="12"/>
  <c r="L2295" i="12"/>
  <c r="L2296" i="12"/>
  <c r="L2297" i="12"/>
  <c r="L2298" i="12"/>
  <c r="L2299" i="12"/>
  <c r="L2300" i="12"/>
  <c r="L2301" i="12"/>
  <c r="L2302" i="12"/>
  <c r="L2303" i="12"/>
  <c r="L2304" i="12"/>
  <c r="L2305" i="12"/>
  <c r="L2306" i="12"/>
  <c r="L2307" i="12"/>
  <c r="L2308" i="12"/>
  <c r="L2309" i="12"/>
  <c r="L2310" i="12"/>
  <c r="L2311" i="12"/>
  <c r="L2312" i="12"/>
  <c r="L2313" i="12"/>
  <c r="L2314" i="12"/>
  <c r="L2315" i="12"/>
  <c r="L2316" i="12"/>
  <c r="L2317" i="12"/>
  <c r="L2318" i="12"/>
  <c r="L2319" i="12"/>
  <c r="L2320" i="12"/>
  <c r="L2321" i="12"/>
  <c r="L2322" i="12"/>
  <c r="L2323" i="12"/>
  <c r="L2324" i="12"/>
  <c r="L2325" i="12"/>
  <c r="L2326" i="12"/>
  <c r="L2327" i="12"/>
  <c r="L2328" i="12"/>
  <c r="L2329" i="12"/>
  <c r="L2330" i="12"/>
  <c r="L2331" i="12"/>
  <c r="L2332" i="12"/>
  <c r="L2333" i="12"/>
  <c r="L2334" i="12"/>
  <c r="L2335" i="12"/>
  <c r="L2336" i="12"/>
  <c r="L2337" i="12"/>
  <c r="L2338" i="12"/>
  <c r="L2339" i="12"/>
  <c r="L2340" i="12"/>
  <c r="L2341" i="12"/>
  <c r="L2342" i="12"/>
  <c r="L2343" i="12"/>
  <c r="L2344" i="12"/>
  <c r="L2345" i="12"/>
  <c r="L2346" i="12"/>
  <c r="L2347" i="12"/>
  <c r="L2348" i="12"/>
  <c r="L2349" i="12"/>
  <c r="L2350" i="12"/>
  <c r="L2351" i="12"/>
  <c r="L2352" i="12"/>
  <c r="L2353" i="12"/>
  <c r="L2354" i="12"/>
  <c r="L2355" i="12"/>
  <c r="L2356" i="12"/>
  <c r="L2357" i="12"/>
  <c r="L2358" i="12"/>
  <c r="L2359" i="12"/>
  <c r="L2360" i="12"/>
  <c r="L2361" i="12"/>
  <c r="L2362" i="12"/>
  <c r="L2363" i="12"/>
  <c r="L2364" i="12"/>
  <c r="L2365" i="12"/>
  <c r="L2366" i="12"/>
  <c r="L2367" i="12"/>
  <c r="L2368" i="12"/>
  <c r="L2369" i="12"/>
  <c r="L2370" i="12"/>
  <c r="L2371" i="12"/>
  <c r="L2372" i="12"/>
  <c r="L2373" i="12"/>
  <c r="L2374" i="12"/>
  <c r="L2375" i="12"/>
  <c r="L2376" i="12"/>
  <c r="L2377" i="12"/>
  <c r="L2378" i="12"/>
  <c r="L2379" i="12"/>
  <c r="L2380" i="12"/>
  <c r="L2381" i="12"/>
  <c r="L2382" i="12"/>
  <c r="L2383" i="12"/>
  <c r="L2384" i="12"/>
  <c r="L2385" i="12"/>
  <c r="L2386" i="12"/>
  <c r="L2387" i="12"/>
  <c r="L2388" i="12"/>
  <c r="L2389" i="12"/>
  <c r="L2390" i="12"/>
  <c r="L2391" i="12"/>
  <c r="L2392" i="12"/>
  <c r="L2393" i="12"/>
  <c r="L2394" i="12"/>
  <c r="L2395" i="12"/>
  <c r="L2396" i="12"/>
  <c r="L2397" i="12"/>
  <c r="L2398" i="12"/>
  <c r="L2399" i="12"/>
  <c r="L2400" i="12"/>
  <c r="L2401" i="12"/>
  <c r="L2402" i="12"/>
  <c r="L2403" i="12"/>
  <c r="L2404" i="12"/>
  <c r="L2405" i="12"/>
  <c r="L2406" i="12"/>
  <c r="L2407" i="12"/>
  <c r="L2408" i="12"/>
  <c r="L2409" i="12"/>
  <c r="L2410" i="12"/>
  <c r="L2411" i="12"/>
  <c r="L2412" i="12"/>
  <c r="L2413" i="12"/>
  <c r="L2414" i="12"/>
  <c r="L2415" i="12"/>
  <c r="L2416" i="12"/>
  <c r="L2417" i="12"/>
  <c r="L2418" i="12"/>
  <c r="L2419" i="12"/>
  <c r="L2420" i="12"/>
  <c r="L2421" i="12"/>
  <c r="L2422" i="12"/>
  <c r="L2423" i="12"/>
  <c r="L2424" i="12"/>
  <c r="L2425" i="12"/>
  <c r="L2426" i="12"/>
  <c r="L2427" i="12"/>
  <c r="L2428" i="12"/>
  <c r="L2429" i="12"/>
  <c r="L2430" i="12"/>
  <c r="L2431" i="12"/>
  <c r="L2432" i="12"/>
  <c r="L2433" i="12"/>
  <c r="L2434" i="12"/>
  <c r="L2435" i="12"/>
  <c r="L2436" i="12"/>
  <c r="L2437" i="12"/>
  <c r="L2438" i="12"/>
  <c r="L2439" i="12"/>
  <c r="L2440" i="12"/>
  <c r="L2441" i="12"/>
  <c r="L2442" i="12"/>
  <c r="L2443" i="12"/>
  <c r="L2444" i="12"/>
  <c r="L2445" i="12"/>
  <c r="L2446" i="12"/>
  <c r="L2447" i="12"/>
  <c r="L2448" i="12"/>
  <c r="L2449" i="12"/>
  <c r="L2450" i="12"/>
  <c r="L2451" i="12"/>
  <c r="L2452" i="12"/>
  <c r="L2453" i="12"/>
  <c r="L2454" i="12"/>
  <c r="L2455" i="12"/>
  <c r="L2456" i="12"/>
  <c r="L2457" i="12"/>
  <c r="L2458" i="12"/>
  <c r="L2459" i="12"/>
  <c r="L2460" i="12"/>
  <c r="L2461" i="12"/>
  <c r="L2462" i="12"/>
  <c r="L2463" i="12"/>
  <c r="L2464" i="12"/>
  <c r="L2465" i="12"/>
  <c r="L2466" i="12"/>
  <c r="L2467" i="12"/>
  <c r="L2468" i="12"/>
  <c r="L2469" i="12"/>
  <c r="L2470" i="12"/>
  <c r="L2471" i="12"/>
  <c r="L2472" i="12"/>
  <c r="L2473" i="12"/>
  <c r="L2474" i="12"/>
  <c r="L2475" i="12"/>
  <c r="L2476" i="12"/>
  <c r="L2477" i="12"/>
  <c r="L2478" i="12"/>
  <c r="L2479" i="12"/>
  <c r="L2480" i="12"/>
  <c r="L2481" i="12"/>
  <c r="L2482" i="12"/>
  <c r="L2483" i="12"/>
  <c r="L2484" i="12"/>
  <c r="L2485" i="12"/>
  <c r="L2486" i="12"/>
  <c r="L2487" i="12"/>
  <c r="L2488" i="12"/>
  <c r="L2489" i="12"/>
  <c r="L2490" i="12"/>
  <c r="L2491" i="12"/>
  <c r="L2492" i="12"/>
  <c r="L2493" i="12"/>
  <c r="L2494" i="12"/>
  <c r="L2495" i="12"/>
  <c r="L2496" i="12"/>
  <c r="L2497" i="12"/>
  <c r="L2498" i="12"/>
  <c r="L2499" i="12"/>
  <c r="L2500" i="12"/>
  <c r="L2501" i="12"/>
  <c r="L2502" i="12"/>
  <c r="L2503" i="12"/>
  <c r="L2504" i="12"/>
  <c r="L2505" i="12"/>
  <c r="L2506" i="12"/>
  <c r="L2507" i="12"/>
  <c r="L2508" i="12"/>
  <c r="L2509" i="12"/>
  <c r="L2510" i="12"/>
  <c r="L2511" i="12"/>
  <c r="L2512" i="12"/>
  <c r="L2513" i="12"/>
  <c r="L2514" i="12"/>
  <c r="L2515" i="12"/>
  <c r="L2516" i="12"/>
  <c r="L2517" i="12"/>
  <c r="L2518" i="12"/>
  <c r="L2519" i="12"/>
  <c r="L2520" i="12"/>
  <c r="L2521" i="12"/>
  <c r="L2522" i="12"/>
  <c r="L2523" i="12"/>
  <c r="L2524" i="12"/>
  <c r="L2525" i="12"/>
  <c r="L2526" i="12"/>
  <c r="L2527" i="12"/>
  <c r="L2528" i="12"/>
  <c r="L2529" i="12"/>
  <c r="L2530" i="12"/>
  <c r="L2531" i="12"/>
  <c r="L2532" i="12"/>
  <c r="L2533" i="12"/>
  <c r="L2534" i="12"/>
  <c r="L2535" i="12"/>
  <c r="L2536" i="12"/>
  <c r="L2537" i="12"/>
  <c r="L2538" i="12"/>
  <c r="L2539" i="12"/>
  <c r="L2540" i="12"/>
  <c r="L2541" i="12"/>
  <c r="L2542" i="12"/>
  <c r="L2543" i="12"/>
  <c r="L2544" i="12"/>
  <c r="L2545" i="12"/>
  <c r="L2546" i="12"/>
  <c r="L2547" i="12"/>
  <c r="L2548" i="12"/>
  <c r="L2549" i="12"/>
  <c r="L2550" i="12"/>
  <c r="L2551" i="12"/>
  <c r="L2552" i="12"/>
  <c r="L2553" i="12"/>
  <c r="L2554" i="12"/>
  <c r="L2555" i="12"/>
  <c r="L2556" i="12"/>
  <c r="L2557" i="12"/>
  <c r="L2558" i="12"/>
  <c r="L2559" i="12"/>
  <c r="L2560" i="12"/>
  <c r="L2561" i="12"/>
  <c r="L2562" i="12"/>
  <c r="L2563" i="12"/>
  <c r="L2564" i="12"/>
  <c r="L2565" i="12"/>
  <c r="L2566" i="12"/>
  <c r="L2567" i="12"/>
  <c r="L2568" i="12"/>
  <c r="L2569" i="12"/>
  <c r="L2570" i="12"/>
  <c r="L2571" i="12"/>
  <c r="L2572" i="12"/>
  <c r="L2573" i="12"/>
  <c r="L2574" i="12"/>
  <c r="L2575" i="12"/>
  <c r="L2576" i="12"/>
  <c r="L2577" i="12"/>
  <c r="L2578" i="12"/>
  <c r="L2579" i="12"/>
  <c r="L2580" i="12"/>
  <c r="L2581" i="12"/>
  <c r="L2582" i="12"/>
  <c r="L2583" i="12"/>
  <c r="L2584" i="12"/>
  <c r="L2585" i="12"/>
  <c r="L2586" i="12"/>
  <c r="L2587" i="12"/>
  <c r="L2588" i="12"/>
  <c r="L2589" i="12"/>
  <c r="L2590" i="12"/>
  <c r="L2591" i="12"/>
  <c r="L2592" i="12"/>
  <c r="L2593" i="12"/>
  <c r="L2594" i="12"/>
  <c r="L2595" i="12"/>
  <c r="L2596" i="12"/>
  <c r="L2597" i="12"/>
  <c r="L2598" i="12"/>
  <c r="L2599" i="12"/>
  <c r="L2600" i="12"/>
  <c r="L2601" i="12"/>
  <c r="L2602" i="12"/>
  <c r="L2603" i="12"/>
  <c r="L2604" i="12"/>
  <c r="L2605" i="12"/>
  <c r="L2606" i="12"/>
  <c r="L2607" i="12"/>
  <c r="L2608" i="12"/>
  <c r="L2609" i="12"/>
  <c r="L2610" i="12"/>
  <c r="L2611" i="12"/>
  <c r="L2612" i="12"/>
  <c r="L2613" i="12"/>
  <c r="L2614" i="12"/>
  <c r="L2615" i="12"/>
  <c r="L2616" i="12"/>
  <c r="L2617" i="12"/>
  <c r="L2618" i="12"/>
  <c r="L2619" i="12"/>
  <c r="L2620" i="12"/>
  <c r="L2621" i="12"/>
  <c r="L2622" i="12"/>
  <c r="L2623" i="12"/>
  <c r="L2624" i="12"/>
  <c r="L2625" i="12"/>
  <c r="L2626" i="12"/>
  <c r="L2627" i="12"/>
  <c r="L2628" i="12"/>
  <c r="L2629" i="12"/>
  <c r="L2630" i="12"/>
  <c r="L2631" i="12"/>
  <c r="L2632" i="12"/>
  <c r="L2633" i="12"/>
  <c r="L2634" i="12"/>
  <c r="L2635" i="12"/>
  <c r="L2636" i="12"/>
  <c r="L2637" i="12"/>
  <c r="L2638" i="12"/>
  <c r="L2639" i="12"/>
  <c r="L2640" i="12"/>
  <c r="L2641" i="12"/>
  <c r="L2642" i="12"/>
  <c r="L2643" i="12"/>
  <c r="L2644" i="12"/>
  <c r="L2645" i="12"/>
  <c r="L2646" i="12"/>
  <c r="L2647" i="12"/>
  <c r="L2648" i="12"/>
  <c r="L2649" i="12"/>
  <c r="L2650" i="12"/>
  <c r="L2651" i="12"/>
  <c r="L2652" i="12"/>
  <c r="L2653" i="12"/>
  <c r="L2654" i="12"/>
  <c r="L2655" i="12"/>
  <c r="L2656" i="12"/>
  <c r="L2657" i="12"/>
  <c r="L2658" i="12"/>
  <c r="L2659" i="12"/>
  <c r="L2660" i="12"/>
  <c r="L2661" i="12"/>
  <c r="L2662" i="12"/>
  <c r="L2663" i="12"/>
  <c r="L2664" i="12"/>
  <c r="L2665" i="12"/>
  <c r="L2666" i="12"/>
  <c r="L2667" i="12"/>
  <c r="L2668" i="12"/>
  <c r="L2669" i="12"/>
  <c r="L2670" i="12"/>
  <c r="L2671" i="12"/>
  <c r="L2672" i="12"/>
  <c r="L2673" i="12"/>
  <c r="L2674" i="12"/>
  <c r="L2675" i="12"/>
  <c r="L2676" i="12"/>
  <c r="L2677" i="12"/>
  <c r="L2678" i="12"/>
  <c r="L2679" i="12"/>
  <c r="L2680" i="12"/>
  <c r="L2681" i="12"/>
  <c r="L2682" i="12"/>
  <c r="L2683" i="12"/>
  <c r="L2684" i="12"/>
  <c r="L2685" i="12"/>
  <c r="L2686" i="12"/>
  <c r="L2687" i="12"/>
  <c r="L2688" i="12"/>
  <c r="L2689" i="12"/>
  <c r="L2690" i="12"/>
  <c r="L2691" i="12"/>
  <c r="L2692" i="12"/>
  <c r="L2693" i="12"/>
  <c r="L2694" i="12"/>
  <c r="L2695" i="12"/>
  <c r="L2696" i="12"/>
  <c r="L2697" i="12"/>
  <c r="L2698" i="12"/>
  <c r="L2699" i="12"/>
  <c r="L2700" i="12"/>
  <c r="L2701" i="12"/>
  <c r="L2702" i="12"/>
  <c r="L2703" i="12"/>
  <c r="L2704" i="12"/>
  <c r="L2705" i="12"/>
  <c r="L2706" i="12"/>
  <c r="L2707" i="12"/>
  <c r="L2708" i="12"/>
  <c r="L2709" i="12"/>
  <c r="L2710" i="12"/>
  <c r="L2711" i="12"/>
  <c r="L2712" i="12"/>
  <c r="L2713" i="12"/>
  <c r="L2714" i="12"/>
  <c r="L2715" i="12"/>
  <c r="L2716" i="12"/>
  <c r="L2717" i="12"/>
  <c r="L2718" i="12"/>
  <c r="L2719" i="12"/>
  <c r="L2720" i="12"/>
  <c r="L2721" i="12"/>
  <c r="L2722" i="12"/>
  <c r="L2723" i="12"/>
  <c r="L2724" i="12"/>
  <c r="L2725" i="12"/>
  <c r="L2726" i="12"/>
  <c r="L2727" i="12"/>
  <c r="L2728" i="12"/>
  <c r="L2729" i="12"/>
  <c r="L2730" i="12"/>
  <c r="L2731" i="12"/>
  <c r="L2732" i="12"/>
  <c r="L2733" i="12"/>
  <c r="L2734" i="12"/>
  <c r="L2735" i="12"/>
  <c r="L2736" i="12"/>
  <c r="L2737" i="12"/>
  <c r="L2738" i="12"/>
  <c r="L2739" i="12"/>
  <c r="L2740" i="12"/>
  <c r="L2741" i="12"/>
  <c r="L2742" i="12"/>
  <c r="L2743" i="12"/>
  <c r="L2744" i="12"/>
  <c r="L2745" i="12"/>
  <c r="L2746" i="12"/>
  <c r="L2747" i="12"/>
  <c r="L2748" i="12"/>
  <c r="L2749" i="12"/>
  <c r="L2750" i="12"/>
  <c r="L2751" i="12"/>
  <c r="L2752" i="12"/>
  <c r="L2753" i="12"/>
  <c r="L2754" i="12"/>
  <c r="L2755" i="12"/>
  <c r="L2756" i="12"/>
  <c r="L2757" i="12"/>
  <c r="L2758" i="12"/>
  <c r="L2759" i="12"/>
  <c r="L2760" i="12"/>
  <c r="L2761" i="12"/>
  <c r="L2762" i="12"/>
  <c r="L2763" i="12"/>
  <c r="L2764" i="12"/>
  <c r="L2765" i="12"/>
  <c r="L2766" i="12"/>
  <c r="L2767" i="12"/>
  <c r="L2768" i="12"/>
  <c r="L2769" i="12"/>
  <c r="L2770" i="12"/>
  <c r="L2771" i="12"/>
  <c r="L2772" i="12"/>
  <c r="L2773" i="12"/>
  <c r="L2774" i="12"/>
  <c r="L2775" i="12"/>
  <c r="L2776" i="12"/>
  <c r="L2777" i="12"/>
  <c r="L2778" i="12"/>
  <c r="L2779" i="12"/>
  <c r="L2780" i="12"/>
  <c r="L2781" i="12"/>
  <c r="L2782" i="12"/>
  <c r="L2783" i="12"/>
  <c r="L2784" i="12"/>
  <c r="L2785" i="12"/>
  <c r="L2786" i="12"/>
  <c r="L2787" i="12"/>
  <c r="L2788" i="12"/>
  <c r="L2789" i="12"/>
  <c r="L2790" i="12"/>
  <c r="L2791" i="12"/>
  <c r="L2792" i="12"/>
  <c r="L2793" i="12"/>
  <c r="L2794" i="12"/>
  <c r="L2795" i="12"/>
  <c r="L2796" i="12"/>
  <c r="L2797" i="12"/>
  <c r="L2798" i="12"/>
  <c r="L2799" i="12"/>
  <c r="L2800" i="12"/>
  <c r="L2801" i="12"/>
  <c r="L2802" i="12"/>
  <c r="L2803" i="12"/>
  <c r="L2804" i="12"/>
  <c r="L2805" i="12"/>
  <c r="L2806" i="12"/>
  <c r="L2807" i="12"/>
  <c r="L2808" i="12"/>
  <c r="L2809" i="12"/>
  <c r="L2810" i="12"/>
  <c r="L2811" i="12"/>
  <c r="L2812" i="12"/>
  <c r="L2813" i="12"/>
  <c r="L2814" i="12"/>
  <c r="L2815" i="12"/>
  <c r="L2816" i="12"/>
  <c r="L2817" i="12"/>
  <c r="L2818" i="12"/>
  <c r="L2819" i="12"/>
  <c r="L2820" i="12"/>
  <c r="L2821" i="12"/>
  <c r="L2822" i="12"/>
  <c r="L2823" i="12"/>
  <c r="L2824" i="12"/>
  <c r="L2825" i="12"/>
  <c r="L2826" i="12"/>
  <c r="L2827" i="12"/>
  <c r="L2828" i="12"/>
  <c r="L2829" i="12"/>
  <c r="L2830" i="12"/>
  <c r="L2831" i="12"/>
  <c r="L2832" i="12"/>
  <c r="L2833" i="12"/>
  <c r="L2834" i="12"/>
  <c r="L2835" i="12"/>
  <c r="L2836" i="12"/>
  <c r="L2837" i="12"/>
  <c r="L2838" i="12"/>
  <c r="L2839" i="12"/>
  <c r="L2840" i="12"/>
  <c r="L2841" i="12"/>
  <c r="L2842" i="12"/>
  <c r="L2843" i="12"/>
  <c r="L2844" i="12"/>
  <c r="L2845" i="12"/>
  <c r="L2846" i="12"/>
  <c r="L2847" i="12"/>
  <c r="L2848" i="12"/>
  <c r="L2849" i="12"/>
  <c r="L2850" i="12"/>
  <c r="L2851" i="12"/>
  <c r="L2852" i="12"/>
  <c r="L2853" i="12"/>
  <c r="L2854" i="12"/>
  <c r="L2855" i="12"/>
  <c r="L2856" i="12"/>
  <c r="L2857" i="12"/>
  <c r="L2858" i="12"/>
  <c r="L2859" i="12"/>
  <c r="L2860" i="12"/>
  <c r="L2861" i="12"/>
  <c r="L2862" i="12"/>
  <c r="L2863" i="12"/>
  <c r="L2864" i="12"/>
  <c r="L2865" i="12"/>
  <c r="L2866" i="12"/>
  <c r="L2867" i="12"/>
  <c r="L2868" i="12"/>
  <c r="L2869" i="12"/>
  <c r="L2870" i="12"/>
  <c r="L2871" i="12"/>
  <c r="L2872" i="12"/>
  <c r="L2873" i="12"/>
  <c r="L2874" i="12"/>
  <c r="L2875" i="12"/>
  <c r="L2876" i="12"/>
  <c r="L2877" i="12"/>
  <c r="L2878" i="12"/>
  <c r="L2879" i="12"/>
  <c r="L2880" i="12"/>
  <c r="L2881" i="12"/>
  <c r="L2882" i="12"/>
  <c r="L2883" i="12"/>
  <c r="L2884" i="12"/>
  <c r="L2885" i="12"/>
  <c r="L2886" i="12"/>
  <c r="L2887" i="12"/>
  <c r="L2888" i="12"/>
  <c r="L2889" i="12"/>
  <c r="L2890" i="12"/>
  <c r="L2891" i="12"/>
  <c r="L2892" i="12"/>
  <c r="L2893" i="12"/>
  <c r="L2894" i="12"/>
  <c r="L2895" i="12"/>
  <c r="L2896" i="12"/>
  <c r="L2897" i="12"/>
  <c r="L2898" i="12"/>
  <c r="L2899" i="12"/>
  <c r="L2900" i="12"/>
  <c r="L2901" i="12"/>
  <c r="L2902" i="12"/>
  <c r="L2903" i="12"/>
  <c r="L2904" i="12"/>
  <c r="L2905" i="12"/>
  <c r="L2906" i="12"/>
  <c r="L2907" i="12"/>
  <c r="L2908" i="12"/>
  <c r="L2909" i="12"/>
  <c r="L2910" i="12"/>
  <c r="L2911" i="12"/>
  <c r="L2912" i="12"/>
  <c r="L2913" i="12"/>
  <c r="L2914" i="12"/>
  <c r="L2915" i="12"/>
  <c r="L2916" i="12"/>
  <c r="L2917" i="12"/>
  <c r="L2918" i="12"/>
  <c r="L2919" i="12"/>
  <c r="L2920" i="12"/>
  <c r="L2921" i="12"/>
  <c r="L2922" i="12"/>
  <c r="L2923" i="12"/>
  <c r="L2924" i="12"/>
  <c r="L2925" i="12"/>
  <c r="L2926" i="12"/>
  <c r="L2927" i="12"/>
  <c r="L2928" i="12"/>
  <c r="L2929" i="12"/>
  <c r="L2930" i="12"/>
  <c r="L2931" i="12"/>
  <c r="L2932" i="12"/>
  <c r="L2933" i="12"/>
  <c r="L2934" i="12"/>
  <c r="L2935" i="12"/>
  <c r="L2936" i="12"/>
  <c r="L2937" i="12"/>
  <c r="L2938" i="12"/>
  <c r="L2939" i="12"/>
  <c r="L2940" i="12"/>
  <c r="L2941" i="12"/>
  <c r="L2942" i="12"/>
  <c r="L2943" i="12"/>
  <c r="L2944" i="12"/>
  <c r="L2945" i="12"/>
  <c r="L2946" i="12"/>
  <c r="L2947" i="12"/>
  <c r="L2948" i="12"/>
  <c r="L2949" i="12"/>
  <c r="L2950" i="12"/>
  <c r="L2951" i="12"/>
  <c r="L2952" i="12"/>
  <c r="L2953" i="12"/>
  <c r="L2954" i="12"/>
  <c r="L2955" i="12"/>
  <c r="L2956" i="12"/>
  <c r="L2957" i="12"/>
  <c r="L2958" i="12"/>
  <c r="L2959" i="12"/>
  <c r="L2960" i="12"/>
  <c r="L2961" i="12"/>
  <c r="L2962" i="12"/>
  <c r="L2963" i="12"/>
  <c r="L2964" i="12"/>
  <c r="L2965" i="12"/>
  <c r="L2966" i="12"/>
  <c r="L2967" i="12"/>
  <c r="L2968" i="12"/>
  <c r="L2969" i="12"/>
  <c r="L2970" i="12"/>
  <c r="L2971" i="12"/>
  <c r="L2972" i="12"/>
  <c r="L2973" i="12"/>
  <c r="L2974" i="12"/>
  <c r="L2975" i="12"/>
  <c r="L2976" i="12"/>
  <c r="L2977" i="12"/>
  <c r="L2978" i="12"/>
  <c r="L2979" i="12"/>
  <c r="L2980" i="12"/>
  <c r="L2981" i="12"/>
  <c r="L2982" i="12"/>
  <c r="L2983" i="12"/>
  <c r="L2984" i="12"/>
  <c r="L2985" i="12"/>
  <c r="L2986" i="12"/>
  <c r="L2987" i="12"/>
  <c r="L2988" i="12"/>
  <c r="L2989" i="12"/>
  <c r="L2990" i="12"/>
  <c r="L2991" i="12"/>
  <c r="L2992" i="12"/>
  <c r="L2993" i="12"/>
  <c r="L2994" i="12"/>
  <c r="L2995" i="12"/>
  <c r="L2996" i="12"/>
  <c r="L2997" i="12"/>
  <c r="L2998" i="12"/>
  <c r="L2999" i="12"/>
  <c r="L3000" i="12"/>
  <c r="L3001" i="12"/>
  <c r="L3002" i="12"/>
  <c r="L3003" i="12"/>
  <c r="L3004" i="12"/>
  <c r="L3005" i="12"/>
  <c r="L3006" i="12"/>
  <c r="L3007" i="12"/>
  <c r="L3008" i="12"/>
  <c r="L3009" i="12"/>
  <c r="L3010" i="12"/>
  <c r="L3011" i="12"/>
  <c r="L3012" i="12"/>
  <c r="L3013" i="12"/>
  <c r="L3014" i="12"/>
  <c r="L3015" i="12"/>
  <c r="L3016" i="12"/>
  <c r="L3017" i="12"/>
  <c r="L3018" i="12"/>
  <c r="L3019" i="12"/>
  <c r="L3020" i="12"/>
  <c r="L3021" i="12"/>
  <c r="L3022" i="12"/>
  <c r="L3023" i="12"/>
  <c r="L3024" i="12"/>
  <c r="L3025" i="12"/>
  <c r="L3026" i="12"/>
  <c r="L3027" i="12"/>
  <c r="L3028" i="12"/>
  <c r="L3029" i="12"/>
  <c r="L3030" i="12"/>
  <c r="L3031" i="12"/>
  <c r="L3032" i="12"/>
  <c r="L3033" i="12"/>
  <c r="L3034" i="12"/>
  <c r="L3035" i="12"/>
  <c r="L3036" i="12"/>
  <c r="L3037" i="12"/>
  <c r="L3038" i="12"/>
  <c r="L3039" i="12"/>
  <c r="L3040" i="12"/>
  <c r="L3041" i="12"/>
  <c r="L3042" i="12"/>
  <c r="L3043" i="12"/>
  <c r="L3044" i="12"/>
  <c r="L3045" i="12"/>
  <c r="L3046" i="12"/>
  <c r="L3047" i="12"/>
  <c r="L3048" i="12"/>
  <c r="L3049" i="12"/>
  <c r="L3050" i="12"/>
  <c r="L3051" i="12"/>
  <c r="L3052" i="12"/>
  <c r="L3053" i="12"/>
  <c r="L3054" i="12"/>
  <c r="L3055" i="12"/>
  <c r="L3056" i="12"/>
  <c r="L3057" i="12"/>
  <c r="L3058" i="12"/>
  <c r="L3059" i="12"/>
  <c r="L3060" i="12"/>
  <c r="L3061" i="12"/>
  <c r="L3062" i="12"/>
  <c r="L3063" i="12"/>
  <c r="L3064" i="12"/>
  <c r="L3065" i="12"/>
  <c r="L3066" i="12"/>
  <c r="L3067" i="12"/>
  <c r="L3068" i="12"/>
  <c r="L3069" i="12"/>
  <c r="L3070" i="12"/>
  <c r="L3071" i="12"/>
  <c r="L3072" i="12"/>
  <c r="L3073" i="12"/>
  <c r="L3074" i="12"/>
  <c r="L3075" i="12"/>
  <c r="L3076" i="12"/>
  <c r="L3077" i="12"/>
  <c r="L3078" i="12"/>
  <c r="L3079" i="12"/>
  <c r="L3080" i="12"/>
  <c r="L3081" i="12"/>
  <c r="L3082" i="12"/>
  <c r="L3083" i="12"/>
  <c r="L3084" i="12"/>
  <c r="L3085" i="12"/>
  <c r="L3086" i="12"/>
  <c r="L3087" i="12"/>
  <c r="L3088" i="12"/>
  <c r="L3089" i="12"/>
  <c r="L3090" i="12"/>
  <c r="L3091" i="12"/>
  <c r="L3092" i="12"/>
  <c r="L3093" i="12"/>
  <c r="L3094" i="12"/>
  <c r="L3095" i="12"/>
  <c r="L3096" i="12"/>
  <c r="L3097" i="12"/>
  <c r="L3098" i="12"/>
  <c r="L3099" i="12"/>
  <c r="L3100" i="12"/>
  <c r="L3101" i="12"/>
  <c r="L3102" i="12"/>
  <c r="L3103" i="12"/>
  <c r="L3104" i="12"/>
  <c r="L3105" i="12"/>
  <c r="L3106" i="12"/>
  <c r="L3107" i="12"/>
  <c r="L3108" i="12"/>
  <c r="L3109" i="12"/>
  <c r="L3110" i="12"/>
  <c r="L3111" i="12"/>
  <c r="L3112" i="12"/>
  <c r="L3113" i="12"/>
  <c r="L3114" i="12"/>
  <c r="L3115" i="12"/>
  <c r="L3116" i="12"/>
  <c r="L3117" i="12"/>
  <c r="L3118" i="12"/>
  <c r="L3119" i="12"/>
  <c r="L3120" i="12"/>
  <c r="L3121" i="12"/>
  <c r="L3122" i="12"/>
  <c r="L3123" i="12"/>
  <c r="L3124" i="12"/>
  <c r="L3125" i="12"/>
  <c r="L3126" i="12"/>
  <c r="L3127" i="12"/>
  <c r="L3128" i="12"/>
  <c r="L3129" i="12"/>
  <c r="L3130" i="12"/>
  <c r="L3131" i="12"/>
  <c r="L3132" i="12"/>
  <c r="L3133" i="12"/>
  <c r="L3134" i="12"/>
  <c r="L3135" i="12"/>
  <c r="L3136" i="12"/>
  <c r="L3137" i="12"/>
  <c r="L3138" i="12"/>
  <c r="L3139" i="12"/>
  <c r="L3140" i="12"/>
  <c r="L3141" i="12"/>
  <c r="L3142" i="12"/>
  <c r="L3143" i="12"/>
  <c r="L3144" i="12"/>
  <c r="L3145" i="12"/>
  <c r="L3146" i="12"/>
  <c r="L3147" i="12"/>
  <c r="L3148" i="12"/>
  <c r="L3149" i="12"/>
  <c r="L3150" i="12"/>
  <c r="L3151" i="12"/>
  <c r="L3152" i="12"/>
  <c r="L3153" i="12"/>
  <c r="L3154" i="12"/>
  <c r="L3155" i="12"/>
  <c r="L3156" i="12"/>
  <c r="L3157" i="12"/>
  <c r="L3158" i="12"/>
  <c r="L3159" i="12"/>
  <c r="L3160" i="12"/>
  <c r="L3161" i="12"/>
  <c r="L3162" i="12"/>
  <c r="L3163" i="12"/>
  <c r="L3164" i="12"/>
  <c r="L3165" i="12"/>
  <c r="L3166" i="12"/>
  <c r="L3167" i="12"/>
  <c r="L3168" i="12"/>
  <c r="L3169" i="12"/>
  <c r="L3170" i="12"/>
  <c r="L3171" i="12"/>
  <c r="L3172" i="12"/>
  <c r="L3173" i="12"/>
  <c r="L3174" i="12"/>
  <c r="L3175" i="12"/>
  <c r="L3176" i="12"/>
  <c r="L3177" i="12"/>
  <c r="L3178" i="12"/>
  <c r="L3179" i="12"/>
  <c r="L3180" i="12"/>
  <c r="L3181" i="12"/>
  <c r="L3182" i="12"/>
  <c r="L3183" i="12"/>
  <c r="L3184" i="12"/>
  <c r="L3185" i="12"/>
  <c r="L3186" i="12"/>
  <c r="L3187" i="12"/>
  <c r="L3188" i="12"/>
  <c r="L3189" i="12"/>
  <c r="L3190" i="12"/>
  <c r="L3191" i="12"/>
  <c r="L3192" i="12"/>
  <c r="L3193" i="12"/>
  <c r="L3194" i="12"/>
  <c r="L3195" i="12"/>
  <c r="L3196" i="12"/>
  <c r="L3197" i="12"/>
  <c r="L3198" i="12"/>
  <c r="L3199" i="12"/>
  <c r="L3200" i="12"/>
  <c r="L3201" i="12"/>
  <c r="L3202" i="12"/>
  <c r="L3203" i="12"/>
  <c r="L3204" i="12"/>
  <c r="L3205" i="12"/>
  <c r="L3206" i="12"/>
  <c r="L3207" i="12"/>
  <c r="L3208" i="12"/>
  <c r="L3209" i="12"/>
  <c r="L3210" i="12"/>
  <c r="L3211" i="12"/>
  <c r="L3212" i="12"/>
  <c r="L3213" i="12"/>
  <c r="L3214" i="12"/>
  <c r="L3215" i="12"/>
  <c r="L3216" i="12"/>
  <c r="L3217" i="12"/>
  <c r="L3218" i="12"/>
  <c r="L3219" i="12"/>
  <c r="L3220" i="12"/>
  <c r="L3221" i="12"/>
  <c r="L3222" i="12"/>
  <c r="L3223" i="12"/>
  <c r="L3224" i="12"/>
  <c r="L3225" i="12"/>
  <c r="L3226" i="12"/>
  <c r="L3227" i="12"/>
  <c r="L3228" i="12"/>
  <c r="L3229" i="12"/>
  <c r="L3230" i="12"/>
  <c r="L3231" i="12"/>
  <c r="L3232" i="12"/>
  <c r="L3233" i="12"/>
  <c r="L3234" i="12"/>
  <c r="L3235" i="12"/>
  <c r="L3236" i="12"/>
  <c r="L3237" i="12"/>
  <c r="L3238" i="12"/>
  <c r="L3239" i="12"/>
  <c r="L3240" i="12"/>
  <c r="L3241" i="12"/>
  <c r="L3242" i="12"/>
  <c r="L3243" i="12"/>
  <c r="L3244" i="12"/>
  <c r="L3245" i="12"/>
  <c r="L3246" i="12"/>
  <c r="L3247" i="12"/>
  <c r="L3248" i="12"/>
  <c r="L3249" i="12"/>
  <c r="L3250" i="12"/>
  <c r="L3251" i="12"/>
  <c r="L3252" i="12"/>
  <c r="L3253" i="12"/>
  <c r="L3254" i="12"/>
  <c r="L3255" i="12"/>
  <c r="L3256" i="12"/>
  <c r="L3257" i="12"/>
  <c r="L3258" i="12"/>
  <c r="L3259" i="12"/>
  <c r="L3260" i="12"/>
  <c r="L3261" i="12"/>
  <c r="L3262" i="12"/>
  <c r="L3263" i="12"/>
  <c r="L3264" i="12"/>
  <c r="L3265" i="12"/>
  <c r="L3266" i="12"/>
  <c r="L3267" i="12"/>
  <c r="L3268" i="12"/>
  <c r="L3269" i="12"/>
  <c r="L3270" i="12"/>
  <c r="L3271" i="12"/>
  <c r="L3272" i="12"/>
  <c r="L3273" i="12"/>
  <c r="L3274" i="12"/>
  <c r="L3275" i="12"/>
  <c r="L3276" i="12"/>
  <c r="L3277" i="12"/>
  <c r="L3278" i="12"/>
  <c r="L3279" i="12"/>
  <c r="L3280" i="12"/>
  <c r="L3281" i="12"/>
  <c r="L3282" i="12"/>
  <c r="L3283" i="12"/>
  <c r="L3284" i="12"/>
  <c r="L3285" i="12"/>
  <c r="L3286" i="12"/>
  <c r="L3287" i="12"/>
  <c r="L3288" i="12"/>
  <c r="L3289" i="12"/>
  <c r="L3290" i="12"/>
  <c r="L3291" i="12"/>
  <c r="L3292" i="12"/>
  <c r="L3293" i="12"/>
  <c r="L3294" i="12"/>
  <c r="L3295" i="12"/>
  <c r="L3296" i="12"/>
  <c r="L3297" i="12"/>
  <c r="L3298" i="12"/>
  <c r="L3299" i="12"/>
  <c r="L3300" i="12"/>
  <c r="L3301" i="12"/>
  <c r="L3302" i="12"/>
  <c r="L3303" i="12"/>
  <c r="L3304" i="12"/>
  <c r="L3305" i="12"/>
  <c r="L3306" i="12"/>
  <c r="L3307" i="12"/>
  <c r="L3308" i="12"/>
  <c r="L3309" i="12"/>
  <c r="L3310" i="12"/>
  <c r="L3311" i="12"/>
  <c r="L3312" i="12"/>
  <c r="L3313" i="12"/>
  <c r="L3314" i="12"/>
  <c r="L3315" i="12"/>
  <c r="L3316" i="12"/>
  <c r="L3317" i="12"/>
  <c r="L3318" i="12"/>
  <c r="L3319" i="12"/>
  <c r="L3320" i="12"/>
  <c r="L3321" i="12"/>
  <c r="L3322" i="12"/>
  <c r="L3323" i="12"/>
  <c r="L3324" i="12"/>
  <c r="L3325" i="12"/>
  <c r="L3326" i="12"/>
  <c r="L3327" i="12"/>
  <c r="L3328" i="12"/>
  <c r="L3329" i="12"/>
  <c r="L3330" i="12"/>
  <c r="L3331" i="12"/>
  <c r="L3332" i="12"/>
  <c r="L3333" i="12"/>
  <c r="L3334" i="12"/>
  <c r="L3335" i="12"/>
  <c r="L3336" i="12"/>
  <c r="L3337" i="12"/>
  <c r="L3338" i="12"/>
  <c r="L3339" i="12"/>
  <c r="L3340" i="12"/>
  <c r="L3341" i="12"/>
  <c r="L3342" i="12"/>
  <c r="L3343" i="12"/>
  <c r="L3344" i="12"/>
  <c r="L3345" i="12"/>
  <c r="L3346" i="12"/>
  <c r="L3347" i="12"/>
  <c r="L3348" i="12"/>
  <c r="L3349" i="12"/>
  <c r="L3350" i="12"/>
  <c r="L3351" i="12"/>
  <c r="L3352" i="12"/>
  <c r="L3353" i="12"/>
  <c r="L3354" i="12"/>
  <c r="L3355" i="12"/>
  <c r="L3356" i="12"/>
  <c r="L3357" i="12"/>
  <c r="L3358" i="12"/>
  <c r="L3359" i="12"/>
  <c r="L3360" i="12"/>
  <c r="L3361" i="12"/>
  <c r="L3362" i="12"/>
  <c r="L3363" i="12"/>
  <c r="L3364" i="12"/>
  <c r="L3365" i="12"/>
  <c r="L3366" i="12"/>
  <c r="L3367" i="12"/>
  <c r="L3368" i="12"/>
  <c r="L3369" i="12"/>
  <c r="L3370" i="12"/>
  <c r="L3371" i="12"/>
  <c r="L3372" i="12"/>
  <c r="L3373" i="12"/>
  <c r="L3374" i="12"/>
  <c r="L3375" i="12"/>
  <c r="L3376" i="12"/>
  <c r="L3377" i="12"/>
  <c r="L3378" i="12"/>
  <c r="L3379" i="12"/>
  <c r="L3380" i="12"/>
  <c r="L3381" i="12"/>
  <c r="L3382" i="12"/>
  <c r="L3383" i="12"/>
  <c r="L3384" i="12"/>
  <c r="L3385" i="12"/>
  <c r="L3386" i="12"/>
  <c r="L3387" i="12"/>
  <c r="L3388" i="12"/>
  <c r="L3389" i="12"/>
  <c r="L3390" i="12"/>
  <c r="L3391" i="12"/>
  <c r="L3392" i="12"/>
  <c r="L3393" i="12"/>
  <c r="L3394" i="12"/>
  <c r="L3395" i="12"/>
  <c r="L3396" i="12"/>
  <c r="L3397" i="12"/>
  <c r="L3398" i="12"/>
  <c r="L3399" i="12"/>
  <c r="L3400" i="12"/>
  <c r="L3401" i="12"/>
  <c r="L3402" i="12"/>
  <c r="L3403" i="12"/>
  <c r="L3404" i="12"/>
  <c r="L3405" i="12"/>
  <c r="L3406" i="12"/>
  <c r="L3407" i="12"/>
  <c r="L3408" i="12"/>
  <c r="L3409" i="12"/>
  <c r="L3410" i="12"/>
  <c r="L3411" i="12"/>
  <c r="L3412" i="12"/>
  <c r="L3413" i="12"/>
  <c r="L3414" i="12"/>
  <c r="L3415" i="12"/>
  <c r="L3416" i="12"/>
  <c r="L3417" i="12"/>
  <c r="L3418" i="12"/>
  <c r="L3419" i="12"/>
  <c r="L3420" i="12"/>
  <c r="L3421" i="12"/>
  <c r="L3422" i="12"/>
  <c r="L3423" i="12"/>
  <c r="L3424" i="12"/>
  <c r="L3425" i="12"/>
  <c r="L3426" i="12"/>
  <c r="L3427" i="12"/>
  <c r="L3428" i="12"/>
  <c r="L3429" i="12"/>
  <c r="L3430" i="12"/>
  <c r="L3431" i="12"/>
  <c r="L3432" i="12"/>
  <c r="L3433" i="12"/>
  <c r="L3434" i="12"/>
  <c r="L3435" i="12"/>
  <c r="L3436" i="12"/>
  <c r="L3437" i="12"/>
  <c r="L3438" i="12"/>
  <c r="L3439" i="12"/>
  <c r="L3440" i="12"/>
  <c r="L3441" i="12"/>
  <c r="L3442" i="12"/>
  <c r="L3443" i="12"/>
  <c r="L3444" i="12"/>
  <c r="L3445" i="12"/>
  <c r="L3446" i="12"/>
  <c r="L3447" i="12"/>
  <c r="L3448" i="12"/>
  <c r="L3449" i="12"/>
  <c r="L3450" i="12"/>
  <c r="L3451" i="12"/>
  <c r="L3452" i="12"/>
  <c r="L3453" i="12"/>
  <c r="L3454" i="12"/>
  <c r="L3455" i="12"/>
  <c r="L3456" i="12"/>
  <c r="L3457" i="12"/>
  <c r="L3458" i="12"/>
  <c r="L3459" i="12"/>
  <c r="L3460" i="12"/>
  <c r="L3461" i="12"/>
  <c r="L3462" i="12"/>
  <c r="L3463" i="12"/>
  <c r="L3464" i="12"/>
  <c r="L3465" i="12"/>
  <c r="L3466" i="12"/>
  <c r="L3467" i="12"/>
  <c r="L3468" i="12"/>
  <c r="L3469" i="12"/>
  <c r="L3470" i="12"/>
  <c r="L3471" i="12"/>
  <c r="L3472" i="12"/>
  <c r="L3473" i="12"/>
  <c r="L3474" i="12"/>
  <c r="L3475" i="12"/>
  <c r="L3476" i="12"/>
  <c r="L3477" i="12"/>
  <c r="L3478" i="12"/>
  <c r="L3479" i="12"/>
  <c r="L3480" i="12"/>
  <c r="L3481" i="12"/>
  <c r="L3482" i="12"/>
  <c r="L3483" i="12"/>
  <c r="L3484" i="12"/>
  <c r="L3485" i="12"/>
  <c r="L3486" i="12"/>
  <c r="L3487" i="12"/>
  <c r="L3488" i="12"/>
  <c r="L3489" i="12"/>
  <c r="L3490" i="12"/>
  <c r="L3491" i="12"/>
  <c r="L3492" i="12"/>
  <c r="L3493" i="12"/>
  <c r="L3494" i="12"/>
  <c r="L3495" i="12"/>
  <c r="L3496" i="12"/>
  <c r="L3497" i="12"/>
  <c r="L3498" i="12"/>
  <c r="L3499" i="12"/>
  <c r="L3500" i="12"/>
  <c r="L3501" i="12"/>
  <c r="L3502" i="12"/>
  <c r="L3503" i="12"/>
  <c r="L3504" i="12"/>
  <c r="L3505" i="12"/>
  <c r="L3506" i="12"/>
  <c r="L3507" i="12"/>
  <c r="L3508" i="12"/>
  <c r="L3509" i="12"/>
  <c r="L3510" i="12"/>
  <c r="L3511" i="12"/>
  <c r="L3512" i="12"/>
  <c r="L3513" i="12"/>
  <c r="L3514" i="12"/>
  <c r="L3515" i="12"/>
  <c r="L3516" i="12"/>
  <c r="L3517" i="12"/>
  <c r="L3518" i="12"/>
  <c r="L3519" i="12"/>
  <c r="L3520" i="12"/>
  <c r="L3521" i="12"/>
  <c r="L3522" i="12"/>
  <c r="L3523" i="12"/>
  <c r="L3524" i="12"/>
  <c r="L3525" i="12"/>
  <c r="L3526" i="12"/>
  <c r="L3527" i="12"/>
  <c r="L3528" i="12"/>
  <c r="L3529" i="12"/>
  <c r="L3530" i="12"/>
  <c r="L3531" i="12"/>
  <c r="L3532" i="12"/>
  <c r="L3533" i="12"/>
  <c r="L3534" i="12"/>
  <c r="L3535" i="12"/>
  <c r="L3536" i="12"/>
  <c r="L3537" i="12"/>
  <c r="L3538" i="12"/>
  <c r="L3539" i="12"/>
  <c r="L3540" i="12"/>
  <c r="L3541" i="12"/>
  <c r="L3542" i="12"/>
  <c r="L3543" i="12"/>
  <c r="L3544" i="12"/>
  <c r="L3545" i="12"/>
  <c r="L3546" i="12"/>
  <c r="L3547" i="12"/>
  <c r="L3548" i="12"/>
  <c r="L3549" i="12"/>
  <c r="L3550" i="12"/>
  <c r="L3551" i="12"/>
  <c r="L3552" i="12"/>
  <c r="L3553" i="12"/>
  <c r="L3554" i="12"/>
  <c r="L3555" i="12"/>
  <c r="L3556" i="12"/>
  <c r="L3557" i="12"/>
  <c r="L3558" i="12"/>
  <c r="L3559" i="12"/>
  <c r="L3560" i="12"/>
  <c r="L3561" i="12"/>
  <c r="L3562" i="12"/>
  <c r="L3563" i="12"/>
  <c r="L3564" i="12"/>
  <c r="L3565" i="12"/>
  <c r="L3566" i="12"/>
  <c r="L3567" i="12"/>
  <c r="L3568" i="12"/>
  <c r="L3569" i="12"/>
  <c r="L3570" i="12"/>
  <c r="L3571" i="12"/>
  <c r="L3572" i="12"/>
  <c r="L3573" i="12"/>
  <c r="L3574" i="12"/>
  <c r="L3575" i="12"/>
  <c r="L3576" i="12"/>
  <c r="L3577" i="12"/>
  <c r="L3578" i="12"/>
  <c r="L3579" i="12"/>
  <c r="L3580" i="12"/>
  <c r="L3581" i="12"/>
  <c r="L3582" i="12"/>
  <c r="L3583" i="12"/>
  <c r="L3584" i="12"/>
  <c r="L3585" i="12"/>
  <c r="L3586" i="12"/>
  <c r="L3587" i="12"/>
  <c r="L3588" i="12"/>
  <c r="L3589" i="12"/>
  <c r="L3590" i="12"/>
  <c r="L3591" i="12"/>
  <c r="L3592" i="12"/>
  <c r="L3593" i="12"/>
  <c r="L3594" i="12"/>
  <c r="L3595" i="12"/>
  <c r="L3596" i="12"/>
  <c r="L3597" i="12"/>
  <c r="L3598" i="12"/>
  <c r="L3599" i="12"/>
  <c r="L3600" i="12"/>
  <c r="L3601" i="12"/>
  <c r="L3602" i="12"/>
  <c r="L3603" i="12"/>
  <c r="L3604" i="12"/>
  <c r="L3605" i="12"/>
  <c r="L3606" i="12"/>
  <c r="L3607" i="12"/>
  <c r="L3608" i="12"/>
  <c r="L3609" i="12"/>
  <c r="L3610" i="12"/>
  <c r="L3611" i="12"/>
  <c r="L3612" i="12"/>
  <c r="L3613" i="12"/>
  <c r="L3614" i="12"/>
  <c r="L3615" i="12"/>
  <c r="L3616" i="12"/>
  <c r="L3617" i="12"/>
  <c r="L3618" i="12"/>
  <c r="L3619" i="12"/>
  <c r="L3620" i="12"/>
  <c r="L3621" i="12"/>
  <c r="L3622" i="12"/>
  <c r="L3623" i="12"/>
  <c r="L3624" i="12"/>
  <c r="L3625" i="12"/>
  <c r="L3626" i="12"/>
  <c r="L3627" i="12"/>
  <c r="L3628" i="12"/>
  <c r="L3629" i="12"/>
  <c r="L3630" i="12"/>
  <c r="L3631" i="12"/>
  <c r="L3632" i="12"/>
  <c r="L3633" i="12"/>
  <c r="L3634" i="12"/>
  <c r="L3635" i="12"/>
  <c r="L3636" i="12"/>
  <c r="L3637" i="12"/>
  <c r="L3638" i="12"/>
  <c r="L3639" i="12"/>
  <c r="L3640" i="12"/>
  <c r="L3641" i="12"/>
  <c r="L3642" i="12"/>
  <c r="L3643" i="12"/>
  <c r="L3644" i="12"/>
  <c r="L3645" i="12"/>
  <c r="L3646" i="12"/>
  <c r="L3647" i="12"/>
  <c r="L3648" i="12"/>
  <c r="L3649" i="12"/>
  <c r="L3650" i="12"/>
  <c r="L3651" i="12"/>
  <c r="L3652" i="12"/>
  <c r="L3653" i="12"/>
  <c r="L3654" i="12"/>
  <c r="L3655" i="12"/>
  <c r="L3656" i="12"/>
  <c r="L3657" i="12"/>
  <c r="L3658" i="12"/>
  <c r="L3659" i="12"/>
  <c r="L3660" i="12"/>
  <c r="L3661" i="12"/>
  <c r="L3662" i="12"/>
  <c r="L3663" i="12"/>
  <c r="L3664" i="12"/>
  <c r="L3665" i="12"/>
  <c r="L3666" i="12"/>
  <c r="L3667" i="12"/>
  <c r="L3668" i="12"/>
  <c r="L3669" i="12"/>
  <c r="L3670" i="12"/>
  <c r="L3671" i="12"/>
  <c r="L3672" i="12"/>
  <c r="L3673" i="12"/>
  <c r="L3674" i="12"/>
  <c r="L3675" i="12"/>
  <c r="L3676" i="12"/>
  <c r="L3677" i="12"/>
  <c r="L3678" i="12"/>
  <c r="L3679" i="12"/>
  <c r="L3680" i="12"/>
  <c r="L3681" i="12"/>
  <c r="L3682" i="12"/>
  <c r="L3683" i="12"/>
  <c r="L3684" i="12"/>
  <c r="L3685" i="12"/>
  <c r="L3686" i="12"/>
  <c r="L3687" i="12"/>
  <c r="L3688" i="12"/>
  <c r="L3689" i="12"/>
  <c r="L3690" i="12"/>
  <c r="L3691" i="12"/>
  <c r="L3692" i="12"/>
  <c r="L3693" i="12"/>
  <c r="L3694" i="12"/>
  <c r="L3695" i="12"/>
  <c r="L3696" i="12"/>
  <c r="L3697" i="12"/>
  <c r="L3698" i="12"/>
  <c r="L3699" i="12"/>
  <c r="L3700" i="12"/>
  <c r="L3701" i="12"/>
  <c r="L3702" i="12"/>
  <c r="L3703" i="12"/>
  <c r="L3704" i="12"/>
  <c r="L3705" i="12"/>
  <c r="L3706" i="12"/>
  <c r="L3707" i="12"/>
  <c r="L3708" i="12"/>
  <c r="L3709" i="12"/>
  <c r="L3710" i="12"/>
  <c r="L3711" i="12"/>
  <c r="L3712" i="12"/>
  <c r="L3713" i="12"/>
  <c r="L3714" i="12"/>
  <c r="L3715" i="12"/>
  <c r="L3716" i="12"/>
  <c r="L3717" i="12"/>
  <c r="L3718" i="12"/>
  <c r="L3719" i="12"/>
  <c r="L3720" i="12"/>
  <c r="L3721" i="12"/>
  <c r="L3722" i="12"/>
  <c r="L3723" i="12"/>
  <c r="L3724" i="12"/>
  <c r="L3725" i="12"/>
  <c r="L3726" i="12"/>
  <c r="L3727" i="12"/>
  <c r="L3728" i="12"/>
  <c r="L3729" i="12"/>
  <c r="L3730" i="12"/>
  <c r="L3731" i="12"/>
  <c r="L3732" i="12"/>
  <c r="L3733" i="12"/>
  <c r="L3734" i="12"/>
  <c r="L3735" i="12"/>
  <c r="L3736" i="12"/>
  <c r="L3737" i="12"/>
  <c r="L3738" i="12"/>
  <c r="L3739" i="12"/>
  <c r="L3740" i="12"/>
  <c r="L3741" i="12"/>
  <c r="L3742" i="12"/>
  <c r="L3743" i="12"/>
  <c r="L3744" i="12"/>
  <c r="L3745" i="12"/>
  <c r="L3746" i="12"/>
  <c r="L3747" i="12"/>
  <c r="L3748" i="12"/>
  <c r="L3749" i="12"/>
  <c r="L3750" i="12"/>
  <c r="L3751" i="12"/>
  <c r="L3752" i="12"/>
  <c r="L3753" i="12"/>
  <c r="L3754" i="12"/>
  <c r="L3755" i="12"/>
  <c r="L3756" i="12"/>
  <c r="L3757" i="12"/>
  <c r="L3758" i="12"/>
  <c r="L3759" i="12"/>
  <c r="L3760" i="12"/>
  <c r="L3761" i="12"/>
  <c r="L3762" i="12"/>
  <c r="L3763" i="12"/>
  <c r="L3764" i="12"/>
  <c r="L3765" i="12"/>
  <c r="L3766" i="12"/>
  <c r="L3767" i="12"/>
  <c r="L3768" i="12"/>
  <c r="L3769" i="12"/>
  <c r="L3770" i="12"/>
  <c r="L3771" i="12"/>
  <c r="L3772" i="12"/>
  <c r="L3773" i="12"/>
  <c r="L3774" i="12"/>
  <c r="L3775" i="12"/>
  <c r="L3776" i="12"/>
  <c r="L3777" i="12"/>
  <c r="L3778" i="12"/>
  <c r="L3779" i="12"/>
  <c r="L3780" i="12"/>
  <c r="L3781" i="12"/>
  <c r="L3782" i="12"/>
  <c r="L3783" i="12"/>
  <c r="L3784" i="12"/>
  <c r="L3785" i="12"/>
  <c r="L3786" i="12"/>
  <c r="L3787" i="12"/>
  <c r="L3788" i="12"/>
  <c r="L3789" i="12"/>
  <c r="L3790" i="12"/>
  <c r="L3791" i="12"/>
  <c r="L3792" i="12"/>
  <c r="L3793" i="12"/>
  <c r="L3794" i="12"/>
  <c r="L3795" i="12"/>
  <c r="L3796" i="12"/>
  <c r="L3797" i="12"/>
  <c r="L3798" i="12"/>
  <c r="L3799" i="12"/>
  <c r="L3800" i="12"/>
  <c r="L3801" i="12"/>
  <c r="L3802" i="12"/>
  <c r="L3803" i="12"/>
  <c r="L3804" i="12"/>
  <c r="L3805" i="12"/>
  <c r="L3806" i="12"/>
  <c r="L3807" i="12"/>
  <c r="L3808" i="12"/>
  <c r="L3809" i="12"/>
  <c r="L3810" i="12"/>
  <c r="L3811" i="12"/>
  <c r="L3812" i="12"/>
  <c r="L3813" i="12"/>
  <c r="L3814" i="12"/>
  <c r="L3815" i="12"/>
  <c r="L3816" i="12"/>
  <c r="L3817" i="12"/>
  <c r="L3818" i="12"/>
  <c r="L3819" i="12"/>
  <c r="L3820" i="12"/>
  <c r="L3821" i="12"/>
  <c r="L3822" i="12"/>
  <c r="L3823" i="12"/>
  <c r="L3824" i="12"/>
  <c r="L3825" i="12"/>
  <c r="L3826" i="12"/>
  <c r="L3827" i="12"/>
  <c r="L3828" i="12"/>
  <c r="L3829" i="12"/>
  <c r="L3830" i="12"/>
  <c r="L3831" i="12"/>
  <c r="L3832" i="12"/>
  <c r="L3833" i="12"/>
  <c r="L3834" i="12"/>
  <c r="L3835" i="12"/>
  <c r="L3836" i="12"/>
  <c r="L3837" i="12"/>
  <c r="L3838" i="12"/>
  <c r="L3839" i="12"/>
  <c r="L3840" i="12"/>
  <c r="L3841" i="12"/>
  <c r="L3842" i="12"/>
  <c r="L3843" i="12"/>
  <c r="L3844" i="12"/>
  <c r="L3845" i="12"/>
  <c r="L3846" i="12"/>
  <c r="L3847" i="12"/>
  <c r="L3848" i="12"/>
  <c r="L3849" i="12"/>
  <c r="L3850" i="12"/>
  <c r="L3851" i="12"/>
  <c r="L3852" i="12"/>
  <c r="L3853" i="12"/>
  <c r="L3854" i="12"/>
  <c r="L3855" i="12"/>
  <c r="L3856" i="12"/>
  <c r="L3857" i="12"/>
  <c r="L3858" i="12"/>
  <c r="L3859" i="12"/>
  <c r="L3860" i="12"/>
  <c r="L3861" i="12"/>
  <c r="L3862" i="12"/>
  <c r="L3863" i="12"/>
  <c r="L3864" i="12"/>
  <c r="L3865" i="12"/>
  <c r="L3866" i="12"/>
  <c r="L3867" i="12"/>
  <c r="L3868" i="12"/>
  <c r="L3869" i="12"/>
  <c r="L3870" i="12"/>
  <c r="L3871" i="12"/>
  <c r="L3872" i="12"/>
  <c r="L3873" i="12"/>
  <c r="L3874" i="12"/>
  <c r="L3875" i="12"/>
  <c r="L3876" i="12"/>
  <c r="L3877" i="12"/>
  <c r="L3878" i="12"/>
  <c r="L3879" i="12"/>
  <c r="L3880" i="12"/>
  <c r="L3881" i="12"/>
  <c r="L3882" i="12"/>
  <c r="L3883" i="12"/>
  <c r="L3884" i="12"/>
  <c r="L3885" i="12"/>
  <c r="L3886" i="12"/>
  <c r="L3887" i="12"/>
  <c r="L3888" i="12"/>
  <c r="L3889" i="12"/>
  <c r="L3890" i="12"/>
  <c r="L3891" i="12"/>
  <c r="L3892" i="12"/>
  <c r="L3893" i="12"/>
  <c r="L3894" i="12"/>
  <c r="L3895" i="12"/>
  <c r="L3896" i="12"/>
  <c r="L3897" i="12"/>
  <c r="L3898" i="12"/>
  <c r="L3899" i="12"/>
  <c r="L3900" i="12"/>
  <c r="L3901" i="12"/>
  <c r="L3902" i="12"/>
  <c r="L3903" i="12"/>
  <c r="L3904" i="12"/>
  <c r="L3905" i="12"/>
  <c r="L3906" i="12"/>
  <c r="L3907" i="12"/>
  <c r="L3908" i="12"/>
  <c r="L3909" i="12"/>
  <c r="L3910" i="12"/>
  <c r="L3911" i="12"/>
  <c r="L3912" i="12"/>
  <c r="L3913" i="12"/>
  <c r="L3914" i="12"/>
  <c r="L3915" i="12"/>
  <c r="L3916" i="12"/>
  <c r="L3917" i="12"/>
  <c r="L3918" i="12"/>
  <c r="L3919" i="12"/>
  <c r="L3920" i="12"/>
  <c r="L3921" i="12"/>
  <c r="L3922" i="12"/>
  <c r="L3923" i="12"/>
  <c r="L3924" i="12"/>
  <c r="L3925" i="12"/>
  <c r="L3926" i="12"/>
  <c r="L3927" i="12"/>
  <c r="L3928" i="12"/>
  <c r="L3929" i="12"/>
  <c r="L3930" i="12"/>
  <c r="L3931" i="12"/>
  <c r="L3932" i="12"/>
  <c r="L3933" i="12"/>
  <c r="L3934" i="12"/>
  <c r="L3935" i="12"/>
  <c r="L3936" i="12"/>
  <c r="L3937" i="12"/>
  <c r="L3938" i="12"/>
  <c r="L3939" i="12"/>
  <c r="L3940" i="12"/>
  <c r="L3941" i="12"/>
  <c r="L3942" i="12"/>
  <c r="L3943" i="12"/>
  <c r="L3944" i="12"/>
  <c r="L3945" i="12"/>
  <c r="L3946" i="12"/>
  <c r="L3947" i="12"/>
  <c r="L3948" i="12"/>
  <c r="L3949" i="12"/>
  <c r="L3950" i="12"/>
  <c r="L3951" i="12"/>
  <c r="L3952" i="12"/>
  <c r="L3953" i="12"/>
  <c r="L3954" i="12"/>
  <c r="L3955" i="12"/>
  <c r="L3956" i="12"/>
  <c r="L3957" i="12"/>
  <c r="L3958" i="12"/>
  <c r="L3959" i="12"/>
  <c r="L3960" i="12"/>
  <c r="L3961" i="12"/>
  <c r="L3962" i="12"/>
  <c r="L3963" i="12"/>
  <c r="L3964" i="12"/>
  <c r="L3965" i="12"/>
  <c r="L3966" i="12"/>
  <c r="L3967" i="12"/>
  <c r="L3968" i="12"/>
  <c r="L3969" i="12"/>
  <c r="L3970" i="12"/>
  <c r="L3971" i="12"/>
  <c r="L3972" i="12"/>
  <c r="L3973" i="12"/>
  <c r="L3974" i="12"/>
  <c r="L3975" i="12"/>
  <c r="L3976" i="12"/>
  <c r="L3977" i="12"/>
  <c r="L3978" i="12"/>
  <c r="L3979" i="12"/>
  <c r="L3980" i="12"/>
  <c r="L3981" i="12"/>
  <c r="L3982" i="12"/>
  <c r="L3983" i="12"/>
  <c r="L3984" i="12"/>
  <c r="L3985" i="12"/>
  <c r="L3986" i="12"/>
  <c r="L3987" i="12"/>
  <c r="L3988" i="12"/>
  <c r="L3989" i="12"/>
  <c r="L3990" i="12"/>
  <c r="L3991" i="12"/>
  <c r="L3992" i="12"/>
  <c r="L3993" i="12"/>
  <c r="L3994" i="12"/>
  <c r="L3995" i="12"/>
  <c r="L3996" i="12"/>
  <c r="L3997" i="12"/>
  <c r="L3998" i="12"/>
  <c r="L3999" i="12"/>
  <c r="L4000" i="12"/>
  <c r="L4001" i="12"/>
  <c r="L4002" i="12"/>
  <c r="L4003" i="12"/>
  <c r="L4004" i="12"/>
  <c r="L4005" i="12"/>
  <c r="L4006" i="12"/>
  <c r="L4007" i="12"/>
  <c r="L4008" i="12"/>
  <c r="L4009" i="12"/>
  <c r="L4010" i="12"/>
  <c r="L4011" i="12"/>
  <c r="L4012" i="12"/>
  <c r="L4013" i="12"/>
  <c r="L4014" i="12"/>
  <c r="L4015" i="12"/>
  <c r="L4016" i="12"/>
  <c r="L4017" i="12"/>
  <c r="L4018" i="12"/>
  <c r="L4019" i="12"/>
  <c r="L4020" i="12"/>
  <c r="L4021" i="12"/>
  <c r="L4022" i="12"/>
  <c r="L4023" i="12"/>
  <c r="L4024" i="12"/>
  <c r="L4025" i="12"/>
  <c r="L4026" i="12"/>
  <c r="L4027" i="12"/>
  <c r="L4028" i="12"/>
  <c r="L4029" i="12"/>
  <c r="L4030" i="12"/>
  <c r="L4031" i="12"/>
  <c r="L4032" i="12"/>
  <c r="L4033" i="12"/>
  <c r="L4034" i="12"/>
  <c r="L4035" i="12"/>
  <c r="L4036" i="12"/>
  <c r="L4037" i="12"/>
  <c r="L4038" i="12"/>
  <c r="L4039" i="12"/>
  <c r="L4040" i="12"/>
  <c r="L4041" i="12"/>
  <c r="L4042" i="12"/>
  <c r="L4043" i="12"/>
  <c r="L4044" i="12"/>
  <c r="L4045" i="12"/>
  <c r="L4046" i="12"/>
  <c r="L4047" i="12"/>
  <c r="L4048" i="12"/>
  <c r="L4049" i="12"/>
  <c r="L4050" i="12"/>
  <c r="L4051" i="12"/>
  <c r="L4052" i="12"/>
  <c r="L4053" i="12"/>
  <c r="L4054" i="12"/>
  <c r="L4055" i="12"/>
  <c r="L4056" i="12"/>
  <c r="L4057" i="12"/>
  <c r="L4058" i="12"/>
  <c r="L4059" i="12"/>
  <c r="L4060" i="12"/>
  <c r="L4061" i="12"/>
  <c r="L4062" i="12"/>
  <c r="L4063" i="12"/>
  <c r="L4064" i="12"/>
  <c r="L4065" i="12"/>
  <c r="L4066" i="12"/>
  <c r="L4067" i="12"/>
  <c r="L4068" i="12"/>
  <c r="L4069" i="12"/>
  <c r="L4070" i="12"/>
  <c r="L4071" i="12"/>
  <c r="L4072" i="12"/>
  <c r="L4073" i="12"/>
  <c r="L4074" i="12"/>
  <c r="L4075" i="12"/>
  <c r="L4076" i="12"/>
  <c r="L4077" i="12"/>
  <c r="L4078" i="12"/>
  <c r="L4079" i="12"/>
  <c r="L4080" i="12"/>
  <c r="L4081" i="12"/>
  <c r="L4082" i="12"/>
  <c r="L4083" i="12"/>
  <c r="L4084" i="12"/>
  <c r="L4085" i="12"/>
  <c r="L4086" i="12"/>
  <c r="L4087" i="12"/>
  <c r="L4088" i="12"/>
  <c r="L4089" i="12"/>
  <c r="L4090" i="12"/>
  <c r="L4091" i="12"/>
  <c r="L4092" i="12"/>
  <c r="L4093" i="12"/>
  <c r="L4094" i="12"/>
  <c r="L4095" i="12"/>
  <c r="L4096" i="12"/>
  <c r="L4097" i="12"/>
  <c r="L4098" i="12"/>
  <c r="L4099" i="12"/>
  <c r="L4100" i="12"/>
  <c r="L4101" i="12"/>
  <c r="L4102" i="12"/>
  <c r="L4103" i="12"/>
  <c r="L4104" i="12"/>
  <c r="L4105" i="12"/>
  <c r="L4106" i="12"/>
  <c r="L4107" i="12"/>
  <c r="L4108" i="12"/>
  <c r="L4109" i="12"/>
  <c r="L4110" i="12"/>
  <c r="L4111" i="12"/>
  <c r="L4112" i="12"/>
  <c r="L4113" i="12"/>
  <c r="L4114" i="12"/>
  <c r="L4115" i="12"/>
  <c r="L4116" i="12"/>
  <c r="L4117" i="12"/>
  <c r="L4118" i="12"/>
  <c r="L4119" i="12"/>
  <c r="L4120" i="12"/>
  <c r="L4121" i="12"/>
  <c r="L4122" i="12"/>
  <c r="L4123" i="12"/>
  <c r="L4124" i="12"/>
  <c r="L4125" i="12"/>
  <c r="L4126" i="12"/>
  <c r="L4127" i="12"/>
  <c r="L4128" i="12"/>
  <c r="L4129" i="12"/>
  <c r="L4130" i="12"/>
  <c r="L4131" i="12"/>
  <c r="L4132" i="12"/>
  <c r="L4133" i="12"/>
  <c r="L4134" i="12"/>
  <c r="L4135" i="12"/>
  <c r="L4136" i="12"/>
  <c r="L4137" i="12"/>
  <c r="L4138" i="12"/>
  <c r="L4139" i="12"/>
  <c r="L4140" i="12"/>
  <c r="L4141" i="12"/>
  <c r="L4142" i="12"/>
  <c r="L4143" i="12"/>
  <c r="L4144" i="12"/>
  <c r="L4145" i="12"/>
  <c r="L4146" i="12"/>
  <c r="L4147" i="12"/>
  <c r="L4148" i="12"/>
  <c r="L4149" i="12"/>
  <c r="L4150" i="12"/>
  <c r="L4151" i="12"/>
  <c r="L4152" i="12"/>
  <c r="L4153" i="12"/>
  <c r="L4154" i="12"/>
  <c r="L4155" i="12"/>
  <c r="L4156" i="12"/>
  <c r="L4157" i="12"/>
  <c r="L4158" i="12"/>
  <c r="L4159" i="12"/>
  <c r="L4160" i="12"/>
  <c r="L4161" i="12"/>
  <c r="L4162" i="12"/>
  <c r="L4163" i="12"/>
  <c r="L4164" i="12"/>
  <c r="L4165" i="12"/>
  <c r="L4166" i="12"/>
  <c r="L4167" i="12"/>
  <c r="L4168" i="12"/>
  <c r="L4169" i="12"/>
  <c r="L4170" i="12"/>
  <c r="L4171" i="12"/>
  <c r="L4172" i="12"/>
  <c r="L4173" i="12"/>
  <c r="L4174" i="12"/>
  <c r="L4175" i="12"/>
  <c r="L4176" i="12"/>
  <c r="L4177" i="12"/>
  <c r="L4178" i="12"/>
  <c r="L4179" i="12"/>
  <c r="L4180" i="12"/>
  <c r="L4181" i="12"/>
  <c r="L4182" i="12"/>
  <c r="L4183" i="12"/>
  <c r="L4184" i="12"/>
  <c r="L4185" i="12"/>
  <c r="L4186" i="12"/>
  <c r="L4187" i="12"/>
  <c r="L4188" i="12"/>
  <c r="L4189" i="12"/>
  <c r="L4190" i="12"/>
  <c r="L4191" i="12"/>
  <c r="L4192" i="12"/>
  <c r="L4193" i="12"/>
  <c r="L4194" i="12"/>
  <c r="L4195" i="12"/>
  <c r="L4196" i="12"/>
  <c r="L4197" i="12"/>
  <c r="L4198" i="12"/>
  <c r="L4199" i="12"/>
  <c r="L4200" i="12"/>
  <c r="L4201" i="12"/>
  <c r="L4202" i="12"/>
  <c r="L4203" i="12"/>
  <c r="L4204" i="12"/>
  <c r="L4205" i="12"/>
  <c r="L4206" i="12"/>
  <c r="L4207" i="12"/>
  <c r="L4208" i="12"/>
  <c r="L4209" i="12"/>
  <c r="L4210" i="12"/>
  <c r="L4211" i="12"/>
  <c r="L4212" i="12"/>
  <c r="L4213" i="12"/>
  <c r="L4214" i="12"/>
  <c r="L4215" i="12"/>
  <c r="L4216" i="12"/>
  <c r="L4217" i="12"/>
  <c r="L4218" i="12"/>
  <c r="L4219" i="12"/>
  <c r="L4220" i="12"/>
  <c r="L4221" i="12"/>
  <c r="L4222" i="12"/>
  <c r="L4223" i="12"/>
  <c r="L4224" i="12"/>
  <c r="L4225" i="12"/>
  <c r="L4226" i="12"/>
  <c r="L4227" i="12"/>
  <c r="L4228" i="12"/>
  <c r="L4229" i="12"/>
  <c r="L4230" i="12"/>
  <c r="L4231" i="12"/>
  <c r="L4232" i="12"/>
  <c r="L4233" i="12"/>
  <c r="L4234" i="12"/>
  <c r="L4235" i="12"/>
  <c r="L4236" i="12"/>
  <c r="L4237" i="12"/>
  <c r="L4238" i="12"/>
  <c r="L4239" i="12"/>
  <c r="L4240" i="12"/>
  <c r="L4241" i="12"/>
  <c r="L4242" i="12"/>
  <c r="L4243" i="12"/>
  <c r="L4244" i="12"/>
  <c r="L4245" i="12"/>
  <c r="L4246" i="12"/>
  <c r="L4247" i="12"/>
  <c r="L4248" i="12"/>
  <c r="L4249" i="12"/>
  <c r="L4250" i="12"/>
  <c r="L4251" i="12"/>
  <c r="L4252" i="12"/>
  <c r="L4253" i="12"/>
  <c r="L4254" i="12"/>
  <c r="L4255" i="12"/>
  <c r="L4256" i="12"/>
  <c r="L4257" i="12"/>
  <c r="L4258" i="12"/>
  <c r="L4259" i="12"/>
  <c r="L4260" i="12"/>
  <c r="L4261" i="12"/>
  <c r="L4262" i="12"/>
  <c r="L4263" i="12"/>
  <c r="L4264" i="12"/>
  <c r="L4265" i="12"/>
  <c r="L4266" i="12"/>
  <c r="L4267" i="12"/>
  <c r="L4268" i="12"/>
  <c r="L4269" i="12"/>
  <c r="L4270" i="12"/>
  <c r="L4271" i="12"/>
  <c r="L4272" i="12"/>
  <c r="L4273" i="12"/>
  <c r="L4274" i="12"/>
  <c r="L4275" i="12"/>
  <c r="L4276" i="12"/>
  <c r="L4277" i="12"/>
  <c r="L4278" i="12"/>
  <c r="L4279" i="12"/>
  <c r="L4280" i="12"/>
  <c r="L4281" i="12"/>
  <c r="L4282" i="12"/>
  <c r="L4283" i="12"/>
  <c r="L4284" i="12"/>
  <c r="L4285" i="12"/>
  <c r="L4286" i="12"/>
  <c r="L4287" i="12"/>
  <c r="L4288" i="12"/>
  <c r="L4289" i="12"/>
  <c r="L4290" i="12"/>
  <c r="L4291" i="12"/>
  <c r="L4292" i="12"/>
  <c r="L4293" i="12"/>
  <c r="L4294" i="12"/>
  <c r="L4295" i="12"/>
  <c r="L4296" i="12"/>
  <c r="L4297" i="12"/>
  <c r="L4298" i="12"/>
  <c r="L4299" i="12"/>
  <c r="L4300" i="12"/>
  <c r="L4301" i="12"/>
  <c r="L4302" i="12"/>
  <c r="L4303" i="12"/>
  <c r="L4304" i="12"/>
  <c r="L4305" i="12"/>
  <c r="L4306" i="12"/>
  <c r="L4307" i="12"/>
  <c r="L4308" i="12"/>
  <c r="L4309" i="12"/>
  <c r="L4310" i="12"/>
  <c r="L4311" i="12"/>
  <c r="L4312" i="12"/>
  <c r="L4313" i="12"/>
  <c r="L4314" i="12"/>
  <c r="L4315" i="12"/>
  <c r="L4316" i="12"/>
  <c r="L4317" i="12"/>
  <c r="L4318" i="12"/>
  <c r="L4319" i="12"/>
  <c r="L4320" i="12"/>
  <c r="L4321" i="12"/>
  <c r="L4322" i="12"/>
  <c r="L4323" i="12"/>
  <c r="L4324" i="12"/>
  <c r="L4325" i="12"/>
  <c r="L4326" i="12"/>
  <c r="L4327" i="12"/>
  <c r="L4328" i="12"/>
  <c r="L4329" i="12"/>
  <c r="L4330" i="12"/>
  <c r="L4331" i="12"/>
  <c r="L4332" i="12"/>
  <c r="L4333" i="12"/>
  <c r="L4334" i="12"/>
  <c r="L4335" i="12"/>
  <c r="L4336" i="12"/>
  <c r="L4337" i="12"/>
  <c r="L4338" i="12"/>
  <c r="L4339" i="12"/>
  <c r="L4340" i="12"/>
  <c r="L4341" i="12"/>
  <c r="L4342" i="12"/>
  <c r="L4343" i="12"/>
  <c r="L4344" i="12"/>
  <c r="L4345" i="12"/>
  <c r="L4346" i="12"/>
  <c r="L4347" i="12"/>
  <c r="L4348" i="12"/>
  <c r="L4349" i="12"/>
  <c r="L4350" i="12"/>
  <c r="L4351" i="12"/>
  <c r="L4352" i="12"/>
  <c r="L4353" i="12"/>
  <c r="L4354" i="12"/>
  <c r="L4355" i="12"/>
  <c r="L4356" i="12"/>
  <c r="L4357" i="12"/>
  <c r="L4358" i="12"/>
  <c r="L4359" i="12"/>
  <c r="L4360" i="12"/>
  <c r="L4361" i="12"/>
  <c r="L4362" i="12"/>
  <c r="L4363" i="12"/>
  <c r="L4364" i="12"/>
  <c r="L4365" i="12"/>
  <c r="L4366" i="12"/>
  <c r="L4367" i="12"/>
  <c r="L4368" i="12"/>
  <c r="L4369" i="12"/>
  <c r="L4370" i="12"/>
  <c r="L4371" i="12"/>
  <c r="L4372" i="12"/>
  <c r="L4373" i="12"/>
  <c r="L4374" i="12"/>
  <c r="L4375" i="12"/>
  <c r="L4376" i="12"/>
  <c r="L4377" i="12"/>
  <c r="L4378" i="12"/>
  <c r="L4379" i="12"/>
  <c r="L4380" i="12"/>
  <c r="L4381" i="12"/>
  <c r="L4382" i="12"/>
  <c r="L4383" i="12"/>
  <c r="L4384" i="12"/>
  <c r="L4385" i="12"/>
  <c r="L4386" i="12"/>
  <c r="L4387" i="12"/>
  <c r="L4388" i="12"/>
  <c r="L4389" i="12"/>
  <c r="L4390" i="12"/>
  <c r="L4391" i="12"/>
  <c r="L4392" i="12"/>
  <c r="L4393" i="12"/>
  <c r="L4394" i="12"/>
  <c r="L4395" i="12"/>
  <c r="L4396" i="12"/>
  <c r="L4397" i="12"/>
  <c r="L4398" i="12"/>
  <c r="L4399" i="12"/>
  <c r="L4400" i="12"/>
  <c r="L4401" i="12"/>
  <c r="L4402" i="12"/>
  <c r="L4403" i="12"/>
  <c r="L4404" i="12"/>
  <c r="L4405" i="12"/>
  <c r="L4406" i="12"/>
  <c r="L4407" i="12"/>
  <c r="L4408" i="12"/>
  <c r="L4409" i="12"/>
  <c r="L4410" i="12"/>
  <c r="L4411" i="12"/>
  <c r="L4412" i="12"/>
  <c r="L4413" i="12"/>
  <c r="L4414" i="12"/>
  <c r="L4415" i="12"/>
  <c r="L4416" i="12"/>
  <c r="L4417" i="12"/>
  <c r="L4418" i="12"/>
  <c r="L4419" i="12"/>
  <c r="L4420" i="12"/>
  <c r="L4421" i="12"/>
  <c r="L4422" i="12"/>
  <c r="L4423" i="12"/>
  <c r="L4424" i="12"/>
  <c r="L4425" i="12"/>
  <c r="L4426" i="12"/>
  <c r="L4427" i="12"/>
  <c r="L4428" i="12"/>
  <c r="L4429" i="12"/>
  <c r="L4430" i="12"/>
  <c r="L4431" i="12"/>
  <c r="L4432" i="12"/>
  <c r="L4433" i="12"/>
  <c r="L4434" i="12"/>
  <c r="L4435" i="12"/>
  <c r="L4436" i="12"/>
  <c r="L4437" i="12"/>
  <c r="L4438" i="12"/>
  <c r="L4439" i="12"/>
  <c r="L4440" i="12"/>
  <c r="L4441" i="12"/>
  <c r="L4442" i="12"/>
  <c r="L4443" i="12"/>
  <c r="L4444" i="12"/>
  <c r="L4445" i="12"/>
  <c r="L4446" i="12"/>
  <c r="L4447" i="12"/>
  <c r="L4448" i="12"/>
  <c r="L4449" i="12"/>
  <c r="L4450" i="12"/>
  <c r="L4451" i="12"/>
  <c r="L4452" i="12"/>
  <c r="L4453" i="12"/>
  <c r="L4454" i="12"/>
  <c r="L4455" i="12"/>
  <c r="L4456" i="12"/>
  <c r="L4457" i="12"/>
  <c r="L4458" i="12"/>
  <c r="L4459" i="12"/>
  <c r="L4460" i="12"/>
  <c r="L4461" i="12"/>
  <c r="L4462" i="12"/>
  <c r="L4463" i="12"/>
  <c r="L4464" i="12"/>
  <c r="L4465" i="12"/>
  <c r="L4466" i="12"/>
  <c r="L4467" i="12"/>
  <c r="L4468" i="12"/>
  <c r="L4469" i="12"/>
  <c r="L4470" i="12"/>
  <c r="L4471" i="12"/>
  <c r="L4472" i="12"/>
  <c r="L4473" i="12"/>
  <c r="L4474" i="12"/>
  <c r="L4475" i="12"/>
  <c r="L4476" i="12"/>
  <c r="L4477" i="12"/>
  <c r="L4478" i="12"/>
  <c r="L4479" i="12"/>
  <c r="L4480" i="12"/>
  <c r="L4481" i="12"/>
  <c r="L4482" i="12"/>
  <c r="L4483" i="12"/>
  <c r="L4484" i="12"/>
  <c r="L4485" i="12"/>
  <c r="L4486" i="12"/>
  <c r="L4487" i="12"/>
  <c r="L4488" i="12"/>
  <c r="L4489" i="12"/>
  <c r="L4490" i="12"/>
  <c r="L4491" i="12"/>
  <c r="L4492" i="12"/>
  <c r="L4493" i="12"/>
  <c r="L4494" i="12"/>
  <c r="L4495" i="12"/>
  <c r="L4496" i="12"/>
  <c r="L4497" i="12"/>
  <c r="L4498" i="12"/>
  <c r="L4499" i="12"/>
  <c r="L4500" i="12"/>
  <c r="L4501" i="12"/>
  <c r="L4502" i="12"/>
  <c r="L4503" i="12"/>
  <c r="L4504" i="12"/>
  <c r="L4505" i="12"/>
  <c r="L4506" i="12"/>
  <c r="L4507" i="12"/>
  <c r="L4508" i="12"/>
  <c r="L4509" i="12"/>
  <c r="L4510" i="12"/>
  <c r="L4511" i="12"/>
  <c r="L4512" i="12"/>
  <c r="L4513" i="12"/>
  <c r="L4514" i="12"/>
  <c r="L4515" i="12"/>
  <c r="L4516" i="12"/>
  <c r="L4517" i="12"/>
  <c r="L4518" i="12"/>
  <c r="L4519" i="12"/>
  <c r="L4520" i="12"/>
  <c r="L4521" i="12"/>
  <c r="L4522" i="12"/>
  <c r="L4523" i="12"/>
  <c r="L4524" i="12"/>
  <c r="L4525" i="12"/>
  <c r="L4526" i="12"/>
  <c r="L4527" i="12"/>
  <c r="L4528" i="12"/>
  <c r="L4529" i="12"/>
  <c r="L4530" i="12"/>
  <c r="L4531" i="12"/>
  <c r="L4532" i="12"/>
  <c r="L4533" i="12"/>
  <c r="L4534" i="12"/>
  <c r="L4535" i="12"/>
  <c r="L4536" i="12"/>
  <c r="L4537" i="12"/>
  <c r="L4538" i="12"/>
  <c r="L4539" i="12"/>
  <c r="L4540" i="12"/>
  <c r="L4541" i="12"/>
  <c r="L4542" i="12"/>
  <c r="L4543" i="12"/>
  <c r="L4544" i="12"/>
  <c r="L4545" i="12"/>
  <c r="L4546" i="12"/>
  <c r="L4547" i="12"/>
  <c r="L4548" i="12"/>
  <c r="L4549" i="12"/>
  <c r="L4550" i="12"/>
  <c r="L4551" i="12"/>
  <c r="L4552" i="12"/>
  <c r="L4553" i="12"/>
  <c r="L4554" i="12"/>
  <c r="L4555" i="12"/>
  <c r="L4556" i="12"/>
  <c r="L4557" i="12"/>
  <c r="L4558" i="12"/>
  <c r="L4559" i="12"/>
  <c r="L4560" i="12"/>
  <c r="L4561" i="12"/>
  <c r="L4562" i="12"/>
  <c r="L4563" i="12"/>
  <c r="L4564" i="12"/>
  <c r="L4565" i="12"/>
  <c r="L4566" i="12"/>
  <c r="L4567" i="12"/>
  <c r="L4568" i="12"/>
  <c r="L4569" i="12"/>
  <c r="L4570" i="12"/>
  <c r="L4571" i="12"/>
  <c r="L4572" i="12"/>
  <c r="L4573" i="12"/>
  <c r="L4574" i="12"/>
  <c r="L4575" i="12"/>
  <c r="L4576" i="12"/>
  <c r="L4577" i="12"/>
  <c r="L4578" i="12"/>
  <c r="L4579" i="12"/>
  <c r="L4580" i="12"/>
  <c r="L4581" i="12"/>
  <c r="L4582" i="12"/>
  <c r="L4583" i="12"/>
  <c r="L4584" i="12"/>
  <c r="L4585" i="12"/>
  <c r="L4586" i="12"/>
  <c r="L4587" i="12"/>
  <c r="L4588" i="12"/>
  <c r="L4589" i="12"/>
  <c r="L4590" i="12"/>
  <c r="L4591" i="12"/>
  <c r="L4592" i="12"/>
  <c r="L4593" i="12"/>
  <c r="L4594" i="12"/>
  <c r="L4595" i="12"/>
  <c r="L4596" i="12"/>
  <c r="L4597" i="12"/>
  <c r="L4598" i="12"/>
  <c r="L4599" i="12"/>
  <c r="L4600" i="12"/>
  <c r="L4601" i="12"/>
  <c r="L4602" i="12"/>
  <c r="L4603" i="12"/>
  <c r="L4604" i="12"/>
  <c r="L4605" i="12"/>
  <c r="L4606" i="12"/>
  <c r="L4607" i="12"/>
  <c r="L4608" i="12"/>
  <c r="L4609" i="12"/>
  <c r="L4610" i="12"/>
  <c r="L4611" i="12"/>
  <c r="L4612" i="12"/>
  <c r="L4613" i="12"/>
  <c r="L4614" i="12"/>
  <c r="L4615" i="12"/>
  <c r="L4616" i="12"/>
  <c r="L4617" i="12"/>
  <c r="L4618" i="12"/>
  <c r="L4619" i="12"/>
  <c r="L4620" i="12"/>
  <c r="L4621" i="12"/>
  <c r="L4622" i="12"/>
  <c r="L4623" i="12"/>
  <c r="L4624" i="12"/>
  <c r="L4625" i="12"/>
  <c r="L4626" i="12"/>
  <c r="L4627" i="12"/>
  <c r="L4628" i="12"/>
  <c r="L4629" i="12"/>
  <c r="L4630" i="12"/>
  <c r="L4631" i="12"/>
  <c r="L4632" i="12"/>
  <c r="L4633" i="12"/>
  <c r="L4634" i="12"/>
  <c r="L4635" i="12"/>
  <c r="L4636" i="12"/>
  <c r="L4637" i="12"/>
  <c r="L4638" i="12"/>
  <c r="L4639" i="12"/>
  <c r="L4640" i="12"/>
  <c r="L4641" i="12"/>
  <c r="L4642" i="12"/>
  <c r="L4643" i="12"/>
  <c r="L4644" i="12"/>
  <c r="L4645" i="12"/>
  <c r="L4646" i="12"/>
  <c r="L4647" i="12"/>
  <c r="L4648" i="12"/>
  <c r="L4649" i="12"/>
  <c r="L4650" i="12"/>
  <c r="L4651" i="12"/>
  <c r="L4652" i="12"/>
  <c r="L4653" i="12"/>
  <c r="L4654" i="12"/>
  <c r="L4655" i="12"/>
  <c r="L4656" i="12"/>
  <c r="L4657" i="12"/>
  <c r="L4658" i="12"/>
  <c r="L4659" i="12"/>
  <c r="L4660" i="12"/>
  <c r="L4661" i="12"/>
  <c r="L4662" i="12"/>
  <c r="L4663" i="12"/>
  <c r="L4664" i="12"/>
  <c r="L4665" i="12"/>
  <c r="L4666" i="12"/>
  <c r="L4667" i="12"/>
  <c r="L4668" i="12"/>
  <c r="L4669" i="12"/>
  <c r="L4670" i="12"/>
  <c r="L4671" i="12"/>
  <c r="L4672" i="12"/>
  <c r="L4673" i="12"/>
  <c r="L4674" i="12"/>
  <c r="L4675" i="12"/>
  <c r="L4676" i="12"/>
  <c r="L4677" i="12"/>
  <c r="L4678" i="12"/>
  <c r="L4679" i="12"/>
  <c r="L4680" i="12"/>
  <c r="L4681" i="12"/>
  <c r="L4682" i="12"/>
  <c r="L4683" i="12"/>
  <c r="L4684" i="12"/>
  <c r="L4685" i="12"/>
  <c r="L4686" i="12"/>
  <c r="L4687" i="12"/>
  <c r="L4688" i="12"/>
  <c r="L4689" i="12"/>
  <c r="L4690" i="12"/>
  <c r="L4691" i="12"/>
  <c r="L4692" i="12"/>
  <c r="L4693" i="12"/>
  <c r="L4694" i="12"/>
  <c r="L4695" i="12"/>
  <c r="L4696" i="12"/>
  <c r="L4697" i="12"/>
  <c r="L4698" i="12"/>
  <c r="L4699" i="12"/>
  <c r="L4700" i="12"/>
  <c r="L4701" i="12"/>
  <c r="L4702" i="12"/>
  <c r="L4703" i="12"/>
  <c r="L4704" i="12"/>
  <c r="L4705" i="12"/>
  <c r="L4706" i="12"/>
  <c r="L4707" i="12"/>
  <c r="L4708" i="12"/>
  <c r="L4709" i="12"/>
  <c r="L4710" i="12"/>
  <c r="L4711" i="12"/>
  <c r="L4712" i="12"/>
  <c r="L4713" i="12"/>
  <c r="L4714" i="12"/>
  <c r="L4715" i="12"/>
  <c r="L4716" i="12"/>
  <c r="L4717" i="12"/>
  <c r="L4718" i="12"/>
  <c r="L4719" i="12"/>
  <c r="L4720" i="12"/>
  <c r="L4721" i="12"/>
  <c r="L4722" i="12"/>
  <c r="L4723" i="12"/>
  <c r="L4724" i="12"/>
  <c r="L4725" i="12"/>
  <c r="L4726" i="12"/>
  <c r="L4727" i="12"/>
  <c r="L4728" i="12"/>
  <c r="L4729" i="12"/>
  <c r="L4730" i="12"/>
  <c r="L4731" i="12"/>
  <c r="L4732" i="12"/>
  <c r="L4733" i="12"/>
  <c r="L4734" i="12"/>
  <c r="L4735" i="12"/>
  <c r="L4736" i="12"/>
  <c r="L4737" i="12"/>
  <c r="L4738" i="12"/>
  <c r="L4739" i="12"/>
  <c r="L4740" i="12"/>
  <c r="L4741" i="12"/>
  <c r="L4742" i="12"/>
  <c r="L4743" i="12"/>
  <c r="L4744" i="12"/>
  <c r="L4745" i="12"/>
  <c r="L4746" i="12"/>
  <c r="L4747" i="12"/>
  <c r="L4748" i="12"/>
  <c r="L4749" i="12"/>
  <c r="L4750" i="12"/>
  <c r="L4751" i="12"/>
  <c r="L4752" i="12"/>
  <c r="L4753" i="12"/>
  <c r="L4754" i="12"/>
  <c r="L4755" i="12"/>
  <c r="L4756" i="12"/>
  <c r="L4757" i="12"/>
  <c r="L4758" i="12"/>
  <c r="L4759" i="12"/>
  <c r="L4760" i="12"/>
  <c r="L4761" i="12"/>
  <c r="L4762" i="12"/>
  <c r="L4763" i="12"/>
  <c r="L4764" i="12"/>
  <c r="L4765" i="12"/>
  <c r="L4766" i="12"/>
  <c r="L4767" i="12"/>
  <c r="L4768" i="12"/>
  <c r="L4769" i="12"/>
  <c r="L4770" i="12"/>
  <c r="L4771" i="12"/>
  <c r="L4772" i="12"/>
  <c r="L4773" i="12"/>
  <c r="L4774" i="12"/>
  <c r="L4775" i="12"/>
  <c r="L4776" i="12"/>
  <c r="L4777" i="12"/>
  <c r="L4778" i="12"/>
  <c r="L4779" i="12"/>
  <c r="L4780" i="12"/>
  <c r="L4781" i="12"/>
  <c r="L4782" i="12"/>
  <c r="L4783" i="12"/>
  <c r="L4784" i="12"/>
  <c r="L4785" i="12"/>
  <c r="L4786" i="12"/>
  <c r="L4787" i="12"/>
  <c r="L4788" i="12"/>
  <c r="L4789" i="12"/>
  <c r="L4790" i="12"/>
  <c r="L4791" i="12"/>
  <c r="L4792" i="12"/>
  <c r="L4793" i="12"/>
  <c r="L4794" i="12"/>
  <c r="L4795" i="12"/>
  <c r="L4796" i="12"/>
  <c r="L4797" i="12"/>
  <c r="L4798" i="12"/>
  <c r="L4799" i="12"/>
  <c r="L4800" i="12"/>
  <c r="L4801" i="12"/>
  <c r="L4802" i="12"/>
  <c r="L4803" i="12"/>
  <c r="L4804" i="12"/>
  <c r="L4805" i="12"/>
  <c r="L4806" i="12"/>
  <c r="L4807" i="12"/>
  <c r="L4808" i="12"/>
  <c r="L4809" i="12"/>
  <c r="L4810" i="12"/>
  <c r="L4811" i="12"/>
  <c r="L4812" i="12"/>
  <c r="L4813" i="12"/>
  <c r="L4814" i="12"/>
  <c r="L4815" i="12"/>
  <c r="L4816" i="12"/>
  <c r="L4817" i="12"/>
  <c r="L4818" i="12"/>
  <c r="L4819" i="12"/>
  <c r="L4820" i="12"/>
  <c r="L4821" i="12"/>
  <c r="L4822" i="12"/>
  <c r="L4823" i="12"/>
  <c r="L4824" i="12"/>
  <c r="L4825" i="12"/>
  <c r="L4826" i="12"/>
  <c r="L4827" i="12"/>
  <c r="L4828" i="12"/>
  <c r="L4829" i="12"/>
  <c r="L4830" i="12"/>
  <c r="L4831" i="12"/>
  <c r="L4832" i="12"/>
  <c r="L4833" i="12"/>
  <c r="L4834" i="12"/>
  <c r="L4835" i="12"/>
  <c r="L4836" i="12"/>
  <c r="L4837" i="12"/>
  <c r="L4838" i="12"/>
  <c r="L4839" i="12"/>
  <c r="L4840" i="12"/>
  <c r="L4841" i="12"/>
  <c r="L4842" i="12"/>
  <c r="L4843" i="12"/>
  <c r="L4844" i="12"/>
  <c r="L4845" i="12"/>
  <c r="L4846" i="12"/>
  <c r="L4847" i="12"/>
  <c r="L4848" i="12"/>
  <c r="L4849" i="12"/>
  <c r="L4850" i="12"/>
  <c r="L4851" i="12"/>
  <c r="L4852" i="12"/>
  <c r="L4853" i="12"/>
  <c r="L4854" i="12"/>
  <c r="L4855" i="12"/>
  <c r="L4856" i="12"/>
  <c r="L4857" i="12"/>
  <c r="L4858" i="12"/>
  <c r="L4859" i="12"/>
  <c r="L4860" i="12"/>
  <c r="L4861" i="12"/>
  <c r="L4862" i="12"/>
  <c r="L4863" i="12"/>
  <c r="L4864" i="12"/>
  <c r="L4865" i="12"/>
  <c r="L4866" i="12"/>
  <c r="L4867" i="12"/>
  <c r="L4868" i="12"/>
  <c r="L4869" i="12"/>
  <c r="L4870" i="12"/>
  <c r="L4871" i="12"/>
  <c r="L4872" i="12"/>
  <c r="L4873" i="12"/>
  <c r="L4874" i="12"/>
  <c r="L4875" i="12"/>
  <c r="L4876" i="12"/>
  <c r="L4877" i="12"/>
  <c r="L4878" i="12"/>
  <c r="L4879" i="12"/>
  <c r="L4880" i="12"/>
  <c r="L4881" i="12"/>
  <c r="L4882" i="12"/>
  <c r="L4883" i="12"/>
  <c r="L4884" i="12"/>
  <c r="L4885" i="12"/>
  <c r="L4886" i="12"/>
  <c r="L4887" i="12"/>
  <c r="L4888" i="12"/>
  <c r="L4889" i="12"/>
  <c r="L4890" i="12"/>
  <c r="L4891" i="12"/>
  <c r="L4892" i="12"/>
  <c r="L4893" i="12"/>
  <c r="L4894" i="12"/>
  <c r="L4895" i="12"/>
  <c r="L4896" i="12"/>
  <c r="L4897" i="12"/>
  <c r="L4898" i="12"/>
  <c r="L4899" i="12"/>
  <c r="L4900" i="12"/>
  <c r="L4901" i="12"/>
  <c r="L4902" i="12"/>
  <c r="L4903" i="12"/>
  <c r="L4904" i="12"/>
  <c r="L4905" i="12"/>
  <c r="L4906" i="12"/>
  <c r="L4907" i="12"/>
  <c r="L4908" i="12"/>
  <c r="L4909" i="12"/>
  <c r="L4910" i="12"/>
  <c r="L4911" i="12"/>
  <c r="L4912" i="12"/>
  <c r="L4913" i="12"/>
  <c r="L4914" i="12"/>
  <c r="L4915" i="12"/>
  <c r="L4916" i="12"/>
  <c r="L4917" i="12"/>
  <c r="L4918" i="12"/>
  <c r="L4919" i="12"/>
  <c r="L4920" i="12"/>
  <c r="L4921" i="12"/>
  <c r="L4922" i="12"/>
  <c r="L4923" i="12"/>
  <c r="L4924" i="12"/>
  <c r="L4925" i="12"/>
  <c r="L4926" i="12"/>
  <c r="L4927" i="12"/>
  <c r="L4928" i="12"/>
  <c r="L4929" i="12"/>
  <c r="L4930" i="12"/>
  <c r="L4931" i="12"/>
  <c r="L4932" i="12"/>
  <c r="L4933" i="12"/>
  <c r="L2" i="12"/>
  <c r="G2" i="12"/>
</calcChain>
</file>

<file path=xl/sharedStrings.xml><?xml version="1.0" encoding="utf-8"?>
<sst xmlns="http://schemas.openxmlformats.org/spreadsheetml/2006/main" count="15770" uniqueCount="619">
  <si>
    <t>Torre</t>
  </si>
  <si>
    <t>Tipo</t>
  </si>
  <si>
    <t>Modelo</t>
  </si>
  <si>
    <t>Número de Serie</t>
  </si>
  <si>
    <t>Descripción</t>
  </si>
  <si>
    <t>Valor Bruto del Activo</t>
  </si>
  <si>
    <t>Nuevo o Usado</t>
  </si>
  <si>
    <t>Medio</t>
  </si>
  <si>
    <t xml:space="preserve">710 </t>
  </si>
  <si>
    <t>0000667</t>
  </si>
  <si>
    <t xml:space="preserve">TOTALSTORAGE FASTT EXP700                         </t>
  </si>
  <si>
    <t>Nuevo</t>
  </si>
  <si>
    <t xml:space="preserve">D1A </t>
  </si>
  <si>
    <t>00K1Y5X</t>
  </si>
  <si>
    <t xml:space="preserve">ASSIGN=EXP5000 EXPANSION UNIT                     </t>
  </si>
  <si>
    <t>78K1TPP</t>
  </si>
  <si>
    <t>78K1TPR</t>
  </si>
  <si>
    <t>78K1TPT</t>
  </si>
  <si>
    <t>78K1TPV</t>
  </si>
  <si>
    <t>78K1TPW</t>
  </si>
  <si>
    <t>78K1TPX</t>
  </si>
  <si>
    <t>Usado</t>
  </si>
  <si>
    <t>78K1TPY</t>
  </si>
  <si>
    <t>78K1TPZ</t>
  </si>
  <si>
    <t>78K1TR0</t>
  </si>
  <si>
    <t>78K1TR6</t>
  </si>
  <si>
    <t>78K1TR7</t>
  </si>
  <si>
    <t>78K1TR8</t>
  </si>
  <si>
    <t>78K1TR9</t>
  </si>
  <si>
    <t>78K1TRA</t>
  </si>
  <si>
    <t xml:space="preserve">CF8 </t>
  </si>
  <si>
    <t>00LRRMA</t>
  </si>
  <si>
    <t xml:space="preserve">SAN VOLUME CONTROLLER XSERIES                     </t>
  </si>
  <si>
    <t>00LTCFA</t>
  </si>
  <si>
    <t>00LTG0A</t>
  </si>
  <si>
    <t>75LRRMA</t>
  </si>
  <si>
    <t xml:space="preserve">D1B </t>
  </si>
  <si>
    <t>7803093</t>
  </si>
  <si>
    <t xml:space="preserve">ACHIVE'S MACHINE 2231                             </t>
  </si>
  <si>
    <t>7803094</t>
  </si>
  <si>
    <t>7803095</t>
  </si>
  <si>
    <t>7803096</t>
  </si>
  <si>
    <t>7803097</t>
  </si>
  <si>
    <t>7803098</t>
  </si>
  <si>
    <t xml:space="preserve">MC5 </t>
  </si>
  <si>
    <t>0012242</t>
  </si>
  <si>
    <t xml:space="preserve">SYSTEM STORAGE PRODUCT. CENTER                    </t>
  </si>
  <si>
    <t>0012419</t>
  </si>
  <si>
    <t>7512419</t>
  </si>
  <si>
    <t xml:space="preserve">M49 </t>
  </si>
  <si>
    <t>024DE82</t>
  </si>
  <si>
    <t xml:space="preserve">SYSTEM Z10 EC                                     </t>
  </si>
  <si>
    <t xml:space="preserve">L23 </t>
  </si>
  <si>
    <t>78A3328</t>
  </si>
  <si>
    <t xml:space="preserve">ULTRIUM ANACONDA LIBRARY                          </t>
  </si>
  <si>
    <t xml:space="preserve">D23 </t>
  </si>
  <si>
    <t>78D0282</t>
  </si>
  <si>
    <t>78D0528</t>
  </si>
  <si>
    <t>78D0632</t>
  </si>
  <si>
    <t>78D0637</t>
  </si>
  <si>
    <t>78D0974</t>
  </si>
  <si>
    <t xml:space="preserve">F05 </t>
  </si>
  <si>
    <t>7811917</t>
  </si>
  <si>
    <t xml:space="preserve">ASSIGN TAPE FRAME                                 </t>
  </si>
  <si>
    <t>7813534</t>
  </si>
  <si>
    <t>7813560</t>
  </si>
  <si>
    <t xml:space="preserve">CX7 </t>
  </si>
  <si>
    <t>00B3676</t>
  </si>
  <si>
    <t xml:space="preserve">TS7740 CACHE CONTROLLER                           </t>
  </si>
  <si>
    <t>00B3696</t>
  </si>
  <si>
    <t>00B3938</t>
  </si>
  <si>
    <t>00B3939</t>
  </si>
  <si>
    <t>00B3950</t>
  </si>
  <si>
    <t>00B3951</t>
  </si>
  <si>
    <t xml:space="preserve">V06 </t>
  </si>
  <si>
    <t>78H2829</t>
  </si>
  <si>
    <t xml:space="preserve">VIRTUALIZATION ENGINE TS7740                      </t>
  </si>
  <si>
    <t>78H2884</t>
  </si>
  <si>
    <t>78H2919</t>
  </si>
  <si>
    <t>Servicios</t>
  </si>
  <si>
    <t xml:space="preserve">AC1 </t>
  </si>
  <si>
    <t>KQ60W8R</t>
  </si>
  <si>
    <t xml:space="preserve">4252 AC1 - SERVER                                 </t>
  </si>
  <si>
    <t>KQ60W8T</t>
  </si>
  <si>
    <t>KQ60W8V</t>
  </si>
  <si>
    <t>KQ60W8W</t>
  </si>
  <si>
    <t>KQ60W8X</t>
  </si>
  <si>
    <t>KQYDBZH</t>
  </si>
  <si>
    <t xml:space="preserve">IBM SYSTEM X3650                                  </t>
  </si>
  <si>
    <t>TR00395</t>
  </si>
  <si>
    <t>Z809</t>
  </si>
  <si>
    <t xml:space="preserve">    </t>
  </si>
  <si>
    <t>TAAS199037324</t>
  </si>
  <si>
    <t xml:space="preserve">PANDUIT NET-ACCESS SWITCH CABINET                 </t>
  </si>
  <si>
    <t>Z810</t>
  </si>
  <si>
    <t>TAAS199037325</t>
  </si>
  <si>
    <t>Z811</t>
  </si>
  <si>
    <t>TAAS199037326</t>
  </si>
  <si>
    <t>Z812</t>
  </si>
  <si>
    <t>TAAS199037327</t>
  </si>
  <si>
    <t>Z813</t>
  </si>
  <si>
    <t>TAAS199037328</t>
  </si>
  <si>
    <t>Z814</t>
  </si>
  <si>
    <t>TAAS199037329</t>
  </si>
  <si>
    <t>Criterio</t>
  </si>
  <si>
    <t>Respuesta</t>
  </si>
  <si>
    <t>Valor Bruto de los Activos Nuevos</t>
  </si>
  <si>
    <t>Valor Bruto de los Activos Usados</t>
  </si>
  <si>
    <t>Total de activos con un valor menor a 10,000 USD cada uno</t>
  </si>
  <si>
    <t>Valor Bruto de todas las máquinas de la Torre Medio</t>
  </si>
  <si>
    <t>Activo de mayor valor</t>
  </si>
  <si>
    <t>Mes</t>
  </si>
  <si>
    <t>18 de Enero</t>
  </si>
  <si>
    <t>25 de Enero</t>
  </si>
  <si>
    <t>01 de Febrero</t>
  </si>
  <si>
    <t>08 de Febrero</t>
  </si>
  <si>
    <t>15 de Febrero</t>
  </si>
  <si>
    <t>22 de Febrero</t>
  </si>
  <si>
    <t>01 de Marzo</t>
  </si>
  <si>
    <t>Empresa</t>
  </si>
  <si>
    <t>Contacto</t>
  </si>
  <si>
    <t>Celular</t>
  </si>
  <si>
    <t>Teléfono</t>
  </si>
  <si>
    <t>Correo Electrónico</t>
  </si>
  <si>
    <t>Giro</t>
  </si>
  <si>
    <t>Vendedor</t>
  </si>
  <si>
    <t>Forma de Pago</t>
  </si>
  <si>
    <t>Precio</t>
  </si>
  <si>
    <t>Mesa</t>
  </si>
  <si>
    <t>Espacio</t>
  </si>
  <si>
    <t>Perforación</t>
  </si>
  <si>
    <t>A Long Asian Gourmet</t>
  </si>
  <si>
    <t>Aaron Disler</t>
  </si>
  <si>
    <t>a_long_asian_gourmet@yahoo.com</t>
  </si>
  <si>
    <t>Empanadas chinas, dumplings</t>
  </si>
  <si>
    <t>Banco</t>
  </si>
  <si>
    <t>Media</t>
  </si>
  <si>
    <t>18a</t>
  </si>
  <si>
    <t>4to de Baño</t>
  </si>
  <si>
    <t>Gabriela Jiménez</t>
  </si>
  <si>
    <t>gabiwork@hotmail.com</t>
  </si>
  <si>
    <t>jabones naturales, cepillos</t>
  </si>
  <si>
    <t>Efectivo</t>
  </si>
  <si>
    <t>Completa</t>
  </si>
  <si>
    <t>Transferencia</t>
  </si>
  <si>
    <t>30a</t>
  </si>
  <si>
    <t>5b</t>
  </si>
  <si>
    <t>AMO Cacao</t>
  </si>
  <si>
    <t>Fernel Bobadilla</t>
  </si>
  <si>
    <t>fernelbp@hotmail.com</t>
  </si>
  <si>
    <t>Chocolate.</t>
  </si>
  <si>
    <t>17b</t>
  </si>
  <si>
    <t>18b</t>
  </si>
  <si>
    <t>31a</t>
  </si>
  <si>
    <t>32b</t>
  </si>
  <si>
    <t>Angie Inzúa</t>
  </si>
  <si>
    <t>u2angie@hotmail.com</t>
  </si>
  <si>
    <t>collares hechos a mano</t>
  </si>
  <si>
    <t>13b</t>
  </si>
  <si>
    <t>Ángeles Queso</t>
  </si>
  <si>
    <t>mangelesmunoz@me.com</t>
  </si>
  <si>
    <t>Quesos, aderezos.</t>
  </si>
  <si>
    <t>3a</t>
  </si>
  <si>
    <t>11b</t>
  </si>
  <si>
    <t>13a</t>
  </si>
  <si>
    <t>31b</t>
  </si>
  <si>
    <t>Bambuk</t>
  </si>
  <si>
    <t>Santiago Álvarez</t>
  </si>
  <si>
    <t>alvarezv.santiago@gmail.com</t>
  </si>
  <si>
    <t>Fundas de madera para celular</t>
  </si>
  <si>
    <t>9b</t>
  </si>
  <si>
    <t>14a</t>
  </si>
  <si>
    <t>Armonía Magnética</t>
  </si>
  <si>
    <t>Pilar Ramírez</t>
  </si>
  <si>
    <t>armoniamagnetica@gmail.com</t>
  </si>
  <si>
    <t>20a</t>
  </si>
  <si>
    <t>Celestial</t>
  </si>
  <si>
    <t>Héctor Fajardo</t>
  </si>
  <si>
    <t>hectorfajardo1@icloud.com</t>
  </si>
  <si>
    <t>especias, pesto, aceite de oliva, sal de mar, tomate deshidratado</t>
  </si>
  <si>
    <t>3b</t>
  </si>
  <si>
    <t>10a</t>
  </si>
  <si>
    <t>Avogratto</t>
  </si>
  <si>
    <t>Lorena Ortiz</t>
  </si>
  <si>
    <t>lpatri1304@hotmail.com</t>
  </si>
  <si>
    <t>Aceite de aguacate.</t>
  </si>
  <si>
    <t>Anticipado</t>
  </si>
  <si>
    <t>17a</t>
  </si>
  <si>
    <t>14b</t>
  </si>
  <si>
    <t>Aura Rodriguez</t>
  </si>
  <si>
    <t>aura.xacnicte@gmail.com</t>
  </si>
  <si>
    <t>Pinturas</t>
  </si>
  <si>
    <t>21b</t>
  </si>
  <si>
    <t>28b</t>
  </si>
  <si>
    <t>Che Sen</t>
  </si>
  <si>
    <t>Martha Rojo de la Vega</t>
  </si>
  <si>
    <t>contacto.chesen@gmail.com</t>
  </si>
  <si>
    <t>granola, nueces</t>
  </si>
  <si>
    <t>5a</t>
  </si>
  <si>
    <t>Azafrán Boxes</t>
  </si>
  <si>
    <t>Leonardo Parra</t>
  </si>
  <si>
    <t>azafranboxes@gmail.com</t>
  </si>
  <si>
    <t>cajas fuertes en forma de libros</t>
  </si>
  <si>
    <t>Sofía</t>
  </si>
  <si>
    <t>pendiente</t>
  </si>
  <si>
    <t>20b</t>
  </si>
  <si>
    <t>Cosas para Gato</t>
  </si>
  <si>
    <t>Alejandra Montes de Oca</t>
  </si>
  <si>
    <t>cosasparagatos@gmail.com</t>
  </si>
  <si>
    <t>Artículos para mascotas</t>
  </si>
  <si>
    <t>Ninguna</t>
  </si>
  <si>
    <t>fundas de madera para celular</t>
  </si>
  <si>
    <t>Pendiente</t>
  </si>
  <si>
    <t>35a</t>
  </si>
  <si>
    <t>D'Talles y Bisutería</t>
  </si>
  <si>
    <t>Adrián Martínez</t>
  </si>
  <si>
    <t>dtalle@hotmail.com</t>
  </si>
  <si>
    <t>relojes, pulseras, llaveros, accesorios</t>
  </si>
  <si>
    <t>6b</t>
  </si>
  <si>
    <t>Bernardo Brocher</t>
  </si>
  <si>
    <t>barneybrocher@hotmail.com</t>
  </si>
  <si>
    <t>Empanadas y embutidos.</t>
  </si>
  <si>
    <t>11a</t>
  </si>
  <si>
    <t>Bio Zen</t>
  </si>
  <si>
    <t>Areli Arámbula</t>
  </si>
  <si>
    <t>karenalonsogarza@gmail.com</t>
  </si>
  <si>
    <t>Desodorante de piedra.</t>
  </si>
  <si>
    <t>Bambú</t>
  </si>
  <si>
    <t>Ofelia Fernández</t>
  </si>
  <si>
    <t>bambualmohadasterapeuticas@gmail.com</t>
  </si>
  <si>
    <t>Almohadas terapéuticas.</t>
  </si>
  <si>
    <t>Biorganicos FG</t>
  </si>
  <si>
    <t>Flor López Bon</t>
  </si>
  <si>
    <t>333 6622520</t>
  </si>
  <si>
    <t>biorganicosfg@gmail.com</t>
  </si>
  <si>
    <t>verduras orgánicas</t>
  </si>
  <si>
    <t>Den Maya Invernaderos</t>
  </si>
  <si>
    <t>Yesica Delgado Díaz</t>
  </si>
  <si>
    <t>yeska_27@hotmail.com</t>
  </si>
  <si>
    <t>Plantas, hierbas aromáticas, flores, árboles en maceta.</t>
  </si>
  <si>
    <t>Bitácora</t>
  </si>
  <si>
    <t>Mario de Santos</t>
  </si>
  <si>
    <t>mdesantosj@gmail.com</t>
  </si>
  <si>
    <t>Libretas</t>
  </si>
  <si>
    <t>8a</t>
  </si>
  <si>
    <t>19a</t>
  </si>
  <si>
    <t>Eclectic</t>
  </si>
  <si>
    <t>Osvaldo López</t>
  </si>
  <si>
    <t>osvaldo_flb@hotmail.com</t>
  </si>
  <si>
    <t>Playeras sublimadas</t>
  </si>
  <si>
    <t>Gonzalo</t>
  </si>
  <si>
    <t>Falta</t>
  </si>
  <si>
    <t>16a</t>
  </si>
  <si>
    <t>16b</t>
  </si>
  <si>
    <t>Biopiscinas</t>
  </si>
  <si>
    <t>Sandra Saldívar</t>
  </si>
  <si>
    <t>sandra.saldivar@gmail.com</t>
  </si>
  <si>
    <t>Sustituto de cloro para albercas y para desinfectar</t>
  </si>
  <si>
    <t>Intercambio</t>
  </si>
  <si>
    <t>34b</t>
  </si>
  <si>
    <t>Eclock</t>
  </si>
  <si>
    <t>Edgar Torres</t>
  </si>
  <si>
    <t>eclock.relojes@hotmail.com</t>
  </si>
  <si>
    <t>Relojes de madera</t>
  </si>
  <si>
    <t>9a</t>
  </si>
  <si>
    <t>32a</t>
  </si>
  <si>
    <t>Da Du Didactics</t>
  </si>
  <si>
    <t>Ana Elena Peinado Olvera</t>
  </si>
  <si>
    <t>anel.dragonas@gmail.com</t>
  </si>
  <si>
    <t>juguetes creativos y didácticos de madera</t>
  </si>
  <si>
    <t>Enjoy Time</t>
  </si>
  <si>
    <t>Francisco Valencia</t>
  </si>
  <si>
    <t>Tisanas frutales y moringa.</t>
  </si>
  <si>
    <t>Cocina Icaza</t>
  </si>
  <si>
    <t>Mónica Icaza</t>
  </si>
  <si>
    <t>cocinaicaza@gmail.com</t>
  </si>
  <si>
    <t>Salsas y aderezos.</t>
  </si>
  <si>
    <t>Coco Energy</t>
  </si>
  <si>
    <t>Celia Delgadillo</t>
  </si>
  <si>
    <t>cedel4@hotmail.com</t>
  </si>
  <si>
    <t>aceite de coco</t>
  </si>
  <si>
    <t>EVOO</t>
  </si>
  <si>
    <t>Margarita Rodriguez</t>
  </si>
  <si>
    <t>dramarrod@hotmail.com</t>
  </si>
  <si>
    <t>Donaji</t>
  </si>
  <si>
    <t>Nicole Velez Rodriguez</t>
  </si>
  <si>
    <t>donajiproductodeoaxaca@gmail.com</t>
  </si>
  <si>
    <t>mole, café, chocolate, salsas</t>
  </si>
  <si>
    <t>Claudia Amador Bisutería</t>
  </si>
  <si>
    <t>Claudia Amador</t>
  </si>
  <si>
    <t>clau_75_mx@hotmail.com</t>
  </si>
  <si>
    <t>bisutería artesanal</t>
  </si>
  <si>
    <t>23b</t>
  </si>
  <si>
    <t>Gusto Gourmet</t>
  </si>
  <si>
    <t>Karen Alonso</t>
  </si>
  <si>
    <t>Salsas, verdura botanera, chimichurri, pesto.</t>
  </si>
  <si>
    <t>21a</t>
  </si>
  <si>
    <t>19b</t>
  </si>
  <si>
    <t>Itacate</t>
  </si>
  <si>
    <t>Swannie Díaz de León</t>
  </si>
  <si>
    <t>yolohtli@gmail.com</t>
  </si>
  <si>
    <t>Granola, hummus, tabule, pan.</t>
  </si>
  <si>
    <t>Detalles y Bisutería</t>
  </si>
  <si>
    <t>23a</t>
  </si>
  <si>
    <t>Jamaitingas</t>
  </si>
  <si>
    <t>Arlene Sánchez</t>
  </si>
  <si>
    <t>miryana23@hotmail.com</t>
  </si>
  <si>
    <t>guisados a base de jamaica</t>
  </si>
  <si>
    <t>15a</t>
  </si>
  <si>
    <t>Frutas Vero</t>
  </si>
  <si>
    <t>Verónica Tolentino Espinoza</t>
  </si>
  <si>
    <t>Frutas orgánicas</t>
  </si>
  <si>
    <t>Margarita</t>
  </si>
  <si>
    <t>La Bee Organic</t>
  </si>
  <si>
    <t>Luis Elizondo</t>
  </si>
  <si>
    <t>labeeorganic@gmail.com</t>
  </si>
  <si>
    <t>bálsamo para labios</t>
  </si>
  <si>
    <t>12a</t>
  </si>
  <si>
    <t>Glow</t>
  </si>
  <si>
    <t>Alejandro Cantú</t>
  </si>
  <si>
    <t>glowstore.07@gmail.com</t>
  </si>
  <si>
    <t>ropa de diseño independiente</t>
  </si>
  <si>
    <t>13c</t>
  </si>
  <si>
    <t>La Ciudad de los Campos</t>
  </si>
  <si>
    <t>Ángeles Muñoz</t>
  </si>
  <si>
    <t>4a</t>
  </si>
  <si>
    <t>Gaia EcoStore</t>
  </si>
  <si>
    <t>Viviana Torres</t>
  </si>
  <si>
    <t>vivianatorres@gaiaecostore.com</t>
  </si>
  <si>
    <t>Tienda de productos organicos.</t>
  </si>
  <si>
    <t>N</t>
  </si>
  <si>
    <t>Le Guttie</t>
  </si>
  <si>
    <t>Mariel Gutierrez</t>
  </si>
  <si>
    <t>leguttie@gmail.com</t>
  </si>
  <si>
    <t>manzanas cubiertas, fresas con chocolate</t>
  </si>
  <si>
    <t>24b</t>
  </si>
  <si>
    <t>Liliana Jaime</t>
  </si>
  <si>
    <t>Liliana Gutierrez</t>
  </si>
  <si>
    <t>lilianajaime78@gmail.com</t>
  </si>
  <si>
    <t>10c</t>
  </si>
  <si>
    <t>Klok</t>
  </si>
  <si>
    <t>María Luisa Álvarez Caloca</t>
  </si>
  <si>
    <t>maria@xtal.com.mx</t>
  </si>
  <si>
    <t>Ilustración a base de primacolor.</t>
  </si>
  <si>
    <t>Lucy Cactus Company</t>
  </si>
  <si>
    <t>Verónica Gil</t>
  </si>
  <si>
    <t>veronik339.vg@gmail.com</t>
  </si>
  <si>
    <t>macetas de barro pintadas</t>
  </si>
  <si>
    <t>6a</t>
  </si>
  <si>
    <t>Mishu</t>
  </si>
  <si>
    <t>Ella Cornejo</t>
  </si>
  <si>
    <t>ella.marina.cornejo@gmail.com</t>
  </si>
  <si>
    <t>Armonizadores de espacios tejidos.</t>
  </si>
  <si>
    <t>15b</t>
  </si>
  <si>
    <t>MontPao</t>
  </si>
  <si>
    <t>Rodrigo Juárez Salazar</t>
  </si>
  <si>
    <t>borrego_gdl@hotmail.com</t>
  </si>
  <si>
    <t>Blueberrys, mermeladas.</t>
  </si>
  <si>
    <t>2a</t>
  </si>
  <si>
    <t>Lovely Creations</t>
  </si>
  <si>
    <t>Luz Mantilla</t>
  </si>
  <si>
    <t>itza.barba@hp.com</t>
  </si>
  <si>
    <t>10b</t>
  </si>
  <si>
    <t>Korkas</t>
  </si>
  <si>
    <t>Aranzazú Castillo</t>
  </si>
  <si>
    <t>aranza.dicastello@hotmail.com</t>
  </si>
  <si>
    <t>sandalias artesanales</t>
  </si>
  <si>
    <t>Nacuii</t>
  </si>
  <si>
    <t>Denis Ruan</t>
  </si>
  <si>
    <t>denis@nacuii.com</t>
  </si>
  <si>
    <t>Productos de concha nacar y madreperla.</t>
  </si>
  <si>
    <t>Libertas</t>
  </si>
  <si>
    <t>Luis Felipe Angulo</t>
  </si>
  <si>
    <t>lufac90@hotmail.com</t>
  </si>
  <si>
    <t>Licor de jamaica.</t>
  </si>
  <si>
    <t>8b</t>
  </si>
  <si>
    <t>Le Ve</t>
  </si>
  <si>
    <t>Brenda de la Cruz</t>
  </si>
  <si>
    <t>bleutulip@hotmail.com</t>
  </si>
  <si>
    <t>Quesos y leches veganos de semillas</t>
  </si>
  <si>
    <t>Ceci</t>
  </si>
  <si>
    <t>Organic Home</t>
  </si>
  <si>
    <t>Viridiana Covarrubias</t>
  </si>
  <si>
    <t>organic_home@hotmail.com</t>
  </si>
  <si>
    <t>orquídeas</t>
  </si>
  <si>
    <t>4b</t>
  </si>
  <si>
    <t>Luna Menstruarte</t>
  </si>
  <si>
    <t>Karime Hernández</t>
  </si>
  <si>
    <t>infolunamenstruarte@gmail.com</t>
  </si>
  <si>
    <t>Copas menstruales</t>
  </si>
  <si>
    <t>26a</t>
  </si>
  <si>
    <t>34c</t>
  </si>
  <si>
    <t>31c</t>
  </si>
  <si>
    <t>Happy Bakery</t>
  </si>
  <si>
    <t>Adriana Gutierrez Jaime</t>
  </si>
  <si>
    <t>adimigo@yahoo.com.mx</t>
  </si>
  <si>
    <t>Galletas, donas y brownies</t>
  </si>
  <si>
    <t>35b</t>
  </si>
  <si>
    <t>Pacha Mama</t>
  </si>
  <si>
    <t>Lilia Ibarra</t>
  </si>
  <si>
    <t>charly-22889@hotmail.com</t>
  </si>
  <si>
    <t>Bisutaría y piedras naturales</t>
  </si>
  <si>
    <t>Cecibel</t>
  </si>
  <si>
    <t>Lo Escencial de la Vida</t>
  </si>
  <si>
    <t>Mary McPherson</t>
  </si>
  <si>
    <t>Aceites esenciales.</t>
  </si>
  <si>
    <t>Perla Negra</t>
  </si>
  <si>
    <t>Romina de la Parra</t>
  </si>
  <si>
    <t>perlanegra.ventas@hotmail.com</t>
  </si>
  <si>
    <t>Arcilla termal volcánica, antifaz térmico de arcilla volcánica, piedra de origen volcánico, jabón artesanal de arcilla volcánica y romero.</t>
  </si>
  <si>
    <t>Ofelia Pozole</t>
  </si>
  <si>
    <t>Ana Rosales</t>
  </si>
  <si>
    <t>quetzallicocone@hotmail.com</t>
  </si>
  <si>
    <t>Pozole vegetariano</t>
  </si>
  <si>
    <t>25a</t>
  </si>
  <si>
    <t>Minerarte</t>
  </si>
  <si>
    <t>Leonardo Dueñas</t>
  </si>
  <si>
    <t>lfalout26@gmail.com</t>
  </si>
  <si>
    <t>lámparas de cuarzo</t>
  </si>
  <si>
    <t>Piña Palmera</t>
  </si>
  <si>
    <t>Lula de Lara</t>
  </si>
  <si>
    <t>lula@pinapalmera.com</t>
  </si>
  <si>
    <t>aguas naturales de frutas</t>
  </si>
  <si>
    <t>Pangourmeti</t>
  </si>
  <si>
    <t>Mónica Herández</t>
  </si>
  <si>
    <t>monica@cosmosmkt.com</t>
  </si>
  <si>
    <t>Pan y galletas.</t>
  </si>
  <si>
    <t>25b</t>
  </si>
  <si>
    <t>Productos Gourmet</t>
  </si>
  <si>
    <t>Victor Hugo Lamas</t>
  </si>
  <si>
    <t>victorlamasr@yahoo.com.mx</t>
  </si>
  <si>
    <t>Mielomex</t>
  </si>
  <si>
    <t>Joel Lopez</t>
  </si>
  <si>
    <t>karma_22@hotmail.com</t>
  </si>
  <si>
    <t>Lupita de la Peña</t>
  </si>
  <si>
    <t>lupitadelapena@gmail.com</t>
  </si>
  <si>
    <t>galletas de avena, brownies y reposteria artesanal</t>
  </si>
  <si>
    <t>34a</t>
  </si>
  <si>
    <t>Promaná</t>
  </si>
  <si>
    <t>Manuel Mendez</t>
  </si>
  <si>
    <t>jmmu.97@gmail.com</t>
  </si>
  <si>
    <t>Huevo orgánico de rancho, moringa.</t>
  </si>
  <si>
    <t>Milenium</t>
  </si>
  <si>
    <t>alfonso jimenez</t>
  </si>
  <si>
    <t>antiquemilenium@hotmail.com</t>
  </si>
  <si>
    <t>Nutri Antojos</t>
  </si>
  <si>
    <t>Jorge González</t>
  </si>
  <si>
    <t>nutriantojos@outlook.com</t>
  </si>
  <si>
    <t>Fruta y verdura deshidratada, nopal con chile.</t>
  </si>
  <si>
    <t>35c</t>
  </si>
  <si>
    <t>Quetzalli</t>
  </si>
  <si>
    <t>pacoatlicue@hotmail.com</t>
  </si>
  <si>
    <t>lámparas, aretes de cupcakes y postres, dijes de resina</t>
  </si>
  <si>
    <t>Productos Vegetarianos</t>
  </si>
  <si>
    <t>Zoé Ruelas SantaCruz</t>
  </si>
  <si>
    <t>psicozoe@hotmail.com</t>
  </si>
  <si>
    <t>Chorizo vegetariano, cochinita vegetariana y milanesas de trigo.</t>
  </si>
  <si>
    <t>Minerales Naturales</t>
  </si>
  <si>
    <t>27b</t>
  </si>
  <si>
    <t>Sagrante</t>
  </si>
  <si>
    <t>12b</t>
  </si>
  <si>
    <t>Sáname</t>
  </si>
  <si>
    <t>Sergio Álvarez</t>
  </si>
  <si>
    <t>sergio-alvarez61@hotmail.com</t>
  </si>
  <si>
    <t>Productos derivados de la miel</t>
  </si>
  <si>
    <t>2b</t>
  </si>
  <si>
    <t>22a</t>
  </si>
  <si>
    <t>Sempiterna</t>
  </si>
  <si>
    <t>Eugenia Sánchez</t>
  </si>
  <si>
    <t>es.t-70@hotmail.com</t>
  </si>
  <si>
    <t>Dijes de plata</t>
  </si>
  <si>
    <t>33a</t>
  </si>
  <si>
    <t>22b</t>
  </si>
  <si>
    <t>Sufiz</t>
  </si>
  <si>
    <t>Maye Betancourt</t>
  </si>
  <si>
    <t>mayedapa@hotmail.com</t>
  </si>
  <si>
    <t>palanquetas, granola</t>
  </si>
  <si>
    <t>Vihanta Natura</t>
  </si>
  <si>
    <t>Valentina Bontempi</t>
  </si>
  <si>
    <t>bvale_81@yahoo.it</t>
  </si>
  <si>
    <t>cremas a base de extractos y aceites naturales</t>
  </si>
  <si>
    <t>Tochtli</t>
  </si>
  <si>
    <t>Adrián Gutiérrez</t>
  </si>
  <si>
    <t>tochtli_desodorante@hotmail.com</t>
  </si>
  <si>
    <t>Talco desodorante, desodorante rolo, desodorante spray, shampoo, crema para afeitar, pasta de dientes, talco para pies.</t>
  </si>
  <si>
    <t>0b</t>
  </si>
  <si>
    <t>Oilstrich</t>
  </si>
  <si>
    <t>Sergio Curiel</t>
  </si>
  <si>
    <t>oilstrichproducts@gmail.com</t>
  </si>
  <si>
    <t>cremas a base de avestruz</t>
  </si>
  <si>
    <t>Yerba Sana</t>
  </si>
  <si>
    <t>Julieta Hernández</t>
  </si>
  <si>
    <t>yerbasana@hotmail.com</t>
  </si>
  <si>
    <t>Chía, aceite de coco, sal orgánica.</t>
  </si>
  <si>
    <t>Virgo</t>
  </si>
  <si>
    <t>Victor Ortega</t>
  </si>
  <si>
    <t>virgonutricion@hotmail.com</t>
  </si>
  <si>
    <t>Mermeladas, yoghurt.</t>
  </si>
  <si>
    <t>26b</t>
  </si>
  <si>
    <t>Té de Campo</t>
  </si>
  <si>
    <t>Karen Soriano</t>
  </si>
  <si>
    <t>sorianokrn@gmail.com</t>
  </si>
  <si>
    <t>Almohadillas con semillas, tizanas, tés.</t>
  </si>
  <si>
    <t>Pan Valentina</t>
  </si>
  <si>
    <t>Cristina Araiza Cervantes</t>
  </si>
  <si>
    <t>an.araizacervantes@gmail.com</t>
  </si>
  <si>
    <t>Pan de caja, baguette, bagels.</t>
  </si>
  <si>
    <t>Tishas 4U</t>
  </si>
  <si>
    <t>Alejandra Hernández</t>
  </si>
  <si>
    <t>edelvi2002@hotmail.com</t>
  </si>
  <si>
    <t>playeras de diseño</t>
  </si>
  <si>
    <t>33b</t>
  </si>
  <si>
    <t>30b</t>
  </si>
  <si>
    <t>28a</t>
  </si>
  <si>
    <t>Tempera 32o</t>
  </si>
  <si>
    <t>Silvia Zúñiga</t>
  </si>
  <si>
    <t>tempera32grados@gmail.com</t>
  </si>
  <si>
    <t>Chocolate</t>
  </si>
  <si>
    <t>Tlatoani</t>
  </si>
  <si>
    <t>Gema López Méndez</t>
  </si>
  <si>
    <t>lupituxel@hotmail.com</t>
  </si>
  <si>
    <t>24a</t>
  </si>
  <si>
    <t>Marzo</t>
  </si>
  <si>
    <t>Abril</t>
  </si>
  <si>
    <t>LÍNEA AÉREA</t>
  </si>
  <si>
    <t># Vuelo</t>
  </si>
  <si>
    <t>HORA AERONAVE POSICIÓN</t>
  </si>
  <si>
    <t>Tiempo</t>
  </si>
  <si>
    <t>FECHA</t>
  </si>
  <si>
    <t>Nacional/ Internacional</t>
  </si>
  <si>
    <t>Equipo</t>
  </si>
  <si>
    <t>Capacidad</t>
  </si>
  <si>
    <t>Procedencia</t>
  </si>
  <si>
    <t>MEXICO AEREO</t>
  </si>
  <si>
    <t>Nacional</t>
  </si>
  <si>
    <t>ER4</t>
  </si>
  <si>
    <t>MEX</t>
  </si>
  <si>
    <t>Internacional</t>
  </si>
  <si>
    <t>DFW</t>
  </si>
  <si>
    <t>QRO</t>
  </si>
  <si>
    <t xml:space="preserve">No encontrado, probable error </t>
  </si>
  <si>
    <t>TLC</t>
  </si>
  <si>
    <t>HMO</t>
  </si>
  <si>
    <t>MTY</t>
  </si>
  <si>
    <t>PVR</t>
  </si>
  <si>
    <t>MID</t>
  </si>
  <si>
    <t>L</t>
  </si>
  <si>
    <t>SAT</t>
  </si>
  <si>
    <t>CUU</t>
  </si>
  <si>
    <t>TIJ</t>
  </si>
  <si>
    <t>CUL</t>
  </si>
  <si>
    <t>CJS</t>
  </si>
  <si>
    <t>MTV</t>
  </si>
  <si>
    <t>ZCL</t>
  </si>
  <si>
    <t>B737-800</t>
  </si>
  <si>
    <t>LAX</t>
  </si>
  <si>
    <t>ONT</t>
  </si>
  <si>
    <t>LAP</t>
  </si>
  <si>
    <t>SFO</t>
  </si>
  <si>
    <t>ORD</t>
  </si>
  <si>
    <t>B737-700</t>
  </si>
  <si>
    <t>CUN</t>
  </si>
  <si>
    <t xml:space="preserve">POSIBLE ERROR </t>
  </si>
  <si>
    <t>SMF</t>
  </si>
  <si>
    <t>FAT</t>
  </si>
  <si>
    <t>E90</t>
  </si>
  <si>
    <t>VUELOS AL NORTE</t>
  </si>
  <si>
    <t>SEA</t>
  </si>
  <si>
    <t>AEROLINEAS DE AMERICA</t>
  </si>
  <si>
    <t>IAH</t>
  </si>
  <si>
    <t>SNA</t>
  </si>
  <si>
    <t>M80</t>
  </si>
  <si>
    <t>A319</t>
  </si>
  <si>
    <t>VER</t>
  </si>
  <si>
    <t>COPA</t>
  </si>
  <si>
    <t>PTY</t>
  </si>
  <si>
    <t>AVIONES ROJOS</t>
  </si>
  <si>
    <t>CR9</t>
  </si>
  <si>
    <t>SLC</t>
  </si>
  <si>
    <t>ATL</t>
  </si>
  <si>
    <t>INTERAVIÓN</t>
  </si>
  <si>
    <t>SJD</t>
  </si>
  <si>
    <t>MXL</t>
  </si>
  <si>
    <t>LAS</t>
  </si>
  <si>
    <t xml:space="preserve">GRANRENTA </t>
  </si>
  <si>
    <t>TOR</t>
  </si>
  <si>
    <t>UNIDOS VOLAMOS</t>
  </si>
  <si>
    <t>VUELOS AL NORTE AIRLINES</t>
  </si>
  <si>
    <t>SJC</t>
  </si>
  <si>
    <t>VIAS AÉREAS DE USA</t>
  </si>
  <si>
    <t>CRJ 700</t>
  </si>
  <si>
    <t>PHX</t>
  </si>
  <si>
    <t>BARATA Y MORADA</t>
  </si>
  <si>
    <t>OAK</t>
  </si>
  <si>
    <t>B757-200</t>
  </si>
  <si>
    <t>MDW</t>
  </si>
  <si>
    <t>SU1</t>
  </si>
  <si>
    <t>COPA AIRLINES</t>
  </si>
  <si>
    <t>AVIONES ROJOS AIRLINES</t>
  </si>
  <si>
    <t>TGZ</t>
  </si>
  <si>
    <t>PBC</t>
  </si>
  <si>
    <t>LMM</t>
  </si>
  <si>
    <t xml:space="preserve">INTERAVIÓN </t>
  </si>
  <si>
    <t>SID</t>
  </si>
  <si>
    <t xml:space="preserve">ER4 </t>
  </si>
  <si>
    <t>GRANRENTA</t>
  </si>
  <si>
    <t>AGU</t>
  </si>
  <si>
    <t>AEROLÍNEA TOR</t>
  </si>
  <si>
    <t>DGO</t>
  </si>
  <si>
    <t>UNIDOS VOLAMOS AIRLINES</t>
  </si>
  <si>
    <t>AIH</t>
  </si>
  <si>
    <t>CRJ700</t>
  </si>
  <si>
    <t>a319</t>
  </si>
  <si>
    <t>SAN</t>
  </si>
  <si>
    <t>No encontrado, probable error</t>
  </si>
  <si>
    <t>Junio</t>
  </si>
  <si>
    <t>HORA ÚLTIMA MALETA</t>
  </si>
  <si>
    <t>HORA PRIMER MALETA</t>
  </si>
  <si>
    <t>Tiempo2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</si>
</sst>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\ #,##0.00;[Red]\-&quot;$&quot;\ #,##0.00"/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73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6">
    <xf numFmtId="0" fontId="0" fillId="0" borderId="0" xfId="0"/>
    <xf numFmtId="0" fontId="2" fillId="3" borderId="1" xfId="3" applyFont="1" applyBorder="1"/>
    <xf numFmtId="0" fontId="2" fillId="3" borderId="2" xfId="3" applyFont="1" applyBorder="1"/>
    <xf numFmtId="0" fontId="0" fillId="0" borderId="3" xfId="0" applyBorder="1"/>
    <xf numFmtId="0" fontId="5" fillId="2" borderId="4" xfId="2" applyFont="1" applyBorder="1"/>
    <xf numFmtId="0" fontId="0" fillId="0" borderId="5" xfId="0" applyBorder="1"/>
    <xf numFmtId="0" fontId="5" fillId="2" borderId="6" xfId="2" applyFont="1" applyBorder="1"/>
    <xf numFmtId="14" fontId="0" fillId="0" borderId="0" xfId="0" applyNumberFormat="1"/>
    <xf numFmtId="0" fontId="6" fillId="0" borderId="0" xfId="0" applyFont="1"/>
    <xf numFmtId="0" fontId="7" fillId="0" borderId="7" xfId="0" applyFont="1" applyBorder="1" applyAlignment="1">
      <alignment horizontal="center"/>
    </xf>
    <xf numFmtId="165" fontId="7" fillId="0" borderId="7" xfId="1" applyFont="1" applyBorder="1" applyAlignment="1" applyProtection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1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12" xfId="0" applyFont="1" applyBorder="1"/>
    <xf numFmtId="8" fontId="5" fillId="2" borderId="4" xfId="2" applyNumberFormat="1" applyFont="1" applyBorder="1"/>
    <xf numFmtId="0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4" fontId="0" fillId="0" borderId="12" xfId="0" applyNumberFormat="1" applyFont="1" applyBorder="1"/>
    <xf numFmtId="173" fontId="0" fillId="0" borderId="0" xfId="0" applyNumberFormat="1"/>
    <xf numFmtId="45" fontId="0" fillId="0" borderId="0" xfId="0" applyNumberFormat="1"/>
    <xf numFmtId="173" fontId="0" fillId="0" borderId="12" xfId="0" applyNumberFormat="1" applyFont="1" applyBorder="1"/>
    <xf numFmtId="45" fontId="0" fillId="0" borderId="12" xfId="0" applyNumberFormat="1" applyFont="1" applyBorder="1"/>
    <xf numFmtId="0" fontId="2" fillId="4" borderId="23" xfId="0" applyFont="1" applyFill="1" applyBorder="1"/>
    <xf numFmtId="173" fontId="2" fillId="4" borderId="22" xfId="0" applyNumberFormat="1" applyFont="1" applyFill="1" applyBorder="1"/>
    <xf numFmtId="45" fontId="2" fillId="4" borderId="22" xfId="0" applyNumberFormat="1" applyFont="1" applyFill="1" applyBorder="1"/>
    <xf numFmtId="14" fontId="2" fillId="4" borderId="22" xfId="0" applyNumberFormat="1" applyFont="1" applyFill="1" applyBorder="1"/>
    <xf numFmtId="0" fontId="2" fillId="4" borderId="22" xfId="0" applyFont="1" applyFill="1" applyBorder="1"/>
    <xf numFmtId="0" fontId="0" fillId="5" borderId="23" xfId="0" applyFont="1" applyFill="1" applyBorder="1"/>
    <xf numFmtId="173" fontId="0" fillId="5" borderId="22" xfId="0" applyNumberFormat="1" applyFont="1" applyFill="1" applyBorder="1"/>
    <xf numFmtId="45" fontId="0" fillId="5" borderId="22" xfId="0" applyNumberFormat="1" applyFont="1" applyFill="1" applyBorder="1"/>
    <xf numFmtId="14" fontId="0" fillId="5" borderId="22" xfId="0" applyNumberFormat="1" applyFont="1" applyFill="1" applyBorder="1"/>
    <xf numFmtId="0" fontId="0" fillId="5" borderId="22" xfId="0" applyFont="1" applyFill="1" applyBorder="1"/>
    <xf numFmtId="173" fontId="0" fillId="0" borderId="22" xfId="0" applyNumberFormat="1" applyFont="1" applyBorder="1"/>
    <xf numFmtId="45" fontId="0" fillId="0" borderId="22" xfId="0" applyNumberFormat="1" applyFont="1" applyBorder="1"/>
    <xf numFmtId="14" fontId="0" fillId="0" borderId="22" xfId="0" applyNumberFormat="1" applyFont="1" applyBorder="1"/>
    <xf numFmtId="0" fontId="0" fillId="0" borderId="22" xfId="0" applyFont="1" applyBorder="1"/>
  </cellXfs>
  <cellStyles count="7">
    <cellStyle name="60% - Énfasis4" xfId="2" builtinId="44"/>
    <cellStyle name="Currency 2" xfId="5"/>
    <cellStyle name="Énfasis5" xfId="3" builtinId="45"/>
    <cellStyle name="Moneda" xfId="1" builtinId="4"/>
    <cellStyle name="Moneda 2" xfId="6"/>
    <cellStyle name="Normal" xfId="0" builtinId="0"/>
    <cellStyle name="Normal 2" xfId="4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8" formatCode="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3" formatCode="[$-F400]h:mm:ss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8" formatCode="mm:ss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3" formatCode="[$-F400]h:mm:ss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3" formatCode="[$-F400]h:mm:ss\ AM/P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2274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2capacitacion.com/excel_landing_pag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0</xdr:colOff>
      <xdr:row>0</xdr:row>
      <xdr:rowOff>1</xdr:rowOff>
    </xdr:to>
    <xdr:pic>
      <xdr:nvPicPr>
        <xdr:cNvPr id="2" name="Imagen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10D23D8A-B821-48EC-913A-9805A37F0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0" y="1"/>
          <a:ext cx="13844588" cy="4905375"/>
        </a:xfrm>
        <a:prstGeom prst="rect">
          <a:avLst/>
        </a:prstGeom>
      </xdr:spPr>
    </xdr:pic>
    <xdr:clientData/>
  </xdr:two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3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7235A6CB-D1F2-464F-A32F-957B76A54DD5}"/>
            </a:ext>
          </a:extLst>
        </xdr:cNvPr>
        <xdr:cNvSpPr/>
      </xdr:nvSpPr>
      <xdr:spPr>
        <a:xfrm>
          <a:off x="561974" y="3971925"/>
          <a:ext cx="3371851" cy="50482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0</xdr:col>
      <xdr:colOff>1</xdr:colOff>
      <xdr:row>0</xdr:row>
      <xdr:rowOff>0</xdr:rowOff>
    </xdr:from>
    <xdr:ext cx="12449174" cy="5191125"/>
    <xdr:pic>
      <xdr:nvPicPr>
        <xdr:cNvPr id="4" name="Imagen 2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4E9D8030-3397-4F95-9F74-D90B50E5AE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150"/>
        <a:stretch/>
      </xdr:blipFill>
      <xdr:spPr>
        <a:xfrm>
          <a:off x="1" y="0"/>
          <a:ext cx="12449174" cy="5191125"/>
        </a:xfrm>
        <a:prstGeom prst="rect">
          <a:avLst/>
        </a:prstGeom>
      </xdr:spPr>
    </xdr:pic>
    <xdr:clientData/>
  </xdr:oneCellAnchor>
  <xdr:twoCellAnchor>
    <xdr:from>
      <xdr:col>0</xdr:col>
      <xdr:colOff>561974</xdr:colOff>
      <xdr:row>21</xdr:row>
      <xdr:rowOff>171450</xdr:rowOff>
    </xdr:from>
    <xdr:to>
      <xdr:col>4</xdr:col>
      <xdr:colOff>676275</xdr:colOff>
      <xdr:row>24</xdr:row>
      <xdr:rowOff>133350</xdr:rowOff>
    </xdr:to>
    <xdr:sp macro="" textlink="">
      <xdr:nvSpPr>
        <xdr:cNvPr id="5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9C0449B3-ABBD-4C59-B74F-2B997A70B861}"/>
            </a:ext>
          </a:extLst>
        </xdr:cNvPr>
        <xdr:cNvSpPr/>
      </xdr:nvSpPr>
      <xdr:spPr>
        <a:xfrm>
          <a:off x="561974" y="3971925"/>
          <a:ext cx="3371851" cy="50482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600" b="1">
              <a:latin typeface="Montserrat" panose="02000505000000020004" pitchFamily="2" charset="0"/>
              <a:cs typeface="Arial" panose="020B0604020202020204" pitchFamily="34" charset="0"/>
            </a:rPr>
            <a:t>Empieza</a:t>
          </a:r>
          <a:r>
            <a:rPr lang="es-MX" sz="1600" b="1" baseline="0">
              <a:latin typeface="Montserrat" panose="02000505000000020004" pitchFamily="2" charset="0"/>
              <a:cs typeface="Arial" panose="020B0604020202020204" pitchFamily="34" charset="0"/>
            </a:rPr>
            <a:t> Gratis Aquí</a:t>
          </a:r>
          <a:endParaRPr lang="es-MX" sz="1600" b="1">
            <a:latin typeface="Montserrat" panose="02000505000000020004" pitchFamily="2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19</xdr:row>
      <xdr:rowOff>47624</xdr:rowOff>
    </xdr:from>
    <xdr:to>
      <xdr:col>9</xdr:col>
      <xdr:colOff>609599</xdr:colOff>
      <xdr:row>27</xdr:row>
      <xdr:rowOff>19049</xdr:rowOff>
    </xdr:to>
    <xdr:sp macro="" textlink="">
      <xdr:nvSpPr>
        <xdr:cNvPr id="4" name="TextBox 1">
          <a:extLst>
            <a:ext uri="{FF2B5EF4-FFF2-40B4-BE49-F238E27FC236}">
              <a16:creationId xmlns="" xmlns:a16="http://schemas.microsoft.com/office/drawing/2014/main" id="{28CD3E45-6FF1-4A50-88E7-398D5E4E2B16}"/>
            </a:ext>
          </a:extLst>
        </xdr:cNvPr>
        <xdr:cNvSpPr txBox="1"/>
      </xdr:nvSpPr>
      <xdr:spPr>
        <a:xfrm>
          <a:off x="9763124" y="3686174"/>
          <a:ext cx="4124325" cy="1495425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A partir de la lista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en esta página genera una tabla en la misma hoja de trabajo. Utiliza las referencias estructuradas de la tabla, junto con las funciones de suma, conteo y búsqueda, para resolver las interrogantes de la columna J.  Puedes usar filtros.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1313392</xdr:colOff>
      <xdr:row>7</xdr:row>
      <xdr:rowOff>124883</xdr:rowOff>
    </xdr:to>
    <xdr:grpSp>
      <xdr:nvGrpSpPr>
        <xdr:cNvPr id="2" name="Group 6">
          <a:extLst>
            <a:ext uri="{FF2B5EF4-FFF2-40B4-BE49-F238E27FC236}">
              <a16:creationId xmlns="" xmlns:a16="http://schemas.microsoft.com/office/drawing/2014/main" id="{1DB0AC4E-CF97-4162-B572-16EAB5D90E44}"/>
            </a:ext>
          </a:extLst>
        </xdr:cNvPr>
        <xdr:cNvGrpSpPr/>
      </xdr:nvGrpSpPr>
      <xdr:grpSpPr>
        <a:xfrm>
          <a:off x="0" y="0"/>
          <a:ext cx="4294717" cy="1458383"/>
          <a:chOff x="0" y="0"/>
          <a:chExt cx="4275667" cy="1439333"/>
        </a:xfrm>
      </xdr:grpSpPr>
      <xdr:pic>
        <xdr:nvPicPr>
          <xdr:cNvPr id="5" name="Imagen 1" descr="A green and white logo&#10;&#10;Description automatically generated">
            <a:extLst>
              <a:ext uri="{FF2B5EF4-FFF2-40B4-BE49-F238E27FC236}">
                <a16:creationId xmlns="" xmlns:a16="http://schemas.microsoft.com/office/drawing/2014/main" id="{2E5268D7-4D36-09A9-0ECF-A31E557755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6" name="Rectangle 8">
            <a:extLst>
              <a:ext uri="{FF2B5EF4-FFF2-40B4-BE49-F238E27FC236}">
                <a16:creationId xmlns="" xmlns:a16="http://schemas.microsoft.com/office/drawing/2014/main" id="{2EA6196D-2DBA-5AF9-47AE-8AC5EA623583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TABLAS</a:t>
            </a:r>
            <a:r>
              <a:rPr lang="es-MX" sz="2400" b="1" kern="12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Y FILTROS</a:t>
            </a:r>
            <a:endParaRPr lang="es-MX" sz="2400" b="1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71438</xdr:rowOff>
    </xdr:from>
    <xdr:to>
      <xdr:col>6</xdr:col>
      <xdr:colOff>333374</xdr:colOff>
      <xdr:row>14</xdr:row>
      <xdr:rowOff>133351</xdr:rowOff>
    </xdr:to>
    <xdr:sp macro="" textlink="">
      <xdr:nvSpPr>
        <xdr:cNvPr id="3" name="TextBox 1">
          <a:extLst>
            <a:ext uri="{FF2B5EF4-FFF2-40B4-BE49-F238E27FC236}">
              <a16:creationId xmlns="" xmlns:a16="http://schemas.microsoft.com/office/drawing/2014/main" id="{05064D61-958E-47B2-8BCB-65D881DBE115}"/>
            </a:ext>
          </a:extLst>
        </xdr:cNvPr>
        <xdr:cNvSpPr txBox="1"/>
      </xdr:nvSpPr>
      <xdr:spPr>
        <a:xfrm>
          <a:off x="0" y="1519238"/>
          <a:ext cx="4905374" cy="1147763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>
            <a:latin typeface="Franklin Gothic Demi Cond" panose="020B0706030402020204" pitchFamily="34" charset="0"/>
          </a:endParaRPr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Normaliza la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siguiente base de datos de participantes en un tianguis, presenta tus resultados en otra hoja. Recuerda de darle formato de tabla.  Asigna las protecciones que consideres necesarias. 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4</xdr:col>
      <xdr:colOff>0</xdr:colOff>
      <xdr:row>51</xdr:row>
      <xdr:rowOff>0</xdr:rowOff>
    </xdr:from>
    <xdr:to>
      <xdr:col>4</xdr:col>
      <xdr:colOff>9045</xdr:colOff>
      <xdr:row>51</xdr:row>
      <xdr:rowOff>0</xdr:rowOff>
    </xdr:to>
    <xdr:pic>
      <xdr:nvPicPr>
        <xdr:cNvPr id="4" name="图片 1">
          <a:extLst>
            <a:ext uri="{FF2B5EF4-FFF2-40B4-BE49-F238E27FC236}">
              <a16:creationId xmlns="" xmlns:a16="http://schemas.microsoft.com/office/drawing/2014/main" id="{A9DEC555-D907-4BCA-9B2A-A6C52EB559A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0496550"/>
          <a:ext cx="9045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9045</xdr:colOff>
      <xdr:row>33</xdr:row>
      <xdr:rowOff>0</xdr:rowOff>
    </xdr:to>
    <xdr:pic>
      <xdr:nvPicPr>
        <xdr:cNvPr id="5" name="图片 2">
          <a:extLst>
            <a:ext uri="{FF2B5EF4-FFF2-40B4-BE49-F238E27FC236}">
              <a16:creationId xmlns="" xmlns:a16="http://schemas.microsoft.com/office/drawing/2014/main" id="{C49DA3B2-3FC3-42A7-83B1-FFE34D0EF46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6896100"/>
          <a:ext cx="9045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9045</xdr:colOff>
      <xdr:row>45</xdr:row>
      <xdr:rowOff>0</xdr:rowOff>
    </xdr:to>
    <xdr:pic>
      <xdr:nvPicPr>
        <xdr:cNvPr id="6" name="图片 3">
          <a:extLst>
            <a:ext uri="{FF2B5EF4-FFF2-40B4-BE49-F238E27FC236}">
              <a16:creationId xmlns="" xmlns:a16="http://schemas.microsoft.com/office/drawing/2014/main" id="{AF873B23-FD43-46F1-8399-CE00B636A1C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9296400"/>
          <a:ext cx="9045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9045</xdr:colOff>
      <xdr:row>45</xdr:row>
      <xdr:rowOff>0</xdr:rowOff>
    </xdr:to>
    <xdr:pic>
      <xdr:nvPicPr>
        <xdr:cNvPr id="7" name="图片 4">
          <a:extLst>
            <a:ext uri="{FF2B5EF4-FFF2-40B4-BE49-F238E27FC236}">
              <a16:creationId xmlns="" xmlns:a16="http://schemas.microsoft.com/office/drawing/2014/main" id="{83C63E0D-3853-4DF8-891D-F1ED57C4A28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9296400"/>
          <a:ext cx="904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51</xdr:row>
      <xdr:rowOff>0</xdr:rowOff>
    </xdr:from>
    <xdr:to>
      <xdr:col>17</xdr:col>
      <xdr:colOff>9045</xdr:colOff>
      <xdr:row>51</xdr:row>
      <xdr:rowOff>0</xdr:rowOff>
    </xdr:to>
    <xdr:pic>
      <xdr:nvPicPr>
        <xdr:cNvPr id="8" name="图片 1">
          <a:extLst>
            <a:ext uri="{FF2B5EF4-FFF2-40B4-BE49-F238E27FC236}">
              <a16:creationId xmlns="" xmlns:a16="http://schemas.microsoft.com/office/drawing/2014/main" id="{8755DDC6-83A2-4FB4-A1B5-9CCCA6DE81F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0496550"/>
          <a:ext cx="904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9045</xdr:colOff>
      <xdr:row>33</xdr:row>
      <xdr:rowOff>0</xdr:rowOff>
    </xdr:to>
    <xdr:pic>
      <xdr:nvPicPr>
        <xdr:cNvPr id="9" name="图片 2">
          <a:extLst>
            <a:ext uri="{FF2B5EF4-FFF2-40B4-BE49-F238E27FC236}">
              <a16:creationId xmlns="" xmlns:a16="http://schemas.microsoft.com/office/drawing/2014/main" id="{8F25530E-29E7-4CEE-BAFB-35309789B9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6896100"/>
          <a:ext cx="904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45</xdr:row>
      <xdr:rowOff>0</xdr:rowOff>
    </xdr:from>
    <xdr:to>
      <xdr:col>17</xdr:col>
      <xdr:colOff>9045</xdr:colOff>
      <xdr:row>45</xdr:row>
      <xdr:rowOff>0</xdr:rowOff>
    </xdr:to>
    <xdr:pic>
      <xdr:nvPicPr>
        <xdr:cNvPr id="10" name="图片 3">
          <a:extLst>
            <a:ext uri="{FF2B5EF4-FFF2-40B4-BE49-F238E27FC236}">
              <a16:creationId xmlns="" xmlns:a16="http://schemas.microsoft.com/office/drawing/2014/main" id="{D8662E83-C8EF-4281-B64A-0FDF021BAA7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9296400"/>
          <a:ext cx="904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45</xdr:row>
      <xdr:rowOff>0</xdr:rowOff>
    </xdr:from>
    <xdr:to>
      <xdr:col>17</xdr:col>
      <xdr:colOff>9045</xdr:colOff>
      <xdr:row>45</xdr:row>
      <xdr:rowOff>0</xdr:rowOff>
    </xdr:to>
    <xdr:pic>
      <xdr:nvPicPr>
        <xdr:cNvPr id="11" name="图片 4">
          <a:extLst>
            <a:ext uri="{FF2B5EF4-FFF2-40B4-BE49-F238E27FC236}">
              <a16:creationId xmlns="" xmlns:a16="http://schemas.microsoft.com/office/drawing/2014/main" id="{30209DC2-BB19-47CE-BD99-5952478F714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9296400"/>
          <a:ext cx="904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37</xdr:row>
      <xdr:rowOff>0</xdr:rowOff>
    </xdr:from>
    <xdr:to>
      <xdr:col>17</xdr:col>
      <xdr:colOff>9105</xdr:colOff>
      <xdr:row>37</xdr:row>
      <xdr:rowOff>0</xdr:rowOff>
    </xdr:to>
    <xdr:pic>
      <xdr:nvPicPr>
        <xdr:cNvPr id="12" name="图片 1">
          <a:extLst>
            <a:ext uri="{FF2B5EF4-FFF2-40B4-BE49-F238E27FC236}">
              <a16:creationId xmlns="" xmlns:a16="http://schemas.microsoft.com/office/drawing/2014/main" id="{3A48259F-807B-4A71-AB3F-638FBAE48378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7696200"/>
          <a:ext cx="910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29</xdr:row>
      <xdr:rowOff>0</xdr:rowOff>
    </xdr:from>
    <xdr:to>
      <xdr:col>17</xdr:col>
      <xdr:colOff>9105</xdr:colOff>
      <xdr:row>29</xdr:row>
      <xdr:rowOff>0</xdr:rowOff>
    </xdr:to>
    <xdr:pic>
      <xdr:nvPicPr>
        <xdr:cNvPr id="13" name="图片 2">
          <a:extLst>
            <a:ext uri="{FF2B5EF4-FFF2-40B4-BE49-F238E27FC236}">
              <a16:creationId xmlns="" xmlns:a16="http://schemas.microsoft.com/office/drawing/2014/main" id="{E0C73B70-2CBC-4167-A9F3-FA9443E8F5F2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6096000"/>
          <a:ext cx="910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52</xdr:row>
      <xdr:rowOff>0</xdr:rowOff>
    </xdr:from>
    <xdr:to>
      <xdr:col>17</xdr:col>
      <xdr:colOff>9105</xdr:colOff>
      <xdr:row>52</xdr:row>
      <xdr:rowOff>0</xdr:rowOff>
    </xdr:to>
    <xdr:pic>
      <xdr:nvPicPr>
        <xdr:cNvPr id="14" name="图片 3">
          <a:extLst>
            <a:ext uri="{FF2B5EF4-FFF2-40B4-BE49-F238E27FC236}">
              <a16:creationId xmlns="" xmlns:a16="http://schemas.microsoft.com/office/drawing/2014/main" id="{414BB237-041C-42D6-915C-10C48E4F66B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0696575"/>
          <a:ext cx="910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55</xdr:row>
      <xdr:rowOff>0</xdr:rowOff>
    </xdr:from>
    <xdr:to>
      <xdr:col>17</xdr:col>
      <xdr:colOff>9105</xdr:colOff>
      <xdr:row>55</xdr:row>
      <xdr:rowOff>0</xdr:rowOff>
    </xdr:to>
    <xdr:pic>
      <xdr:nvPicPr>
        <xdr:cNvPr id="15" name="图片 4">
          <a:extLst>
            <a:ext uri="{FF2B5EF4-FFF2-40B4-BE49-F238E27FC236}">
              <a16:creationId xmlns="" xmlns:a16="http://schemas.microsoft.com/office/drawing/2014/main" id="{0C092EB8-E339-4242-8BAA-35C47861FF7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1296650"/>
          <a:ext cx="9105" cy="0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9105</xdr:colOff>
      <xdr:row>34</xdr:row>
      <xdr:rowOff>0</xdr:rowOff>
    </xdr:to>
    <xdr:pic>
      <xdr:nvPicPr>
        <xdr:cNvPr id="16" name="图片 5">
          <a:extLst>
            <a:ext uri="{FF2B5EF4-FFF2-40B4-BE49-F238E27FC236}">
              <a16:creationId xmlns="" xmlns:a16="http://schemas.microsoft.com/office/drawing/2014/main" id="{B64CD757-A137-4D98-BD10-305A5A7F8F1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7096125"/>
          <a:ext cx="9105" cy="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38</xdr:row>
      <xdr:rowOff>0</xdr:rowOff>
    </xdr:from>
    <xdr:to>
      <xdr:col>30</xdr:col>
      <xdr:colOff>9045</xdr:colOff>
      <xdr:row>38</xdr:row>
      <xdr:rowOff>0</xdr:rowOff>
    </xdr:to>
    <xdr:pic>
      <xdr:nvPicPr>
        <xdr:cNvPr id="17" name="图片 1">
          <a:extLst>
            <a:ext uri="{FF2B5EF4-FFF2-40B4-BE49-F238E27FC236}">
              <a16:creationId xmlns="" xmlns:a16="http://schemas.microsoft.com/office/drawing/2014/main" id="{98EC02F7-A7F8-4BC9-BEF8-40BA3F8752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7896225"/>
          <a:ext cx="9045" cy="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36</xdr:row>
      <xdr:rowOff>0</xdr:rowOff>
    </xdr:from>
    <xdr:to>
      <xdr:col>30</xdr:col>
      <xdr:colOff>9045</xdr:colOff>
      <xdr:row>36</xdr:row>
      <xdr:rowOff>0</xdr:rowOff>
    </xdr:to>
    <xdr:pic>
      <xdr:nvPicPr>
        <xdr:cNvPr id="18" name="图片 2">
          <a:extLst>
            <a:ext uri="{FF2B5EF4-FFF2-40B4-BE49-F238E27FC236}">
              <a16:creationId xmlns="" xmlns:a16="http://schemas.microsoft.com/office/drawing/2014/main" id="{749F8BB9-9FE8-4784-846A-85D36365ECA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7496175"/>
          <a:ext cx="9045" cy="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9045</xdr:colOff>
      <xdr:row>50</xdr:row>
      <xdr:rowOff>0</xdr:rowOff>
    </xdr:to>
    <xdr:pic>
      <xdr:nvPicPr>
        <xdr:cNvPr id="19" name="图片 3">
          <a:extLst>
            <a:ext uri="{FF2B5EF4-FFF2-40B4-BE49-F238E27FC236}">
              <a16:creationId xmlns="" xmlns:a16="http://schemas.microsoft.com/office/drawing/2014/main" id="{7FB22941-DC83-46E5-B8BF-1B499D81AA4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0296525"/>
          <a:ext cx="9045" cy="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54</xdr:row>
      <xdr:rowOff>0</xdr:rowOff>
    </xdr:from>
    <xdr:to>
      <xdr:col>30</xdr:col>
      <xdr:colOff>9045</xdr:colOff>
      <xdr:row>54</xdr:row>
      <xdr:rowOff>0</xdr:rowOff>
    </xdr:to>
    <xdr:pic>
      <xdr:nvPicPr>
        <xdr:cNvPr id="20" name="图片 4">
          <a:extLst>
            <a:ext uri="{FF2B5EF4-FFF2-40B4-BE49-F238E27FC236}">
              <a16:creationId xmlns="" xmlns:a16="http://schemas.microsoft.com/office/drawing/2014/main" id="{9E5D25BD-4003-4903-9F4C-2384BBEDEF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0" y="11096625"/>
          <a:ext cx="9045" cy="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38</xdr:row>
      <xdr:rowOff>0</xdr:rowOff>
    </xdr:from>
    <xdr:to>
      <xdr:col>43</xdr:col>
      <xdr:colOff>9045</xdr:colOff>
      <xdr:row>38</xdr:row>
      <xdr:rowOff>0</xdr:rowOff>
    </xdr:to>
    <xdr:pic>
      <xdr:nvPicPr>
        <xdr:cNvPr id="21" name="图片 1">
          <a:extLst>
            <a:ext uri="{FF2B5EF4-FFF2-40B4-BE49-F238E27FC236}">
              <a16:creationId xmlns="" xmlns:a16="http://schemas.microsoft.com/office/drawing/2014/main" id="{67E6AA8F-0123-4A90-875E-4C10E5C24F8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7896225"/>
          <a:ext cx="9045" cy="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58</xdr:row>
      <xdr:rowOff>0</xdr:rowOff>
    </xdr:from>
    <xdr:to>
      <xdr:col>43</xdr:col>
      <xdr:colOff>9045</xdr:colOff>
      <xdr:row>58</xdr:row>
      <xdr:rowOff>0</xdr:rowOff>
    </xdr:to>
    <xdr:pic>
      <xdr:nvPicPr>
        <xdr:cNvPr id="22" name="图片 2">
          <a:extLst>
            <a:ext uri="{FF2B5EF4-FFF2-40B4-BE49-F238E27FC236}">
              <a16:creationId xmlns="" xmlns:a16="http://schemas.microsoft.com/office/drawing/2014/main" id="{87759064-D775-4564-A771-639C48D5542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11896725"/>
          <a:ext cx="9045" cy="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55</xdr:row>
      <xdr:rowOff>0</xdr:rowOff>
    </xdr:from>
    <xdr:to>
      <xdr:col>43</xdr:col>
      <xdr:colOff>9045</xdr:colOff>
      <xdr:row>55</xdr:row>
      <xdr:rowOff>0</xdr:rowOff>
    </xdr:to>
    <xdr:pic>
      <xdr:nvPicPr>
        <xdr:cNvPr id="23" name="图片 3">
          <a:extLst>
            <a:ext uri="{FF2B5EF4-FFF2-40B4-BE49-F238E27FC236}">
              <a16:creationId xmlns="" xmlns:a16="http://schemas.microsoft.com/office/drawing/2014/main" id="{DA128A8D-05C2-4BB8-84DC-39F28B42559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11296650"/>
          <a:ext cx="9045" cy="0"/>
        </a:xfrm>
        <a:prstGeom prst="rect">
          <a:avLst/>
        </a:prstGeom>
      </xdr:spPr>
    </xdr:pic>
    <xdr:clientData/>
  </xdr:twoCellAnchor>
  <xdr:twoCellAnchor>
    <xdr:from>
      <xdr:col>43</xdr:col>
      <xdr:colOff>0</xdr:colOff>
      <xdr:row>59</xdr:row>
      <xdr:rowOff>0</xdr:rowOff>
    </xdr:from>
    <xdr:to>
      <xdr:col>43</xdr:col>
      <xdr:colOff>9045</xdr:colOff>
      <xdr:row>59</xdr:row>
      <xdr:rowOff>0</xdr:rowOff>
    </xdr:to>
    <xdr:pic>
      <xdr:nvPicPr>
        <xdr:cNvPr id="24" name="图片 4">
          <a:extLst>
            <a:ext uri="{FF2B5EF4-FFF2-40B4-BE49-F238E27FC236}">
              <a16:creationId xmlns="" xmlns:a16="http://schemas.microsoft.com/office/drawing/2014/main" id="{0C9B3938-0709-4E23-A0C1-74B12FBE078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0" y="12096750"/>
          <a:ext cx="9045" cy="0"/>
        </a:xfrm>
        <a:prstGeom prst="rect">
          <a:avLst/>
        </a:prstGeom>
      </xdr:spPr>
    </xdr:pic>
    <xdr:clientData/>
  </xdr:twoCellAnchor>
  <xdr:twoCellAnchor>
    <xdr:from>
      <xdr:col>57</xdr:col>
      <xdr:colOff>0</xdr:colOff>
      <xdr:row>55</xdr:row>
      <xdr:rowOff>0</xdr:rowOff>
    </xdr:from>
    <xdr:to>
      <xdr:col>57</xdr:col>
      <xdr:colOff>9045</xdr:colOff>
      <xdr:row>55</xdr:row>
      <xdr:rowOff>0</xdr:rowOff>
    </xdr:to>
    <xdr:pic>
      <xdr:nvPicPr>
        <xdr:cNvPr id="25" name="图片 4">
          <a:extLst>
            <a:ext uri="{FF2B5EF4-FFF2-40B4-BE49-F238E27FC236}">
              <a16:creationId xmlns="" xmlns:a16="http://schemas.microsoft.com/office/drawing/2014/main" id="{59A1F689-B05D-4282-A9DA-3B29C504996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0" y="11296650"/>
          <a:ext cx="9045" cy="0"/>
        </a:xfrm>
        <a:prstGeom prst="rect">
          <a:avLst/>
        </a:prstGeom>
      </xdr:spPr>
    </xdr:pic>
    <xdr:clientData/>
  </xdr:twoCellAnchor>
  <xdr:twoCellAnchor>
    <xdr:from>
      <xdr:col>57</xdr:col>
      <xdr:colOff>0</xdr:colOff>
      <xdr:row>37</xdr:row>
      <xdr:rowOff>0</xdr:rowOff>
    </xdr:from>
    <xdr:to>
      <xdr:col>57</xdr:col>
      <xdr:colOff>9045</xdr:colOff>
      <xdr:row>37</xdr:row>
      <xdr:rowOff>0</xdr:rowOff>
    </xdr:to>
    <xdr:pic>
      <xdr:nvPicPr>
        <xdr:cNvPr id="26" name="图片 5">
          <a:extLst>
            <a:ext uri="{FF2B5EF4-FFF2-40B4-BE49-F238E27FC236}">
              <a16:creationId xmlns="" xmlns:a16="http://schemas.microsoft.com/office/drawing/2014/main" id="{4B5B5BAA-835A-4767-A741-5107E7CD7F6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34000" y="7696200"/>
          <a:ext cx="9045" cy="0"/>
        </a:xfrm>
        <a:prstGeom prst="rect">
          <a:avLst/>
        </a:prstGeom>
      </xdr:spPr>
    </xdr:pic>
    <xdr:clientData/>
  </xdr:twoCellAnchor>
  <xdr:twoCellAnchor>
    <xdr:from>
      <xdr:col>85</xdr:col>
      <xdr:colOff>0</xdr:colOff>
      <xdr:row>50</xdr:row>
      <xdr:rowOff>0</xdr:rowOff>
    </xdr:from>
    <xdr:to>
      <xdr:col>85</xdr:col>
      <xdr:colOff>9045</xdr:colOff>
      <xdr:row>50</xdr:row>
      <xdr:rowOff>0</xdr:rowOff>
    </xdr:to>
    <xdr:pic>
      <xdr:nvPicPr>
        <xdr:cNvPr id="27" name="图片 4">
          <a:extLst>
            <a:ext uri="{FF2B5EF4-FFF2-40B4-BE49-F238E27FC236}">
              <a16:creationId xmlns="" xmlns:a16="http://schemas.microsoft.com/office/drawing/2014/main" id="{4457C08F-5482-4EFF-816F-A7A07B419BB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00" y="10296525"/>
          <a:ext cx="904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727605</xdr:colOff>
      <xdr:row>7</xdr:row>
      <xdr:rowOff>143933</xdr:rowOff>
    </xdr:to>
    <xdr:grpSp>
      <xdr:nvGrpSpPr>
        <xdr:cNvPr id="28" name="Group 27">
          <a:extLst>
            <a:ext uri="{FF2B5EF4-FFF2-40B4-BE49-F238E27FC236}">
              <a16:creationId xmlns="" xmlns:a16="http://schemas.microsoft.com/office/drawing/2014/main" id="{5600F279-64C6-45D2-AEEB-BBF315C13DE8}"/>
            </a:ext>
          </a:extLst>
        </xdr:cNvPr>
        <xdr:cNvGrpSpPr/>
      </xdr:nvGrpSpPr>
      <xdr:grpSpPr>
        <a:xfrm>
          <a:off x="0" y="0"/>
          <a:ext cx="4537605" cy="1477433"/>
          <a:chOff x="0" y="0"/>
          <a:chExt cx="4275667" cy="1439333"/>
        </a:xfrm>
      </xdr:grpSpPr>
      <xdr:pic>
        <xdr:nvPicPr>
          <xdr:cNvPr id="29" name="Imagen 1" descr="A green and white logo&#10;&#10;Description automatically generated">
            <a:extLst>
              <a:ext uri="{FF2B5EF4-FFF2-40B4-BE49-F238E27FC236}">
                <a16:creationId xmlns="" xmlns:a16="http://schemas.microsoft.com/office/drawing/2014/main" id="{7D621B53-ECC5-A87E-7D2D-4CFCB673F5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30" name="Rectangle 29">
            <a:extLst>
              <a:ext uri="{FF2B5EF4-FFF2-40B4-BE49-F238E27FC236}">
                <a16:creationId xmlns="" xmlns:a16="http://schemas.microsoft.com/office/drawing/2014/main" id="{B2E6214F-08E1-D687-E509-DA829AFEF510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ECO MERCADO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tiago" refreshedDate="46191.55403240741" createdVersion="5" refreshedVersion="5" minRefreshableVersion="3" recordCount="244">
  <cacheSource type="worksheet">
    <worksheetSource name="Tabla2"/>
  </cacheSource>
  <cacheFields count="14">
    <cacheField name="Empresa" numFmtId="0">
      <sharedItems/>
    </cacheField>
    <cacheField name="Contacto" numFmtId="0">
      <sharedItems/>
    </cacheField>
    <cacheField name="Celular" numFmtId="1">
      <sharedItems containsBlank="1" containsMixedTypes="1" containsNumber="1" containsInteger="1" minValue="3310234402" maxValue="3339683396"/>
    </cacheField>
    <cacheField name="Teléfono" numFmtId="0">
      <sharedItems containsString="0" containsBlank="1" containsNumber="1" containsInteger="1" minValue="10990107" maxValue="3338244746"/>
    </cacheField>
    <cacheField name="Correo Electrónico" numFmtId="0">
      <sharedItems containsBlank="1"/>
    </cacheField>
    <cacheField name="Giro" numFmtId="0">
      <sharedItems containsBlank="1"/>
    </cacheField>
    <cacheField name="Vendedor" numFmtId="0">
      <sharedItems containsBlank="1"/>
    </cacheField>
    <cacheField name="Forma de Pago" numFmtId="0">
      <sharedItems containsBlank="1"/>
    </cacheField>
    <cacheField name="Precio" numFmtId="8">
      <sharedItems containsString="0" containsBlank="1" containsNumber="1" minValue="0" maxValue="1740"/>
    </cacheField>
    <cacheField name="Mesa" numFmtId="0">
      <sharedItems containsBlank="1" count="4">
        <s v="Media"/>
        <s v="Completa"/>
        <m/>
        <s v="Ninguna"/>
      </sharedItems>
    </cacheField>
    <cacheField name="Espacio" numFmtId="0">
      <sharedItems containsBlank="1" containsMixedTypes="1" containsNumber="1" containsInteger="1" minValue="0" maxValue="31" count="80">
        <s v="18a"/>
        <s v="17b"/>
        <s v="3a"/>
        <s v="13b"/>
        <s v="10a"/>
        <s v="17a"/>
        <s v="9b"/>
        <s v="11a"/>
        <s v="21b"/>
        <s v="16a"/>
        <s v="9a"/>
        <s v="13a"/>
        <s v="Falta"/>
        <s v="21a"/>
        <n v="1"/>
        <n v="12"/>
        <s v="14a"/>
        <n v="2"/>
        <s v="15a"/>
        <s v="19a"/>
        <s v="14b"/>
        <s v="5b"/>
        <n v="7"/>
        <s v="20a"/>
        <s v="8b"/>
        <s v="15b"/>
        <s v="10b"/>
        <n v="4"/>
        <s v="6a"/>
        <s v="3b"/>
        <s v="5a"/>
        <n v="22"/>
        <s v="19b"/>
        <s v="6b"/>
        <s v="16b"/>
        <s v="8a"/>
        <s v="11b"/>
        <s v="20b"/>
        <n v="5"/>
        <s v="23a"/>
        <n v="24"/>
        <s v="26a"/>
        <s v="25a"/>
        <s v="23b"/>
        <n v="29"/>
        <s v="27b"/>
        <s v="18b"/>
        <n v="20"/>
        <s v="26b"/>
        <s v="25b"/>
        <m/>
        <n v="23"/>
        <n v="10"/>
        <n v="30"/>
        <s v="13c"/>
        <n v="31"/>
        <s v="2a"/>
        <n v="0"/>
        <s v="2b"/>
        <s v="30a"/>
        <s v="32a"/>
        <s v="34c"/>
        <s v="32b"/>
        <s v="34a"/>
        <n v="15"/>
        <s v="33a"/>
        <s v="0b"/>
        <s v="30b"/>
        <s v="33b"/>
        <s v="31a"/>
        <n v="11"/>
        <s v="4a"/>
        <s v="31c"/>
        <s v="22a"/>
        <s v="22b"/>
        <s v="31b"/>
        <s v="12a"/>
        <s v="10c"/>
        <s v="4b"/>
        <s v="12b"/>
      </sharedItems>
    </cacheField>
    <cacheField name="Nuevo" numFmtId="0">
      <sharedItems containsBlank="1"/>
    </cacheField>
    <cacheField name="Perforacion" numFmtId="0">
      <sharedItems containsString="0" containsBlank="1" containsNumber="1" containsInteger="1" minValue="0" maxValue="4"/>
    </cacheField>
    <cacheField name="Fecha" numFmtId="14">
      <sharedItems containsSemiMixedTypes="0" containsNonDate="0" containsDate="1" containsString="0" minDate="2014-01-10T00:00:00" maxDate="2014-03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">
  <r>
    <s v="A Long Asian Gourmet"/>
    <s v="Aaron Disler"/>
    <n v="3314819409"/>
    <m/>
    <s v="a_long_asian_gourmet@yahoo.com"/>
    <s v="Empanadas chinas, dumplings"/>
    <m/>
    <s v="Banco"/>
    <n v="232"/>
    <x v="0"/>
    <x v="0"/>
    <m/>
    <m/>
    <d v="2014-01-10T00:00:00"/>
  </r>
  <r>
    <s v="AMO Cacao"/>
    <s v="Fernel Bobadilla"/>
    <n v="3315337212"/>
    <m/>
    <s v="fernelbp@hotmail.com"/>
    <s v="Chocolate."/>
    <m/>
    <s v="Efectivo"/>
    <n v="187.5"/>
    <x v="0"/>
    <x v="1"/>
    <m/>
    <m/>
    <d v="2014-01-10T00:00:00"/>
  </r>
  <r>
    <s v="Ángeles Queso"/>
    <s v="Ángeles Queso"/>
    <n v="3335591738"/>
    <m/>
    <s v="mangelesmunoz@me.com"/>
    <s v="Quesos, aderezos."/>
    <m/>
    <s v="Efectivo"/>
    <n v="200"/>
    <x v="0"/>
    <x v="2"/>
    <m/>
    <m/>
    <d v="2014-01-10T00:00:00"/>
  </r>
  <r>
    <s v="Angie Inzúa"/>
    <s v="Angie Inzúa"/>
    <n v="3314174876"/>
    <m/>
    <s v="u2angie@hotmail.com"/>
    <s v="collares hechos a mano"/>
    <m/>
    <s v="Efectivo"/>
    <n v="187.5"/>
    <x v="0"/>
    <x v="3"/>
    <m/>
    <m/>
    <d v="2014-01-10T00:00:00"/>
  </r>
  <r>
    <s v="Armonía Magnética"/>
    <s v="Pilar Ramírez"/>
    <n v="3314117724"/>
    <m/>
    <s v="armoniamagnetica@gmail.com"/>
    <m/>
    <m/>
    <s v="Efectivo"/>
    <n v="200"/>
    <x v="0"/>
    <x v="4"/>
    <m/>
    <m/>
    <d v="2014-01-10T00:00:00"/>
  </r>
  <r>
    <s v="Avogratto"/>
    <s v="Lorena Ortiz"/>
    <n v="3314872679"/>
    <m/>
    <s v="lpatri1304@hotmail.com"/>
    <s v="Aceite de aguacate."/>
    <m/>
    <s v="Anticipado"/>
    <n v="0"/>
    <x v="0"/>
    <x v="5"/>
    <m/>
    <m/>
    <d v="2014-01-10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m/>
    <d v="2014-01-10T00:00:00"/>
  </r>
  <r>
    <s v="Bernardo Brocher"/>
    <s v="Bernardo Brocher"/>
    <n v="3331979100"/>
    <m/>
    <s v="barneybrocher@hotmail.com"/>
    <s v="Empanadas y embutidos."/>
    <m/>
    <s v="Efectivo"/>
    <n v="200"/>
    <x v="0"/>
    <x v="7"/>
    <m/>
    <m/>
    <d v="2014-01-10T00:00:00"/>
  </r>
  <r>
    <s v="Bitácora"/>
    <s v="Mario de Santos"/>
    <n v="3336761496"/>
    <m/>
    <s v="mdesantosj@gmail.com"/>
    <s v="Libretas"/>
    <s v="Sofía"/>
    <s v="Efectivo"/>
    <n v="187.5"/>
    <x v="0"/>
    <x v="8"/>
    <m/>
    <m/>
    <d v="2014-01-10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9"/>
    <m/>
    <m/>
    <d v="2014-01-10T00:00:00"/>
  </r>
  <r>
    <s v="Che Sen"/>
    <s v="Martha Rojo de la Vega"/>
    <n v="3339559274"/>
    <m/>
    <s v="contacto.chesen@gmail.com"/>
    <s v="granola, nueces"/>
    <m/>
    <s v="Banco"/>
    <n v="232"/>
    <x v="0"/>
    <x v="10"/>
    <m/>
    <m/>
    <d v="2014-01-10T00:00:00"/>
  </r>
  <r>
    <s v="Da Du Didactics"/>
    <s v="Ana Elena Peinado Olvera"/>
    <n v="3338304373"/>
    <n v="10990107"/>
    <s v="anel.dragonas@gmail.com"/>
    <s v="juguetes creativos y didácticos de madera"/>
    <m/>
    <s v="Banco"/>
    <n v="870"/>
    <x v="0"/>
    <x v="11"/>
    <m/>
    <m/>
    <d v="2014-01-10T00:00:00"/>
  </r>
  <r>
    <s v="Donaji"/>
    <s v="Nicole Velez Rodriguez"/>
    <n v="3319765566"/>
    <m/>
    <s v="donajiproductodeoaxaca@gmail.com"/>
    <s v="mole, café, chocolate, salsas"/>
    <m/>
    <s v="Efectivo"/>
    <n v="250"/>
    <x v="0"/>
    <x v="12"/>
    <m/>
    <m/>
    <d v="2014-01-10T00:00:00"/>
  </r>
  <r>
    <s v="Eclock"/>
    <s v="Edgar Torres"/>
    <n v="3317246984"/>
    <m/>
    <s v="eclock.relojes@hotmail.com"/>
    <s v="Relojes de madera"/>
    <m/>
    <s v="Efectivo"/>
    <n v="200"/>
    <x v="0"/>
    <x v="13"/>
    <m/>
    <m/>
    <d v="2014-01-10T00:00:00"/>
  </r>
  <r>
    <s v="EVOO"/>
    <s v="Margarita Rodriguez"/>
    <n v="3313600806"/>
    <m/>
    <s v="dramarrod@hotmail.com"/>
    <m/>
    <m/>
    <s v="Intercambio"/>
    <n v="0"/>
    <x v="1"/>
    <x v="14"/>
    <m/>
    <m/>
    <d v="2014-01-10T00:00:00"/>
  </r>
  <r>
    <s v="Frutas Vero"/>
    <s v="Verónica Tolentino Espinoza"/>
    <n v="3314277826"/>
    <m/>
    <m/>
    <s v="Frutas orgánicas"/>
    <m/>
    <s v="Efectivo"/>
    <n v="50"/>
    <x v="1"/>
    <x v="15"/>
    <m/>
    <m/>
    <d v="2014-01-10T00:00:00"/>
  </r>
  <r>
    <s v="Glow"/>
    <s v="Alejandro Cantú"/>
    <n v="3317314958"/>
    <n v="17314958"/>
    <s v="glowstore.07@gmail.com"/>
    <s v="ropa de diseño independiente"/>
    <m/>
    <s v="Efectivo"/>
    <n v="750"/>
    <x v="0"/>
    <x v="16"/>
    <m/>
    <m/>
    <d v="2014-01-10T00:00:00"/>
  </r>
  <r>
    <s v="Gusto Gourmet"/>
    <s v="Karen Alonso"/>
    <n v="3314412645"/>
    <m/>
    <m/>
    <s v="Salsas, verdura botanera, chimichurri, pesto."/>
    <m/>
    <s v="Efectivo"/>
    <n v="200"/>
    <x v="0"/>
    <x v="17"/>
    <m/>
    <m/>
    <d v="2014-01-10T00:00:00"/>
  </r>
  <r>
    <s v="Jamaitingas"/>
    <s v="Arlene Sánchez"/>
    <n v="3334057358"/>
    <m/>
    <s v="miryana23@hotmail.com"/>
    <s v="guisados a base de jamaica"/>
    <m/>
    <s v="Efectivo"/>
    <n v="750"/>
    <x v="0"/>
    <x v="18"/>
    <m/>
    <m/>
    <d v="2014-01-10T00:00:00"/>
  </r>
  <r>
    <s v="Klok"/>
    <s v="María Luisa Álvarez Caloca"/>
    <n v="3336777441"/>
    <n v="38231337"/>
    <s v="maria@xtal.com.mx"/>
    <s v="Ilustración a base de primacolor."/>
    <s v="Gonzalo"/>
    <s v="Efectivo"/>
    <n v="250"/>
    <x v="0"/>
    <x v="19"/>
    <s v="N"/>
    <m/>
    <d v="2014-01-10T00:00:00"/>
  </r>
  <r>
    <s v="La Bee Organic"/>
    <s v="Luis Elizondo"/>
    <n v="3331787364"/>
    <m/>
    <s v="labeeorganic@gmail.com"/>
    <s v="bálsamo para labios"/>
    <m/>
    <s v="Efectivo"/>
    <n v="750"/>
    <x v="0"/>
    <x v="20"/>
    <m/>
    <m/>
    <d v="2014-01-10T00:00:00"/>
  </r>
  <r>
    <s v="Le Guttie"/>
    <s v="Mariel Gutierrez"/>
    <n v="3311392611"/>
    <m/>
    <s v="leguttie@gmail.com"/>
    <s v="manzanas cubiertas, fresas con chocolate"/>
    <m/>
    <s v="Efectivo"/>
    <n v="750"/>
    <x v="0"/>
    <x v="21"/>
    <m/>
    <m/>
    <d v="2014-01-10T00:00:00"/>
  </r>
  <r>
    <s v="Lovely Creations"/>
    <s v="Luz Mantilla"/>
    <n v="3339683396"/>
    <m/>
    <s v="itza.barba@hp.com"/>
    <m/>
    <m/>
    <s v="Efectivo"/>
    <n v="400"/>
    <x v="1"/>
    <x v="22"/>
    <m/>
    <m/>
    <d v="2014-01-10T00:00:00"/>
  </r>
  <r>
    <s v="Lucy Cactus Company"/>
    <s v="Verónica Gil"/>
    <n v="3311185434"/>
    <m/>
    <s v="veronik339.vg@gmail.com"/>
    <s v="macetas de barro pintadas"/>
    <m/>
    <s v="Efectivo"/>
    <n v="200"/>
    <x v="0"/>
    <x v="23"/>
    <m/>
    <m/>
    <d v="2014-01-10T00:00:00"/>
  </r>
  <r>
    <s v="Luna Menstruarte"/>
    <s v="Karime Hernández"/>
    <n v="3317071188"/>
    <m/>
    <s v="infolunamenstruarte@gmail.com"/>
    <s v="Copas menstruales"/>
    <m/>
    <s v="Efectivo"/>
    <n v="750"/>
    <x v="0"/>
    <x v="24"/>
    <m/>
    <m/>
    <d v="2014-01-10T00:00:00"/>
  </r>
  <r>
    <s v="Mishu"/>
    <s v="Ella Cornejo"/>
    <n v="3314415732"/>
    <n v="36275564"/>
    <s v="ella.marina.cornejo@gmail.com"/>
    <s v="Armonizadores de espacios tejidos."/>
    <s v="Sofía"/>
    <s v="Efectivo"/>
    <n v="1000"/>
    <x v="0"/>
    <x v="25"/>
    <s v="N"/>
    <m/>
    <d v="2014-01-10T00:00:00"/>
  </r>
  <r>
    <s v="Ofelia Pozole"/>
    <s v="Ana Rosales"/>
    <m/>
    <n v="38257028"/>
    <s v="quetzallicocone@hotmail.com"/>
    <s v="Pozole vegetariano"/>
    <m/>
    <s v="Efectivo"/>
    <n v="750"/>
    <x v="0"/>
    <x v="26"/>
    <m/>
    <m/>
    <d v="2014-01-10T00:00:00"/>
  </r>
  <r>
    <s v="Pangourmeti"/>
    <s v="Mónica Herández"/>
    <n v="3314501114"/>
    <m/>
    <s v="monica@cosmosmkt.com"/>
    <s v="Pan y galletas."/>
    <m/>
    <s v="Intercambio"/>
    <n v="0"/>
    <x v="1"/>
    <x v="27"/>
    <m/>
    <m/>
    <d v="2014-01-10T00:00:00"/>
  </r>
  <r>
    <s v="Perla Negra"/>
    <s v="Romina de la Parra"/>
    <n v="3332003097"/>
    <n v="38103965"/>
    <s v="perlanegra.ventas@hotmail.com"/>
    <s v="Arcilla termal volcánica, antifaz térmico de arcilla volcánica, piedra de origen volcánico, jabón artesanal de arcilla volcánica y romero."/>
    <m/>
    <s v="Banco"/>
    <n v="187.5"/>
    <x v="0"/>
    <x v="28"/>
    <m/>
    <m/>
    <d v="2014-01-10T00:00:00"/>
  </r>
  <r>
    <s v="Productos Gourmet"/>
    <s v="Victor Hugo Lamas"/>
    <n v="3314112703"/>
    <m/>
    <s v="victorlamasr@yahoo.com.mx"/>
    <m/>
    <m/>
    <s v="Efectivo"/>
    <n v="200"/>
    <x v="0"/>
    <x v="29"/>
    <m/>
    <m/>
    <d v="2014-01-10T00:00:00"/>
  </r>
  <r>
    <s v="Productos Vegetarianos"/>
    <s v="Zoé Ruelas SantaCruz"/>
    <n v="3331406846"/>
    <m/>
    <s v="psicozoe@hotmail.com"/>
    <s v="Chorizo vegetariano, cochinita vegetariana y milanesas de trigo."/>
    <s v="Sofía"/>
    <s v="Efectivo"/>
    <n v="250"/>
    <x v="0"/>
    <x v="30"/>
    <s v="N"/>
    <m/>
    <d v="2014-01-10T00:00:00"/>
  </r>
  <r>
    <s v="Promaná"/>
    <s v="Manuel Mendez"/>
    <n v="3334488380"/>
    <n v="36314024"/>
    <s v="jmmu.97@gmail.com"/>
    <s v="Huevo orgánico de rancho, moringa."/>
    <m/>
    <s v="Banco"/>
    <n v="1740"/>
    <x v="1"/>
    <x v="31"/>
    <m/>
    <m/>
    <d v="2014-01-10T00:00:00"/>
  </r>
  <r>
    <s v="Quetzalli"/>
    <s v="Aura Rodriguez"/>
    <n v="3317711276"/>
    <n v="3338244746"/>
    <s v="pacoatlicue@hotmail.com"/>
    <s v="lámparas, aretes de cupcakes y postres, dijes de resina"/>
    <m/>
    <s v="Efectivo"/>
    <n v="750"/>
    <x v="0"/>
    <x v="32"/>
    <m/>
    <m/>
    <d v="2014-01-10T00:00:00"/>
  </r>
  <r>
    <s v="Sempiterna"/>
    <s v="Eugenia Sánchez"/>
    <n v="3311802665"/>
    <m/>
    <s v="es.t-70@hotmail.com"/>
    <s v="Dijes de plata"/>
    <m/>
    <s v="Efectivo"/>
    <n v="750"/>
    <x v="0"/>
    <x v="33"/>
    <m/>
    <m/>
    <d v="2014-01-10T00:00:00"/>
  </r>
  <r>
    <s v="Sufiz"/>
    <s v="Maye Betancourt"/>
    <n v="3317109196"/>
    <n v="15967909"/>
    <s v="mayedapa@hotmail.com"/>
    <s v="palanquetas, granola"/>
    <m/>
    <s v="Efectivo"/>
    <n v="750"/>
    <x v="0"/>
    <x v="34"/>
    <m/>
    <m/>
    <d v="2014-01-10T00:00:00"/>
  </r>
  <r>
    <s v="Tochtli"/>
    <s v="Adrián Gutiérrez"/>
    <n v="3317440064"/>
    <m/>
    <s v="tochtli_desodorante@hotmail.com"/>
    <s v="Talco desodorante, desodorante rolo, desodorante spray, shampoo, crema para afeitar, pasta de dientes, talco para pies."/>
    <m/>
    <m/>
    <n v="200"/>
    <x v="0"/>
    <x v="35"/>
    <m/>
    <m/>
    <d v="2014-01-10T00:00:00"/>
  </r>
  <r>
    <s v="Vihanta Natura"/>
    <s v="Valentina Bontempi"/>
    <n v="3315398142"/>
    <m/>
    <s v="bvale_81@yahoo.it"/>
    <s v="cremas a base de extractos y aceites naturales"/>
    <m/>
    <s v="Efectivo"/>
    <n v="750"/>
    <x v="0"/>
    <x v="36"/>
    <m/>
    <m/>
    <d v="2014-01-10T00:00:00"/>
  </r>
  <r>
    <s v="Virgo"/>
    <s v="Victor Ortega"/>
    <n v="3314117605"/>
    <n v="38134694"/>
    <s v="virgonutricion@hotmail.com"/>
    <s v="Mermeladas, yoghurt."/>
    <m/>
    <s v="Efectivo"/>
    <n v="200"/>
    <x v="0"/>
    <x v="37"/>
    <m/>
    <m/>
    <d v="2014-01-10T00:00:00"/>
  </r>
  <r>
    <s v="4to de Baño"/>
    <s v="Gabriela Jiménez"/>
    <n v="3311488590"/>
    <n v="38135725"/>
    <s v="gabiwork@hotmail.com"/>
    <s v="jabones naturales, cepillos"/>
    <m/>
    <s v="Efectivo"/>
    <n v="375"/>
    <x v="1"/>
    <x v="38"/>
    <m/>
    <m/>
    <d v="2014-01-25T00:00:00"/>
  </r>
  <r>
    <s v="AMO Cacao"/>
    <s v="Fernel Bobadilla"/>
    <n v="3315337212"/>
    <m/>
    <s v="fernelbp@hotmail.com"/>
    <s v="Chocolate."/>
    <m/>
    <s v="Efectivo"/>
    <n v="187.5"/>
    <x v="0"/>
    <x v="1"/>
    <m/>
    <m/>
    <d v="2014-01-25T00:00:00"/>
  </r>
  <r>
    <s v="Ángeles Queso"/>
    <s v="Ángeles Queso"/>
    <n v="3335591738"/>
    <m/>
    <s v="mangelesmunoz@me.com"/>
    <s v="Quesos, aderezos."/>
    <m/>
    <s v="Efectivo"/>
    <n v="200"/>
    <x v="0"/>
    <x v="2"/>
    <m/>
    <m/>
    <d v="2014-01-25T00:00:00"/>
  </r>
  <r>
    <s v="Angie Inzúa"/>
    <s v="Angie Inzúa"/>
    <n v="3314174876"/>
    <m/>
    <s v="u2angie@hotmail.com"/>
    <s v="collares hechos a mano"/>
    <m/>
    <s v="Efectivo"/>
    <n v="187.5"/>
    <x v="0"/>
    <x v="16"/>
    <m/>
    <m/>
    <d v="2014-01-25T00:00:00"/>
  </r>
  <r>
    <s v="Avogratto"/>
    <s v="Lorena Ortiz"/>
    <n v="3314872679"/>
    <m/>
    <s v="lpatri1304@hotmail.com"/>
    <s v="Aceite de aguacate."/>
    <m/>
    <s v="Anticipado"/>
    <n v="0"/>
    <x v="0"/>
    <x v="5"/>
    <m/>
    <m/>
    <d v="2014-01-25T00:00:00"/>
  </r>
  <r>
    <s v="Azafrán Boxes"/>
    <s v="Leonardo Parra"/>
    <n v="3331294429"/>
    <m/>
    <s v="azafranboxes@gmail.com"/>
    <s v="cajas fuertes en forma de libros"/>
    <s v="Sofía"/>
    <s v="pendiente"/>
    <n v="200"/>
    <x v="0"/>
    <x v="8"/>
    <m/>
    <m/>
    <d v="2014-01-25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m/>
    <d v="2014-01-25T00:00:00"/>
  </r>
  <r>
    <s v="Bio Zen"/>
    <s v="Areli Arámbula"/>
    <n v="3310508101"/>
    <m/>
    <s v="karenalonsogarza@gmail.com"/>
    <s v="Desodorante de piedra."/>
    <s v="Sofía"/>
    <m/>
    <m/>
    <x v="2"/>
    <x v="17"/>
    <m/>
    <m/>
    <d v="2014-01-25T00:00:00"/>
  </r>
  <r>
    <s v="Bitácora"/>
    <s v="Mario de Santos"/>
    <n v="3336761496"/>
    <m/>
    <s v="mdesantosj@gmail.com"/>
    <s v="Libretas"/>
    <s v="Sofía"/>
    <s v="Efectivo"/>
    <n v="187.5"/>
    <x v="0"/>
    <x v="33"/>
    <m/>
    <m/>
    <d v="2014-01-25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29"/>
    <m/>
    <m/>
    <d v="2014-01-25T00:00:00"/>
  </r>
  <r>
    <s v="Che Sen"/>
    <s v="Martha Rojo de la Vega"/>
    <n v="3339559274"/>
    <m/>
    <s v="contacto.chesen@gmail.com"/>
    <s v="granola, nueces"/>
    <m/>
    <s v="Efectivo"/>
    <n v="200"/>
    <x v="0"/>
    <x v="10"/>
    <m/>
    <m/>
    <d v="2014-01-25T00:00:00"/>
  </r>
  <r>
    <s v="Cocina Icaza"/>
    <s v="Mónica Icaza"/>
    <n v="3333778377"/>
    <m/>
    <s v="cocinaicaza@gmail.com"/>
    <s v="Salsas y aderezos."/>
    <s v="Sofía"/>
    <s v="Efectivo"/>
    <n v="200"/>
    <x v="0"/>
    <x v="4"/>
    <m/>
    <m/>
    <d v="2014-01-25T00:00:00"/>
  </r>
  <r>
    <s v="Da Du Didactics"/>
    <s v="Ana Elena Peinado Olvera"/>
    <n v="3338304373"/>
    <n v="10990107"/>
    <s v="anel.dragonas@gmail.com"/>
    <s v="juguetes creativos y didácticos de madera"/>
    <m/>
    <s v="Banco"/>
    <n v="870"/>
    <x v="0"/>
    <x v="11"/>
    <m/>
    <m/>
    <d v="2014-01-25T00:00:00"/>
  </r>
  <r>
    <s v="Den Maya Invernaderos"/>
    <s v="Yesica Delgado Díaz"/>
    <n v="3311856312"/>
    <m/>
    <s v="yeska_27@hotmail.com"/>
    <s v="Plantas, hierbas aromáticas, flores, árboles en maceta."/>
    <m/>
    <s v="Efectivo"/>
    <n v="1500"/>
    <x v="1"/>
    <x v="14"/>
    <m/>
    <m/>
    <d v="2014-01-25T00:00:00"/>
  </r>
  <r>
    <s v="Detalles y Bisutería"/>
    <s v="Adrián Martínez"/>
    <n v="3310932686"/>
    <m/>
    <s v="dtalle@hotmail.com"/>
    <m/>
    <m/>
    <s v="Efectivo"/>
    <n v="250"/>
    <x v="0"/>
    <x v="39"/>
    <m/>
    <m/>
    <d v="2014-01-25T00:00:00"/>
  </r>
  <r>
    <s v="EVOO"/>
    <s v="Margarita Rodriguez"/>
    <n v="3313600806"/>
    <m/>
    <s v="dramarrod@hotmail.com"/>
    <m/>
    <s v="Margarita"/>
    <s v="pendiente"/>
    <n v="50"/>
    <x v="1"/>
    <x v="31"/>
    <m/>
    <m/>
    <d v="2014-01-25T00:00:00"/>
  </r>
  <r>
    <s v="Frutas Vero"/>
    <s v="Verónica Tolentino Espinoza"/>
    <n v="3314277826"/>
    <m/>
    <m/>
    <s v="Frutas orgánicas"/>
    <m/>
    <s v="Efectivo"/>
    <n v="50"/>
    <x v="1"/>
    <x v="15"/>
    <m/>
    <m/>
    <d v="2014-01-25T00:00:00"/>
  </r>
  <r>
    <s v="Gaia EcoStore"/>
    <s v="Viviana Torres"/>
    <n v="3318451485"/>
    <m/>
    <s v="vivianatorres@gaiaecostore.com"/>
    <s v="Tienda de productos organicos."/>
    <s v="Sofía"/>
    <s v="pendiente"/>
    <n v="50"/>
    <x v="1"/>
    <x v="40"/>
    <m/>
    <m/>
    <d v="2014-01-25T00:00:00"/>
  </r>
  <r>
    <s v="Glow"/>
    <s v="Alejandro Cantú"/>
    <n v="3317314958"/>
    <n v="17314958"/>
    <s v="glowstore.07@gmail.com"/>
    <s v="ropa de diseño independiente"/>
    <m/>
    <s v="Efectivo"/>
    <n v="750"/>
    <x v="0"/>
    <x v="3"/>
    <m/>
    <m/>
    <d v="2014-01-25T00:00:00"/>
  </r>
  <r>
    <s v="Jamaitingas"/>
    <s v="Arlene Sánchez"/>
    <n v="3334057358"/>
    <m/>
    <s v="miryana23@hotmail.com"/>
    <s v="guisados a base de jamaica"/>
    <m/>
    <s v="Efectivo"/>
    <n v="750"/>
    <x v="0"/>
    <x v="18"/>
    <m/>
    <m/>
    <d v="2014-01-25T00:00:00"/>
  </r>
  <r>
    <s v="Klok"/>
    <s v="María Luisa Álvarez Caloca"/>
    <n v="3336777441"/>
    <n v="38231337"/>
    <s v="maria@xtal.com.mx"/>
    <s v="Ilustración a base de primacolor."/>
    <s v="Gonzalo"/>
    <s v="Efectivo"/>
    <n v="200"/>
    <x v="0"/>
    <x v="19"/>
    <m/>
    <m/>
    <d v="2014-01-25T00:00:00"/>
  </r>
  <r>
    <s v="La Bee Organic"/>
    <s v="Luis Elizondo"/>
    <n v="3331787364"/>
    <m/>
    <s v="labeeorganic@gmail.com"/>
    <s v="bálsamo para labios"/>
    <m/>
    <s v="Efectivo"/>
    <n v="750"/>
    <x v="0"/>
    <x v="20"/>
    <m/>
    <m/>
    <d v="2014-01-25T00:00:00"/>
  </r>
  <r>
    <s v="Le Guttie"/>
    <s v="Mariel Gutierrez"/>
    <n v="3311392611"/>
    <m/>
    <s v="leguttie@gmail.com"/>
    <s v="manzanas cubiertas, fresas con chocolate"/>
    <m/>
    <s v="Efectivo"/>
    <n v="750"/>
    <x v="0"/>
    <x v="26"/>
    <m/>
    <m/>
    <d v="2014-01-25T00:00:00"/>
  </r>
  <r>
    <s v="Libertas"/>
    <s v="Luis Felipe Angulo"/>
    <n v="3310640389"/>
    <m/>
    <s v="lufac90@hotmail.com"/>
    <s v="Licor de jamaica."/>
    <s v="Margarita"/>
    <s v="pendiente"/>
    <n v="750"/>
    <x v="0"/>
    <x v="34"/>
    <m/>
    <m/>
    <d v="2014-01-25T00:00:00"/>
  </r>
  <r>
    <s v="Liliana Jaime"/>
    <s v="Liliana Gutierrez"/>
    <n v="3314103650"/>
    <m/>
    <s v="lilianajaime78@gmail.com"/>
    <m/>
    <m/>
    <s v="Efectivo"/>
    <n v="250"/>
    <x v="3"/>
    <x v="41"/>
    <m/>
    <m/>
    <d v="2014-01-25T00:00:00"/>
  </r>
  <r>
    <s v="Lovely Creations"/>
    <s v="Luz Mantilla"/>
    <n v="3339683396"/>
    <m/>
    <s v="itza.barba@hp.com"/>
    <m/>
    <s v="Cecibel"/>
    <s v="Efectivo"/>
    <n v="400"/>
    <x v="1"/>
    <x v="22"/>
    <m/>
    <m/>
    <d v="2014-01-25T00:00:00"/>
  </r>
  <r>
    <s v="Lucy Cactus Company"/>
    <s v="Verónica Gil"/>
    <n v="3311185434"/>
    <m/>
    <s v="veronik339.vg@gmail.com"/>
    <s v="macetas de barro pintadas"/>
    <s v="Sofía"/>
    <s v="Efectivo"/>
    <n v="200"/>
    <x v="0"/>
    <x v="42"/>
    <m/>
    <m/>
    <d v="2014-01-25T00:00:00"/>
  </r>
  <r>
    <s v="Luna Menstruarte"/>
    <s v="Karime Hernández"/>
    <n v="3317071188"/>
    <m/>
    <s v="infolunamenstruarte@gmail.com"/>
    <s v="Copas menstruales"/>
    <m/>
    <s v="Efectivo"/>
    <n v="750"/>
    <x v="0"/>
    <x v="24"/>
    <m/>
    <m/>
    <d v="2014-01-25T00:00:00"/>
  </r>
  <r>
    <s v="Mielomex"/>
    <s v="Joel Lopez"/>
    <n v="3310932686"/>
    <m/>
    <s v="karma_22@hotmail.com"/>
    <m/>
    <m/>
    <s v="Efectivo"/>
    <n v="250"/>
    <x v="0"/>
    <x v="43"/>
    <m/>
    <m/>
    <d v="2014-01-25T00:00:00"/>
  </r>
  <r>
    <s v="Milenium"/>
    <s v="alfonso jimenez"/>
    <n v="3315549675"/>
    <m/>
    <s v="antiquemilenium@hotmail.com"/>
    <m/>
    <m/>
    <s v="Efectivo"/>
    <n v="500"/>
    <x v="1"/>
    <x v="44"/>
    <m/>
    <m/>
    <d v="2014-01-25T00:00:00"/>
  </r>
  <r>
    <s v="Minerales Naturales"/>
    <s v="Leonardo Dueñas"/>
    <n v="3331878752"/>
    <m/>
    <m/>
    <m/>
    <m/>
    <s v="Efectivo"/>
    <n v="250"/>
    <x v="0"/>
    <x v="45"/>
    <m/>
    <m/>
    <d v="2014-01-25T00:00:00"/>
  </r>
  <r>
    <s v="Mishu"/>
    <s v="Ella Cornejo"/>
    <n v="3314415732"/>
    <n v="36275564"/>
    <s v="ella.marina.cornejo@gmail.com"/>
    <s v="Armonizadores de espacios tejidos."/>
    <s v="Sofía"/>
    <s v="Efectivo"/>
    <n v="1000"/>
    <x v="0"/>
    <x v="25"/>
    <m/>
    <m/>
    <d v="2014-01-25T00:00:00"/>
  </r>
  <r>
    <s v="Ofelia Pozole"/>
    <s v="Ana Rosales"/>
    <m/>
    <n v="38257028"/>
    <s v="quetzallicocone@hotmail.com"/>
    <s v="Pozole vegetariano"/>
    <m/>
    <s v="Efectivo"/>
    <n v="750"/>
    <x v="0"/>
    <x v="0"/>
    <m/>
    <m/>
    <d v="2014-01-25T00:00:00"/>
  </r>
  <r>
    <s v="Productos Gourmet"/>
    <s v="Victor Hugo Lamas"/>
    <n v="3314112703"/>
    <m/>
    <s v="victorlamasr@yahoo.com.mx"/>
    <m/>
    <m/>
    <s v="Efectivo"/>
    <n v="200"/>
    <x v="0"/>
    <x v="46"/>
    <m/>
    <m/>
    <d v="2014-01-25T00:00:00"/>
  </r>
  <r>
    <s v="Promaná"/>
    <s v="Manuel Mendez"/>
    <n v="3334488380"/>
    <n v="36314024"/>
    <s v="jmmu.97@gmail.com"/>
    <s v="Huevo orgánico de rancho, moringa."/>
    <m/>
    <s v="Banco"/>
    <n v="1740"/>
    <x v="1"/>
    <x v="47"/>
    <m/>
    <m/>
    <d v="2014-01-25T00:00:00"/>
  </r>
  <r>
    <s v="Quetzalli"/>
    <s v="Aura Rodriguez"/>
    <n v="3317711276"/>
    <n v="3338244746"/>
    <s v="pacoatlicue@hotmail.com"/>
    <s v="lámparas, aretes de cupcakes y postres, dijes de resina"/>
    <m/>
    <s v="Efectivo"/>
    <n v="750"/>
    <x v="0"/>
    <x v="13"/>
    <m/>
    <m/>
    <d v="2014-01-25T00:00:00"/>
  </r>
  <r>
    <s v="Sáname"/>
    <s v="Sergio Álvarez"/>
    <n v="3312176844"/>
    <m/>
    <s v="sergio-alvarez61@hotmail.com"/>
    <m/>
    <m/>
    <s v="Efectivo"/>
    <n v="500"/>
    <x v="1"/>
    <x v="27"/>
    <m/>
    <m/>
    <d v="2014-01-25T00:00:00"/>
  </r>
  <r>
    <s v="Sufiz"/>
    <s v="Maye Betancourt"/>
    <n v="3317109196"/>
    <n v="15967909"/>
    <s v="mayedapa@hotmail.com"/>
    <s v="palanquetas, granola"/>
    <m/>
    <s v="Efectivo"/>
    <n v="750"/>
    <x v="0"/>
    <x v="48"/>
    <m/>
    <m/>
    <d v="2014-01-25T00:00:00"/>
  </r>
  <r>
    <s v="Té de Campo"/>
    <s v="Karen Soriano"/>
    <n v="3310234402"/>
    <m/>
    <s v="sorianokrn@gmail.com"/>
    <s v="Almohadillas con semillas, tizanas, tés."/>
    <s v="Cecibel"/>
    <s v="Efectivo"/>
    <n v="250"/>
    <x v="0"/>
    <x v="9"/>
    <m/>
    <m/>
    <d v="2014-01-25T00:00:00"/>
  </r>
  <r>
    <s v="Tishas 4U"/>
    <s v="Alejandra Hernández"/>
    <n v="3333498818"/>
    <m/>
    <s v="edelvi2002@hotmail.com"/>
    <s v="playeras de diseño"/>
    <s v="Sofía"/>
    <s v="pendiente"/>
    <n v="200"/>
    <x v="0"/>
    <x v="49"/>
    <m/>
    <m/>
    <d v="2014-01-25T00:00:00"/>
  </r>
  <r>
    <s v="Tochtli"/>
    <s v="Adrián Gutiérrez"/>
    <n v="3317440064"/>
    <m/>
    <s v="tochtli_desodorante@hotmail.com"/>
    <s v="Talco desodorante, desodorante rolo, desodorante spray, shampoo, crema para afeitar, pasta de dientes, talco para pies."/>
    <s v="Sofía"/>
    <s v="Efectivo"/>
    <n v="200"/>
    <x v="0"/>
    <x v="35"/>
    <m/>
    <m/>
    <d v="2014-01-25T00:00:00"/>
  </r>
  <r>
    <s v="Vihanta Natura"/>
    <s v="Valentina Bontempi"/>
    <n v="3315398142"/>
    <m/>
    <s v="bvale_81@yahoo.it"/>
    <s v="cremas a base de extractos y aceites naturales"/>
    <m/>
    <s v="Efectivo"/>
    <n v="750"/>
    <x v="0"/>
    <x v="32"/>
    <m/>
    <m/>
    <d v="2014-01-25T00:00:00"/>
  </r>
  <r>
    <s v="Piña Palmera"/>
    <s v="Lula de Lara"/>
    <n v="3311900294"/>
    <m/>
    <s v="lula@pinapalmera.com"/>
    <s v="aguas naturales de frutas"/>
    <m/>
    <s v="Efectivo"/>
    <n v="250"/>
    <x v="3"/>
    <x v="50"/>
    <m/>
    <m/>
    <d v="2014-01-25T00:00:00"/>
  </r>
  <r>
    <s v="Sagrante"/>
    <s v="Luis Felipe Angulo"/>
    <n v="3310640389"/>
    <m/>
    <s v="lufac90@hotmail.com"/>
    <s v="Licor de jamaica."/>
    <m/>
    <s v="Efectivo"/>
    <n v="187.5"/>
    <x v="0"/>
    <x v="50"/>
    <m/>
    <m/>
    <d v="2014-01-25T00:00:00"/>
  </r>
  <r>
    <s v="4to de Baño"/>
    <s v="Gabriela Jiménez"/>
    <n v="3311488590"/>
    <n v="38135725"/>
    <s v="gabiwork@hotmail.com"/>
    <s v="jabones naturales, cepillos"/>
    <m/>
    <s v="Efectivo"/>
    <n v="375"/>
    <x v="1"/>
    <x v="38"/>
    <m/>
    <m/>
    <d v="2014-02-01T00:00:00"/>
  </r>
  <r>
    <s v="A Long Asian Gourmet"/>
    <s v="Aaron Disler"/>
    <n v="3314819409"/>
    <m/>
    <s v="a_long_asian_gourmet@yahoo.com"/>
    <s v="Empanadas chinas, dumplings"/>
    <m/>
    <s v="Efectivo"/>
    <n v="200"/>
    <x v="0"/>
    <x v="51"/>
    <m/>
    <m/>
    <d v="2014-02-01T00:00:00"/>
  </r>
  <r>
    <s v="AMO Cacao"/>
    <s v="Fernel Bobadilla"/>
    <n v="3315337212"/>
    <m/>
    <s v="fernelbp@hotmail.com"/>
    <s v="Chocolate."/>
    <m/>
    <s v="Efectivo"/>
    <n v="187.5"/>
    <x v="0"/>
    <x v="1"/>
    <m/>
    <m/>
    <d v="2014-02-01T00:00:00"/>
  </r>
  <r>
    <s v="Ángeles Queso"/>
    <s v="Ángeles Queso"/>
    <n v="3335591738"/>
    <m/>
    <s v="mangelesmunoz@me.com"/>
    <s v="Quesos, aderezos."/>
    <m/>
    <s v="Efectivo"/>
    <n v="100"/>
    <x v="0"/>
    <x v="2"/>
    <m/>
    <m/>
    <d v="2014-02-01T00:00:00"/>
  </r>
  <r>
    <s v="Angie Inzúa"/>
    <s v="Angie Inzúa"/>
    <n v="3314174876"/>
    <m/>
    <s v="u2angie@hotmail.com"/>
    <s v="collares hechos a mano"/>
    <m/>
    <s v="Efectivo"/>
    <n v="187.5"/>
    <x v="0"/>
    <x v="16"/>
    <m/>
    <m/>
    <d v="2014-02-01T00:00:00"/>
  </r>
  <r>
    <s v="Aura Rodriguez"/>
    <s v="Aura Rodriguez"/>
    <n v="3317711276"/>
    <m/>
    <s v="aura.xacnicte@gmail.com"/>
    <s v="Pinturas"/>
    <m/>
    <s v="Efectivo"/>
    <n v="200"/>
    <x v="0"/>
    <x v="8"/>
    <m/>
    <m/>
    <d v="2014-02-01T00:00:00"/>
  </r>
  <r>
    <s v="Avogratto"/>
    <s v="Lorena Ortiz"/>
    <n v="3314872679"/>
    <m/>
    <s v="lpatri1304@hotmail.com"/>
    <s v="Aceite de aguacate."/>
    <m/>
    <s v="Efectivo"/>
    <n v="0"/>
    <x v="0"/>
    <x v="46"/>
    <m/>
    <m/>
    <d v="2014-02-01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m/>
    <d v="2014-02-01T00:00:00"/>
  </r>
  <r>
    <s v="Bernardo Brocher"/>
    <s v="Bernardo Brocher"/>
    <n v="3331979100"/>
    <m/>
    <s v="barneybrocher@hotmail.com"/>
    <s v="Empanadas y embutidos."/>
    <m/>
    <s v="Efectivo"/>
    <n v="200"/>
    <x v="0"/>
    <x v="35"/>
    <m/>
    <m/>
    <d v="2014-02-01T00:00:00"/>
  </r>
  <r>
    <s v="Bitácora"/>
    <s v="Mario de Santos"/>
    <n v="3336761496"/>
    <m/>
    <s v="mdesantosj@gmail.com"/>
    <s v="Libretas"/>
    <s v="Sofía"/>
    <s v="Efectivo"/>
    <n v="187.5"/>
    <x v="0"/>
    <x v="33"/>
    <m/>
    <m/>
    <d v="2014-02-01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29"/>
    <m/>
    <m/>
    <d v="2014-02-01T00:00:00"/>
  </r>
  <r>
    <s v="Coco Energy"/>
    <s v="Celia Delgadillo"/>
    <n v="3311346872"/>
    <n v="36988513"/>
    <s v="cedel4@hotmail.com"/>
    <s v="aceite de coco"/>
    <m/>
    <s v="Efectivo"/>
    <n v="0"/>
    <x v="0"/>
    <x v="47"/>
    <m/>
    <m/>
    <d v="2014-02-01T00:00:00"/>
  </r>
  <r>
    <s v="Da Du Didactics"/>
    <s v="Ana Elena Peinado Olvera"/>
    <n v="3338304373"/>
    <n v="10990107"/>
    <s v="anel.dragonas@gmail.com"/>
    <s v="juguetes creativos y didácticos de madera"/>
    <m/>
    <s v="Banco"/>
    <n v="187.5"/>
    <x v="0"/>
    <x v="3"/>
    <m/>
    <m/>
    <d v="2014-02-01T00:00:00"/>
  </r>
  <r>
    <s v="Den Maya Invernaderos"/>
    <s v="Yesica Delgado Díaz"/>
    <n v="3311856312"/>
    <m/>
    <s v="yeska_27@hotmail.com"/>
    <s v="Plantas, hierbas aromáticas, flores, árboles en maceta."/>
    <m/>
    <s v="Efectivo"/>
    <n v="375"/>
    <x v="1"/>
    <x v="14"/>
    <m/>
    <m/>
    <d v="2014-02-01T00:00:00"/>
  </r>
  <r>
    <s v="Detalles y Bisutería"/>
    <s v="Adrián Martínez"/>
    <n v="3310932686"/>
    <m/>
    <s v="dtalle@hotmail.com"/>
    <s v="relojes, pulseras, llaveros, accesorios"/>
    <s v="Sofía"/>
    <s v="Efectivo"/>
    <n v="187.5"/>
    <x v="0"/>
    <x v="33"/>
    <m/>
    <m/>
    <d v="2014-02-01T00:00:00"/>
  </r>
  <r>
    <s v="Eclock"/>
    <s v="Edgar Torres"/>
    <n v="3317246984"/>
    <m/>
    <s v="eclock.relojes@hotmail.com"/>
    <s v="Relojes de madera"/>
    <m/>
    <s v="Efectivo"/>
    <n v="200"/>
    <x v="0"/>
    <x v="34"/>
    <m/>
    <m/>
    <d v="2014-02-01T00:00:00"/>
  </r>
  <r>
    <s v="Enjoy Time"/>
    <s v="Francisco Valencia"/>
    <n v="3339582509"/>
    <m/>
    <m/>
    <s v="Tisanas frutales y moringa."/>
    <m/>
    <s v="Efectivo"/>
    <n v="500"/>
    <x v="1"/>
    <x v="52"/>
    <m/>
    <m/>
    <d v="2014-02-01T00:00:00"/>
  </r>
  <r>
    <s v="EVOO"/>
    <s v="Margarita Rodriguez"/>
    <n v="3313600806"/>
    <m/>
    <s v="dramarrod@hotmail.com"/>
    <m/>
    <m/>
    <s v="Efectivo"/>
    <n v="50"/>
    <x v="1"/>
    <x v="53"/>
    <m/>
    <m/>
    <d v="2014-02-01T00:00:00"/>
  </r>
  <r>
    <s v="Gaia EcoStore"/>
    <s v="Viviana Torres"/>
    <n v="3318451485"/>
    <m/>
    <s v="vivianatorres@gaiaecostore.com"/>
    <s v="Tienda de productos organicos."/>
    <m/>
    <s v="Intercambio"/>
    <n v="50"/>
    <x v="1"/>
    <x v="27"/>
    <m/>
    <m/>
    <d v="2014-02-01T00:00:00"/>
  </r>
  <r>
    <s v="Glow"/>
    <s v="Alejandro Cantú"/>
    <n v="3317314958"/>
    <n v="17314958"/>
    <s v="glowstore.07@gmail.com"/>
    <s v="ropa de diseño independiente"/>
    <m/>
    <s v="Efectivo"/>
    <n v="187.5"/>
    <x v="0"/>
    <x v="54"/>
    <m/>
    <m/>
    <d v="2014-02-01T00:00:00"/>
  </r>
  <r>
    <s v="Jamaitingas"/>
    <s v="Arlene Sánchez"/>
    <n v="3334057358"/>
    <m/>
    <s v="miryana23@hotmail.com"/>
    <s v="guisados a base de jamaica"/>
    <m/>
    <s v="Efectivo"/>
    <n v="187.5"/>
    <x v="0"/>
    <x v="18"/>
    <m/>
    <m/>
    <d v="2014-02-01T00:00:00"/>
  </r>
  <r>
    <s v="Klok"/>
    <s v="María Luisa Álvarez Caloca"/>
    <n v="3336777441"/>
    <n v="38231337"/>
    <s v="maria@xtal.com.mx"/>
    <s v="Ilustración a base de primacolor."/>
    <s v="Gonzalo"/>
    <s v="Efectivo"/>
    <n v="200"/>
    <x v="0"/>
    <x v="38"/>
    <m/>
    <m/>
    <d v="2014-02-01T00:00:00"/>
  </r>
  <r>
    <s v="Korkas"/>
    <s v="Aranzazú Castillo"/>
    <n v="3319582152"/>
    <m/>
    <s v="aranza.dicastello@hotmail.com"/>
    <s v="sandalias artesanales"/>
    <m/>
    <s v="Efectivo"/>
    <n v="200"/>
    <x v="0"/>
    <x v="9"/>
    <m/>
    <m/>
    <d v="2014-02-01T00:00:00"/>
  </r>
  <r>
    <s v="Le Guttie"/>
    <s v="Mariel Gutierrez"/>
    <n v="3311392611"/>
    <m/>
    <s v="leguttie@gmail.com"/>
    <s v="manzanas cubiertas, fresas con chocolate"/>
    <m/>
    <s v="Efectivo"/>
    <n v="187.5"/>
    <x v="0"/>
    <x v="24"/>
    <m/>
    <m/>
    <d v="2014-02-01T00:00:00"/>
  </r>
  <r>
    <s v="Le Ve"/>
    <s v="Brenda de la Cruz"/>
    <n v="3312088704"/>
    <m/>
    <s v="bleutulip@hotmail.com"/>
    <s v="Quesos y leches veganos de semillas"/>
    <s v="Ceci"/>
    <s v="Efectivo"/>
    <n v="250"/>
    <x v="0"/>
    <x v="5"/>
    <m/>
    <m/>
    <d v="2014-02-01T00:00:00"/>
  </r>
  <r>
    <s v="Lovely Creations"/>
    <s v="Luz Mantilla"/>
    <n v="3339683396"/>
    <m/>
    <s v="itza.barba@hp.com"/>
    <m/>
    <m/>
    <s v="Efectivo"/>
    <n v="400"/>
    <x v="1"/>
    <x v="22"/>
    <m/>
    <m/>
    <d v="2014-02-01T00:00:00"/>
  </r>
  <r>
    <s v="Lucy Cactus Company"/>
    <s v="Verónica Gil"/>
    <n v="3311185434"/>
    <m/>
    <s v="veronik339.vg@gmail.com"/>
    <s v="macetas de barro pintadas"/>
    <m/>
    <s v="Efectivo"/>
    <n v="187.5"/>
    <x v="0"/>
    <x v="28"/>
    <m/>
    <m/>
    <d v="2014-02-01T00:00:00"/>
  </r>
  <r>
    <s v="Luna Menstruarte"/>
    <s v="Karime Hernández"/>
    <n v="3317071188"/>
    <m/>
    <s v="infolunamenstruarte@gmail.com"/>
    <s v="Copas menstruales"/>
    <m/>
    <s v="Efectivo"/>
    <n v="187.5"/>
    <x v="0"/>
    <x v="10"/>
    <m/>
    <m/>
    <d v="2014-02-01T00:00:00"/>
  </r>
  <r>
    <s v="Minerarte"/>
    <s v="Leonardo Dueñas"/>
    <n v="3331878752"/>
    <m/>
    <s v="lfalout26@gmail.com"/>
    <s v="lámparas de cuarzo"/>
    <s v="Sofía"/>
    <s v="Efectivo"/>
    <n v="200"/>
    <x v="0"/>
    <x v="55"/>
    <m/>
    <m/>
    <d v="2014-02-01T00:00:00"/>
  </r>
  <r>
    <s v="Mishu"/>
    <s v="Ella Cornejo"/>
    <n v="3314415732"/>
    <n v="36275564"/>
    <s v="ella.marina.cornejo@gmail.com"/>
    <s v="Armonizadores de espacios tejidos."/>
    <s v="Sofía"/>
    <s v="Efectivo"/>
    <n v="200"/>
    <x v="0"/>
    <x v="25"/>
    <m/>
    <m/>
    <d v="2014-02-01T00:00:00"/>
  </r>
  <r>
    <s v="MontPao"/>
    <s v="Rodrigo Juárez Salazar"/>
    <n v="3315508402"/>
    <m/>
    <s v="borrego_gdl@hotmail.com"/>
    <s v="Blueberrys, mermeladas."/>
    <s v="Sofía"/>
    <s v="Efectivo"/>
    <n v="250"/>
    <x v="0"/>
    <x v="56"/>
    <m/>
    <m/>
    <d v="2014-02-01T00:00:00"/>
  </r>
  <r>
    <s v="Piña Palmera"/>
    <s v="Lula de Lara"/>
    <n v="3311900294"/>
    <m/>
    <s v="lula@pinapalmera.com"/>
    <s v="aguas naturales de frutas"/>
    <s v="Sofía"/>
    <s v="Efectivo"/>
    <n v="187.5"/>
    <x v="0"/>
    <x v="57"/>
    <m/>
    <m/>
    <d v="2014-02-01T00:00:00"/>
  </r>
  <r>
    <s v="Promaná"/>
    <s v="Manuel Mendez"/>
    <n v="3334488380"/>
    <n v="36314024"/>
    <s v="jmmu.97@gmail.com"/>
    <s v="Huevo orgánico de rancho, moringa."/>
    <m/>
    <s v="Banco"/>
    <n v="375"/>
    <x v="1"/>
    <x v="31"/>
    <m/>
    <m/>
    <d v="2014-02-01T00:00:00"/>
  </r>
  <r>
    <s v="Quetzalli"/>
    <s v="Aura Rodriguez"/>
    <n v="3317711276"/>
    <n v="3338244746"/>
    <s v="pacoatlicue@hotmail.com"/>
    <s v="lámparas, aretes de cupcakes y postres, dijes de resina"/>
    <m/>
    <s v="Efectivo"/>
    <n v="187.5"/>
    <x v="0"/>
    <x v="13"/>
    <m/>
    <m/>
    <d v="2014-02-01T00:00:00"/>
  </r>
  <r>
    <s v="Sagrante"/>
    <s v="Luis Felipe Angulo"/>
    <n v="3310640389"/>
    <m/>
    <s v="lufac90@hotmail.com"/>
    <s v="Licor de jamaica."/>
    <m/>
    <s v="Efectivo"/>
    <n v="187.5"/>
    <x v="0"/>
    <x v="20"/>
    <m/>
    <m/>
    <d v="2014-02-01T00:00:00"/>
  </r>
  <r>
    <s v="Sáname"/>
    <s v="Sergio Álvarez"/>
    <n v="3312176844"/>
    <m/>
    <s v="sergio-alvarez61@hotmail.com"/>
    <s v="Productos derivados de la miel"/>
    <m/>
    <s v="Efectivo"/>
    <n v="250"/>
    <x v="0"/>
    <x v="58"/>
    <m/>
    <m/>
    <d v="2014-02-01T00:00:00"/>
  </r>
  <r>
    <s v="Sufiz"/>
    <s v="Maye Betancourt"/>
    <n v="3317109196"/>
    <n v="15967909"/>
    <s v="mayedapa@hotmail.com"/>
    <s v="palanquetas, granola"/>
    <m/>
    <s v="Efectivo"/>
    <n v="187.5"/>
    <x v="0"/>
    <x v="32"/>
    <m/>
    <m/>
    <d v="2014-02-01T00:00:00"/>
  </r>
  <r>
    <s v="Vihanta Natura"/>
    <s v="Valentina Bontempi"/>
    <n v="3315398142"/>
    <m/>
    <s v="bvale_81@yahoo.it"/>
    <s v="cremas a base de extractos y aceites naturales"/>
    <m/>
    <s v="Efectivo"/>
    <n v="187.5"/>
    <x v="0"/>
    <x v="0"/>
    <m/>
    <m/>
    <d v="2014-02-01T00:00:00"/>
  </r>
  <r>
    <s v="Yerba Sana"/>
    <s v="Julieta Hernández"/>
    <n v="3310849639"/>
    <n v="36470293"/>
    <s v="yerbasana@hotmail.com"/>
    <s v="Chía, aceite de coco, sal orgánica."/>
    <m/>
    <s v="Efectivo"/>
    <n v="125"/>
    <x v="0"/>
    <x v="11"/>
    <m/>
    <m/>
    <d v="2014-02-01T00:00:00"/>
  </r>
  <r>
    <s v="A Long Asian Gourmet"/>
    <s v="Aaron Disler"/>
    <n v="3314819409"/>
    <m/>
    <s v="a_long_asian_gourmet@yahoo.com"/>
    <s v="Empanadas chinas, dumplings"/>
    <m/>
    <s v="Transferencia"/>
    <n v="232"/>
    <x v="0"/>
    <x v="59"/>
    <m/>
    <n v="1"/>
    <d v="2014-02-08T00:00:00"/>
  </r>
  <r>
    <s v="AMO Cacao"/>
    <s v="Fernel Bobadilla"/>
    <n v="3315337212"/>
    <m/>
    <s v="fernelbp@hotmail.com"/>
    <s v="Chocolate."/>
    <m/>
    <s v="Efectivo"/>
    <n v="187.5"/>
    <x v="0"/>
    <x v="46"/>
    <m/>
    <n v="1"/>
    <d v="2014-02-08T00:00:00"/>
  </r>
  <r>
    <s v="Ángeles Queso"/>
    <s v="Ángeles Queso"/>
    <n v="3335591738"/>
    <m/>
    <s v="mangelesmunoz@me.com"/>
    <s v="Quesos, aderezos."/>
    <m/>
    <s v="Efectivo"/>
    <n v="100"/>
    <x v="0"/>
    <x v="36"/>
    <m/>
    <n v="1"/>
    <d v="2014-02-08T00:00:00"/>
  </r>
  <r>
    <s v="Angie Inzúa"/>
    <s v="Angie Inzúa"/>
    <n v="3314174876"/>
    <m/>
    <s v="u2angie@hotmail.com"/>
    <s v="collares hechos a mano"/>
    <m/>
    <s v="Efectivo"/>
    <n v="187.5"/>
    <x v="0"/>
    <x v="11"/>
    <m/>
    <n v="1"/>
    <d v="2014-02-08T00:00:00"/>
  </r>
  <r>
    <s v="Armonía Magnética"/>
    <s v="Pilar Ramírez"/>
    <n v="3314177243"/>
    <m/>
    <s v="armoniamagnetica@gmail.com"/>
    <m/>
    <m/>
    <s v="Efectivo"/>
    <n v="200"/>
    <x v="0"/>
    <x v="20"/>
    <m/>
    <n v="1"/>
    <d v="2014-02-08T00:00:00"/>
  </r>
  <r>
    <s v="Aura Rodriguez"/>
    <s v="Aura Rodriguez"/>
    <n v="3317711276"/>
    <m/>
    <s v="aura.xacnicte@gmail.com"/>
    <s v="Pinturas"/>
    <m/>
    <s v="Efectivo"/>
    <n v="200"/>
    <x v="0"/>
    <x v="37"/>
    <m/>
    <n v="1"/>
    <d v="2014-02-08T00:00:00"/>
  </r>
  <r>
    <s v="Avogratto"/>
    <s v="Lorena Ortiz"/>
    <n v="3314872679"/>
    <m/>
    <s v="lpatri1304@hotmail.com"/>
    <s v="Aceite de aguacate."/>
    <m/>
    <s v="Anticipado"/>
    <n v="0"/>
    <x v="0"/>
    <x v="1"/>
    <m/>
    <n v="1"/>
    <d v="2014-02-08T00:00:00"/>
  </r>
  <r>
    <s v="Bambú"/>
    <s v="Ofelia Fernández"/>
    <n v="3315716643"/>
    <n v="33303837"/>
    <s v="bambualmohadasterapeuticas@gmail.com"/>
    <s v="Almohadas terapéuticas."/>
    <m/>
    <s v="Efectivo"/>
    <n v="375"/>
    <x v="1"/>
    <x v="38"/>
    <m/>
    <n v="1"/>
    <d v="2014-02-08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n v="1"/>
    <d v="2014-02-08T00:00:00"/>
  </r>
  <r>
    <s v="Bernardo Brocher"/>
    <s v="Bernardo Brocher"/>
    <n v="3331979100"/>
    <m/>
    <s v="barneybrocher@hotmail.com"/>
    <s v="Empanadas y embutidos."/>
    <m/>
    <s v="Efectivo"/>
    <n v="200"/>
    <x v="0"/>
    <x v="7"/>
    <m/>
    <n v="1"/>
    <d v="2014-02-08T00:00:00"/>
  </r>
  <r>
    <s v="Bitácora"/>
    <s v="Mario de Santos"/>
    <n v="3336761496"/>
    <m/>
    <s v="mdesantosj@gmail.com"/>
    <s v="Libretas"/>
    <s v="Sofía"/>
    <s v="Efectivo"/>
    <n v="187.5"/>
    <x v="0"/>
    <x v="60"/>
    <m/>
    <n v="1"/>
    <d v="2014-02-08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29"/>
    <m/>
    <n v="1"/>
    <d v="2014-02-08T00:00:00"/>
  </r>
  <r>
    <s v="Che Sen"/>
    <s v="Martha Rojo de la Vega"/>
    <n v="3339559274"/>
    <m/>
    <s v="contacto.chesen@gmail.com"/>
    <s v="granola, nueces"/>
    <m/>
    <s v="Efectivo"/>
    <n v="187.5"/>
    <x v="0"/>
    <x v="34"/>
    <m/>
    <n v="1"/>
    <d v="2014-02-08T00:00:00"/>
  </r>
  <r>
    <s v="Da Du Didactics"/>
    <s v="Ana Elena Peinado Olvera"/>
    <n v="3338304373"/>
    <n v="10990107"/>
    <s v="anel.dragonas@gmail.com"/>
    <s v="juguetes creativos y didácticos de madera"/>
    <m/>
    <s v="Banco"/>
    <n v="187.5"/>
    <x v="0"/>
    <x v="3"/>
    <m/>
    <n v="1"/>
    <d v="2014-02-08T00:00:00"/>
  </r>
  <r>
    <s v="Den Maya Invernaderos"/>
    <s v="Yesica Delgado Díaz"/>
    <n v="3311856312"/>
    <m/>
    <s v="yeska_27@hotmail.com"/>
    <s v="Plantas, hierbas aromáticas, flores, árboles en maceta."/>
    <m/>
    <s v="Efectivo"/>
    <n v="375"/>
    <x v="1"/>
    <x v="14"/>
    <m/>
    <n v="1"/>
    <d v="2014-02-08T00:00:00"/>
  </r>
  <r>
    <s v="D'Talles y Bisutería"/>
    <s v="Adrián Martínez"/>
    <n v="3310932686"/>
    <m/>
    <s v="dtalle@hotmail.com"/>
    <s v="relojes, pulseras, llaveros, accesorios"/>
    <s v="Sofía"/>
    <s v="Efectivo"/>
    <n v="187.5"/>
    <x v="0"/>
    <x v="33"/>
    <m/>
    <n v="1"/>
    <d v="2014-02-08T00:00:00"/>
  </r>
  <r>
    <s v="Enjoy Time"/>
    <s v="Francisco Valencia"/>
    <n v="3339582509"/>
    <m/>
    <m/>
    <s v="Tisanas frutales y moringa."/>
    <m/>
    <s v="Efectivo"/>
    <n v="400"/>
    <x v="1"/>
    <x v="52"/>
    <m/>
    <n v="1"/>
    <d v="2014-02-08T00:00:00"/>
  </r>
  <r>
    <s v="EVOO"/>
    <s v="Margarita Rodriguez"/>
    <n v="3313600806"/>
    <m/>
    <s v="dramarrod@hotmail.com"/>
    <m/>
    <m/>
    <s v="Efectivo"/>
    <n v="50"/>
    <x v="1"/>
    <x v="55"/>
    <m/>
    <n v="1"/>
    <d v="2014-02-08T00:00:00"/>
  </r>
  <r>
    <s v="Gaia EcoStore"/>
    <s v="Viviana Torres"/>
    <n v="3318451485"/>
    <m/>
    <s v="vivianatorres@gaiaecostore.com"/>
    <s v="Tienda de productos organicos."/>
    <m/>
    <s v="Efectivo"/>
    <n v="50"/>
    <x v="1"/>
    <x v="27"/>
    <m/>
    <n v="1"/>
    <d v="2014-02-08T00:00:00"/>
  </r>
  <r>
    <s v="Gusto Gourmet"/>
    <s v="Karen Alonso"/>
    <n v="3314412645"/>
    <m/>
    <m/>
    <s v="Salsas, verdura botanera, chimichurri, pesto."/>
    <m/>
    <s v="Efectivo"/>
    <n v="200"/>
    <x v="0"/>
    <x v="2"/>
    <m/>
    <n v="1"/>
    <d v="2014-02-08T00:00:00"/>
  </r>
  <r>
    <s v="Jamaitingas"/>
    <s v="Arlene Sánchez"/>
    <n v="3334057358"/>
    <m/>
    <s v="miryana23@hotmail.com"/>
    <s v="guisados a base de jamaica"/>
    <m/>
    <s v="Falta"/>
    <n v="187.5"/>
    <x v="0"/>
    <x v="50"/>
    <m/>
    <n v="1"/>
    <d v="2014-02-08T00:00:00"/>
  </r>
  <r>
    <s v="La Bee Organic"/>
    <s v="Luis Elizondo"/>
    <n v="3331787364"/>
    <m/>
    <s v="labeeorganic@gmail.com"/>
    <s v="bálsamo para labios"/>
    <m/>
    <s v="Efectivo"/>
    <n v="187.5"/>
    <x v="0"/>
    <x v="16"/>
    <m/>
    <n v="1"/>
    <d v="2014-02-08T00:00:00"/>
  </r>
  <r>
    <s v="Le Guttie"/>
    <s v="Mariel Gutierrez"/>
    <n v="3311392611"/>
    <m/>
    <s v="leguttie@gmail.com"/>
    <s v="manzanas cubiertas, fresas con chocolate"/>
    <m/>
    <s v="Efectivo"/>
    <n v="187.5"/>
    <x v="0"/>
    <x v="10"/>
    <m/>
    <n v="1"/>
    <d v="2014-02-08T00:00:00"/>
  </r>
  <r>
    <s v="Le Ve"/>
    <s v="Brenda de la Cruz"/>
    <n v="3312088704"/>
    <m/>
    <s v="bleutulip@hotmail.com"/>
    <s v="Quesos y leches veganos de semillas"/>
    <s v="Ceci"/>
    <s v="Efectivo"/>
    <n v="200"/>
    <x v="0"/>
    <x v="5"/>
    <m/>
    <n v="1"/>
    <d v="2014-02-08T00:00:00"/>
  </r>
  <r>
    <s v="Liliana Jaime"/>
    <s v="Liliana Gutierrez"/>
    <n v="3314103650"/>
    <m/>
    <s v="lilianajaime78@gmail.com"/>
    <s v="ropa de diseño independiente"/>
    <s v="Sofía"/>
    <s v="Efectivo"/>
    <n v="200"/>
    <x v="3"/>
    <x v="61"/>
    <m/>
    <n v="1"/>
    <d v="2014-02-08T00:00:00"/>
  </r>
  <r>
    <s v="Lo Escencial de la Vida"/>
    <s v="Mary McPherson"/>
    <n v="3333116669"/>
    <n v="16557103"/>
    <m/>
    <s v="Aceites esenciales."/>
    <s v="Sofía"/>
    <s v="Efectivo"/>
    <n v="250"/>
    <x v="0"/>
    <x v="62"/>
    <s v="N"/>
    <n v="1"/>
    <d v="2014-02-08T00:00:00"/>
  </r>
  <r>
    <s v="Lucy Cactus Company"/>
    <s v="Verónica Gil"/>
    <n v="3311185434"/>
    <m/>
    <s v="veronik339.vg@gmail.com"/>
    <s v="macetas de barro pintadas"/>
    <m/>
    <s v="Efectivo"/>
    <n v="187.5"/>
    <x v="0"/>
    <x v="28"/>
    <m/>
    <n v="1"/>
    <d v="2014-02-08T00:00:00"/>
  </r>
  <r>
    <s v="Luna Menstruarte"/>
    <s v="Karime Hernández"/>
    <n v="3317071188"/>
    <m/>
    <s v="infolunamenstruarte@gmail.com"/>
    <s v="Copas menstruales"/>
    <m/>
    <s v="Efectivo"/>
    <n v="187.5"/>
    <x v="0"/>
    <x v="35"/>
    <m/>
    <n v="1"/>
    <d v="2014-02-08T00:00:00"/>
  </r>
  <r>
    <s v="Lupita de la Peña"/>
    <s v="Lupita de la Peña"/>
    <n v="3338099924"/>
    <m/>
    <s v="lupitadelapena@gmail.com"/>
    <s v="galletas de avena, brownies y reposteria artesanal"/>
    <m/>
    <s v="Efectivo"/>
    <n v="200"/>
    <x v="0"/>
    <x v="63"/>
    <m/>
    <n v="1"/>
    <d v="2014-02-08T00:00:00"/>
  </r>
  <r>
    <s v="Klok"/>
    <s v="María Luisa Álvarez Caloca"/>
    <n v="3336777441"/>
    <n v="38231337"/>
    <s v="maria@xtal.com.mx"/>
    <s v="Ilustración a base de primacolor."/>
    <s v="Gonzalo"/>
    <s v="Efectivo"/>
    <n v="200"/>
    <x v="0"/>
    <x v="19"/>
    <m/>
    <n v="1"/>
    <d v="2014-02-08T00:00:00"/>
  </r>
  <r>
    <s v="Minerarte"/>
    <s v="Leonardo Dueñas"/>
    <n v="3331878752"/>
    <m/>
    <s v="lfalout26@gmail.com"/>
    <s v="lámparas de cuarzo"/>
    <s v="Sofía"/>
    <s v="Efectivo"/>
    <n v="200"/>
    <x v="0"/>
    <x v="32"/>
    <m/>
    <n v="1"/>
    <d v="2014-02-08T00:00:00"/>
  </r>
  <r>
    <s v="Mishu"/>
    <s v="Ella Cornejo"/>
    <n v="3314415732"/>
    <n v="36275564"/>
    <s v="ella.marina.cornejo@gmail.com"/>
    <s v="Armonizadores de espacios tejidos."/>
    <s v="Sofía"/>
    <s v="Efectivo"/>
    <n v="200"/>
    <x v="0"/>
    <x v="64"/>
    <m/>
    <n v="1"/>
    <d v="2014-02-08T00:00:00"/>
  </r>
  <r>
    <s v="MontPao"/>
    <s v="Rodrigo Juárez Salazar"/>
    <n v="3315508402"/>
    <m/>
    <s v="borrego_gdl@hotmail.com"/>
    <s v="Blueberrys, mermeladas."/>
    <s v="Sofía"/>
    <s v="Efectivo"/>
    <n v="200"/>
    <x v="0"/>
    <x v="56"/>
    <m/>
    <n v="1"/>
    <d v="2014-02-08T00:00:00"/>
  </r>
  <r>
    <s v="Nutri Antojos"/>
    <s v="Jorge González"/>
    <n v="3335841961"/>
    <m/>
    <s v="nutriantojos@outlook.com"/>
    <s v="Fruta y verdura deshidratada, nopal con chile."/>
    <m/>
    <s v="Efectivo"/>
    <n v="200"/>
    <x v="0"/>
    <x v="65"/>
    <m/>
    <n v="1"/>
    <d v="2014-02-08T00:00:00"/>
  </r>
  <r>
    <s v="Organic Home"/>
    <s v="Viridiana Covarrubias"/>
    <n v="3310408306"/>
    <m/>
    <s v="organic_home@hotmail.com"/>
    <s v="orquídeas"/>
    <m/>
    <s v="Efectivo"/>
    <n v="187.5"/>
    <x v="0"/>
    <x v="9"/>
    <m/>
    <n v="1"/>
    <d v="2014-02-08T00:00:00"/>
  </r>
  <r>
    <s v="Piña Palmera"/>
    <s v="Lula de Lara"/>
    <n v="3311900294"/>
    <m/>
    <s v="lula@pinapalmera.com"/>
    <s v="aguas naturales de frutas"/>
    <s v="Sofía"/>
    <s v="Efectivo"/>
    <n v="187.5"/>
    <x v="0"/>
    <x v="66"/>
    <m/>
    <n v="1"/>
    <d v="2014-02-08T00:00:00"/>
  </r>
  <r>
    <s v="Productos Gourmet"/>
    <s v="Victor Hugo Lamas"/>
    <n v="3314112703"/>
    <m/>
    <s v="victorlamasr@yahoo.com.mx"/>
    <m/>
    <m/>
    <s v="Efectivo"/>
    <n v="200"/>
    <x v="0"/>
    <x v="13"/>
    <m/>
    <n v="1"/>
    <d v="2014-02-08T00:00:00"/>
  </r>
  <r>
    <s v="Promaná"/>
    <s v="Manuel Mendez"/>
    <n v="3334488380"/>
    <n v="36314024"/>
    <s v="jmmu.97@gmail.com"/>
    <s v="Huevo orgánico de rancho, moringa."/>
    <m/>
    <s v="Banco"/>
    <n v="375"/>
    <x v="1"/>
    <x v="31"/>
    <m/>
    <n v="1"/>
    <d v="2014-02-08T00:00:00"/>
  </r>
  <r>
    <s v="Quetzalli"/>
    <s v="Aura Rodriguez"/>
    <n v="3317711276"/>
    <n v="3338244746"/>
    <s v="pacoatlicue@hotmail.com"/>
    <s v="lámparas, aretes de cupcakes y postres, dijes de resina"/>
    <m/>
    <s v="Efectivo"/>
    <n v="187.5"/>
    <x v="0"/>
    <x v="23"/>
    <m/>
    <n v="1"/>
    <d v="2014-02-08T00:00:00"/>
  </r>
  <r>
    <s v="Sagrante"/>
    <s v="Luis Felipe Angulo"/>
    <n v="3310640389"/>
    <m/>
    <s v="lufac90@hotmail.com"/>
    <s v="Licor de jamaica."/>
    <m/>
    <s v="Efectivo"/>
    <n v="187.5"/>
    <x v="0"/>
    <x v="8"/>
    <m/>
    <n v="1"/>
    <d v="2014-02-08T00:00:00"/>
  </r>
  <r>
    <s v="Sáname"/>
    <s v="Sergio Álvarez"/>
    <n v="3312176844"/>
    <m/>
    <s v="sergio-alvarez61@hotmail.com"/>
    <s v="Productos derivados de la miel"/>
    <m/>
    <s v="Efectivo"/>
    <n v="187.5"/>
    <x v="0"/>
    <x v="58"/>
    <m/>
    <n v="1"/>
    <d v="2014-02-08T00:00:00"/>
  </r>
  <r>
    <s v="Sufiz"/>
    <s v="Maye Betancourt"/>
    <n v="3317109196"/>
    <n v="15967909"/>
    <s v="mayedapa@hotmail.com"/>
    <s v="palanquetas, granola"/>
    <m/>
    <s v="Efectivo"/>
    <n v="187.5"/>
    <x v="0"/>
    <x v="67"/>
    <m/>
    <n v="1"/>
    <d v="2014-02-08T00:00:00"/>
  </r>
  <r>
    <s v="Tochtli"/>
    <s v="Adrián Gutiérrez"/>
    <n v="3317440064"/>
    <m/>
    <s v="tochtli_desodorante@hotmail.com"/>
    <s v="Talco desodorante, desodorante rolo, desodorante spray, shampoo, crema para afeitar, pasta de dientes, talco para pies."/>
    <m/>
    <s v="Efectivo"/>
    <n v="200"/>
    <x v="0"/>
    <x v="24"/>
    <m/>
    <n v="1"/>
    <d v="2014-02-08T00:00:00"/>
  </r>
  <r>
    <s v="Vihanta Natura"/>
    <s v="Valentina Bontempi"/>
    <n v="3315398142"/>
    <m/>
    <s v="bvale_81@yahoo.it"/>
    <s v="cremas a base de extractos y aceites naturales"/>
    <m/>
    <s v="Efectivo"/>
    <n v="187.5"/>
    <x v="0"/>
    <x v="0"/>
    <m/>
    <n v="1"/>
    <d v="2014-02-08T00:00:00"/>
  </r>
  <r>
    <s v="Yerba Sana"/>
    <s v="Julieta Hernández"/>
    <n v="3310849639"/>
    <n v="36470293"/>
    <s v="yerbasana@hotmail.com"/>
    <s v="Chía, aceite de coco, sal orgánica."/>
    <m/>
    <s v="Efectivo"/>
    <n v="125"/>
    <x v="0"/>
    <x v="68"/>
    <m/>
    <n v="1"/>
    <d v="2014-02-08T00:00:00"/>
  </r>
  <r>
    <s v="4to de Baño"/>
    <s v="Gabriela Jiménez"/>
    <n v="3311488590"/>
    <n v="38135725"/>
    <s v="gabiwork@hotmail.com"/>
    <s v="jabones naturales, cepillos"/>
    <m/>
    <s v="Efectivo"/>
    <n v="375"/>
    <x v="1"/>
    <x v="38"/>
    <m/>
    <n v="1"/>
    <d v="2014-02-15T00:00:00"/>
  </r>
  <r>
    <s v="A Long Asian Gourmet"/>
    <s v="Aaron Disler"/>
    <n v="3314819409"/>
    <m/>
    <s v="a_long_asian_gourmet@yahoo.com"/>
    <s v="Empanadas chinas, dumplings"/>
    <m/>
    <s v="Banco"/>
    <n v="232"/>
    <x v="0"/>
    <x v="69"/>
    <m/>
    <n v="2"/>
    <d v="2014-02-15T00:00:00"/>
  </r>
  <r>
    <s v="Angie Inzúa"/>
    <s v="Angie Inzúa"/>
    <n v="3314174876"/>
    <m/>
    <s v="u2angie@hotmail.com"/>
    <s v="collares hechos a mano"/>
    <m/>
    <s v="Efectivo"/>
    <n v="187.5"/>
    <x v="0"/>
    <x v="11"/>
    <m/>
    <n v="2"/>
    <d v="2014-02-15T00:00:00"/>
  </r>
  <r>
    <s v="Armonía Magnética"/>
    <s v="Pilar Ramírez"/>
    <n v="3314177243"/>
    <m/>
    <s v="armoniamagnetica@gmail.com"/>
    <m/>
    <m/>
    <s v="Efectivo"/>
    <n v="200"/>
    <x v="0"/>
    <x v="23"/>
    <m/>
    <n v="2"/>
    <d v="2014-02-15T00:00:00"/>
  </r>
  <r>
    <s v="Aura Rodriguez"/>
    <s v="Aura Rodriguez"/>
    <n v="3317711276"/>
    <m/>
    <s v="aura.xacnicte@gmail.com"/>
    <s v="Pinturas"/>
    <m/>
    <s v="Efectivo"/>
    <n v="200"/>
    <x v="0"/>
    <x v="8"/>
    <m/>
    <n v="2"/>
    <d v="2014-02-15T00:00:00"/>
  </r>
  <r>
    <s v="Avogratto"/>
    <s v="Lorena Ortiz"/>
    <n v="3314872679"/>
    <m/>
    <s v="lpatri1304@hotmail.com"/>
    <s v="Aceite de aguacate."/>
    <m/>
    <s v="Anticipado"/>
    <n v="0"/>
    <x v="0"/>
    <x v="1"/>
    <m/>
    <n v="2"/>
    <d v="2014-02-15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n v="2"/>
    <d v="2014-02-15T00:00:00"/>
  </r>
  <r>
    <s v="Biorganicos FG"/>
    <s v="Flor López Bon"/>
    <s v="333 6622520"/>
    <n v="36272470"/>
    <s v="biorganicosfg@gmail.com"/>
    <s v="verduras orgánicas"/>
    <m/>
    <s v="Efectivo"/>
    <n v="60"/>
    <x v="1"/>
    <x v="70"/>
    <m/>
    <n v="1"/>
    <d v="2014-02-15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29"/>
    <m/>
    <n v="2"/>
    <d v="2014-02-15T00:00:00"/>
  </r>
  <r>
    <s v="Che Sen"/>
    <s v="Martha Rojo de la Vega"/>
    <n v="3339559274"/>
    <m/>
    <s v="contacto.chesen@gmail.com"/>
    <s v="granola, nueces"/>
    <m/>
    <s v="Efectivo"/>
    <n v="187.5"/>
    <x v="0"/>
    <x v="34"/>
    <m/>
    <n v="2"/>
    <d v="2014-02-15T00:00:00"/>
  </r>
  <r>
    <s v="Da Du Didactics"/>
    <s v="Ana Elena Peinado Olvera"/>
    <n v="3338304373"/>
    <n v="10990107"/>
    <s v="anel.dragonas@gmail.com"/>
    <s v="juguetes creativos y didácticos de madera"/>
    <m/>
    <s v="Intercambio"/>
    <n v="0"/>
    <x v="0"/>
    <x v="3"/>
    <m/>
    <n v="2"/>
    <d v="2014-02-15T00:00:00"/>
  </r>
  <r>
    <s v="Den Maya Invernaderos"/>
    <s v="Yesica Delgado Díaz"/>
    <n v="3311856312"/>
    <m/>
    <s v="yeska_27@hotmail.com"/>
    <s v="Plantas, hierbas aromáticas, flores, árboles en maceta."/>
    <m/>
    <s v="Efectivo"/>
    <n v="375"/>
    <x v="1"/>
    <x v="14"/>
    <m/>
    <n v="2"/>
    <d v="2014-02-15T00:00:00"/>
  </r>
  <r>
    <s v="D'Talles y Bisutería"/>
    <s v="Adrián Martínez"/>
    <n v="3310932686"/>
    <m/>
    <s v="dtalle@hotmail.com"/>
    <s v="relojes, pulseras, llaveros, accesorios"/>
    <s v="Sofía"/>
    <s v="Efectivo"/>
    <n v="187.5"/>
    <x v="0"/>
    <x v="33"/>
    <m/>
    <n v="2"/>
    <d v="2014-02-15T00:00:00"/>
  </r>
  <r>
    <s v="Eclock"/>
    <s v="Edgar Torres"/>
    <n v="3317246984"/>
    <m/>
    <s v="eclock.relojes@hotmail.com"/>
    <s v="Relojes de madera"/>
    <m/>
    <s v="Efectivo"/>
    <n v="200"/>
    <x v="0"/>
    <x v="10"/>
    <m/>
    <n v="1"/>
    <d v="2014-02-15T00:00:00"/>
  </r>
  <r>
    <s v="Enjoy Time"/>
    <s v="Francisco Valencia"/>
    <n v="3339582509"/>
    <m/>
    <m/>
    <s v="Tisanas frutales y moringa."/>
    <m/>
    <s v="Efectivo"/>
    <n v="400"/>
    <x v="1"/>
    <x v="52"/>
    <m/>
    <n v="2"/>
    <d v="2014-02-15T00:00:00"/>
  </r>
  <r>
    <s v="EVOO"/>
    <s v="Margarita Rodriguez"/>
    <n v="3313600806"/>
    <m/>
    <s v="dramarrod@hotmail.com"/>
    <m/>
    <m/>
    <s v="Efectivo"/>
    <n v="50"/>
    <x v="1"/>
    <x v="53"/>
    <m/>
    <n v="2"/>
    <d v="2014-02-15T00:00:00"/>
  </r>
  <r>
    <s v="Glow"/>
    <s v="Alejandro Cantú"/>
    <n v="3317314958"/>
    <n v="17314958"/>
    <s v="glowstore.07@gmail.com"/>
    <s v="ropa de diseño independiente"/>
    <m/>
    <s v="Efectivo"/>
    <n v="187.5"/>
    <x v="0"/>
    <x v="54"/>
    <m/>
    <n v="1"/>
    <d v="2014-02-15T00:00:00"/>
  </r>
  <r>
    <s v="Gusto Gourmet"/>
    <s v="Karen Alonso"/>
    <n v="3314412645"/>
    <m/>
    <m/>
    <s v="Salsas, verdura botanera, chimichurri, pesto."/>
    <m/>
    <s v="Efectivo"/>
    <n v="200"/>
    <x v="0"/>
    <x v="2"/>
    <m/>
    <n v="2"/>
    <d v="2014-02-15T00:00:00"/>
  </r>
  <r>
    <s v="Itacate"/>
    <s v="Swannie Díaz de León"/>
    <n v="3310967806"/>
    <m/>
    <s v="yolohtli@gmail.com"/>
    <s v="Granola, hummus, tabule, pan."/>
    <m/>
    <s v="Efectivo"/>
    <n v="125"/>
    <x v="0"/>
    <x v="20"/>
    <m/>
    <n v="1"/>
    <d v="2014-02-15T00:00:00"/>
  </r>
  <r>
    <s v="Jamaitingas"/>
    <s v="Arlene Sánchez"/>
    <n v="3334057358"/>
    <m/>
    <s v="miryana23@hotmail.com"/>
    <s v="guisados a base de jamaica"/>
    <m/>
    <s v="Falta"/>
    <n v="60"/>
    <x v="0"/>
    <x v="50"/>
    <m/>
    <n v="2"/>
    <d v="2014-02-15T00:00:00"/>
  </r>
  <r>
    <s v="Klok"/>
    <s v="María Luisa Álvarez Caloca"/>
    <n v="3336777441"/>
    <n v="38231337"/>
    <s v="maria@xtal.com.mx"/>
    <s v="Ilustración a base de primacolor."/>
    <s v="Gonzalo"/>
    <s v="Efectivo"/>
    <n v="200"/>
    <x v="0"/>
    <x v="19"/>
    <m/>
    <n v="2"/>
    <d v="2014-02-15T00:00:00"/>
  </r>
  <r>
    <s v="La Ciudad de los Campos"/>
    <s v="Ángeles Muñoz"/>
    <n v="3335591738"/>
    <m/>
    <s v="mangelesmunoz@me.com"/>
    <s v="Quesos, aderezos."/>
    <m/>
    <s v="Efectivo"/>
    <n v="100"/>
    <x v="0"/>
    <x v="71"/>
    <m/>
    <n v="2"/>
    <d v="2014-02-15T00:00:00"/>
  </r>
  <r>
    <s v="Le Guttie"/>
    <s v="Mariel Gutierrez"/>
    <n v="3311392611"/>
    <m/>
    <s v="leguttie@gmail.com"/>
    <s v="manzanas cubiertas, fresas con chocolate"/>
    <m/>
    <s v="Falta"/>
    <n v="60"/>
    <x v="0"/>
    <x v="50"/>
    <m/>
    <n v="2"/>
    <d v="2014-02-15T00:00:00"/>
  </r>
  <r>
    <s v="Le Ve"/>
    <s v="Brenda de la Cruz"/>
    <n v="3312088704"/>
    <m/>
    <s v="bleutulip@hotmail.com"/>
    <s v="Quesos y leches veganos de semillas"/>
    <s v="Ceci"/>
    <s v="Efectivo"/>
    <n v="200"/>
    <x v="0"/>
    <x v="5"/>
    <m/>
    <n v="2"/>
    <d v="2014-02-15T00:00:00"/>
  </r>
  <r>
    <s v="Liliana Jaime"/>
    <s v="Liliana Gutierrez"/>
    <n v="3314103650"/>
    <m/>
    <s v="lilianajaime78@gmail.com"/>
    <s v="ropa de diseño independiente"/>
    <s v="Sofía"/>
    <s v="Efectivo"/>
    <n v="200"/>
    <x v="3"/>
    <x v="72"/>
    <m/>
    <n v="2"/>
    <d v="2014-02-15T00:00:00"/>
  </r>
  <r>
    <s v="Lucy Cactus Company"/>
    <s v="Verónica Gil"/>
    <n v="3311185434"/>
    <m/>
    <s v="veronik339.vg@gmail.com"/>
    <s v="macetas de barro pintadas"/>
    <m/>
    <s v="Efectivo"/>
    <n v="187.5"/>
    <x v="0"/>
    <x v="28"/>
    <m/>
    <n v="2"/>
    <d v="2014-02-15T00:00:00"/>
  </r>
  <r>
    <s v="Minerarte"/>
    <s v="Leonardo Dueñas"/>
    <n v="3331878752"/>
    <m/>
    <s v="lfalout26@gmail.com"/>
    <s v="lámparas de cuarzo"/>
    <s v="Sofía"/>
    <s v="Falta"/>
    <n v="60"/>
    <x v="0"/>
    <x v="50"/>
    <m/>
    <n v="2"/>
    <d v="2014-02-15T00:00:00"/>
  </r>
  <r>
    <s v="Mishu"/>
    <s v="Ella Cornejo"/>
    <n v="3314415732"/>
    <n v="36275564"/>
    <s v="ella.marina.cornejo@gmail.com"/>
    <s v="Armonizadores de espacios tejidos."/>
    <s v="Sofía"/>
    <s v="Efectivo"/>
    <n v="200"/>
    <x v="0"/>
    <x v="25"/>
    <m/>
    <n v="2"/>
    <d v="2014-02-15T00:00:00"/>
  </r>
  <r>
    <s v="MontPao"/>
    <s v="Rodrigo Juárez Salazar"/>
    <n v="3315508402"/>
    <m/>
    <s v="borrego_gdl@hotmail.com"/>
    <s v="Blueberrys, mermeladas."/>
    <s v="Sofía"/>
    <s v="Efectivo"/>
    <n v="187.5"/>
    <x v="0"/>
    <x v="56"/>
    <m/>
    <n v="2"/>
    <d v="2014-02-15T00:00:00"/>
  </r>
  <r>
    <s v="Nutri Antojos"/>
    <s v="Jorge González"/>
    <n v="3335841961"/>
    <m/>
    <s v="nutriantojos@outlook.com"/>
    <s v="Fruta y verdura deshidratada, nopal con chile."/>
    <m/>
    <s v="Efectivo"/>
    <n v="200"/>
    <x v="0"/>
    <x v="24"/>
    <m/>
    <n v="2"/>
    <d v="2014-02-15T00:00:00"/>
  </r>
  <r>
    <s v="Organic Home"/>
    <s v="Viridiana Covarrubias"/>
    <n v="3310408306"/>
    <m/>
    <s v="organic_home@hotmail.com"/>
    <s v="orquídeas"/>
    <m/>
    <s v="Efectivo"/>
    <n v="187.5"/>
    <x v="0"/>
    <x v="9"/>
    <m/>
    <n v="2"/>
    <d v="2014-02-15T00:00:00"/>
  </r>
  <r>
    <s v="Piña Palmera"/>
    <s v="Lula de Lara"/>
    <n v="3311900294"/>
    <m/>
    <s v="lula@pinapalmera.com"/>
    <s v="aguas naturales de frutas"/>
    <s v="Sofía"/>
    <s v="Efectivo"/>
    <n v="187.5"/>
    <x v="0"/>
    <x v="57"/>
    <m/>
    <n v="2"/>
    <d v="2014-02-15T00:00:00"/>
  </r>
  <r>
    <s v="Productos Gourmet"/>
    <s v="Victor Hugo Lamas"/>
    <n v="3314112703"/>
    <m/>
    <s v="victorlamasr@yahoo.com.mx"/>
    <m/>
    <m/>
    <s v="Efectivo"/>
    <n v="200"/>
    <x v="0"/>
    <x v="73"/>
    <m/>
    <n v="2"/>
    <d v="2014-02-15T00:00:00"/>
  </r>
  <r>
    <s v="Promaná"/>
    <s v="Manuel Mendez"/>
    <n v="3334488380"/>
    <n v="36314024"/>
    <s v="jmmu.97@gmail.com"/>
    <s v="Huevo orgánico de rancho, moringa."/>
    <m/>
    <s v="Banco"/>
    <n v="187.5"/>
    <x v="0"/>
    <x v="74"/>
    <m/>
    <n v="2"/>
    <d v="2014-02-15T00:00:00"/>
  </r>
  <r>
    <s v="Quetzalli"/>
    <s v="Aura Rodriguez"/>
    <n v="3317711276"/>
    <n v="3338244746"/>
    <s v="pacoatlicue@hotmail.com"/>
    <s v="lámparas, aretes de cupcakes y postres, dijes de resina"/>
    <m/>
    <s v="Efectivo"/>
    <n v="187.5"/>
    <x v="0"/>
    <x v="13"/>
    <m/>
    <n v="2"/>
    <d v="2014-02-15T00:00:00"/>
  </r>
  <r>
    <s v="Sagrante"/>
    <s v="Luis Felipe Angulo"/>
    <n v="3310640389"/>
    <m/>
    <s v="lufac90@hotmail.com"/>
    <s v="Licor de jamaica."/>
    <m/>
    <s v="Efectivo"/>
    <n v="187.5"/>
    <x v="0"/>
    <x v="37"/>
    <m/>
    <n v="2"/>
    <d v="2014-02-15T00:00:00"/>
  </r>
  <r>
    <s v="Sáname"/>
    <s v="Sergio Álvarez"/>
    <n v="3312176844"/>
    <m/>
    <s v="sergio-alvarez61@hotmail.com"/>
    <s v="Productos derivados de la miel"/>
    <m/>
    <s v="Efectivo"/>
    <n v="187.5"/>
    <x v="0"/>
    <x v="58"/>
    <m/>
    <n v="2"/>
    <d v="2014-02-15T00:00:00"/>
  </r>
  <r>
    <s v="Sempiterna"/>
    <s v="Eugenia Sánchez"/>
    <n v="3311802665"/>
    <m/>
    <s v="es.t-70@hotmail.com"/>
    <s v="Dijes de plata"/>
    <m/>
    <s v="Efectivo"/>
    <n v="250"/>
    <x v="0"/>
    <x v="0"/>
    <m/>
    <n v="1"/>
    <d v="2014-02-15T00:00:00"/>
  </r>
  <r>
    <s v="Sufiz"/>
    <s v="Maye Betancourt"/>
    <n v="3317109196"/>
    <n v="15967909"/>
    <s v="mayedapa@hotmail.com"/>
    <s v="palanquetas, granola"/>
    <m/>
    <s v="Efectivo"/>
    <n v="190"/>
    <x v="0"/>
    <x v="75"/>
    <m/>
    <n v="2"/>
    <d v="2014-02-15T00:00:00"/>
  </r>
  <r>
    <s v="Tochtli"/>
    <s v="Adrián Gutiérrez"/>
    <n v="3317440064"/>
    <m/>
    <s v="tochtli_desodorante@hotmail.com"/>
    <s v="Talco desodorante, desodorante rolo, desodorante spray, shampoo, crema para afeitar, pasta de dientes, talco para pies."/>
    <m/>
    <s v="Efectivo"/>
    <n v="200"/>
    <x v="0"/>
    <x v="35"/>
    <m/>
    <n v="2"/>
    <d v="2014-02-15T00:00:00"/>
  </r>
  <r>
    <s v="Vihanta Natura"/>
    <s v="Valentina Bontempi"/>
    <n v="3315398142"/>
    <m/>
    <s v="bvale_81@yahoo.it"/>
    <s v="cremas a base de extractos y aceites naturales"/>
    <m/>
    <s v="Efectivo"/>
    <n v="200"/>
    <x v="0"/>
    <x v="46"/>
    <m/>
    <n v="2"/>
    <d v="2014-02-15T00:00:00"/>
  </r>
  <r>
    <s v="Yerba Sana"/>
    <s v="Julieta Hernández"/>
    <n v="3310849639"/>
    <n v="36470293"/>
    <s v="yerbasana@hotmail.com"/>
    <s v="Chía, aceite de coco, sal orgánica."/>
    <m/>
    <s v="Efectivo"/>
    <n v="125"/>
    <x v="0"/>
    <x v="16"/>
    <m/>
    <n v="2"/>
    <d v="2014-02-15T00:00:00"/>
  </r>
  <r>
    <s v="A Long Asian Gourmet"/>
    <s v="Aaron Disler"/>
    <n v="3314819409"/>
    <m/>
    <s v="a_long_asian_gourmet@yahoo.com"/>
    <s v="Empanadas chinas, dumplings"/>
    <m/>
    <s v="Transferencia"/>
    <n v="232"/>
    <x v="0"/>
    <x v="21"/>
    <m/>
    <n v="4"/>
    <d v="2014-03-01T00:00:00"/>
  </r>
  <r>
    <s v="Angie Inzúa"/>
    <s v="Angie Inzúa"/>
    <n v="3314174876"/>
    <m/>
    <s v="u2angie@hotmail.com"/>
    <s v="collares hechos a mano"/>
    <m/>
    <s v="Efectivo"/>
    <n v="187.5"/>
    <x v="0"/>
    <x v="3"/>
    <m/>
    <n v="4"/>
    <d v="2014-03-01T00:00:00"/>
  </r>
  <r>
    <s v="Bambuk"/>
    <s v="Santiago Álvarez"/>
    <n v="3338210776"/>
    <m/>
    <s v="alvarezv.santiago@gmail.com"/>
    <s v="Fundas de madera para celular"/>
    <m/>
    <s v="Efectivo"/>
    <n v="187.5"/>
    <x v="0"/>
    <x v="6"/>
    <m/>
    <n v="4"/>
    <d v="2014-03-01T00:00:00"/>
  </r>
  <r>
    <s v="Celestial"/>
    <s v="Héctor Fajardo"/>
    <n v="3311424137"/>
    <n v="36159547"/>
    <s v="hectorfajardo1@icloud.com"/>
    <s v="especias, pesto, aceite de oliva, sal de mar, tomate deshidratado"/>
    <m/>
    <s v="Efectivo"/>
    <n v="200"/>
    <x v="0"/>
    <x v="29"/>
    <m/>
    <n v="4"/>
    <d v="2014-03-01T00:00:00"/>
  </r>
  <r>
    <s v="Che Sen"/>
    <s v="Martha Rojo de la Vega"/>
    <n v="3339559274"/>
    <m/>
    <s v="contacto.chesen@gmail.com"/>
    <s v="granola, nueces"/>
    <m/>
    <s v="Efectivo"/>
    <n v="187.5"/>
    <x v="0"/>
    <x v="30"/>
    <m/>
    <n v="4"/>
    <d v="2014-03-01T00:00:00"/>
  </r>
  <r>
    <s v="Cosas para Gato"/>
    <s v="Alejandra Montes de Oca"/>
    <n v="3312148735"/>
    <n v="18160501"/>
    <s v="cosasparagatos@gmail.com"/>
    <s v="Artículos para mascotas"/>
    <m/>
    <s v="Efectivo"/>
    <n v="200"/>
    <x v="3"/>
    <x v="50"/>
    <m/>
    <n v="0"/>
    <d v="2014-03-01T00:00:00"/>
  </r>
  <r>
    <s v="D'Talles y Bisutería"/>
    <s v="Adrián Martínez"/>
    <n v="3310932686"/>
    <m/>
    <s v="dtalle@hotmail.com"/>
    <s v="relojes, pulseras, llaveros, accesorios"/>
    <s v="Sofía"/>
    <s v="Efectivo"/>
    <n v="187.5"/>
    <x v="0"/>
    <x v="33"/>
    <m/>
    <n v="4"/>
    <d v="2014-03-01T00:00:00"/>
  </r>
  <r>
    <s v="Den Maya Invernaderos"/>
    <s v="Yesica Delgado Díaz"/>
    <n v="3311856312"/>
    <m/>
    <s v="yeska_27@hotmail.com"/>
    <s v="Plantas, hierbas aromáticas, flores, árboles en maceta."/>
    <m/>
    <s v="Efectivo"/>
    <n v="375"/>
    <x v="1"/>
    <x v="14"/>
    <m/>
    <n v="4"/>
    <d v="2014-03-01T00:00:00"/>
  </r>
  <r>
    <s v="Eclectic"/>
    <s v="Osvaldo López"/>
    <n v="3312326066"/>
    <m/>
    <s v="osvaldo_flb@hotmail.com"/>
    <s v="Playeras sublimadas"/>
    <s v="Gonzalo"/>
    <s v="Falta"/>
    <n v="60"/>
    <x v="0"/>
    <x v="9"/>
    <m/>
    <n v="2"/>
    <d v="2014-03-01T00:00:00"/>
  </r>
  <r>
    <s v="Eclock"/>
    <s v="Edgar Torres"/>
    <n v="3317246984"/>
    <m/>
    <s v="eclock.relojes@hotmail.com"/>
    <s v="Relojes de madera"/>
    <m/>
    <s v="Efectivo"/>
    <n v="200"/>
    <x v="0"/>
    <x v="10"/>
    <m/>
    <n v="2"/>
    <d v="2014-03-01T00:00:00"/>
  </r>
  <r>
    <s v="Enjoy Time"/>
    <s v="Francisco Valencia"/>
    <n v="3339582509"/>
    <m/>
    <m/>
    <s v="Tisanas frutales y moringa."/>
    <m/>
    <s v="Efectivo"/>
    <n v="400"/>
    <x v="1"/>
    <x v="52"/>
    <m/>
    <n v="4"/>
    <d v="2014-03-01T00:00:00"/>
  </r>
  <r>
    <s v="EVOO"/>
    <s v="Margarita Rodriguez"/>
    <n v="3313600806"/>
    <m/>
    <s v="dramarrod@hotmail.com"/>
    <m/>
    <m/>
    <s v="Efectivo"/>
    <n v="50"/>
    <x v="1"/>
    <x v="70"/>
    <m/>
    <n v="4"/>
    <d v="2014-03-01T00:00:00"/>
  </r>
  <r>
    <s v="Gusto Gourmet"/>
    <s v="Karen Alonso"/>
    <n v="3314412645"/>
    <m/>
    <m/>
    <s v="Salsas, verdura botanera, chimichurri, pesto."/>
    <m/>
    <s v="Efectivo"/>
    <n v="200"/>
    <x v="0"/>
    <x v="2"/>
    <m/>
    <n v="4"/>
    <d v="2014-03-01T00:00:00"/>
  </r>
  <r>
    <s v="Itacate"/>
    <s v="Swannie Díaz de León"/>
    <n v="3310967806"/>
    <m/>
    <s v="yolohtli@gmail.com"/>
    <s v="Granola, hummus, tabule, pan."/>
    <m/>
    <s v="Efectivo"/>
    <n v="125"/>
    <x v="0"/>
    <x v="20"/>
    <m/>
    <n v="2"/>
    <d v="2014-03-01T00:00:00"/>
  </r>
  <r>
    <s v="Jamaitingas"/>
    <s v="Arlene Sánchez"/>
    <n v="3334057358"/>
    <m/>
    <s v="miryana23@hotmail.com"/>
    <s v="guisados a base de jamaica"/>
    <m/>
    <s v="Efectivo"/>
    <n v="200"/>
    <x v="0"/>
    <x v="18"/>
    <m/>
    <n v="4"/>
    <d v="2014-03-01T00:00:00"/>
  </r>
  <r>
    <s v="La Bee Organic"/>
    <s v="Luis Elizondo"/>
    <n v="3331787364"/>
    <m/>
    <s v="labeeorganic@gmail.com"/>
    <s v="bálsamo para labios"/>
    <m/>
    <s v="Efectivo"/>
    <n v="200"/>
    <x v="0"/>
    <x v="76"/>
    <m/>
    <n v="3"/>
    <d v="2014-03-01T00:00:00"/>
  </r>
  <r>
    <s v="La Ciudad de los Campos"/>
    <s v="Ángeles Muñoz"/>
    <n v="3335591738"/>
    <m/>
    <s v="mangelesmunoz@me.com"/>
    <s v="Quesos, aderezos."/>
    <m/>
    <s v="Efectivo"/>
    <n v="100"/>
    <x v="0"/>
    <x v="71"/>
    <m/>
    <n v="4"/>
    <d v="2014-03-01T00:00:00"/>
  </r>
  <r>
    <s v="Le Guttie"/>
    <s v="Mariel Gutierrez"/>
    <n v="3311392611"/>
    <m/>
    <s v="leguttie@gmail.com"/>
    <s v="manzanas cubiertas, fresas con chocolate"/>
    <m/>
    <s v="Efectivo"/>
    <n v="200"/>
    <x v="0"/>
    <x v="50"/>
    <m/>
    <n v="3"/>
    <d v="2014-03-01T00:00:00"/>
  </r>
  <r>
    <s v="Liliana Jaime"/>
    <s v="Liliana Gutierrez"/>
    <n v="3314103650"/>
    <m/>
    <s v="lilianajaime78@gmail.com"/>
    <s v="ropa de diseño independiente"/>
    <s v="Sofía"/>
    <s v="Efectivo"/>
    <n v="200"/>
    <x v="3"/>
    <x v="77"/>
    <m/>
    <n v="4"/>
    <d v="2014-03-01T00:00:00"/>
  </r>
  <r>
    <s v="Lucy Cactus Company"/>
    <s v="Verónica Gil"/>
    <n v="3311185434"/>
    <m/>
    <s v="veronik339.vg@gmail.com"/>
    <s v="macetas de barro pintadas"/>
    <m/>
    <s v="Efectivo"/>
    <n v="187.5"/>
    <x v="0"/>
    <x v="28"/>
    <m/>
    <n v="4"/>
    <d v="2014-03-01T00:00:00"/>
  </r>
  <r>
    <s v="Mishu"/>
    <s v="Ella Cornejo"/>
    <n v="3314415732"/>
    <n v="36275564"/>
    <s v="ella.marina.cornejo@gmail.com"/>
    <s v="Armonizadores de espacios tejidos."/>
    <s v="Sofía"/>
    <s v="Efectivo"/>
    <n v="187.5"/>
    <x v="0"/>
    <x v="25"/>
    <m/>
    <n v="4"/>
    <d v="2014-03-01T00:00:00"/>
  </r>
  <r>
    <s v="MontPao"/>
    <s v="Rodrigo Juárez Salazar"/>
    <n v="3315508402"/>
    <m/>
    <s v="borrego_gdl@hotmail.com"/>
    <s v="Blueberrys, mermeladas."/>
    <s v="Sofía"/>
    <s v="Efectivo"/>
    <n v="187.5"/>
    <x v="0"/>
    <x v="56"/>
    <m/>
    <n v="4"/>
    <d v="2014-03-01T00:00:00"/>
  </r>
  <r>
    <s v="Nacuii"/>
    <s v="Denis Ruan"/>
    <n v="3339576724"/>
    <m/>
    <s v="denis@nacuii.com"/>
    <s v="Productos de concha nacar y madreperla."/>
    <s v="Gonzalo"/>
    <s v="Efectivo"/>
    <n v="200"/>
    <x v="0"/>
    <x v="11"/>
    <s v="N"/>
    <n v="1"/>
    <d v="2014-03-01T00:00:00"/>
  </r>
  <r>
    <s v="Organic Home"/>
    <s v="Viridiana Covarrubias"/>
    <n v="3310408306"/>
    <m/>
    <s v="organic_home@hotmail.com"/>
    <s v="orquídeas"/>
    <m/>
    <s v="Efectivo"/>
    <n v="187.5"/>
    <x v="0"/>
    <x v="78"/>
    <m/>
    <n v="4"/>
    <d v="2014-03-01T00:00:00"/>
  </r>
  <r>
    <s v="Pacha Mama"/>
    <s v="Lilia Ibarra"/>
    <n v="3333979927"/>
    <n v="36563118"/>
    <s v="charly-22889@hotmail.com"/>
    <s v="Bisutaría y piedras naturales"/>
    <s v="Sofía"/>
    <s v="Efectivo"/>
    <n v="200"/>
    <x v="0"/>
    <x v="50"/>
    <m/>
    <n v="2"/>
    <d v="2014-03-01T00:00:00"/>
  </r>
  <r>
    <s v="Perla Negra"/>
    <s v="Romina de la Parra"/>
    <n v="3332003097"/>
    <n v="38103965"/>
    <s v="perlanegra.ventas@hotmail.com"/>
    <s v="Arcilla termal volcánica, antifaz térmico de arcilla volcánica, piedra de origen volcánico, jabón artesanal de arcilla volcánica y romero."/>
    <m/>
    <s v="Efectivo"/>
    <n v="187.5"/>
    <x v="0"/>
    <x v="35"/>
    <m/>
    <n v="2"/>
    <d v="2014-03-01T00:00:00"/>
  </r>
  <r>
    <s v="Piña Palmera"/>
    <s v="Lula de Lara"/>
    <n v="3311900294"/>
    <m/>
    <s v="lula@pinapalmera.com"/>
    <s v="aguas naturales de frutas"/>
    <s v="Sofía"/>
    <s v="Efectivo"/>
    <n v="187.5"/>
    <x v="3"/>
    <x v="57"/>
    <m/>
    <n v="4"/>
    <d v="2014-03-01T00:00:00"/>
  </r>
  <r>
    <s v="Productos Gourmet"/>
    <s v="Victor Hugo Lamas"/>
    <n v="3314112703"/>
    <m/>
    <s v="victorlamasr@yahoo.com.mx"/>
    <m/>
    <m/>
    <s v="Efectivo"/>
    <n v="200"/>
    <x v="0"/>
    <x v="24"/>
    <m/>
    <n v="3"/>
    <d v="2014-03-01T00:00:00"/>
  </r>
  <r>
    <s v="Promaná"/>
    <s v="Manuel Mendez"/>
    <n v="3334488380"/>
    <n v="36314024"/>
    <s v="jmmu.97@gmail.com"/>
    <s v="Huevo orgánico de rancho, moringa."/>
    <m/>
    <s v="Banco"/>
    <n v="187.5"/>
    <x v="0"/>
    <x v="46"/>
    <m/>
    <n v="3"/>
    <d v="2014-03-01T00:00:00"/>
  </r>
  <r>
    <s v="Quetzalli"/>
    <s v="Aura Rodriguez"/>
    <n v="3317711276"/>
    <n v="3338244746"/>
    <s v="pacoatlicue@hotmail.com"/>
    <s v="lámparas, aretes de cupcakes y postres, dijes de resina"/>
    <m/>
    <s v="Efectivo"/>
    <n v="187.5"/>
    <x v="0"/>
    <x v="5"/>
    <m/>
    <n v="4"/>
    <d v="2014-03-01T00:00:00"/>
  </r>
  <r>
    <s v="Sagrante"/>
    <s v="Luis Felipe Angulo"/>
    <n v="3310640389"/>
    <m/>
    <s v="lufac90@hotmail.com"/>
    <s v="Licor de jamaica."/>
    <m/>
    <s v="Efectivo"/>
    <n v="187.5"/>
    <x v="0"/>
    <x v="79"/>
    <m/>
    <n v="4"/>
    <d v="2014-03-01T00:00:00"/>
  </r>
  <r>
    <s v="Sáname"/>
    <s v="Sergio Álvarez"/>
    <n v="3312176844"/>
    <m/>
    <s v="sergio-alvarez61@hotmail.com"/>
    <s v="Productos derivados de la miel"/>
    <m/>
    <s v="Efectivo"/>
    <n v="187.5"/>
    <x v="0"/>
    <x v="58"/>
    <m/>
    <n v="4"/>
    <d v="2014-03-01T00:00:00"/>
  </r>
  <r>
    <s v="Sempiterna"/>
    <s v="Eugenia Sánchez"/>
    <n v="3311802665"/>
    <m/>
    <s v="es.t-70@hotmail.com"/>
    <s v="Dijes de plata"/>
    <m/>
    <s v="Efectivo"/>
    <n v="250"/>
    <x v="0"/>
    <x v="1"/>
    <m/>
    <n v="2"/>
    <d v="2014-03-01T00:00:00"/>
  </r>
  <r>
    <s v="Sufiz"/>
    <s v="Maye Betancourt"/>
    <n v="3317109196"/>
    <n v="15967909"/>
    <s v="mayedapa@hotmail.com"/>
    <s v="palanquetas, granola"/>
    <m/>
    <s v="Efectivo"/>
    <n v="190"/>
    <x v="0"/>
    <x v="0"/>
    <m/>
    <n v="4"/>
    <d v="2014-03-01T00:00:00"/>
  </r>
  <r>
    <s v="Vihanta Natura"/>
    <s v="Valentina Bontempi"/>
    <n v="3315398142"/>
    <m/>
    <s v="bvale_81@yahoo.it"/>
    <s v="cremas a base de extractos y aceites naturales"/>
    <m/>
    <s v="Efectivo"/>
    <n v="200"/>
    <x v="0"/>
    <x v="34"/>
    <m/>
    <n v="4"/>
    <d v="2014-03-01T00:00:00"/>
  </r>
  <r>
    <s v="Yerba Sana"/>
    <s v="Julieta Hernández"/>
    <n v="3310849639"/>
    <n v="36470293"/>
    <s v="yerbasana@hotmail.com"/>
    <s v="Chía, aceite de coco, sal orgánica."/>
    <m/>
    <s v="Efectivo"/>
    <n v="125"/>
    <x v="0"/>
    <x v="16"/>
    <m/>
    <n v="4"/>
    <d v="2014-03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0:G71" totalsRowShown="0">
  <autoFilter ref="A10:G71"/>
  <sortState ref="A11:G71">
    <sortCondition descending="1" ref="F10:F71"/>
  </sortState>
  <tableColumns count="7">
    <tableColumn id="1" name="Torre"/>
    <tableColumn id="2" name="Tipo"/>
    <tableColumn id="3" name="Modelo"/>
    <tableColumn id="4" name="Número de Serie"/>
    <tableColumn id="5" name="Descripción"/>
    <tableColumn id="6" name="Valor Bruto del Activo"/>
    <tableColumn id="7" name="Nuevo o Us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a6" displayName="Tabla6" ref="A1:M4933" totalsRowShown="0" headerRowDxfId="14" dataDxfId="13" tableBorderDxfId="12">
  <autoFilter ref="A1:M4933"/>
  <tableColumns count="13">
    <tableColumn id="1" name="# Vuelo"/>
    <tableColumn id="2" name="LÍNEA AÉREA" dataDxfId="11">
      <calculatedColumnFormula>VLOOKUP(Tabla6[[#This Row],['# Vuelo]],'Validacion reclamo de equipaje'!P:Q,2,0)</calculatedColumnFormula>
    </tableColumn>
    <tableColumn id="3" name="HORA AERONAVE POSICIÓN" dataDxfId="10"/>
    <tableColumn id="4" name="HORA PRIMER MALETA" dataDxfId="9"/>
    <tableColumn id="5" name="Tiempo" dataDxfId="8">
      <calculatedColumnFormula>'Reclamo de equipaje rediseñado'!$D2-'Reclamo de equipaje rediseñado'!$C2</calculatedColumnFormula>
    </tableColumn>
    <tableColumn id="6" name="HORA ÚLTIMA MALETA" dataDxfId="7"/>
    <tableColumn id="7" name="Tiempo2" dataDxfId="6">
      <calculatedColumnFormula>F2-D2</calculatedColumnFormula>
    </tableColumn>
    <tableColumn id="8" name="FECHA" dataDxfId="5"/>
    <tableColumn id="9" name="Procedencia" dataDxfId="4"/>
    <tableColumn id="10" name="Equipo" dataDxfId="3"/>
    <tableColumn id="11" name="Capacidad" dataDxfId="2">
      <calculatedColumnFormula>VLOOKUP(J2,'Validacion reclamo de equipaje'!L:M,2,0)</calculatedColumnFormula>
    </tableColumn>
    <tableColumn id="12" name="Nacional/ Internacional" dataDxfId="1">
      <calculatedColumnFormula>VLOOKUP(I2,'Validacion reclamo de equipaje'!H:I,2,0)</calculatedColumnFormula>
    </tableColumn>
    <tableColumn id="13" name="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7447"/>
  </sheetPr>
  <dimension ref="A1:Q38"/>
  <sheetViews>
    <sheetView workbookViewId="0">
      <selection activeCell="E31" sqref="E31"/>
    </sheetView>
  </sheetViews>
  <sheetFormatPr baseColWidth="10" defaultColWidth="0" defaultRowHeight="15" customHeight="1" zeroHeight="1" x14ac:dyDescent="0.25"/>
  <cols>
    <col min="1" max="17" width="11.42578125" customWidth="1"/>
    <col min="18" max="16384" width="11.425781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7447"/>
  </sheetPr>
  <dimension ref="A10:J71"/>
  <sheetViews>
    <sheetView showGridLines="0" topLeftCell="A7" workbookViewId="0">
      <selection activeCell="K24" sqref="K24"/>
    </sheetView>
  </sheetViews>
  <sheetFormatPr baseColWidth="10" defaultRowHeight="15" x14ac:dyDescent="0.25"/>
  <cols>
    <col min="1" max="1" width="8.42578125" bestFit="1" customWidth="1"/>
    <col min="2" max="2" width="7.28515625" bestFit="1" customWidth="1"/>
    <col min="3" max="3" width="10.140625" customWidth="1"/>
    <col min="4" max="4" width="18.85546875" bestFit="1" customWidth="1"/>
    <col min="5" max="5" width="48.7109375" bestFit="1" customWidth="1"/>
    <col min="6" max="6" width="24.5703125" bestFit="1" customWidth="1"/>
    <col min="7" max="7" width="16.85546875" bestFit="1" customWidth="1"/>
    <col min="9" max="9" width="53" bestFit="1" customWidth="1"/>
    <col min="10" max="10" width="15.85546875" customWidth="1"/>
  </cols>
  <sheetData>
    <row r="10" spans="1:10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10" ht="15.75" thickBot="1" x14ac:dyDescent="0.3">
      <c r="A11" t="s">
        <v>7</v>
      </c>
      <c r="B11">
        <v>2817</v>
      </c>
      <c r="C11" t="s">
        <v>49</v>
      </c>
      <c r="D11" t="s">
        <v>50</v>
      </c>
      <c r="E11" t="s">
        <v>51</v>
      </c>
      <c r="F11">
        <v>5122975.34</v>
      </c>
      <c r="G11" t="s">
        <v>11</v>
      </c>
    </row>
    <row r="12" spans="1:10" x14ac:dyDescent="0.25">
      <c r="A12" t="s">
        <v>7</v>
      </c>
      <c r="B12">
        <v>3957</v>
      </c>
      <c r="C12" t="s">
        <v>74</v>
      </c>
      <c r="D12" t="s">
        <v>77</v>
      </c>
      <c r="E12" t="s">
        <v>76</v>
      </c>
      <c r="F12">
        <v>116532.47</v>
      </c>
      <c r="G12" t="s">
        <v>21</v>
      </c>
      <c r="I12" s="1" t="s">
        <v>104</v>
      </c>
      <c r="J12" s="2" t="s">
        <v>105</v>
      </c>
    </row>
    <row r="13" spans="1:10" x14ac:dyDescent="0.25">
      <c r="A13" t="s">
        <v>7</v>
      </c>
      <c r="B13">
        <v>3957</v>
      </c>
      <c r="C13" t="s">
        <v>74</v>
      </c>
      <c r="D13" t="s">
        <v>78</v>
      </c>
      <c r="E13" t="s">
        <v>76</v>
      </c>
      <c r="F13">
        <v>116532.47</v>
      </c>
      <c r="G13" t="s">
        <v>21</v>
      </c>
      <c r="I13" s="3" t="s">
        <v>106</v>
      </c>
      <c r="J13" s="26">
        <v>5442863</v>
      </c>
    </row>
    <row r="14" spans="1:10" x14ac:dyDescent="0.25">
      <c r="A14" t="s">
        <v>7</v>
      </c>
      <c r="B14">
        <v>3957</v>
      </c>
      <c r="C14" t="s">
        <v>74</v>
      </c>
      <c r="D14" t="s">
        <v>75</v>
      </c>
      <c r="E14" t="s">
        <v>76</v>
      </c>
      <c r="F14">
        <v>115572.39</v>
      </c>
      <c r="G14" t="s">
        <v>21</v>
      </c>
      <c r="I14" s="3" t="s">
        <v>107</v>
      </c>
      <c r="J14" s="26">
        <v>611945</v>
      </c>
    </row>
    <row r="15" spans="1:10" x14ac:dyDescent="0.25">
      <c r="A15" t="s">
        <v>7</v>
      </c>
      <c r="B15">
        <v>3956</v>
      </c>
      <c r="C15" t="s">
        <v>66</v>
      </c>
      <c r="D15" t="s">
        <v>67</v>
      </c>
      <c r="E15" t="s">
        <v>68</v>
      </c>
      <c r="F15">
        <v>37496.07</v>
      </c>
      <c r="G15" t="s">
        <v>11</v>
      </c>
      <c r="I15" s="3" t="s">
        <v>108</v>
      </c>
      <c r="J15" s="4">
        <v>43</v>
      </c>
    </row>
    <row r="16" spans="1:10" x14ac:dyDescent="0.25">
      <c r="A16" t="s">
        <v>7</v>
      </c>
      <c r="B16">
        <v>3956</v>
      </c>
      <c r="C16" t="s">
        <v>66</v>
      </c>
      <c r="D16" t="s">
        <v>69</v>
      </c>
      <c r="E16" t="s">
        <v>68</v>
      </c>
      <c r="F16">
        <v>37496.07</v>
      </c>
      <c r="G16" t="s">
        <v>11</v>
      </c>
      <c r="I16" s="3" t="s">
        <v>109</v>
      </c>
      <c r="J16" s="26">
        <v>6010264</v>
      </c>
    </row>
    <row r="17" spans="1:10" x14ac:dyDescent="0.25">
      <c r="A17" t="s">
        <v>7</v>
      </c>
      <c r="B17">
        <v>3956</v>
      </c>
      <c r="C17" t="s">
        <v>66</v>
      </c>
      <c r="D17" t="s">
        <v>70</v>
      </c>
      <c r="E17" t="s">
        <v>68</v>
      </c>
      <c r="F17">
        <v>37496.07</v>
      </c>
      <c r="G17" t="s">
        <v>21</v>
      </c>
      <c r="I17" s="3" t="s">
        <v>110</v>
      </c>
      <c r="J17" s="26" t="s">
        <v>51</v>
      </c>
    </row>
    <row r="18" spans="1:10" ht="15.75" thickBot="1" x14ac:dyDescent="0.3">
      <c r="A18" t="s">
        <v>7</v>
      </c>
      <c r="B18">
        <v>3956</v>
      </c>
      <c r="C18" t="s">
        <v>66</v>
      </c>
      <c r="D18" t="s">
        <v>71</v>
      </c>
      <c r="E18" t="s">
        <v>68</v>
      </c>
      <c r="F18">
        <v>37496.07</v>
      </c>
      <c r="G18" t="s">
        <v>21</v>
      </c>
      <c r="I18" s="5"/>
      <c r="J18" s="6"/>
    </row>
    <row r="19" spans="1:10" x14ac:dyDescent="0.25">
      <c r="A19" t="s">
        <v>7</v>
      </c>
      <c r="B19">
        <v>3956</v>
      </c>
      <c r="C19" t="s">
        <v>66</v>
      </c>
      <c r="D19" t="s">
        <v>72</v>
      </c>
      <c r="E19" t="s">
        <v>68</v>
      </c>
      <c r="F19">
        <v>37496.07</v>
      </c>
      <c r="G19" t="s">
        <v>21</v>
      </c>
    </row>
    <row r="20" spans="1:10" x14ac:dyDescent="0.25">
      <c r="A20" t="s">
        <v>7</v>
      </c>
      <c r="B20">
        <v>3956</v>
      </c>
      <c r="C20" t="s">
        <v>66</v>
      </c>
      <c r="D20" t="s">
        <v>73</v>
      </c>
      <c r="E20" t="s">
        <v>68</v>
      </c>
      <c r="F20">
        <v>37496.07</v>
      </c>
      <c r="G20" t="s">
        <v>21</v>
      </c>
    </row>
    <row r="21" spans="1:10" x14ac:dyDescent="0.25">
      <c r="A21" t="s">
        <v>7</v>
      </c>
      <c r="B21">
        <v>3584</v>
      </c>
      <c r="C21" t="s">
        <v>52</v>
      </c>
      <c r="D21" t="s">
        <v>53</v>
      </c>
      <c r="E21" t="s">
        <v>54</v>
      </c>
      <c r="F21">
        <v>31497</v>
      </c>
      <c r="G21" t="s">
        <v>11</v>
      </c>
    </row>
    <row r="22" spans="1:10" x14ac:dyDescent="0.25">
      <c r="A22" t="s">
        <v>7</v>
      </c>
      <c r="B22">
        <v>3584</v>
      </c>
      <c r="C22" t="s">
        <v>55</v>
      </c>
      <c r="D22" t="s">
        <v>57</v>
      </c>
      <c r="E22" t="s">
        <v>54</v>
      </c>
      <c r="F22">
        <v>17911.39</v>
      </c>
      <c r="G22" t="s">
        <v>11</v>
      </c>
    </row>
    <row r="23" spans="1:10" x14ac:dyDescent="0.25">
      <c r="A23" t="s">
        <v>7</v>
      </c>
      <c r="B23">
        <v>3584</v>
      </c>
      <c r="C23" t="s">
        <v>55</v>
      </c>
      <c r="D23" t="s">
        <v>58</v>
      </c>
      <c r="E23" t="s">
        <v>54</v>
      </c>
      <c r="F23">
        <v>17911.39</v>
      </c>
      <c r="G23" t="s">
        <v>11</v>
      </c>
    </row>
    <row r="24" spans="1:10" x14ac:dyDescent="0.25">
      <c r="A24" t="s">
        <v>7</v>
      </c>
      <c r="B24">
        <v>3584</v>
      </c>
      <c r="C24" t="s">
        <v>55</v>
      </c>
      <c r="D24" t="s">
        <v>60</v>
      </c>
      <c r="E24" t="s">
        <v>54</v>
      </c>
      <c r="F24">
        <v>17911.39</v>
      </c>
      <c r="G24" t="s">
        <v>11</v>
      </c>
    </row>
    <row r="25" spans="1:10" x14ac:dyDescent="0.25">
      <c r="A25" t="s">
        <v>7</v>
      </c>
      <c r="B25">
        <v>3584</v>
      </c>
      <c r="C25" t="s">
        <v>55</v>
      </c>
      <c r="D25" t="s">
        <v>56</v>
      </c>
      <c r="E25" t="s">
        <v>54</v>
      </c>
      <c r="F25">
        <v>17868.91</v>
      </c>
      <c r="G25" t="s">
        <v>11</v>
      </c>
    </row>
    <row r="26" spans="1:10" x14ac:dyDescent="0.25">
      <c r="A26" t="s">
        <v>7</v>
      </c>
      <c r="B26">
        <v>3584</v>
      </c>
      <c r="C26" t="s">
        <v>55</v>
      </c>
      <c r="D26" t="s">
        <v>59</v>
      </c>
      <c r="E26" t="s">
        <v>54</v>
      </c>
      <c r="F26">
        <v>17868.91</v>
      </c>
      <c r="G26" t="s">
        <v>11</v>
      </c>
    </row>
    <row r="27" spans="1:10" x14ac:dyDescent="0.25">
      <c r="A27" t="s">
        <v>7</v>
      </c>
      <c r="B27">
        <v>1818</v>
      </c>
      <c r="C27" t="s">
        <v>12</v>
      </c>
      <c r="D27" t="s">
        <v>13</v>
      </c>
      <c r="E27" t="s">
        <v>14</v>
      </c>
      <c r="F27">
        <v>15361.15</v>
      </c>
      <c r="G27" t="s">
        <v>11</v>
      </c>
    </row>
    <row r="28" spans="1:10" x14ac:dyDescent="0.25">
      <c r="A28" t="s">
        <v>7</v>
      </c>
      <c r="B28">
        <v>1740</v>
      </c>
      <c r="C28" t="s">
        <v>8</v>
      </c>
      <c r="D28" t="s">
        <v>9</v>
      </c>
      <c r="E28" t="s">
        <v>10</v>
      </c>
      <c r="F28">
        <v>10524</v>
      </c>
      <c r="G28" t="s">
        <v>11</v>
      </c>
    </row>
    <row r="29" spans="1:10" x14ac:dyDescent="0.25">
      <c r="A29" t="s">
        <v>7</v>
      </c>
      <c r="B29">
        <v>3952</v>
      </c>
      <c r="C29" t="s">
        <v>61</v>
      </c>
      <c r="D29" t="s">
        <v>64</v>
      </c>
      <c r="E29" t="s">
        <v>63</v>
      </c>
      <c r="F29">
        <v>8644.41</v>
      </c>
      <c r="G29" t="s">
        <v>11</v>
      </c>
    </row>
    <row r="30" spans="1:10" x14ac:dyDescent="0.25">
      <c r="A30" t="s">
        <v>7</v>
      </c>
      <c r="B30">
        <v>3952</v>
      </c>
      <c r="C30" t="s">
        <v>61</v>
      </c>
      <c r="D30" t="s">
        <v>65</v>
      </c>
      <c r="E30" t="s">
        <v>63</v>
      </c>
      <c r="F30">
        <v>8644.41</v>
      </c>
      <c r="G30" t="s">
        <v>11</v>
      </c>
    </row>
    <row r="31" spans="1:10" x14ac:dyDescent="0.25">
      <c r="A31" t="s">
        <v>7</v>
      </c>
      <c r="B31">
        <v>3952</v>
      </c>
      <c r="C31" t="s">
        <v>61</v>
      </c>
      <c r="D31" t="s">
        <v>62</v>
      </c>
      <c r="E31" t="s">
        <v>63</v>
      </c>
      <c r="F31">
        <v>8573.19</v>
      </c>
      <c r="G31" t="s">
        <v>11</v>
      </c>
    </row>
    <row r="32" spans="1:10" x14ac:dyDescent="0.25">
      <c r="A32" t="s">
        <v>7</v>
      </c>
      <c r="B32">
        <v>2231</v>
      </c>
      <c r="C32" t="s">
        <v>36</v>
      </c>
      <c r="D32" t="s">
        <v>37</v>
      </c>
      <c r="E32" t="s">
        <v>38</v>
      </c>
      <c r="F32">
        <v>8521.85</v>
      </c>
      <c r="G32" t="s">
        <v>21</v>
      </c>
    </row>
    <row r="33" spans="1:7" x14ac:dyDescent="0.25">
      <c r="A33" t="s">
        <v>7</v>
      </c>
      <c r="B33">
        <v>2231</v>
      </c>
      <c r="C33" t="s">
        <v>36</v>
      </c>
      <c r="D33" t="s">
        <v>39</v>
      </c>
      <c r="E33" t="s">
        <v>38</v>
      </c>
      <c r="F33">
        <v>8521.85</v>
      </c>
      <c r="G33" t="s">
        <v>21</v>
      </c>
    </row>
    <row r="34" spans="1:7" x14ac:dyDescent="0.25">
      <c r="A34" t="s">
        <v>7</v>
      </c>
      <c r="B34">
        <v>2231</v>
      </c>
      <c r="C34" t="s">
        <v>36</v>
      </c>
      <c r="D34" t="s">
        <v>41</v>
      </c>
      <c r="E34" t="s">
        <v>38</v>
      </c>
      <c r="F34">
        <v>8521.85</v>
      </c>
      <c r="G34" t="s">
        <v>11</v>
      </c>
    </row>
    <row r="35" spans="1:7" x14ac:dyDescent="0.25">
      <c r="A35" t="s">
        <v>7</v>
      </c>
      <c r="B35">
        <v>2231</v>
      </c>
      <c r="C35" t="s">
        <v>36</v>
      </c>
      <c r="D35" t="s">
        <v>40</v>
      </c>
      <c r="E35" t="s">
        <v>38</v>
      </c>
      <c r="F35">
        <v>7983</v>
      </c>
      <c r="G35" t="s">
        <v>11</v>
      </c>
    </row>
    <row r="36" spans="1:7" x14ac:dyDescent="0.25">
      <c r="A36" t="s">
        <v>7</v>
      </c>
      <c r="B36">
        <v>2231</v>
      </c>
      <c r="C36" t="s">
        <v>36</v>
      </c>
      <c r="D36" t="s">
        <v>42</v>
      </c>
      <c r="E36" t="s">
        <v>38</v>
      </c>
      <c r="F36">
        <v>7983</v>
      </c>
      <c r="G36" t="s">
        <v>11</v>
      </c>
    </row>
    <row r="37" spans="1:7" x14ac:dyDescent="0.25">
      <c r="A37" t="s">
        <v>7</v>
      </c>
      <c r="B37">
        <v>2231</v>
      </c>
      <c r="C37" t="s">
        <v>36</v>
      </c>
      <c r="D37" t="s">
        <v>43</v>
      </c>
      <c r="E37" t="s">
        <v>38</v>
      </c>
      <c r="F37">
        <v>7983</v>
      </c>
      <c r="G37" t="s">
        <v>11</v>
      </c>
    </row>
    <row r="38" spans="1:7" x14ac:dyDescent="0.25">
      <c r="A38" t="s">
        <v>79</v>
      </c>
      <c r="B38">
        <v>7947</v>
      </c>
      <c r="C38" t="s">
        <v>80</v>
      </c>
      <c r="D38" t="s">
        <v>89</v>
      </c>
      <c r="E38" t="s">
        <v>88</v>
      </c>
      <c r="F38">
        <v>7692</v>
      </c>
      <c r="G38" t="s">
        <v>21</v>
      </c>
    </row>
    <row r="39" spans="1:7" x14ac:dyDescent="0.25">
      <c r="A39" t="s">
        <v>7</v>
      </c>
      <c r="B39">
        <v>1818</v>
      </c>
      <c r="C39" t="s">
        <v>12</v>
      </c>
      <c r="D39" t="s">
        <v>20</v>
      </c>
      <c r="E39" t="s">
        <v>14</v>
      </c>
      <c r="F39">
        <v>5413.2</v>
      </c>
      <c r="G39" t="s">
        <v>21</v>
      </c>
    </row>
    <row r="40" spans="1:7" x14ac:dyDescent="0.25">
      <c r="A40" t="s">
        <v>7</v>
      </c>
      <c r="B40">
        <v>1818</v>
      </c>
      <c r="C40" t="s">
        <v>12</v>
      </c>
      <c r="D40" t="s">
        <v>22</v>
      </c>
      <c r="E40" t="s">
        <v>14</v>
      </c>
      <c r="F40">
        <v>5413.2</v>
      </c>
      <c r="G40" t="s">
        <v>21</v>
      </c>
    </row>
    <row r="41" spans="1:7" x14ac:dyDescent="0.25">
      <c r="A41" t="s">
        <v>7</v>
      </c>
      <c r="B41">
        <v>1818</v>
      </c>
      <c r="C41" t="s">
        <v>12</v>
      </c>
      <c r="D41" t="s">
        <v>23</v>
      </c>
      <c r="E41" t="s">
        <v>14</v>
      </c>
      <c r="F41">
        <v>5413.2</v>
      </c>
      <c r="G41" t="s">
        <v>21</v>
      </c>
    </row>
    <row r="42" spans="1:7" x14ac:dyDescent="0.25">
      <c r="A42" t="s">
        <v>7</v>
      </c>
      <c r="B42">
        <v>1818</v>
      </c>
      <c r="C42" t="s">
        <v>12</v>
      </c>
      <c r="D42" t="s">
        <v>24</v>
      </c>
      <c r="E42" t="s">
        <v>14</v>
      </c>
      <c r="F42">
        <v>5413.2</v>
      </c>
      <c r="G42" t="s">
        <v>21</v>
      </c>
    </row>
    <row r="43" spans="1:7" x14ac:dyDescent="0.25">
      <c r="A43" t="s">
        <v>7</v>
      </c>
      <c r="B43">
        <v>1818</v>
      </c>
      <c r="C43" t="s">
        <v>12</v>
      </c>
      <c r="D43" t="s">
        <v>27</v>
      </c>
      <c r="E43" t="s">
        <v>14</v>
      </c>
      <c r="F43">
        <v>5413.2</v>
      </c>
      <c r="G43" t="s">
        <v>21</v>
      </c>
    </row>
    <row r="44" spans="1:7" x14ac:dyDescent="0.25">
      <c r="A44" t="s">
        <v>7</v>
      </c>
      <c r="B44">
        <v>1818</v>
      </c>
      <c r="C44" t="s">
        <v>12</v>
      </c>
      <c r="D44" t="s">
        <v>28</v>
      </c>
      <c r="E44" t="s">
        <v>14</v>
      </c>
      <c r="F44">
        <v>5413.2</v>
      </c>
      <c r="G44" t="s">
        <v>21</v>
      </c>
    </row>
    <row r="45" spans="1:7" x14ac:dyDescent="0.25">
      <c r="A45" t="s">
        <v>7</v>
      </c>
      <c r="B45">
        <v>1818</v>
      </c>
      <c r="C45" t="s">
        <v>12</v>
      </c>
      <c r="D45" t="s">
        <v>29</v>
      </c>
      <c r="E45" t="s">
        <v>14</v>
      </c>
      <c r="F45">
        <v>5413.2</v>
      </c>
      <c r="G45" t="s">
        <v>21</v>
      </c>
    </row>
    <row r="46" spans="1:7" x14ac:dyDescent="0.25">
      <c r="A46" t="s">
        <v>7</v>
      </c>
      <c r="B46">
        <v>1818</v>
      </c>
      <c r="C46" t="s">
        <v>12</v>
      </c>
      <c r="D46" t="s">
        <v>15</v>
      </c>
      <c r="E46" t="s">
        <v>14</v>
      </c>
      <c r="F46">
        <v>5070.91</v>
      </c>
      <c r="G46" t="s">
        <v>11</v>
      </c>
    </row>
    <row r="47" spans="1:7" x14ac:dyDescent="0.25">
      <c r="A47" t="s">
        <v>7</v>
      </c>
      <c r="B47">
        <v>1818</v>
      </c>
      <c r="C47" t="s">
        <v>12</v>
      </c>
      <c r="D47" t="s">
        <v>16</v>
      </c>
      <c r="E47" t="s">
        <v>14</v>
      </c>
      <c r="F47">
        <v>5070.91</v>
      </c>
      <c r="G47" t="s">
        <v>11</v>
      </c>
    </row>
    <row r="48" spans="1:7" x14ac:dyDescent="0.25">
      <c r="A48" t="s">
        <v>7</v>
      </c>
      <c r="B48">
        <v>1818</v>
      </c>
      <c r="C48" t="s">
        <v>12</v>
      </c>
      <c r="D48" t="s">
        <v>17</v>
      </c>
      <c r="E48" t="s">
        <v>14</v>
      </c>
      <c r="F48">
        <v>5070.91</v>
      </c>
      <c r="G48" t="s">
        <v>11</v>
      </c>
    </row>
    <row r="49" spans="1:7" x14ac:dyDescent="0.25">
      <c r="A49" t="s">
        <v>7</v>
      </c>
      <c r="B49">
        <v>1818</v>
      </c>
      <c r="C49" t="s">
        <v>12</v>
      </c>
      <c r="D49" t="s">
        <v>18</v>
      </c>
      <c r="E49" t="s">
        <v>14</v>
      </c>
      <c r="F49">
        <v>5070.91</v>
      </c>
      <c r="G49" t="s">
        <v>11</v>
      </c>
    </row>
    <row r="50" spans="1:7" x14ac:dyDescent="0.25">
      <c r="A50" t="s">
        <v>7</v>
      </c>
      <c r="B50">
        <v>1818</v>
      </c>
      <c r="C50" t="s">
        <v>12</v>
      </c>
      <c r="D50" t="s">
        <v>19</v>
      </c>
      <c r="E50" t="s">
        <v>14</v>
      </c>
      <c r="F50">
        <v>5070.91</v>
      </c>
      <c r="G50" t="s">
        <v>11</v>
      </c>
    </row>
    <row r="51" spans="1:7" x14ac:dyDescent="0.25">
      <c r="A51" t="s">
        <v>7</v>
      </c>
      <c r="B51">
        <v>1818</v>
      </c>
      <c r="C51" t="s">
        <v>12</v>
      </c>
      <c r="D51" t="s">
        <v>25</v>
      </c>
      <c r="E51" t="s">
        <v>14</v>
      </c>
      <c r="F51">
        <v>5070.91</v>
      </c>
      <c r="G51" t="s">
        <v>21</v>
      </c>
    </row>
    <row r="52" spans="1:7" x14ac:dyDescent="0.25">
      <c r="A52" t="s">
        <v>7</v>
      </c>
      <c r="B52">
        <v>1818</v>
      </c>
      <c r="C52" t="s">
        <v>12</v>
      </c>
      <c r="D52" t="s">
        <v>26</v>
      </c>
      <c r="E52" t="s">
        <v>14</v>
      </c>
      <c r="F52">
        <v>5070.91</v>
      </c>
      <c r="G52" t="s">
        <v>21</v>
      </c>
    </row>
    <row r="53" spans="1:7" x14ac:dyDescent="0.25">
      <c r="A53" t="s">
        <v>79</v>
      </c>
      <c r="B53" t="s">
        <v>102</v>
      </c>
      <c r="C53" t="s">
        <v>91</v>
      </c>
      <c r="D53" t="s">
        <v>103</v>
      </c>
      <c r="E53" t="s">
        <v>93</v>
      </c>
      <c r="F53">
        <v>3810.16</v>
      </c>
      <c r="G53" t="s">
        <v>11</v>
      </c>
    </row>
    <row r="54" spans="1:7" x14ac:dyDescent="0.25">
      <c r="A54" t="s">
        <v>79</v>
      </c>
      <c r="B54" t="s">
        <v>96</v>
      </c>
      <c r="C54" t="s">
        <v>91</v>
      </c>
      <c r="D54" t="s">
        <v>97</v>
      </c>
      <c r="E54" t="s">
        <v>93</v>
      </c>
      <c r="F54">
        <v>3810.15</v>
      </c>
      <c r="G54" t="s">
        <v>21</v>
      </c>
    </row>
    <row r="55" spans="1:7" x14ac:dyDescent="0.25">
      <c r="A55" t="s">
        <v>79</v>
      </c>
      <c r="B55" t="s">
        <v>98</v>
      </c>
      <c r="C55" t="s">
        <v>91</v>
      </c>
      <c r="D55" t="s">
        <v>99</v>
      </c>
      <c r="E55" t="s">
        <v>93</v>
      </c>
      <c r="F55">
        <v>3810.15</v>
      </c>
      <c r="G55" t="s">
        <v>21</v>
      </c>
    </row>
    <row r="56" spans="1:7" x14ac:dyDescent="0.25">
      <c r="A56" t="s">
        <v>79</v>
      </c>
      <c r="B56" t="s">
        <v>100</v>
      </c>
      <c r="C56" t="s">
        <v>91</v>
      </c>
      <c r="D56" t="s">
        <v>101</v>
      </c>
      <c r="E56" t="s">
        <v>93</v>
      </c>
      <c r="F56">
        <v>3810.15</v>
      </c>
      <c r="G56" t="s">
        <v>11</v>
      </c>
    </row>
    <row r="57" spans="1:7" x14ac:dyDescent="0.25">
      <c r="A57" t="s">
        <v>79</v>
      </c>
      <c r="B57" t="s">
        <v>94</v>
      </c>
      <c r="C57" t="s">
        <v>91</v>
      </c>
      <c r="D57" t="s">
        <v>95</v>
      </c>
      <c r="E57" t="s">
        <v>93</v>
      </c>
      <c r="F57">
        <v>3809.97</v>
      </c>
      <c r="G57" t="s">
        <v>21</v>
      </c>
    </row>
    <row r="58" spans="1:7" x14ac:dyDescent="0.25">
      <c r="A58" t="s">
        <v>79</v>
      </c>
      <c r="B58" t="s">
        <v>90</v>
      </c>
      <c r="C58" t="s">
        <v>91</v>
      </c>
      <c r="D58" t="s">
        <v>92</v>
      </c>
      <c r="E58" t="s">
        <v>93</v>
      </c>
      <c r="F58">
        <v>3809.96</v>
      </c>
      <c r="G58" t="s">
        <v>21</v>
      </c>
    </row>
    <row r="59" spans="1:7" x14ac:dyDescent="0.25">
      <c r="A59" t="s">
        <v>7</v>
      </c>
      <c r="B59">
        <v>2145</v>
      </c>
      <c r="C59" t="s">
        <v>30</v>
      </c>
      <c r="D59" t="s">
        <v>34</v>
      </c>
      <c r="E59" t="s">
        <v>32</v>
      </c>
      <c r="F59">
        <v>3774.54</v>
      </c>
      <c r="G59" t="s">
        <v>21</v>
      </c>
    </row>
    <row r="60" spans="1:7" x14ac:dyDescent="0.25">
      <c r="A60" t="s">
        <v>7</v>
      </c>
      <c r="B60">
        <v>2145</v>
      </c>
      <c r="C60" t="s">
        <v>30</v>
      </c>
      <c r="D60" t="s">
        <v>33</v>
      </c>
      <c r="E60" t="s">
        <v>32</v>
      </c>
      <c r="F60">
        <v>3773.63</v>
      </c>
      <c r="G60" t="s">
        <v>21</v>
      </c>
    </row>
    <row r="61" spans="1:7" x14ac:dyDescent="0.25">
      <c r="A61" t="s">
        <v>7</v>
      </c>
      <c r="B61">
        <v>2145</v>
      </c>
      <c r="C61" t="s">
        <v>30</v>
      </c>
      <c r="D61" t="s">
        <v>35</v>
      </c>
      <c r="E61" t="s">
        <v>32</v>
      </c>
      <c r="F61">
        <v>3773.63</v>
      </c>
      <c r="G61" t="s">
        <v>21</v>
      </c>
    </row>
    <row r="62" spans="1:7" x14ac:dyDescent="0.25">
      <c r="A62" t="s">
        <v>7</v>
      </c>
      <c r="B62">
        <v>2805</v>
      </c>
      <c r="C62" t="s">
        <v>44</v>
      </c>
      <c r="D62" t="s">
        <v>45</v>
      </c>
      <c r="E62" t="s">
        <v>46</v>
      </c>
      <c r="F62">
        <v>3367</v>
      </c>
      <c r="G62" t="s">
        <v>11</v>
      </c>
    </row>
    <row r="63" spans="1:7" x14ac:dyDescent="0.25">
      <c r="A63" t="s">
        <v>7</v>
      </c>
      <c r="B63">
        <v>2805</v>
      </c>
      <c r="C63" t="s">
        <v>44</v>
      </c>
      <c r="D63" t="s">
        <v>48</v>
      </c>
      <c r="E63" t="s">
        <v>46</v>
      </c>
      <c r="F63">
        <v>3367</v>
      </c>
      <c r="G63" t="s">
        <v>11</v>
      </c>
    </row>
    <row r="64" spans="1:7" x14ac:dyDescent="0.25">
      <c r="A64" t="s">
        <v>79</v>
      </c>
      <c r="B64">
        <v>4252</v>
      </c>
      <c r="C64" t="s">
        <v>80</v>
      </c>
      <c r="D64" t="s">
        <v>81</v>
      </c>
      <c r="E64" t="s">
        <v>82</v>
      </c>
      <c r="F64">
        <v>2798.4</v>
      </c>
      <c r="G64" t="s">
        <v>21</v>
      </c>
    </row>
    <row r="65" spans="1:7" x14ac:dyDescent="0.25">
      <c r="A65" t="s">
        <v>79</v>
      </c>
      <c r="B65">
        <v>4252</v>
      </c>
      <c r="C65" t="s">
        <v>80</v>
      </c>
      <c r="D65" t="s">
        <v>83</v>
      </c>
      <c r="E65" t="s">
        <v>82</v>
      </c>
      <c r="F65">
        <v>2798.4</v>
      </c>
      <c r="G65" t="s">
        <v>21</v>
      </c>
    </row>
    <row r="66" spans="1:7" x14ac:dyDescent="0.25">
      <c r="A66" t="s">
        <v>79</v>
      </c>
      <c r="B66">
        <v>4252</v>
      </c>
      <c r="C66" t="s">
        <v>80</v>
      </c>
      <c r="D66" t="s">
        <v>84</v>
      </c>
      <c r="E66" t="s">
        <v>82</v>
      </c>
      <c r="F66">
        <v>2798.4</v>
      </c>
      <c r="G66" t="s">
        <v>21</v>
      </c>
    </row>
    <row r="67" spans="1:7" x14ac:dyDescent="0.25">
      <c r="A67" t="s">
        <v>79</v>
      </c>
      <c r="B67">
        <v>4252</v>
      </c>
      <c r="C67" t="s">
        <v>80</v>
      </c>
      <c r="D67" t="s">
        <v>85</v>
      </c>
      <c r="E67" t="s">
        <v>82</v>
      </c>
      <c r="F67">
        <v>2798.4</v>
      </c>
      <c r="G67" t="s">
        <v>21</v>
      </c>
    </row>
    <row r="68" spans="1:7" x14ac:dyDescent="0.25">
      <c r="A68" t="s">
        <v>79</v>
      </c>
      <c r="B68">
        <v>4252</v>
      </c>
      <c r="C68" t="s">
        <v>80</v>
      </c>
      <c r="D68" t="s">
        <v>86</v>
      </c>
      <c r="E68" t="s">
        <v>82</v>
      </c>
      <c r="F68">
        <v>2798.4</v>
      </c>
      <c r="G68" t="s">
        <v>21</v>
      </c>
    </row>
    <row r="69" spans="1:7" x14ac:dyDescent="0.25">
      <c r="A69" t="s">
        <v>7</v>
      </c>
      <c r="B69">
        <v>2145</v>
      </c>
      <c r="C69" t="s">
        <v>30</v>
      </c>
      <c r="D69" t="s">
        <v>31</v>
      </c>
      <c r="E69" t="s">
        <v>32</v>
      </c>
      <c r="F69">
        <v>0</v>
      </c>
      <c r="G69" t="s">
        <v>21</v>
      </c>
    </row>
    <row r="70" spans="1:7" x14ac:dyDescent="0.25">
      <c r="A70" t="s">
        <v>7</v>
      </c>
      <c r="B70">
        <v>2805</v>
      </c>
      <c r="C70" t="s">
        <v>44</v>
      </c>
      <c r="D70" t="s">
        <v>47</v>
      </c>
      <c r="E70" t="s">
        <v>46</v>
      </c>
      <c r="F70">
        <v>0</v>
      </c>
      <c r="G70" t="s">
        <v>11</v>
      </c>
    </row>
    <row r="71" spans="1:7" x14ac:dyDescent="0.25">
      <c r="A71" t="s">
        <v>79</v>
      </c>
      <c r="B71">
        <v>7947</v>
      </c>
      <c r="C71" t="s">
        <v>80</v>
      </c>
      <c r="D71" t="s">
        <v>87</v>
      </c>
      <c r="E71" t="s">
        <v>88</v>
      </c>
      <c r="F71">
        <v>0</v>
      </c>
      <c r="G71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7447"/>
  </sheetPr>
  <dimension ref="A17:CP68"/>
  <sheetViews>
    <sheetView showGridLines="0" topLeftCell="BV10" workbookViewId="0">
      <selection activeCell="CD19" sqref="CD19:CP54"/>
    </sheetView>
  </sheetViews>
  <sheetFormatPr baseColWidth="10" defaultRowHeight="15" x14ac:dyDescent="0.25"/>
  <sheetData>
    <row r="17" spans="1:94" ht="92.25" x14ac:dyDescent="1.35">
      <c r="A17" s="8" t="s">
        <v>112</v>
      </c>
      <c r="N17" s="8" t="s">
        <v>113</v>
      </c>
      <c r="AA17" s="8" t="s">
        <v>114</v>
      </c>
      <c r="AN17" s="8" t="s">
        <v>115</v>
      </c>
      <c r="BB17" s="8" t="s">
        <v>116</v>
      </c>
      <c r="BP17" s="8" t="s">
        <v>117</v>
      </c>
      <c r="CD17" s="8" t="s">
        <v>118</v>
      </c>
    </row>
    <row r="18" spans="1:94" ht="19.5" thickBot="1" x14ac:dyDescent="0.35">
      <c r="A18" s="9" t="s">
        <v>119</v>
      </c>
      <c r="B18" s="9" t="s">
        <v>120</v>
      </c>
      <c r="C18" s="9" t="s">
        <v>121</v>
      </c>
      <c r="D18" s="9" t="s">
        <v>122</v>
      </c>
      <c r="E18" s="9" t="s">
        <v>123</v>
      </c>
      <c r="F18" s="9" t="s">
        <v>124</v>
      </c>
      <c r="G18" s="10" t="s">
        <v>125</v>
      </c>
      <c r="H18" s="9" t="s">
        <v>126</v>
      </c>
      <c r="I18" s="10" t="s">
        <v>127</v>
      </c>
      <c r="J18" s="9" t="s">
        <v>128</v>
      </c>
      <c r="K18" s="9" t="s">
        <v>129</v>
      </c>
      <c r="L18" s="10" t="s">
        <v>11</v>
      </c>
      <c r="N18" s="9" t="s">
        <v>119</v>
      </c>
      <c r="O18" s="9" t="s">
        <v>120</v>
      </c>
      <c r="P18" s="9" t="s">
        <v>121</v>
      </c>
      <c r="Q18" s="9" t="s">
        <v>122</v>
      </c>
      <c r="R18" s="9" t="s">
        <v>123</v>
      </c>
      <c r="S18" s="9" t="s">
        <v>124</v>
      </c>
      <c r="T18" s="10" t="s">
        <v>125</v>
      </c>
      <c r="U18" s="9" t="s">
        <v>126</v>
      </c>
      <c r="V18" s="10" t="s">
        <v>127</v>
      </c>
      <c r="W18" s="9" t="s">
        <v>128</v>
      </c>
      <c r="X18" s="9" t="s">
        <v>129</v>
      </c>
      <c r="Y18" s="10" t="s">
        <v>11</v>
      </c>
      <c r="AA18" s="9" t="s">
        <v>119</v>
      </c>
      <c r="AB18" s="9" t="s">
        <v>120</v>
      </c>
      <c r="AC18" s="9" t="s">
        <v>121</v>
      </c>
      <c r="AD18" s="9" t="s">
        <v>122</v>
      </c>
      <c r="AE18" s="9" t="s">
        <v>123</v>
      </c>
      <c r="AF18" s="9" t="s">
        <v>124</v>
      </c>
      <c r="AG18" s="10" t="s">
        <v>125</v>
      </c>
      <c r="AH18" s="9" t="s">
        <v>126</v>
      </c>
      <c r="AI18" s="10" t="s">
        <v>127</v>
      </c>
      <c r="AJ18" s="9" t="s">
        <v>128</v>
      </c>
      <c r="AK18" s="9" t="s">
        <v>129</v>
      </c>
      <c r="AL18" s="10" t="s">
        <v>11</v>
      </c>
      <c r="AN18" s="9" t="s">
        <v>119</v>
      </c>
      <c r="AO18" s="9" t="s">
        <v>120</v>
      </c>
      <c r="AP18" s="9" t="s">
        <v>121</v>
      </c>
      <c r="AQ18" s="9" t="s">
        <v>122</v>
      </c>
      <c r="AR18" s="9" t="s">
        <v>123</v>
      </c>
      <c r="AS18" s="9" t="s">
        <v>124</v>
      </c>
      <c r="AT18" s="10" t="s">
        <v>125</v>
      </c>
      <c r="AU18" s="9" t="s">
        <v>126</v>
      </c>
      <c r="AV18" s="10" t="s">
        <v>127</v>
      </c>
      <c r="AW18" s="9" t="s">
        <v>128</v>
      </c>
      <c r="AX18" s="9" t="s">
        <v>129</v>
      </c>
      <c r="AY18" s="10" t="s">
        <v>11</v>
      </c>
      <c r="AZ18" s="10" t="s">
        <v>130</v>
      </c>
      <c r="BB18" s="9" t="s">
        <v>119</v>
      </c>
      <c r="BC18" s="9" t="s">
        <v>120</v>
      </c>
      <c r="BD18" s="9" t="s">
        <v>121</v>
      </c>
      <c r="BE18" s="9" t="s">
        <v>122</v>
      </c>
      <c r="BF18" s="9" t="s">
        <v>123</v>
      </c>
      <c r="BG18" s="9" t="s">
        <v>124</v>
      </c>
      <c r="BH18" s="10" t="s">
        <v>125</v>
      </c>
      <c r="BI18" s="9" t="s">
        <v>126</v>
      </c>
      <c r="BJ18" s="10" t="s">
        <v>127</v>
      </c>
      <c r="BK18" s="9" t="s">
        <v>128</v>
      </c>
      <c r="BL18" s="9" t="s">
        <v>129</v>
      </c>
      <c r="BM18" s="10" t="s">
        <v>11</v>
      </c>
      <c r="BN18" s="10" t="s">
        <v>130</v>
      </c>
      <c r="BP18" s="9" t="s">
        <v>119</v>
      </c>
      <c r="BQ18" s="9" t="s">
        <v>120</v>
      </c>
      <c r="BR18" s="9" t="s">
        <v>121</v>
      </c>
      <c r="BS18" s="9" t="s">
        <v>122</v>
      </c>
      <c r="BT18" s="9" t="s">
        <v>123</v>
      </c>
      <c r="BU18" s="9" t="s">
        <v>124</v>
      </c>
      <c r="BV18" s="10" t="s">
        <v>125</v>
      </c>
      <c r="BW18" s="9" t="s">
        <v>126</v>
      </c>
      <c r="BX18" s="10" t="s">
        <v>127</v>
      </c>
      <c r="BY18" s="9" t="s">
        <v>128</v>
      </c>
      <c r="BZ18" s="9" t="s">
        <v>129</v>
      </c>
      <c r="CA18" s="10" t="s">
        <v>11</v>
      </c>
      <c r="CB18" s="10" t="s">
        <v>130</v>
      </c>
      <c r="CD18" s="9" t="s">
        <v>119</v>
      </c>
      <c r="CE18" s="9" t="s">
        <v>120</v>
      </c>
      <c r="CF18" s="9" t="s">
        <v>121</v>
      </c>
      <c r="CG18" s="9" t="s">
        <v>122</v>
      </c>
      <c r="CH18" s="9" t="s">
        <v>123</v>
      </c>
      <c r="CI18" s="9" t="s">
        <v>124</v>
      </c>
      <c r="CJ18" s="10" t="s">
        <v>125</v>
      </c>
      <c r="CK18" s="9" t="s">
        <v>126</v>
      </c>
      <c r="CL18" s="10" t="s">
        <v>127</v>
      </c>
      <c r="CM18" s="9" t="s">
        <v>128</v>
      </c>
      <c r="CN18" s="9" t="s">
        <v>129</v>
      </c>
      <c r="CO18" s="10" t="s">
        <v>11</v>
      </c>
      <c r="CP18" s="10" t="s">
        <v>130</v>
      </c>
    </row>
    <row r="19" spans="1:94" ht="15.75" x14ac:dyDescent="0.25">
      <c r="A19" s="11" t="s">
        <v>131</v>
      </c>
      <c r="B19" s="12" t="s">
        <v>132</v>
      </c>
      <c r="C19" s="13">
        <v>3314819409</v>
      </c>
      <c r="D19" s="12"/>
      <c r="E19" s="14" t="s">
        <v>133</v>
      </c>
      <c r="F19" s="12" t="s">
        <v>134</v>
      </c>
      <c r="G19" s="12"/>
      <c r="H19" s="12" t="s">
        <v>135</v>
      </c>
      <c r="I19" s="12">
        <v>232</v>
      </c>
      <c r="J19" s="12" t="s">
        <v>136</v>
      </c>
      <c r="K19" s="12" t="s">
        <v>137</v>
      </c>
      <c r="L19" s="12"/>
      <c r="N19" s="11" t="s">
        <v>138</v>
      </c>
      <c r="O19" s="11" t="s">
        <v>139</v>
      </c>
      <c r="P19" s="15">
        <v>3311488590</v>
      </c>
      <c r="Q19" s="11">
        <v>38135725</v>
      </c>
      <c r="R19" s="16" t="s">
        <v>140</v>
      </c>
      <c r="S19" s="11" t="s">
        <v>141</v>
      </c>
      <c r="T19" s="11"/>
      <c r="U19" s="11" t="s">
        <v>142</v>
      </c>
      <c r="V19" s="11">
        <v>375</v>
      </c>
      <c r="W19" s="11" t="s">
        <v>143</v>
      </c>
      <c r="X19" s="11">
        <v>5</v>
      </c>
      <c r="Y19" s="11"/>
      <c r="AA19" s="11" t="s">
        <v>138</v>
      </c>
      <c r="AB19" s="11" t="s">
        <v>139</v>
      </c>
      <c r="AC19" s="15">
        <v>3311488590</v>
      </c>
      <c r="AD19" s="11">
        <v>38135725</v>
      </c>
      <c r="AE19" s="16" t="s">
        <v>140</v>
      </c>
      <c r="AF19" s="11" t="s">
        <v>141</v>
      </c>
      <c r="AG19" s="11"/>
      <c r="AH19" s="11" t="s">
        <v>142</v>
      </c>
      <c r="AI19" s="11">
        <v>375</v>
      </c>
      <c r="AJ19" s="11" t="s">
        <v>143</v>
      </c>
      <c r="AK19" s="11">
        <v>5</v>
      </c>
      <c r="AL19" s="11"/>
      <c r="AN19" s="11" t="s">
        <v>131</v>
      </c>
      <c r="AO19" s="11" t="s">
        <v>132</v>
      </c>
      <c r="AP19" s="15">
        <v>3314819409</v>
      </c>
      <c r="AQ19" s="11"/>
      <c r="AR19" s="16" t="s">
        <v>133</v>
      </c>
      <c r="AS19" s="11" t="s">
        <v>134</v>
      </c>
      <c r="AT19" s="11"/>
      <c r="AU19" s="11" t="s">
        <v>144</v>
      </c>
      <c r="AV19" s="11">
        <v>232</v>
      </c>
      <c r="AW19" s="11" t="s">
        <v>136</v>
      </c>
      <c r="AX19" s="11" t="s">
        <v>145</v>
      </c>
      <c r="AY19" s="11"/>
      <c r="AZ19" s="11">
        <v>1</v>
      </c>
      <c r="BB19" s="11" t="s">
        <v>138</v>
      </c>
      <c r="BC19" s="11" t="s">
        <v>139</v>
      </c>
      <c r="BD19" s="15">
        <v>3311488590</v>
      </c>
      <c r="BE19" s="11">
        <v>38135725</v>
      </c>
      <c r="BF19" s="16" t="s">
        <v>140</v>
      </c>
      <c r="BG19" s="11" t="s">
        <v>141</v>
      </c>
      <c r="BH19" s="11"/>
      <c r="BI19" s="11" t="s">
        <v>142</v>
      </c>
      <c r="BJ19" s="11">
        <v>375</v>
      </c>
      <c r="BK19" s="11" t="s">
        <v>143</v>
      </c>
      <c r="BL19" s="11">
        <v>5</v>
      </c>
      <c r="BM19" s="11"/>
      <c r="BN19" s="11">
        <v>1</v>
      </c>
      <c r="BP19" s="17" t="s">
        <v>138</v>
      </c>
      <c r="BQ19" s="18" t="s">
        <v>139</v>
      </c>
      <c r="BR19" s="19">
        <v>3311488590</v>
      </c>
      <c r="BS19" s="18">
        <v>38135725</v>
      </c>
      <c r="BT19" s="20" t="s">
        <v>140</v>
      </c>
      <c r="BU19" s="18" t="s">
        <v>141</v>
      </c>
      <c r="BV19" s="18"/>
      <c r="BW19" s="18" t="s">
        <v>142</v>
      </c>
      <c r="BX19" s="18">
        <v>375</v>
      </c>
      <c r="BY19" s="18" t="s">
        <v>143</v>
      </c>
      <c r="BZ19" s="18">
        <v>16</v>
      </c>
      <c r="CA19" s="21"/>
      <c r="CB19" s="11">
        <v>2</v>
      </c>
      <c r="CD19" s="11" t="s">
        <v>131</v>
      </c>
      <c r="CE19" s="11" t="s">
        <v>132</v>
      </c>
      <c r="CF19" s="15">
        <v>3314819409</v>
      </c>
      <c r="CG19" s="11"/>
      <c r="CH19" s="16" t="s">
        <v>133</v>
      </c>
      <c r="CI19" s="11" t="s">
        <v>134</v>
      </c>
      <c r="CJ19" s="11"/>
      <c r="CK19" s="11" t="s">
        <v>144</v>
      </c>
      <c r="CL19" s="11">
        <v>232</v>
      </c>
      <c r="CM19" s="11" t="s">
        <v>136</v>
      </c>
      <c r="CN19" s="11" t="s">
        <v>146</v>
      </c>
      <c r="CO19" s="11"/>
      <c r="CP19" s="11">
        <v>4</v>
      </c>
    </row>
    <row r="20" spans="1:94" ht="15.75" x14ac:dyDescent="0.25">
      <c r="A20" s="11" t="s">
        <v>147</v>
      </c>
      <c r="B20" s="11" t="s">
        <v>148</v>
      </c>
      <c r="C20" s="15">
        <v>3315337212</v>
      </c>
      <c r="D20" s="11"/>
      <c r="E20" s="11" t="s">
        <v>149</v>
      </c>
      <c r="F20" s="11" t="s">
        <v>150</v>
      </c>
      <c r="G20" s="11"/>
      <c r="H20" s="11" t="s">
        <v>142</v>
      </c>
      <c r="I20" s="11">
        <v>187.5</v>
      </c>
      <c r="J20" s="11" t="s">
        <v>136</v>
      </c>
      <c r="K20" s="11" t="s">
        <v>151</v>
      </c>
      <c r="L20" s="11"/>
      <c r="N20" s="11" t="s">
        <v>147</v>
      </c>
      <c r="O20" s="11" t="s">
        <v>148</v>
      </c>
      <c r="P20" s="15">
        <v>3315337212</v>
      </c>
      <c r="Q20" s="11"/>
      <c r="R20" s="11" t="s">
        <v>149</v>
      </c>
      <c r="S20" s="11" t="s">
        <v>150</v>
      </c>
      <c r="T20" s="11"/>
      <c r="U20" s="11" t="s">
        <v>142</v>
      </c>
      <c r="V20" s="11">
        <v>187.5</v>
      </c>
      <c r="W20" s="11" t="s">
        <v>136</v>
      </c>
      <c r="X20" s="11" t="s">
        <v>151</v>
      </c>
      <c r="Y20" s="11"/>
      <c r="AA20" s="11" t="s">
        <v>131</v>
      </c>
      <c r="AB20" s="11" t="s">
        <v>132</v>
      </c>
      <c r="AC20" s="15">
        <v>3314819409</v>
      </c>
      <c r="AD20" s="11"/>
      <c r="AE20" s="16" t="s">
        <v>133</v>
      </c>
      <c r="AF20" s="11" t="s">
        <v>134</v>
      </c>
      <c r="AG20" s="11"/>
      <c r="AH20" s="11" t="s">
        <v>142</v>
      </c>
      <c r="AI20" s="11">
        <v>200</v>
      </c>
      <c r="AJ20" s="11" t="s">
        <v>136</v>
      </c>
      <c r="AK20" s="11">
        <v>23</v>
      </c>
      <c r="AL20" s="11"/>
      <c r="AN20" s="11" t="s">
        <v>147</v>
      </c>
      <c r="AO20" s="11" t="s">
        <v>148</v>
      </c>
      <c r="AP20" s="15">
        <v>3315337212</v>
      </c>
      <c r="AQ20" s="11"/>
      <c r="AR20" s="11" t="s">
        <v>149</v>
      </c>
      <c r="AS20" s="11" t="s">
        <v>150</v>
      </c>
      <c r="AT20" s="11"/>
      <c r="AU20" s="11" t="s">
        <v>142</v>
      </c>
      <c r="AV20" s="11">
        <v>187.5</v>
      </c>
      <c r="AW20" s="11" t="s">
        <v>136</v>
      </c>
      <c r="AX20" s="11" t="s">
        <v>152</v>
      </c>
      <c r="AY20" s="11"/>
      <c r="AZ20" s="11">
        <v>1</v>
      </c>
      <c r="BB20" s="11" t="s">
        <v>131</v>
      </c>
      <c r="BC20" s="11" t="s">
        <v>132</v>
      </c>
      <c r="BD20" s="15">
        <v>3314819409</v>
      </c>
      <c r="BE20" s="11"/>
      <c r="BF20" s="16" t="s">
        <v>133</v>
      </c>
      <c r="BG20" s="11" t="s">
        <v>134</v>
      </c>
      <c r="BH20" s="11"/>
      <c r="BI20" s="11" t="s">
        <v>135</v>
      </c>
      <c r="BJ20" s="11">
        <v>232</v>
      </c>
      <c r="BK20" s="11" t="s">
        <v>136</v>
      </c>
      <c r="BL20" s="11" t="s">
        <v>153</v>
      </c>
      <c r="BM20" s="11"/>
      <c r="BN20" s="11">
        <v>2</v>
      </c>
      <c r="BP20" s="11" t="s">
        <v>131</v>
      </c>
      <c r="BQ20" s="11" t="s">
        <v>132</v>
      </c>
      <c r="BR20" s="15">
        <v>3314819409</v>
      </c>
      <c r="BS20" s="11"/>
      <c r="BT20" s="16" t="s">
        <v>133</v>
      </c>
      <c r="BU20" s="11" t="s">
        <v>134</v>
      </c>
      <c r="BV20" s="11"/>
      <c r="BW20" s="11" t="s">
        <v>135</v>
      </c>
      <c r="BX20" s="11">
        <v>232</v>
      </c>
      <c r="BY20" s="11" t="s">
        <v>136</v>
      </c>
      <c r="BZ20" s="11" t="s">
        <v>154</v>
      </c>
      <c r="CA20" s="11"/>
      <c r="CB20" s="11">
        <v>3</v>
      </c>
      <c r="CD20" s="11" t="s">
        <v>155</v>
      </c>
      <c r="CE20" s="11" t="s">
        <v>155</v>
      </c>
      <c r="CF20" s="15">
        <v>3314174876</v>
      </c>
      <c r="CG20" s="11"/>
      <c r="CH20" s="16" t="s">
        <v>156</v>
      </c>
      <c r="CI20" s="11" t="s">
        <v>157</v>
      </c>
      <c r="CJ20" s="11"/>
      <c r="CK20" s="11" t="s">
        <v>142</v>
      </c>
      <c r="CL20" s="11">
        <v>187.5</v>
      </c>
      <c r="CM20" s="11" t="s">
        <v>136</v>
      </c>
      <c r="CN20" s="11" t="s">
        <v>158</v>
      </c>
      <c r="CO20" s="11"/>
      <c r="CP20" s="11">
        <v>4</v>
      </c>
    </row>
    <row r="21" spans="1:94" ht="15.75" x14ac:dyDescent="0.25">
      <c r="A21" s="11" t="s">
        <v>159</v>
      </c>
      <c r="B21" s="11" t="s">
        <v>159</v>
      </c>
      <c r="C21" s="15">
        <v>3335591738</v>
      </c>
      <c r="D21" s="11"/>
      <c r="E21" s="16" t="s">
        <v>160</v>
      </c>
      <c r="F21" s="11" t="s">
        <v>161</v>
      </c>
      <c r="G21" s="11"/>
      <c r="H21" s="11" t="s">
        <v>142</v>
      </c>
      <c r="I21" s="11">
        <v>200</v>
      </c>
      <c r="J21" s="11" t="s">
        <v>136</v>
      </c>
      <c r="K21" s="11" t="s">
        <v>162</v>
      </c>
      <c r="L21" s="11"/>
      <c r="N21" s="11" t="s">
        <v>159</v>
      </c>
      <c r="O21" s="11" t="s">
        <v>159</v>
      </c>
      <c r="P21" s="15">
        <v>3335591738</v>
      </c>
      <c r="Q21" s="11"/>
      <c r="R21" s="16" t="s">
        <v>160</v>
      </c>
      <c r="S21" s="11" t="s">
        <v>161</v>
      </c>
      <c r="T21" s="11"/>
      <c r="U21" s="11" t="s">
        <v>142</v>
      </c>
      <c r="V21" s="11">
        <v>200</v>
      </c>
      <c r="W21" s="11" t="s">
        <v>136</v>
      </c>
      <c r="X21" s="11" t="s">
        <v>162</v>
      </c>
      <c r="Y21" s="11"/>
      <c r="AA21" s="11" t="s">
        <v>147</v>
      </c>
      <c r="AB21" s="11" t="s">
        <v>148</v>
      </c>
      <c r="AC21" s="15">
        <v>3315337212</v>
      </c>
      <c r="AD21" s="11"/>
      <c r="AE21" s="11" t="s">
        <v>149</v>
      </c>
      <c r="AF21" s="11" t="s">
        <v>150</v>
      </c>
      <c r="AG21" s="11"/>
      <c r="AH21" s="11" t="s">
        <v>142</v>
      </c>
      <c r="AI21" s="11">
        <v>187.5</v>
      </c>
      <c r="AJ21" s="11" t="s">
        <v>136</v>
      </c>
      <c r="AK21" s="11" t="s">
        <v>151</v>
      </c>
      <c r="AL21" s="11"/>
      <c r="AN21" s="11" t="s">
        <v>159</v>
      </c>
      <c r="AO21" s="11" t="s">
        <v>159</v>
      </c>
      <c r="AP21" s="15">
        <v>3335591738</v>
      </c>
      <c r="AQ21" s="11"/>
      <c r="AR21" s="16" t="s">
        <v>160</v>
      </c>
      <c r="AS21" s="11" t="s">
        <v>161</v>
      </c>
      <c r="AT21" s="11"/>
      <c r="AU21" s="11" t="s">
        <v>142</v>
      </c>
      <c r="AV21" s="11">
        <v>100</v>
      </c>
      <c r="AW21" s="11" t="s">
        <v>136</v>
      </c>
      <c r="AX21" s="11" t="s">
        <v>163</v>
      </c>
      <c r="AY21" s="11"/>
      <c r="AZ21" s="11">
        <v>1</v>
      </c>
      <c r="BB21" s="11" t="s">
        <v>155</v>
      </c>
      <c r="BC21" s="11" t="s">
        <v>155</v>
      </c>
      <c r="BD21" s="15">
        <v>3314174876</v>
      </c>
      <c r="BE21" s="11"/>
      <c r="BF21" s="16" t="s">
        <v>156</v>
      </c>
      <c r="BG21" s="11" t="s">
        <v>157</v>
      </c>
      <c r="BH21" s="11"/>
      <c r="BI21" s="11" t="s">
        <v>142</v>
      </c>
      <c r="BJ21" s="11">
        <v>187.5</v>
      </c>
      <c r="BK21" s="11" t="s">
        <v>136</v>
      </c>
      <c r="BL21" s="11" t="s">
        <v>164</v>
      </c>
      <c r="BM21" s="11"/>
      <c r="BN21" s="11">
        <v>2</v>
      </c>
      <c r="BP21" s="11" t="s">
        <v>147</v>
      </c>
      <c r="BQ21" s="11" t="s">
        <v>148</v>
      </c>
      <c r="BR21" s="15">
        <v>3315337212</v>
      </c>
      <c r="BS21" s="11"/>
      <c r="BT21" s="11" t="s">
        <v>149</v>
      </c>
      <c r="BU21" s="11" t="s">
        <v>150</v>
      </c>
      <c r="BV21" s="11"/>
      <c r="BW21" s="11" t="s">
        <v>142</v>
      </c>
      <c r="BX21" s="11">
        <v>190</v>
      </c>
      <c r="BY21" s="11" t="s">
        <v>136</v>
      </c>
      <c r="BZ21" s="11" t="s">
        <v>165</v>
      </c>
      <c r="CA21" s="11"/>
      <c r="CB21" s="11">
        <v>2</v>
      </c>
      <c r="CD21" s="11" t="s">
        <v>166</v>
      </c>
      <c r="CE21" s="11" t="s">
        <v>167</v>
      </c>
      <c r="CF21" s="15">
        <v>3338210776</v>
      </c>
      <c r="CG21" s="11"/>
      <c r="CH21" s="16" t="s">
        <v>168</v>
      </c>
      <c r="CI21" s="11" t="s">
        <v>169</v>
      </c>
      <c r="CJ21" s="11"/>
      <c r="CK21" s="11" t="s">
        <v>142</v>
      </c>
      <c r="CL21" s="11">
        <v>187.5</v>
      </c>
      <c r="CM21" s="11" t="s">
        <v>136</v>
      </c>
      <c r="CN21" s="11" t="s">
        <v>170</v>
      </c>
      <c r="CO21" s="11"/>
      <c r="CP21" s="11">
        <v>4</v>
      </c>
    </row>
    <row r="22" spans="1:94" ht="15.75" x14ac:dyDescent="0.25">
      <c r="A22" s="11" t="s">
        <v>155</v>
      </c>
      <c r="B22" s="11" t="s">
        <v>155</v>
      </c>
      <c r="C22" s="15">
        <v>3314174876</v>
      </c>
      <c r="D22" s="11"/>
      <c r="E22" s="16" t="s">
        <v>156</v>
      </c>
      <c r="F22" s="11" t="s">
        <v>157</v>
      </c>
      <c r="G22" s="11"/>
      <c r="H22" s="11" t="s">
        <v>142</v>
      </c>
      <c r="I22" s="11">
        <v>187.5</v>
      </c>
      <c r="J22" s="11" t="s">
        <v>136</v>
      </c>
      <c r="K22" s="11" t="s">
        <v>158</v>
      </c>
      <c r="L22" s="11"/>
      <c r="N22" s="11" t="s">
        <v>155</v>
      </c>
      <c r="O22" s="11" t="s">
        <v>155</v>
      </c>
      <c r="P22" s="15">
        <v>3314174876</v>
      </c>
      <c r="Q22" s="11"/>
      <c r="R22" s="16" t="s">
        <v>156</v>
      </c>
      <c r="S22" s="11" t="s">
        <v>157</v>
      </c>
      <c r="T22" s="11"/>
      <c r="U22" s="11" t="s">
        <v>142</v>
      </c>
      <c r="V22" s="11">
        <v>187.5</v>
      </c>
      <c r="W22" s="11" t="s">
        <v>136</v>
      </c>
      <c r="X22" s="11" t="s">
        <v>171</v>
      </c>
      <c r="Y22" s="11"/>
      <c r="AA22" s="11" t="s">
        <v>159</v>
      </c>
      <c r="AB22" s="11" t="s">
        <v>159</v>
      </c>
      <c r="AC22" s="15">
        <v>3335591738</v>
      </c>
      <c r="AD22" s="11"/>
      <c r="AE22" s="16" t="s">
        <v>160</v>
      </c>
      <c r="AF22" s="11" t="s">
        <v>161</v>
      </c>
      <c r="AG22" s="11"/>
      <c r="AH22" s="11" t="s">
        <v>142</v>
      </c>
      <c r="AI22" s="11">
        <v>100</v>
      </c>
      <c r="AJ22" s="11" t="s">
        <v>136</v>
      </c>
      <c r="AK22" s="11" t="s">
        <v>162</v>
      </c>
      <c r="AL22" s="11"/>
      <c r="AN22" s="11" t="s">
        <v>155</v>
      </c>
      <c r="AO22" s="11" t="s">
        <v>155</v>
      </c>
      <c r="AP22" s="15">
        <v>3314174876</v>
      </c>
      <c r="AQ22" s="11"/>
      <c r="AR22" s="16" t="s">
        <v>156</v>
      </c>
      <c r="AS22" s="11" t="s">
        <v>157</v>
      </c>
      <c r="AT22" s="11"/>
      <c r="AU22" s="11" t="s">
        <v>142</v>
      </c>
      <c r="AV22" s="11">
        <v>187.5</v>
      </c>
      <c r="AW22" s="11" t="s">
        <v>136</v>
      </c>
      <c r="AX22" s="11" t="s">
        <v>164</v>
      </c>
      <c r="AY22" s="11"/>
      <c r="AZ22" s="11">
        <v>1</v>
      </c>
      <c r="BB22" s="11" t="s">
        <v>172</v>
      </c>
      <c r="BC22" s="11" t="s">
        <v>173</v>
      </c>
      <c r="BD22" s="15">
        <v>3314177243</v>
      </c>
      <c r="BE22" s="11"/>
      <c r="BF22" s="16" t="s">
        <v>174</v>
      </c>
      <c r="BG22" s="11"/>
      <c r="BH22" s="11"/>
      <c r="BI22" s="11" t="s">
        <v>142</v>
      </c>
      <c r="BJ22" s="11">
        <v>200</v>
      </c>
      <c r="BK22" s="11" t="s">
        <v>136</v>
      </c>
      <c r="BL22" s="11" t="s">
        <v>175</v>
      </c>
      <c r="BM22" s="11"/>
      <c r="BN22" s="11">
        <v>2</v>
      </c>
      <c r="BP22" s="11" t="s">
        <v>155</v>
      </c>
      <c r="BQ22" s="11" t="s">
        <v>155</v>
      </c>
      <c r="BR22" s="15">
        <v>3314174876</v>
      </c>
      <c r="BS22" s="11"/>
      <c r="BT22" s="16" t="s">
        <v>156</v>
      </c>
      <c r="BU22" s="11" t="s">
        <v>157</v>
      </c>
      <c r="BV22" s="11"/>
      <c r="BW22" s="11" t="s">
        <v>142</v>
      </c>
      <c r="BX22" s="11">
        <v>187.5</v>
      </c>
      <c r="BY22" s="11" t="s">
        <v>136</v>
      </c>
      <c r="BZ22" s="11" t="s">
        <v>164</v>
      </c>
      <c r="CA22" s="11"/>
      <c r="CB22" s="11">
        <v>3</v>
      </c>
      <c r="CD22" s="11" t="s">
        <v>176</v>
      </c>
      <c r="CE22" s="11" t="s">
        <v>177</v>
      </c>
      <c r="CF22" s="15">
        <v>3311424137</v>
      </c>
      <c r="CG22" s="11">
        <v>36159547</v>
      </c>
      <c r="CH22" s="16" t="s">
        <v>178</v>
      </c>
      <c r="CI22" s="11" t="s">
        <v>179</v>
      </c>
      <c r="CJ22" s="11"/>
      <c r="CK22" s="11" t="s">
        <v>142</v>
      </c>
      <c r="CL22" s="11">
        <v>200</v>
      </c>
      <c r="CM22" s="11" t="s">
        <v>136</v>
      </c>
      <c r="CN22" s="11" t="s">
        <v>180</v>
      </c>
      <c r="CO22" s="11"/>
      <c r="CP22" s="11">
        <v>4</v>
      </c>
    </row>
    <row r="23" spans="1:94" ht="15.75" x14ac:dyDescent="0.25">
      <c r="A23" s="11" t="s">
        <v>172</v>
      </c>
      <c r="B23" s="11" t="s">
        <v>173</v>
      </c>
      <c r="C23" s="15">
        <v>3314117724</v>
      </c>
      <c r="D23" s="11"/>
      <c r="E23" s="16" t="s">
        <v>174</v>
      </c>
      <c r="F23" s="11"/>
      <c r="G23" s="11"/>
      <c r="H23" s="11" t="s">
        <v>142</v>
      </c>
      <c r="I23" s="11">
        <v>200</v>
      </c>
      <c r="J23" s="11" t="s">
        <v>136</v>
      </c>
      <c r="K23" s="11" t="s">
        <v>181</v>
      </c>
      <c r="L23" s="11"/>
      <c r="N23" s="11" t="s">
        <v>182</v>
      </c>
      <c r="O23" s="11" t="s">
        <v>183</v>
      </c>
      <c r="P23" s="15">
        <v>3314872679</v>
      </c>
      <c r="Q23" s="11"/>
      <c r="R23" s="11" t="s">
        <v>184</v>
      </c>
      <c r="S23" s="11" t="s">
        <v>185</v>
      </c>
      <c r="T23" s="11"/>
      <c r="U23" s="11" t="s">
        <v>186</v>
      </c>
      <c r="V23" s="11">
        <v>0</v>
      </c>
      <c r="W23" s="11" t="s">
        <v>136</v>
      </c>
      <c r="X23" s="11" t="s">
        <v>187</v>
      </c>
      <c r="Y23" s="11"/>
      <c r="AA23" s="11" t="s">
        <v>155</v>
      </c>
      <c r="AB23" s="11" t="s">
        <v>155</v>
      </c>
      <c r="AC23" s="15">
        <v>3314174876</v>
      </c>
      <c r="AD23" s="11"/>
      <c r="AE23" s="16" t="s">
        <v>156</v>
      </c>
      <c r="AF23" s="11" t="s">
        <v>157</v>
      </c>
      <c r="AG23" s="11"/>
      <c r="AH23" s="11" t="s">
        <v>142</v>
      </c>
      <c r="AI23" s="11">
        <v>187.5</v>
      </c>
      <c r="AJ23" s="11" t="s">
        <v>136</v>
      </c>
      <c r="AK23" s="11" t="s">
        <v>171</v>
      </c>
      <c r="AL23" s="11"/>
      <c r="AN23" s="11" t="s">
        <v>172</v>
      </c>
      <c r="AO23" s="11" t="s">
        <v>173</v>
      </c>
      <c r="AP23" s="15">
        <v>3314177243</v>
      </c>
      <c r="AQ23" s="11"/>
      <c r="AR23" s="16" t="s">
        <v>174</v>
      </c>
      <c r="AS23" s="11"/>
      <c r="AT23" s="11"/>
      <c r="AU23" s="11" t="s">
        <v>142</v>
      </c>
      <c r="AV23" s="11">
        <v>200</v>
      </c>
      <c r="AW23" s="11" t="s">
        <v>136</v>
      </c>
      <c r="AX23" s="11" t="s">
        <v>188</v>
      </c>
      <c r="AY23" s="11"/>
      <c r="AZ23" s="11">
        <v>1</v>
      </c>
      <c r="BB23" s="11" t="s">
        <v>189</v>
      </c>
      <c r="BC23" s="11" t="s">
        <v>189</v>
      </c>
      <c r="BD23" s="15">
        <v>3317711276</v>
      </c>
      <c r="BE23" s="11"/>
      <c r="BF23" s="11" t="s">
        <v>190</v>
      </c>
      <c r="BG23" s="11" t="s">
        <v>191</v>
      </c>
      <c r="BH23" s="11"/>
      <c r="BI23" s="11" t="s">
        <v>142</v>
      </c>
      <c r="BJ23" s="11">
        <v>200</v>
      </c>
      <c r="BK23" s="11" t="s">
        <v>136</v>
      </c>
      <c r="BL23" s="11" t="s">
        <v>192</v>
      </c>
      <c r="BM23" s="11"/>
      <c r="BN23" s="11">
        <v>2</v>
      </c>
      <c r="BP23" s="11" t="s">
        <v>172</v>
      </c>
      <c r="BQ23" s="11" t="s">
        <v>173</v>
      </c>
      <c r="BR23" s="15">
        <v>3314177243</v>
      </c>
      <c r="BS23" s="11"/>
      <c r="BT23" s="16" t="s">
        <v>174</v>
      </c>
      <c r="BU23" s="11"/>
      <c r="BV23" s="11"/>
      <c r="BW23" s="11" t="s">
        <v>142</v>
      </c>
      <c r="BX23" s="11">
        <v>200</v>
      </c>
      <c r="BY23" s="11" t="s">
        <v>136</v>
      </c>
      <c r="BZ23" s="11" t="s">
        <v>193</v>
      </c>
      <c r="CA23" s="11"/>
      <c r="CB23" s="11">
        <v>3</v>
      </c>
      <c r="CD23" s="11" t="s">
        <v>194</v>
      </c>
      <c r="CE23" s="11" t="s">
        <v>195</v>
      </c>
      <c r="CF23" s="15">
        <v>3339559274</v>
      </c>
      <c r="CG23" s="11"/>
      <c r="CH23" s="16" t="s">
        <v>196</v>
      </c>
      <c r="CI23" s="11" t="s">
        <v>197</v>
      </c>
      <c r="CJ23" s="11"/>
      <c r="CK23" s="11" t="s">
        <v>142</v>
      </c>
      <c r="CL23" s="11">
        <v>187.5</v>
      </c>
      <c r="CM23" s="11" t="s">
        <v>136</v>
      </c>
      <c r="CN23" s="11" t="s">
        <v>198</v>
      </c>
      <c r="CO23" s="11"/>
      <c r="CP23" s="11">
        <v>4</v>
      </c>
    </row>
    <row r="24" spans="1:94" ht="15.75" x14ac:dyDescent="0.25">
      <c r="A24" s="11" t="s">
        <v>182</v>
      </c>
      <c r="B24" s="11" t="s">
        <v>183</v>
      </c>
      <c r="C24" s="15">
        <v>3314872679</v>
      </c>
      <c r="D24" s="11"/>
      <c r="E24" s="11" t="s">
        <v>184</v>
      </c>
      <c r="F24" s="11" t="s">
        <v>185</v>
      </c>
      <c r="G24" s="11"/>
      <c r="H24" s="11" t="s">
        <v>186</v>
      </c>
      <c r="I24" s="11">
        <v>0</v>
      </c>
      <c r="J24" s="11" t="s">
        <v>136</v>
      </c>
      <c r="K24" s="11" t="s">
        <v>187</v>
      </c>
      <c r="L24" s="11"/>
      <c r="N24" s="22" t="s">
        <v>199</v>
      </c>
      <c r="O24" s="11" t="s">
        <v>200</v>
      </c>
      <c r="P24" s="15">
        <v>3331294429</v>
      </c>
      <c r="Q24" s="11"/>
      <c r="R24" s="23" t="s">
        <v>201</v>
      </c>
      <c r="S24" s="11" t="s">
        <v>202</v>
      </c>
      <c r="T24" s="11" t="s">
        <v>203</v>
      </c>
      <c r="U24" s="11" t="s">
        <v>204</v>
      </c>
      <c r="V24" s="11">
        <v>200</v>
      </c>
      <c r="W24" s="11" t="s">
        <v>136</v>
      </c>
      <c r="X24" s="11" t="s">
        <v>192</v>
      </c>
      <c r="Y24" s="11"/>
      <c r="AA24" s="11" t="s">
        <v>189</v>
      </c>
      <c r="AB24" s="11" t="s">
        <v>189</v>
      </c>
      <c r="AC24" s="15">
        <v>3317711276</v>
      </c>
      <c r="AD24" s="11"/>
      <c r="AE24" s="11" t="s">
        <v>190</v>
      </c>
      <c r="AF24" s="11" t="s">
        <v>191</v>
      </c>
      <c r="AG24" s="11"/>
      <c r="AH24" s="11" t="s">
        <v>142</v>
      </c>
      <c r="AI24" s="11">
        <v>200</v>
      </c>
      <c r="AJ24" s="11" t="s">
        <v>136</v>
      </c>
      <c r="AK24" s="11" t="s">
        <v>192</v>
      </c>
      <c r="AL24" s="11"/>
      <c r="AN24" s="11" t="s">
        <v>189</v>
      </c>
      <c r="AO24" s="11" t="s">
        <v>189</v>
      </c>
      <c r="AP24" s="15">
        <v>3317711276</v>
      </c>
      <c r="AQ24" s="11"/>
      <c r="AR24" s="11" t="s">
        <v>190</v>
      </c>
      <c r="AS24" s="11" t="s">
        <v>191</v>
      </c>
      <c r="AT24" s="11"/>
      <c r="AU24" s="11" t="s">
        <v>142</v>
      </c>
      <c r="AV24" s="11">
        <v>200</v>
      </c>
      <c r="AW24" s="11" t="s">
        <v>136</v>
      </c>
      <c r="AX24" s="11" t="s">
        <v>205</v>
      </c>
      <c r="AY24" s="11"/>
      <c r="AZ24" s="11">
        <v>1</v>
      </c>
      <c r="BB24" s="11" t="s">
        <v>182</v>
      </c>
      <c r="BC24" s="11" t="s">
        <v>183</v>
      </c>
      <c r="BD24" s="15">
        <v>3314872679</v>
      </c>
      <c r="BE24" s="11"/>
      <c r="BF24" s="11" t="s">
        <v>184</v>
      </c>
      <c r="BG24" s="11" t="s">
        <v>185</v>
      </c>
      <c r="BH24" s="11"/>
      <c r="BI24" s="11" t="s">
        <v>186</v>
      </c>
      <c r="BJ24" s="11">
        <v>0</v>
      </c>
      <c r="BK24" s="11" t="s">
        <v>136</v>
      </c>
      <c r="BL24" s="11" t="s">
        <v>151</v>
      </c>
      <c r="BM24" s="11"/>
      <c r="BN24" s="11">
        <v>2</v>
      </c>
      <c r="BP24" s="11" t="s">
        <v>189</v>
      </c>
      <c r="BQ24" s="11" t="s">
        <v>189</v>
      </c>
      <c r="BR24" s="15">
        <v>3317711276</v>
      </c>
      <c r="BS24" s="11"/>
      <c r="BT24" s="11" t="s">
        <v>190</v>
      </c>
      <c r="BU24" s="11" t="s">
        <v>191</v>
      </c>
      <c r="BV24" s="11"/>
      <c r="BW24" s="11" t="s">
        <v>142</v>
      </c>
      <c r="BX24" s="11">
        <v>200</v>
      </c>
      <c r="BY24" s="11" t="s">
        <v>136</v>
      </c>
      <c r="BZ24" s="11" t="s">
        <v>192</v>
      </c>
      <c r="CA24" s="11"/>
      <c r="CB24" s="11">
        <v>3</v>
      </c>
      <c r="CD24" s="11" t="s">
        <v>206</v>
      </c>
      <c r="CE24" s="11" t="s">
        <v>207</v>
      </c>
      <c r="CF24" s="15">
        <v>3312148735</v>
      </c>
      <c r="CG24" s="11">
        <v>18160501</v>
      </c>
      <c r="CH24" s="16" t="s">
        <v>208</v>
      </c>
      <c r="CI24" s="11" t="s">
        <v>209</v>
      </c>
      <c r="CJ24" s="11"/>
      <c r="CK24" s="11" t="s">
        <v>142</v>
      </c>
      <c r="CL24" s="11">
        <v>200</v>
      </c>
      <c r="CM24" s="11" t="s">
        <v>210</v>
      </c>
      <c r="CN24" s="11"/>
      <c r="CO24" s="11"/>
      <c r="CP24" s="11">
        <v>0</v>
      </c>
    </row>
    <row r="25" spans="1:94" ht="15.75" x14ac:dyDescent="0.25">
      <c r="A25" s="11" t="s">
        <v>166</v>
      </c>
      <c r="B25" s="11" t="s">
        <v>167</v>
      </c>
      <c r="C25" s="15">
        <v>3338210776</v>
      </c>
      <c r="D25" s="11"/>
      <c r="E25" s="16" t="s">
        <v>168</v>
      </c>
      <c r="F25" s="11" t="s">
        <v>211</v>
      </c>
      <c r="G25" s="11"/>
      <c r="H25" s="11" t="s">
        <v>142</v>
      </c>
      <c r="I25" s="11">
        <v>187.5</v>
      </c>
      <c r="J25" s="11" t="s">
        <v>136</v>
      </c>
      <c r="K25" s="11" t="s">
        <v>170</v>
      </c>
      <c r="L25" s="11"/>
      <c r="N25" s="11" t="s">
        <v>166</v>
      </c>
      <c r="O25" s="11" t="s">
        <v>167</v>
      </c>
      <c r="P25" s="15">
        <v>3338210776</v>
      </c>
      <c r="Q25" s="11"/>
      <c r="R25" s="16" t="s">
        <v>168</v>
      </c>
      <c r="S25" s="11" t="s">
        <v>211</v>
      </c>
      <c r="T25" s="11"/>
      <c r="U25" s="11" t="s">
        <v>142</v>
      </c>
      <c r="V25" s="11">
        <v>187.5</v>
      </c>
      <c r="W25" s="11" t="s">
        <v>136</v>
      </c>
      <c r="X25" s="11" t="s">
        <v>170</v>
      </c>
      <c r="Y25" s="11"/>
      <c r="AA25" s="11" t="s">
        <v>182</v>
      </c>
      <c r="AB25" s="11" t="s">
        <v>183</v>
      </c>
      <c r="AC25" s="15">
        <v>3314872679</v>
      </c>
      <c r="AD25" s="11"/>
      <c r="AE25" s="11" t="s">
        <v>184</v>
      </c>
      <c r="AF25" s="11" t="s">
        <v>185</v>
      </c>
      <c r="AG25" s="11"/>
      <c r="AH25" s="11" t="s">
        <v>142</v>
      </c>
      <c r="AI25" s="11">
        <v>0</v>
      </c>
      <c r="AJ25" s="11" t="s">
        <v>136</v>
      </c>
      <c r="AK25" s="11" t="s">
        <v>152</v>
      </c>
      <c r="AL25" s="11"/>
      <c r="AN25" s="11" t="s">
        <v>182</v>
      </c>
      <c r="AO25" s="11" t="s">
        <v>183</v>
      </c>
      <c r="AP25" s="15">
        <v>3314872679</v>
      </c>
      <c r="AQ25" s="11"/>
      <c r="AR25" s="11" t="s">
        <v>184</v>
      </c>
      <c r="AS25" s="11" t="s">
        <v>185</v>
      </c>
      <c r="AT25" s="11"/>
      <c r="AU25" s="11" t="s">
        <v>186</v>
      </c>
      <c r="AV25" s="11">
        <v>0</v>
      </c>
      <c r="AW25" s="11" t="s">
        <v>136</v>
      </c>
      <c r="AX25" s="11" t="s">
        <v>151</v>
      </c>
      <c r="AY25" s="11"/>
      <c r="AZ25" s="11">
        <v>1</v>
      </c>
      <c r="BB25" s="11" t="s">
        <v>166</v>
      </c>
      <c r="BC25" s="11" t="s">
        <v>167</v>
      </c>
      <c r="BD25" s="15">
        <v>3338210776</v>
      </c>
      <c r="BE25" s="11"/>
      <c r="BF25" s="16" t="s">
        <v>168</v>
      </c>
      <c r="BG25" s="11" t="s">
        <v>169</v>
      </c>
      <c r="BH25" s="11"/>
      <c r="BI25" s="11" t="s">
        <v>142</v>
      </c>
      <c r="BJ25" s="11">
        <v>187.5</v>
      </c>
      <c r="BK25" s="11" t="s">
        <v>136</v>
      </c>
      <c r="BL25" s="11" t="s">
        <v>170</v>
      </c>
      <c r="BM25" s="11"/>
      <c r="BN25" s="11">
        <v>2</v>
      </c>
      <c r="BP25" s="11" t="s">
        <v>199</v>
      </c>
      <c r="BQ25" s="11" t="s">
        <v>200</v>
      </c>
      <c r="BR25" s="15">
        <v>3331294429</v>
      </c>
      <c r="BS25" s="11"/>
      <c r="BT25" s="16" t="s">
        <v>201</v>
      </c>
      <c r="BU25" s="11" t="s">
        <v>202</v>
      </c>
      <c r="BV25" s="11"/>
      <c r="BW25" s="11" t="s">
        <v>212</v>
      </c>
      <c r="BX25" s="11">
        <v>250</v>
      </c>
      <c r="BY25" s="11" t="s">
        <v>136</v>
      </c>
      <c r="BZ25" s="11" t="s">
        <v>213</v>
      </c>
      <c r="CA25" s="11"/>
      <c r="CB25" s="11">
        <v>1</v>
      </c>
      <c r="CD25" s="22" t="s">
        <v>214</v>
      </c>
      <c r="CE25" s="11" t="s">
        <v>215</v>
      </c>
      <c r="CF25" s="15">
        <v>3310932686</v>
      </c>
      <c r="CG25" s="11"/>
      <c r="CH25" s="16" t="s">
        <v>216</v>
      </c>
      <c r="CI25" s="11" t="s">
        <v>217</v>
      </c>
      <c r="CJ25" s="11" t="s">
        <v>203</v>
      </c>
      <c r="CK25" s="11" t="s">
        <v>142</v>
      </c>
      <c r="CL25" s="11">
        <v>187.5</v>
      </c>
      <c r="CM25" s="11" t="s">
        <v>136</v>
      </c>
      <c r="CN25" s="11" t="s">
        <v>218</v>
      </c>
      <c r="CO25" s="11"/>
      <c r="CP25" s="11">
        <v>4</v>
      </c>
    </row>
    <row r="26" spans="1:94" ht="15.75" x14ac:dyDescent="0.25">
      <c r="A26" s="11" t="s">
        <v>219</v>
      </c>
      <c r="B26" s="12" t="s">
        <v>219</v>
      </c>
      <c r="C26" s="13">
        <v>3331979100</v>
      </c>
      <c r="D26" s="12"/>
      <c r="E26" s="23" t="s">
        <v>220</v>
      </c>
      <c r="F26" s="11" t="s">
        <v>221</v>
      </c>
      <c r="G26" s="12"/>
      <c r="H26" s="12" t="s">
        <v>142</v>
      </c>
      <c r="I26" s="12">
        <v>200</v>
      </c>
      <c r="J26" s="12" t="s">
        <v>136</v>
      </c>
      <c r="K26" s="12" t="s">
        <v>222</v>
      </c>
      <c r="L26" s="12"/>
      <c r="N26" s="11" t="s">
        <v>223</v>
      </c>
      <c r="O26" s="11" t="s">
        <v>224</v>
      </c>
      <c r="P26" s="15">
        <v>3310508101</v>
      </c>
      <c r="Q26" s="11"/>
      <c r="R26" s="23" t="s">
        <v>225</v>
      </c>
      <c r="S26" s="11" t="s">
        <v>226</v>
      </c>
      <c r="T26" s="11" t="s">
        <v>203</v>
      </c>
      <c r="U26" s="11"/>
      <c r="V26" s="11"/>
      <c r="W26" s="11"/>
      <c r="X26" s="11">
        <v>2</v>
      </c>
      <c r="Y26" s="11"/>
      <c r="AA26" s="11" t="s">
        <v>166</v>
      </c>
      <c r="AB26" s="11" t="s">
        <v>167</v>
      </c>
      <c r="AC26" s="15">
        <v>3338210776</v>
      </c>
      <c r="AD26" s="11"/>
      <c r="AE26" s="16" t="s">
        <v>168</v>
      </c>
      <c r="AF26" s="11" t="s">
        <v>211</v>
      </c>
      <c r="AG26" s="11"/>
      <c r="AH26" s="11" t="s">
        <v>142</v>
      </c>
      <c r="AI26" s="11">
        <v>187.5</v>
      </c>
      <c r="AJ26" s="11" t="s">
        <v>136</v>
      </c>
      <c r="AK26" s="11" t="s">
        <v>170</v>
      </c>
      <c r="AL26" s="11"/>
      <c r="AN26" s="11" t="s">
        <v>227</v>
      </c>
      <c r="AO26" s="11" t="s">
        <v>228</v>
      </c>
      <c r="AP26" s="15">
        <v>3315716643</v>
      </c>
      <c r="AQ26" s="11">
        <v>33303837</v>
      </c>
      <c r="AR26" s="16" t="s">
        <v>229</v>
      </c>
      <c r="AS26" s="11" t="s">
        <v>230</v>
      </c>
      <c r="AT26" s="11"/>
      <c r="AU26" s="11" t="s">
        <v>142</v>
      </c>
      <c r="AV26" s="11">
        <v>375</v>
      </c>
      <c r="AW26" s="11" t="s">
        <v>143</v>
      </c>
      <c r="AX26" s="11">
        <v>5</v>
      </c>
      <c r="AY26" s="11"/>
      <c r="AZ26" s="11">
        <v>1</v>
      </c>
      <c r="BB26" s="11" t="s">
        <v>231</v>
      </c>
      <c r="BC26" s="12" t="s">
        <v>232</v>
      </c>
      <c r="BD26" s="13" t="s">
        <v>233</v>
      </c>
      <c r="BE26" s="12">
        <v>36272470</v>
      </c>
      <c r="BF26" s="14" t="s">
        <v>234</v>
      </c>
      <c r="BG26" s="12" t="s">
        <v>235</v>
      </c>
      <c r="BH26" s="12"/>
      <c r="BI26" s="12" t="s">
        <v>142</v>
      </c>
      <c r="BJ26" s="12">
        <v>60</v>
      </c>
      <c r="BK26" s="12" t="s">
        <v>143</v>
      </c>
      <c r="BL26" s="12">
        <v>11</v>
      </c>
      <c r="BM26" s="12"/>
      <c r="BN26" s="11">
        <v>1</v>
      </c>
      <c r="BP26" s="11" t="s">
        <v>227</v>
      </c>
      <c r="BQ26" s="11" t="s">
        <v>228</v>
      </c>
      <c r="BR26" s="15">
        <v>3315716643</v>
      </c>
      <c r="BS26" s="11">
        <v>33303837</v>
      </c>
      <c r="BT26" s="16" t="s">
        <v>229</v>
      </c>
      <c r="BU26" s="11" t="s">
        <v>230</v>
      </c>
      <c r="BV26" s="11"/>
      <c r="BW26" s="11" t="s">
        <v>142</v>
      </c>
      <c r="BX26" s="11">
        <v>375</v>
      </c>
      <c r="BY26" s="11" t="s">
        <v>143</v>
      </c>
      <c r="BZ26" s="11">
        <v>17</v>
      </c>
      <c r="CA26" s="11"/>
      <c r="CB26" s="11">
        <v>2</v>
      </c>
      <c r="CD26" s="11" t="s">
        <v>236</v>
      </c>
      <c r="CE26" s="11" t="s">
        <v>237</v>
      </c>
      <c r="CF26" s="15">
        <v>3311856312</v>
      </c>
      <c r="CG26" s="11"/>
      <c r="CH26" s="16" t="s">
        <v>238</v>
      </c>
      <c r="CI26" s="11" t="s">
        <v>239</v>
      </c>
      <c r="CJ26" s="11"/>
      <c r="CK26" s="11" t="s">
        <v>142</v>
      </c>
      <c r="CL26" s="11">
        <v>375</v>
      </c>
      <c r="CM26" s="11" t="s">
        <v>143</v>
      </c>
      <c r="CN26" s="11">
        <v>1</v>
      </c>
      <c r="CO26" s="11"/>
      <c r="CP26" s="11">
        <v>4</v>
      </c>
    </row>
    <row r="27" spans="1:94" ht="15.75" x14ac:dyDescent="0.25">
      <c r="A27" s="11" t="s">
        <v>240</v>
      </c>
      <c r="B27" s="11" t="s">
        <v>241</v>
      </c>
      <c r="C27" s="15">
        <v>3336761496</v>
      </c>
      <c r="D27" s="11"/>
      <c r="E27" s="16" t="s">
        <v>242</v>
      </c>
      <c r="F27" s="11" t="s">
        <v>243</v>
      </c>
      <c r="G27" s="11" t="s">
        <v>203</v>
      </c>
      <c r="H27" s="11" t="s">
        <v>142</v>
      </c>
      <c r="I27" s="11">
        <v>187.5</v>
      </c>
      <c r="J27" s="11" t="s">
        <v>136</v>
      </c>
      <c r="K27" s="11" t="s">
        <v>192</v>
      </c>
      <c r="L27" s="11"/>
      <c r="N27" s="11" t="s">
        <v>240</v>
      </c>
      <c r="O27" s="11" t="s">
        <v>241</v>
      </c>
      <c r="P27" s="15">
        <v>3336761496</v>
      </c>
      <c r="Q27" s="11"/>
      <c r="R27" s="16" t="s">
        <v>242</v>
      </c>
      <c r="S27" s="11" t="s">
        <v>243</v>
      </c>
      <c r="T27" s="11" t="s">
        <v>203</v>
      </c>
      <c r="U27" s="11" t="s">
        <v>142</v>
      </c>
      <c r="V27" s="11">
        <v>187.5</v>
      </c>
      <c r="W27" s="11" t="s">
        <v>136</v>
      </c>
      <c r="X27" s="11" t="s">
        <v>218</v>
      </c>
      <c r="Y27" s="11"/>
      <c r="AA27" s="11" t="s">
        <v>219</v>
      </c>
      <c r="AB27" s="11" t="s">
        <v>219</v>
      </c>
      <c r="AC27" s="15">
        <v>3331979100</v>
      </c>
      <c r="AD27" s="11"/>
      <c r="AE27" s="16" t="s">
        <v>220</v>
      </c>
      <c r="AF27" s="11" t="s">
        <v>221</v>
      </c>
      <c r="AG27" s="11"/>
      <c r="AH27" s="11" t="s">
        <v>142</v>
      </c>
      <c r="AI27" s="11">
        <v>200</v>
      </c>
      <c r="AJ27" s="11" t="s">
        <v>136</v>
      </c>
      <c r="AK27" s="11" t="s">
        <v>244</v>
      </c>
      <c r="AL27" s="11"/>
      <c r="AN27" s="11" t="s">
        <v>166</v>
      </c>
      <c r="AO27" s="11" t="s">
        <v>167</v>
      </c>
      <c r="AP27" s="15">
        <v>3338210776</v>
      </c>
      <c r="AQ27" s="11"/>
      <c r="AR27" s="16" t="s">
        <v>168</v>
      </c>
      <c r="AS27" s="11" t="s">
        <v>211</v>
      </c>
      <c r="AT27" s="11"/>
      <c r="AU27" s="11" t="s">
        <v>142</v>
      </c>
      <c r="AV27" s="11">
        <v>187.5</v>
      </c>
      <c r="AW27" s="11" t="s">
        <v>136</v>
      </c>
      <c r="AX27" s="11" t="s">
        <v>170</v>
      </c>
      <c r="AY27" s="11"/>
      <c r="AZ27" s="11">
        <v>1</v>
      </c>
      <c r="BB27" s="11" t="s">
        <v>176</v>
      </c>
      <c r="BC27" s="11" t="s">
        <v>177</v>
      </c>
      <c r="BD27" s="15">
        <v>3311424137</v>
      </c>
      <c r="BE27" s="11">
        <v>36159547</v>
      </c>
      <c r="BF27" s="16" t="s">
        <v>178</v>
      </c>
      <c r="BG27" s="11" t="s">
        <v>179</v>
      </c>
      <c r="BH27" s="11"/>
      <c r="BI27" s="11" t="s">
        <v>142</v>
      </c>
      <c r="BJ27" s="11">
        <v>200</v>
      </c>
      <c r="BK27" s="11" t="s">
        <v>136</v>
      </c>
      <c r="BL27" s="11" t="s">
        <v>180</v>
      </c>
      <c r="BM27" s="11"/>
      <c r="BN27" s="11">
        <v>2</v>
      </c>
      <c r="BP27" s="11" t="s">
        <v>166</v>
      </c>
      <c r="BQ27" s="11" t="s">
        <v>167</v>
      </c>
      <c r="BR27" s="15">
        <v>3338210776</v>
      </c>
      <c r="BS27" s="11"/>
      <c r="BT27" s="16" t="s">
        <v>168</v>
      </c>
      <c r="BU27" s="11" t="s">
        <v>169</v>
      </c>
      <c r="BV27" s="11"/>
      <c r="BW27" s="11" t="s">
        <v>142</v>
      </c>
      <c r="BX27" s="11">
        <v>187.5</v>
      </c>
      <c r="BY27" s="11" t="s">
        <v>136</v>
      </c>
      <c r="BZ27" s="11" t="s">
        <v>245</v>
      </c>
      <c r="CA27" s="11"/>
      <c r="CB27" s="11">
        <v>3</v>
      </c>
      <c r="CD27" s="11" t="s">
        <v>246</v>
      </c>
      <c r="CE27" s="11" t="s">
        <v>247</v>
      </c>
      <c r="CF27" s="15">
        <v>3312326066</v>
      </c>
      <c r="CG27" s="11"/>
      <c r="CH27" s="16" t="s">
        <v>248</v>
      </c>
      <c r="CI27" s="11" t="s">
        <v>249</v>
      </c>
      <c r="CJ27" s="11" t="s">
        <v>250</v>
      </c>
      <c r="CK27" s="11" t="s">
        <v>251</v>
      </c>
      <c r="CL27" s="11">
        <v>60</v>
      </c>
      <c r="CM27" s="11" t="s">
        <v>136</v>
      </c>
      <c r="CN27" s="11" t="s">
        <v>252</v>
      </c>
      <c r="CO27" s="11"/>
      <c r="CP27" s="11">
        <v>2</v>
      </c>
    </row>
    <row r="28" spans="1:94" ht="15.75" x14ac:dyDescent="0.25">
      <c r="A28" s="11" t="s">
        <v>176</v>
      </c>
      <c r="B28" s="11" t="s">
        <v>177</v>
      </c>
      <c r="C28" s="15">
        <v>3311424137</v>
      </c>
      <c r="D28" s="11">
        <v>36159547</v>
      </c>
      <c r="E28" s="16" t="s">
        <v>178</v>
      </c>
      <c r="F28" s="11" t="s">
        <v>179</v>
      </c>
      <c r="G28" s="11"/>
      <c r="H28" s="11" t="s">
        <v>142</v>
      </c>
      <c r="I28" s="11">
        <v>200</v>
      </c>
      <c r="J28" s="11" t="s">
        <v>136</v>
      </c>
      <c r="K28" s="11" t="s">
        <v>252</v>
      </c>
      <c r="L28" s="11"/>
      <c r="N28" s="11" t="s">
        <v>176</v>
      </c>
      <c r="O28" s="11" t="s">
        <v>177</v>
      </c>
      <c r="P28" s="15">
        <v>3311424137</v>
      </c>
      <c r="Q28" s="11">
        <v>36159547</v>
      </c>
      <c r="R28" s="23" t="s">
        <v>178</v>
      </c>
      <c r="S28" s="11" t="s">
        <v>179</v>
      </c>
      <c r="T28" s="11"/>
      <c r="U28" s="11" t="s">
        <v>142</v>
      </c>
      <c r="V28" s="11">
        <v>200</v>
      </c>
      <c r="W28" s="11" t="s">
        <v>136</v>
      </c>
      <c r="X28" s="11" t="s">
        <v>180</v>
      </c>
      <c r="Y28" s="11"/>
      <c r="AA28" s="11" t="s">
        <v>240</v>
      </c>
      <c r="AB28" s="11" t="s">
        <v>241</v>
      </c>
      <c r="AC28" s="15">
        <v>3336761496</v>
      </c>
      <c r="AD28" s="11"/>
      <c r="AE28" s="23" t="s">
        <v>242</v>
      </c>
      <c r="AF28" s="11" t="s">
        <v>243</v>
      </c>
      <c r="AG28" s="11" t="s">
        <v>203</v>
      </c>
      <c r="AH28" s="11" t="s">
        <v>142</v>
      </c>
      <c r="AI28" s="11">
        <v>187.5</v>
      </c>
      <c r="AJ28" s="11" t="s">
        <v>136</v>
      </c>
      <c r="AK28" s="11" t="s">
        <v>218</v>
      </c>
      <c r="AL28" s="11"/>
      <c r="AN28" s="11" t="s">
        <v>219</v>
      </c>
      <c r="AO28" s="11" t="s">
        <v>219</v>
      </c>
      <c r="AP28" s="15">
        <v>3331979100</v>
      </c>
      <c r="AQ28" s="11"/>
      <c r="AR28" s="16" t="s">
        <v>220</v>
      </c>
      <c r="AS28" s="11" t="s">
        <v>221</v>
      </c>
      <c r="AT28" s="11"/>
      <c r="AU28" s="11" t="s">
        <v>142</v>
      </c>
      <c r="AV28" s="11">
        <v>200</v>
      </c>
      <c r="AW28" s="11" t="s">
        <v>136</v>
      </c>
      <c r="AX28" s="11" t="s">
        <v>222</v>
      </c>
      <c r="AY28" s="11"/>
      <c r="AZ28" s="11">
        <v>1</v>
      </c>
      <c r="BB28" s="11" t="s">
        <v>194</v>
      </c>
      <c r="BC28" s="11" t="s">
        <v>195</v>
      </c>
      <c r="BD28" s="15">
        <v>3339559274</v>
      </c>
      <c r="BE28" s="11"/>
      <c r="BF28" s="16" t="s">
        <v>196</v>
      </c>
      <c r="BG28" s="11" t="s">
        <v>197</v>
      </c>
      <c r="BH28" s="11"/>
      <c r="BI28" s="11" t="s">
        <v>142</v>
      </c>
      <c r="BJ28" s="11">
        <v>187.5</v>
      </c>
      <c r="BK28" s="11" t="s">
        <v>136</v>
      </c>
      <c r="BL28" s="11" t="s">
        <v>253</v>
      </c>
      <c r="BM28" s="11"/>
      <c r="BN28" s="11">
        <v>2</v>
      </c>
      <c r="BP28" s="11" t="s">
        <v>254</v>
      </c>
      <c r="BQ28" s="12" t="s">
        <v>255</v>
      </c>
      <c r="BR28" s="13">
        <v>3310906593</v>
      </c>
      <c r="BS28" s="12"/>
      <c r="BT28" s="16" t="s">
        <v>256</v>
      </c>
      <c r="BU28" s="12" t="s">
        <v>257</v>
      </c>
      <c r="BV28" s="12" t="s">
        <v>203</v>
      </c>
      <c r="BW28" s="12" t="s">
        <v>258</v>
      </c>
      <c r="BX28" s="12">
        <v>0</v>
      </c>
      <c r="BY28" s="12" t="s">
        <v>136</v>
      </c>
      <c r="BZ28" s="12" t="s">
        <v>259</v>
      </c>
      <c r="CA28" s="12"/>
      <c r="CB28" s="11">
        <v>1</v>
      </c>
      <c r="CD28" s="11" t="s">
        <v>260</v>
      </c>
      <c r="CE28" s="11" t="s">
        <v>261</v>
      </c>
      <c r="CF28" s="15">
        <v>3317246984</v>
      </c>
      <c r="CG28" s="11"/>
      <c r="CH28" s="16" t="s">
        <v>262</v>
      </c>
      <c r="CI28" s="11" t="s">
        <v>263</v>
      </c>
      <c r="CJ28" s="11"/>
      <c r="CK28" s="11" t="s">
        <v>142</v>
      </c>
      <c r="CL28" s="11">
        <v>200</v>
      </c>
      <c r="CM28" s="11" t="s">
        <v>136</v>
      </c>
      <c r="CN28" s="11" t="s">
        <v>264</v>
      </c>
      <c r="CO28" s="11"/>
      <c r="CP28" s="11">
        <v>2</v>
      </c>
    </row>
    <row r="29" spans="1:94" ht="15.75" x14ac:dyDescent="0.25">
      <c r="A29" s="11" t="s">
        <v>194</v>
      </c>
      <c r="B29" s="11" t="s">
        <v>195</v>
      </c>
      <c r="C29" s="15">
        <v>3339559274</v>
      </c>
      <c r="D29" s="11"/>
      <c r="E29" s="16" t="s">
        <v>196</v>
      </c>
      <c r="F29" s="11" t="s">
        <v>197</v>
      </c>
      <c r="G29" s="11"/>
      <c r="H29" s="11" t="s">
        <v>135</v>
      </c>
      <c r="I29" s="11">
        <v>232</v>
      </c>
      <c r="J29" s="11" t="s">
        <v>136</v>
      </c>
      <c r="K29" s="11" t="s">
        <v>264</v>
      </c>
      <c r="L29" s="11"/>
      <c r="N29" s="11" t="s">
        <v>194</v>
      </c>
      <c r="O29" s="11" t="s">
        <v>195</v>
      </c>
      <c r="P29" s="15">
        <v>3339559274</v>
      </c>
      <c r="Q29" s="11"/>
      <c r="R29" s="16" t="s">
        <v>196</v>
      </c>
      <c r="S29" s="11" t="s">
        <v>197</v>
      </c>
      <c r="T29" s="11"/>
      <c r="U29" s="11" t="s">
        <v>142</v>
      </c>
      <c r="V29" s="11">
        <v>200</v>
      </c>
      <c r="W29" s="11" t="s">
        <v>136</v>
      </c>
      <c r="X29" s="11" t="s">
        <v>264</v>
      </c>
      <c r="Y29" s="11"/>
      <c r="AA29" s="11" t="s">
        <v>176</v>
      </c>
      <c r="AB29" s="11" t="s">
        <v>177</v>
      </c>
      <c r="AC29" s="15">
        <v>3311424137</v>
      </c>
      <c r="AD29" s="11">
        <v>36159547</v>
      </c>
      <c r="AE29" s="16" t="s">
        <v>178</v>
      </c>
      <c r="AF29" s="11" t="s">
        <v>179</v>
      </c>
      <c r="AG29" s="11"/>
      <c r="AH29" s="11" t="s">
        <v>142</v>
      </c>
      <c r="AI29" s="11">
        <v>200</v>
      </c>
      <c r="AJ29" s="11" t="s">
        <v>136</v>
      </c>
      <c r="AK29" s="11" t="s">
        <v>180</v>
      </c>
      <c r="AL29" s="11"/>
      <c r="AN29" s="11" t="s">
        <v>240</v>
      </c>
      <c r="AO29" s="11" t="s">
        <v>241</v>
      </c>
      <c r="AP29" s="15">
        <v>3336761496</v>
      </c>
      <c r="AQ29" s="11"/>
      <c r="AR29" s="23" t="s">
        <v>242</v>
      </c>
      <c r="AS29" s="11" t="s">
        <v>243</v>
      </c>
      <c r="AT29" s="11" t="s">
        <v>203</v>
      </c>
      <c r="AU29" s="11" t="s">
        <v>142</v>
      </c>
      <c r="AV29" s="11">
        <v>187.5</v>
      </c>
      <c r="AW29" s="11" t="s">
        <v>136</v>
      </c>
      <c r="AX29" s="11" t="s">
        <v>265</v>
      </c>
      <c r="AY29" s="11"/>
      <c r="AZ29" s="11">
        <v>1</v>
      </c>
      <c r="BB29" s="11" t="s">
        <v>266</v>
      </c>
      <c r="BC29" s="11" t="s">
        <v>267</v>
      </c>
      <c r="BD29" s="15">
        <v>3338304373</v>
      </c>
      <c r="BE29" s="11">
        <v>10990107</v>
      </c>
      <c r="BF29" s="16" t="s">
        <v>268</v>
      </c>
      <c r="BG29" s="11" t="s">
        <v>269</v>
      </c>
      <c r="BH29" s="11"/>
      <c r="BI29" s="11" t="s">
        <v>258</v>
      </c>
      <c r="BJ29" s="11">
        <v>0</v>
      </c>
      <c r="BK29" s="11" t="s">
        <v>136</v>
      </c>
      <c r="BL29" s="11" t="s">
        <v>158</v>
      </c>
      <c r="BM29" s="11"/>
      <c r="BN29" s="11">
        <v>2</v>
      </c>
      <c r="BP29" s="11" t="s">
        <v>176</v>
      </c>
      <c r="BQ29" s="11" t="s">
        <v>177</v>
      </c>
      <c r="BR29" s="15">
        <v>3311424137</v>
      </c>
      <c r="BS29" s="11">
        <v>36159547</v>
      </c>
      <c r="BT29" s="16" t="s">
        <v>178</v>
      </c>
      <c r="BU29" s="11" t="s">
        <v>179</v>
      </c>
      <c r="BV29" s="11"/>
      <c r="BW29" s="11" t="s">
        <v>142</v>
      </c>
      <c r="BX29" s="11">
        <v>200</v>
      </c>
      <c r="BY29" s="11" t="s">
        <v>136</v>
      </c>
      <c r="BZ29" s="11" t="s">
        <v>170</v>
      </c>
      <c r="CA29" s="11"/>
      <c r="CB29" s="11">
        <v>3</v>
      </c>
      <c r="CD29" s="11" t="s">
        <v>270</v>
      </c>
      <c r="CE29" s="11" t="s">
        <v>271</v>
      </c>
      <c r="CF29" s="15">
        <v>3339582509</v>
      </c>
      <c r="CG29" s="11"/>
      <c r="CH29" s="11"/>
      <c r="CI29" s="11" t="s">
        <v>272</v>
      </c>
      <c r="CJ29" s="11"/>
      <c r="CK29" s="11" t="s">
        <v>142</v>
      </c>
      <c r="CL29" s="11">
        <v>400</v>
      </c>
      <c r="CM29" s="11" t="s">
        <v>143</v>
      </c>
      <c r="CN29" s="11">
        <v>10</v>
      </c>
      <c r="CO29" s="11"/>
      <c r="CP29" s="11">
        <v>4</v>
      </c>
    </row>
    <row r="30" spans="1:94" ht="15.75" x14ac:dyDescent="0.25">
      <c r="A30" s="11" t="s">
        <v>266</v>
      </c>
      <c r="B30" s="11" t="s">
        <v>267</v>
      </c>
      <c r="C30" s="15">
        <v>3338304373</v>
      </c>
      <c r="D30" s="11">
        <v>10990107</v>
      </c>
      <c r="E30" s="16" t="s">
        <v>268</v>
      </c>
      <c r="F30" s="11" t="s">
        <v>269</v>
      </c>
      <c r="G30" s="11"/>
      <c r="H30" s="11" t="s">
        <v>135</v>
      </c>
      <c r="I30" s="11">
        <v>870</v>
      </c>
      <c r="J30" s="11" t="s">
        <v>136</v>
      </c>
      <c r="K30" s="11" t="s">
        <v>164</v>
      </c>
      <c r="L30" s="11"/>
      <c r="N30" s="22" t="s">
        <v>273</v>
      </c>
      <c r="O30" s="11" t="s">
        <v>274</v>
      </c>
      <c r="P30" s="15">
        <v>3333778377</v>
      </c>
      <c r="Q30" s="11"/>
      <c r="R30" s="16" t="s">
        <v>275</v>
      </c>
      <c r="S30" s="11" t="s">
        <v>276</v>
      </c>
      <c r="T30" s="11" t="s">
        <v>203</v>
      </c>
      <c r="U30" s="11" t="s">
        <v>142</v>
      </c>
      <c r="V30" s="11">
        <v>200</v>
      </c>
      <c r="W30" s="11" t="s">
        <v>136</v>
      </c>
      <c r="X30" s="11" t="s">
        <v>181</v>
      </c>
      <c r="Y30" s="11"/>
      <c r="AA30" s="11" t="s">
        <v>277</v>
      </c>
      <c r="AB30" s="11" t="s">
        <v>278</v>
      </c>
      <c r="AC30" s="15">
        <v>3311346872</v>
      </c>
      <c r="AD30" s="11">
        <v>36988513</v>
      </c>
      <c r="AE30" s="16" t="s">
        <v>279</v>
      </c>
      <c r="AF30" s="11" t="s">
        <v>280</v>
      </c>
      <c r="AG30" s="11"/>
      <c r="AH30" s="11" t="s">
        <v>142</v>
      </c>
      <c r="AI30" s="11">
        <v>0</v>
      </c>
      <c r="AJ30" s="11" t="s">
        <v>136</v>
      </c>
      <c r="AK30" s="11">
        <v>20</v>
      </c>
      <c r="AL30" s="11"/>
      <c r="AN30" s="11" t="s">
        <v>176</v>
      </c>
      <c r="AO30" s="11" t="s">
        <v>177</v>
      </c>
      <c r="AP30" s="15">
        <v>3311424137</v>
      </c>
      <c r="AQ30" s="11">
        <v>36159547</v>
      </c>
      <c r="AR30" s="16" t="s">
        <v>178</v>
      </c>
      <c r="AS30" s="11" t="s">
        <v>179</v>
      </c>
      <c r="AT30" s="11"/>
      <c r="AU30" s="11" t="s">
        <v>142</v>
      </c>
      <c r="AV30" s="11">
        <v>200</v>
      </c>
      <c r="AW30" s="11" t="s">
        <v>136</v>
      </c>
      <c r="AX30" s="11" t="s">
        <v>180</v>
      </c>
      <c r="AY30" s="11"/>
      <c r="AZ30" s="11">
        <v>1</v>
      </c>
      <c r="BB30" s="11" t="s">
        <v>236</v>
      </c>
      <c r="BC30" s="11" t="s">
        <v>237</v>
      </c>
      <c r="BD30" s="15">
        <v>3311856312</v>
      </c>
      <c r="BE30" s="11"/>
      <c r="BF30" s="16" t="s">
        <v>238</v>
      </c>
      <c r="BG30" s="11" t="s">
        <v>239</v>
      </c>
      <c r="BH30" s="11"/>
      <c r="BI30" s="11" t="s">
        <v>142</v>
      </c>
      <c r="BJ30" s="11">
        <v>375</v>
      </c>
      <c r="BK30" s="11" t="s">
        <v>143</v>
      </c>
      <c r="BL30" s="11">
        <v>1</v>
      </c>
      <c r="BM30" s="11"/>
      <c r="BN30" s="11">
        <v>2</v>
      </c>
      <c r="BP30" s="11" t="s">
        <v>194</v>
      </c>
      <c r="BQ30" s="11" t="s">
        <v>195</v>
      </c>
      <c r="BR30" s="15">
        <v>3339559274</v>
      </c>
      <c r="BS30" s="11"/>
      <c r="BT30" s="16" t="s">
        <v>196</v>
      </c>
      <c r="BU30" s="11" t="s">
        <v>197</v>
      </c>
      <c r="BV30" s="11"/>
      <c r="BW30" s="11" t="s">
        <v>251</v>
      </c>
      <c r="BX30" s="11">
        <v>187.5</v>
      </c>
      <c r="BY30" s="11" t="s">
        <v>136</v>
      </c>
      <c r="BZ30" s="11" t="s">
        <v>153</v>
      </c>
      <c r="CA30" s="11"/>
      <c r="CB30" s="11">
        <v>3</v>
      </c>
      <c r="CD30" s="11" t="s">
        <v>281</v>
      </c>
      <c r="CE30" s="11" t="s">
        <v>282</v>
      </c>
      <c r="CF30" s="15">
        <v>3313600806</v>
      </c>
      <c r="CG30" s="11"/>
      <c r="CH30" s="11" t="s">
        <v>283</v>
      </c>
      <c r="CI30" s="11"/>
      <c r="CJ30" s="11"/>
      <c r="CK30" s="11" t="s">
        <v>142</v>
      </c>
      <c r="CL30" s="11">
        <v>50</v>
      </c>
      <c r="CM30" s="11" t="s">
        <v>143</v>
      </c>
      <c r="CN30" s="11">
        <v>11</v>
      </c>
      <c r="CO30" s="11"/>
      <c r="CP30" s="11">
        <v>4</v>
      </c>
    </row>
    <row r="31" spans="1:94" ht="15.75" x14ac:dyDescent="0.25">
      <c r="A31" s="11" t="s">
        <v>284</v>
      </c>
      <c r="B31" s="11" t="s">
        <v>285</v>
      </c>
      <c r="C31" s="15">
        <v>3319765566</v>
      </c>
      <c r="D31" s="11"/>
      <c r="E31" s="23" t="s">
        <v>286</v>
      </c>
      <c r="F31" s="11" t="s">
        <v>287</v>
      </c>
      <c r="G31" s="11"/>
      <c r="H31" s="11" t="s">
        <v>142</v>
      </c>
      <c r="I31" s="11">
        <v>250</v>
      </c>
      <c r="J31" s="11" t="s">
        <v>136</v>
      </c>
      <c r="K31" s="11" t="s">
        <v>251</v>
      </c>
      <c r="L31" s="11"/>
      <c r="N31" s="11" t="s">
        <v>266</v>
      </c>
      <c r="O31" s="11" t="s">
        <v>267</v>
      </c>
      <c r="P31" s="15">
        <v>3338304373</v>
      </c>
      <c r="Q31" s="11">
        <v>10990107</v>
      </c>
      <c r="R31" s="16" t="s">
        <v>268</v>
      </c>
      <c r="S31" s="11" t="s">
        <v>269</v>
      </c>
      <c r="T31" s="11"/>
      <c r="U31" s="11" t="s">
        <v>135</v>
      </c>
      <c r="V31" s="11">
        <v>870</v>
      </c>
      <c r="W31" s="11" t="s">
        <v>136</v>
      </c>
      <c r="X31" s="11" t="s">
        <v>164</v>
      </c>
      <c r="Y31" s="11"/>
      <c r="AA31" s="11" t="s">
        <v>266</v>
      </c>
      <c r="AB31" s="11" t="s">
        <v>267</v>
      </c>
      <c r="AC31" s="15">
        <v>3338304373</v>
      </c>
      <c r="AD31" s="11">
        <v>10990107</v>
      </c>
      <c r="AE31" s="23" t="s">
        <v>268</v>
      </c>
      <c r="AF31" s="11" t="s">
        <v>269</v>
      </c>
      <c r="AG31" s="11"/>
      <c r="AH31" s="11" t="s">
        <v>135</v>
      </c>
      <c r="AI31" s="11">
        <v>187.5</v>
      </c>
      <c r="AJ31" s="11" t="s">
        <v>136</v>
      </c>
      <c r="AK31" s="11" t="s">
        <v>158</v>
      </c>
      <c r="AL31" s="11"/>
      <c r="AN31" s="11" t="s">
        <v>194</v>
      </c>
      <c r="AO31" s="11" t="s">
        <v>195</v>
      </c>
      <c r="AP31" s="15">
        <v>3339559274</v>
      </c>
      <c r="AQ31" s="11"/>
      <c r="AR31" s="16" t="s">
        <v>196</v>
      </c>
      <c r="AS31" s="11" t="s">
        <v>197</v>
      </c>
      <c r="AT31" s="11"/>
      <c r="AU31" s="11" t="s">
        <v>142</v>
      </c>
      <c r="AV31" s="11">
        <v>187.5</v>
      </c>
      <c r="AW31" s="11" t="s">
        <v>136</v>
      </c>
      <c r="AX31" s="11" t="s">
        <v>253</v>
      </c>
      <c r="AY31" s="11"/>
      <c r="AZ31" s="11">
        <v>1</v>
      </c>
      <c r="BB31" s="22" t="s">
        <v>214</v>
      </c>
      <c r="BC31" s="11" t="s">
        <v>215</v>
      </c>
      <c r="BD31" s="15">
        <v>3310932686</v>
      </c>
      <c r="BE31" s="11"/>
      <c r="BF31" s="16" t="s">
        <v>216</v>
      </c>
      <c r="BG31" s="11" t="s">
        <v>217</v>
      </c>
      <c r="BH31" s="11" t="s">
        <v>203</v>
      </c>
      <c r="BI31" s="11" t="s">
        <v>142</v>
      </c>
      <c r="BJ31" s="11">
        <v>187.5</v>
      </c>
      <c r="BK31" s="11" t="s">
        <v>136</v>
      </c>
      <c r="BL31" s="11" t="s">
        <v>218</v>
      </c>
      <c r="BM31" s="11"/>
      <c r="BN31" s="11">
        <v>2</v>
      </c>
      <c r="BP31" s="11" t="s">
        <v>288</v>
      </c>
      <c r="BQ31" s="11" t="s">
        <v>289</v>
      </c>
      <c r="BR31" s="15">
        <v>3311092077</v>
      </c>
      <c r="BS31" s="11">
        <v>16773310</v>
      </c>
      <c r="BT31" s="16" t="s">
        <v>290</v>
      </c>
      <c r="BU31" s="11" t="s">
        <v>291</v>
      </c>
      <c r="BV31" s="11"/>
      <c r="BW31" s="11" t="s">
        <v>142</v>
      </c>
      <c r="BX31" s="11">
        <v>200</v>
      </c>
      <c r="BY31" s="11" t="s">
        <v>136</v>
      </c>
      <c r="BZ31" s="11" t="s">
        <v>292</v>
      </c>
      <c r="CA31" s="11"/>
      <c r="CB31" s="11">
        <v>1</v>
      </c>
      <c r="CD31" s="11" t="s">
        <v>293</v>
      </c>
      <c r="CE31" s="11" t="s">
        <v>294</v>
      </c>
      <c r="CF31" s="15">
        <v>3314412645</v>
      </c>
      <c r="CG31" s="11"/>
      <c r="CH31" s="16"/>
      <c r="CI31" s="11" t="s">
        <v>295</v>
      </c>
      <c r="CJ31" s="11"/>
      <c r="CK31" s="11" t="s">
        <v>142</v>
      </c>
      <c r="CL31" s="11">
        <v>200</v>
      </c>
      <c r="CM31" s="11" t="s">
        <v>136</v>
      </c>
      <c r="CN31" s="11" t="s">
        <v>162</v>
      </c>
      <c r="CO31" s="11"/>
      <c r="CP31" s="11">
        <v>4</v>
      </c>
    </row>
    <row r="32" spans="1:94" ht="15.75" x14ac:dyDescent="0.25">
      <c r="A32" s="11" t="s">
        <v>260</v>
      </c>
      <c r="B32" s="11" t="s">
        <v>261</v>
      </c>
      <c r="C32" s="15">
        <v>3317246984</v>
      </c>
      <c r="D32" s="11"/>
      <c r="E32" s="16" t="s">
        <v>262</v>
      </c>
      <c r="F32" s="11" t="s">
        <v>263</v>
      </c>
      <c r="G32" s="11"/>
      <c r="H32" s="11" t="s">
        <v>142</v>
      </c>
      <c r="I32" s="11">
        <v>200</v>
      </c>
      <c r="J32" s="11" t="s">
        <v>136</v>
      </c>
      <c r="K32" s="11" t="s">
        <v>296</v>
      </c>
      <c r="L32" s="11"/>
      <c r="N32" s="11" t="s">
        <v>236</v>
      </c>
      <c r="O32" s="11" t="s">
        <v>237</v>
      </c>
      <c r="P32" s="15">
        <v>3311856312</v>
      </c>
      <c r="Q32" s="11"/>
      <c r="R32" s="16" t="s">
        <v>238</v>
      </c>
      <c r="S32" s="11" t="s">
        <v>239</v>
      </c>
      <c r="T32" s="11"/>
      <c r="U32" s="11" t="s">
        <v>142</v>
      </c>
      <c r="V32" s="11">
        <v>1500</v>
      </c>
      <c r="W32" s="11" t="s">
        <v>143</v>
      </c>
      <c r="X32" s="11">
        <v>1</v>
      </c>
      <c r="Y32" s="11"/>
      <c r="AA32" s="11" t="s">
        <v>236</v>
      </c>
      <c r="AB32" s="11" t="s">
        <v>237</v>
      </c>
      <c r="AC32" s="15">
        <v>3311856312</v>
      </c>
      <c r="AD32" s="11"/>
      <c r="AE32" s="16" t="s">
        <v>238</v>
      </c>
      <c r="AF32" s="11" t="s">
        <v>239</v>
      </c>
      <c r="AG32" s="11"/>
      <c r="AH32" s="11" t="s">
        <v>142</v>
      </c>
      <c r="AI32" s="11">
        <v>375</v>
      </c>
      <c r="AJ32" s="11" t="s">
        <v>143</v>
      </c>
      <c r="AK32" s="11">
        <v>1</v>
      </c>
      <c r="AL32" s="11"/>
      <c r="AN32" s="11" t="s">
        <v>266</v>
      </c>
      <c r="AO32" s="11" t="s">
        <v>267</v>
      </c>
      <c r="AP32" s="15">
        <v>3338304373</v>
      </c>
      <c r="AQ32" s="11">
        <v>10990107</v>
      </c>
      <c r="AR32" s="23" t="s">
        <v>268</v>
      </c>
      <c r="AS32" s="11" t="s">
        <v>269</v>
      </c>
      <c r="AT32" s="11"/>
      <c r="AU32" s="11" t="s">
        <v>135</v>
      </c>
      <c r="AV32" s="11">
        <v>187.5</v>
      </c>
      <c r="AW32" s="11" t="s">
        <v>136</v>
      </c>
      <c r="AX32" s="11" t="s">
        <v>158</v>
      </c>
      <c r="AY32" s="11"/>
      <c r="AZ32" s="11">
        <v>1</v>
      </c>
      <c r="BB32" s="11" t="s">
        <v>260</v>
      </c>
      <c r="BC32" s="11" t="s">
        <v>261</v>
      </c>
      <c r="BD32" s="15">
        <v>3317246984</v>
      </c>
      <c r="BE32" s="11"/>
      <c r="BF32" s="16" t="s">
        <v>262</v>
      </c>
      <c r="BG32" s="11" t="s">
        <v>263</v>
      </c>
      <c r="BH32" s="11"/>
      <c r="BI32" s="11" t="s">
        <v>142</v>
      </c>
      <c r="BJ32" s="11">
        <v>200</v>
      </c>
      <c r="BK32" s="11" t="s">
        <v>136</v>
      </c>
      <c r="BL32" s="11" t="s">
        <v>264</v>
      </c>
      <c r="BM32" s="11"/>
      <c r="BN32" s="11">
        <v>1</v>
      </c>
      <c r="BP32" s="11" t="s">
        <v>273</v>
      </c>
      <c r="BQ32" s="11" t="s">
        <v>274</v>
      </c>
      <c r="BR32" s="15">
        <v>3333778377</v>
      </c>
      <c r="BS32" s="11"/>
      <c r="BT32" s="16" t="s">
        <v>275</v>
      </c>
      <c r="BU32" s="11" t="s">
        <v>276</v>
      </c>
      <c r="BV32" s="11"/>
      <c r="BW32" s="11" t="s">
        <v>142</v>
      </c>
      <c r="BX32" s="11">
        <v>125</v>
      </c>
      <c r="BY32" s="11" t="s">
        <v>136</v>
      </c>
      <c r="BZ32" s="11" t="s">
        <v>297</v>
      </c>
      <c r="CA32" s="11"/>
      <c r="CB32" s="11">
        <v>1</v>
      </c>
      <c r="CD32" s="11" t="s">
        <v>298</v>
      </c>
      <c r="CE32" s="11" t="s">
        <v>299</v>
      </c>
      <c r="CF32" s="15">
        <v>3310967806</v>
      </c>
      <c r="CG32" s="11"/>
      <c r="CH32" s="11" t="s">
        <v>300</v>
      </c>
      <c r="CI32" s="11" t="s">
        <v>301</v>
      </c>
      <c r="CJ32" s="11"/>
      <c r="CK32" s="11" t="s">
        <v>142</v>
      </c>
      <c r="CL32" s="11">
        <v>125</v>
      </c>
      <c r="CM32" s="11" t="s">
        <v>136</v>
      </c>
      <c r="CN32" s="11" t="s">
        <v>188</v>
      </c>
      <c r="CO32" s="11"/>
      <c r="CP32" s="11">
        <v>2</v>
      </c>
    </row>
    <row r="33" spans="1:94" ht="15.75" x14ac:dyDescent="0.25">
      <c r="A33" s="11" t="s">
        <v>281</v>
      </c>
      <c r="B33" s="11" t="s">
        <v>282</v>
      </c>
      <c r="C33" s="15">
        <v>3313600806</v>
      </c>
      <c r="D33" s="11"/>
      <c r="E33" s="11" t="s">
        <v>283</v>
      </c>
      <c r="F33" s="11"/>
      <c r="G33" s="11"/>
      <c r="H33" s="11" t="s">
        <v>258</v>
      </c>
      <c r="I33" s="11">
        <v>0</v>
      </c>
      <c r="J33" s="11" t="s">
        <v>143</v>
      </c>
      <c r="K33" s="11">
        <v>1</v>
      </c>
      <c r="L33" s="11"/>
      <c r="N33" s="22" t="s">
        <v>302</v>
      </c>
      <c r="O33" s="11" t="s">
        <v>215</v>
      </c>
      <c r="P33" s="15">
        <v>3310932686</v>
      </c>
      <c r="Q33" s="11"/>
      <c r="R33" s="23" t="s">
        <v>216</v>
      </c>
      <c r="S33" s="11"/>
      <c r="T33" s="11"/>
      <c r="U33" s="11" t="s">
        <v>142</v>
      </c>
      <c r="V33" s="11">
        <v>250</v>
      </c>
      <c r="W33" s="11" t="s">
        <v>136</v>
      </c>
      <c r="X33" s="11" t="s">
        <v>303</v>
      </c>
      <c r="Y33" s="11"/>
      <c r="AA33" s="22" t="s">
        <v>302</v>
      </c>
      <c r="AB33" s="11" t="s">
        <v>215</v>
      </c>
      <c r="AC33" s="15">
        <v>3310932686</v>
      </c>
      <c r="AD33" s="11"/>
      <c r="AE33" s="16" t="s">
        <v>216</v>
      </c>
      <c r="AF33" s="11" t="s">
        <v>217</v>
      </c>
      <c r="AG33" s="11" t="s">
        <v>203</v>
      </c>
      <c r="AH33" s="11" t="s">
        <v>142</v>
      </c>
      <c r="AI33" s="11">
        <v>187.5</v>
      </c>
      <c r="AJ33" s="11" t="s">
        <v>136</v>
      </c>
      <c r="AK33" s="11" t="s">
        <v>218</v>
      </c>
      <c r="AL33" s="11"/>
      <c r="AN33" s="11" t="s">
        <v>236</v>
      </c>
      <c r="AO33" s="11" t="s">
        <v>237</v>
      </c>
      <c r="AP33" s="15">
        <v>3311856312</v>
      </c>
      <c r="AQ33" s="11"/>
      <c r="AR33" s="16" t="s">
        <v>238</v>
      </c>
      <c r="AS33" s="11" t="s">
        <v>239</v>
      </c>
      <c r="AT33" s="11"/>
      <c r="AU33" s="11" t="s">
        <v>142</v>
      </c>
      <c r="AV33" s="11">
        <v>375</v>
      </c>
      <c r="AW33" s="11" t="s">
        <v>143</v>
      </c>
      <c r="AX33" s="11">
        <v>1</v>
      </c>
      <c r="AY33" s="11"/>
      <c r="AZ33" s="11">
        <v>1</v>
      </c>
      <c r="BB33" s="11" t="s">
        <v>270</v>
      </c>
      <c r="BC33" s="11" t="s">
        <v>271</v>
      </c>
      <c r="BD33" s="15">
        <v>3339582509</v>
      </c>
      <c r="BE33" s="11"/>
      <c r="BF33" s="11"/>
      <c r="BG33" s="11" t="s">
        <v>272</v>
      </c>
      <c r="BH33" s="11"/>
      <c r="BI33" s="11" t="s">
        <v>142</v>
      </c>
      <c r="BJ33" s="11">
        <v>400</v>
      </c>
      <c r="BK33" s="11" t="s">
        <v>143</v>
      </c>
      <c r="BL33" s="11">
        <v>10</v>
      </c>
      <c r="BM33" s="11"/>
      <c r="BN33" s="11">
        <v>2</v>
      </c>
      <c r="BP33" s="22" t="s">
        <v>214</v>
      </c>
      <c r="BQ33" s="11" t="s">
        <v>215</v>
      </c>
      <c r="BR33" s="15">
        <v>3310932686</v>
      </c>
      <c r="BS33" s="11"/>
      <c r="BT33" s="16" t="s">
        <v>216</v>
      </c>
      <c r="BU33" s="11" t="s">
        <v>217</v>
      </c>
      <c r="BV33" s="11" t="s">
        <v>203</v>
      </c>
      <c r="BW33" s="11" t="s">
        <v>142</v>
      </c>
      <c r="BX33" s="11">
        <v>187.5</v>
      </c>
      <c r="BY33" s="11" t="s">
        <v>136</v>
      </c>
      <c r="BZ33" s="11" t="s">
        <v>188</v>
      </c>
      <c r="CA33" s="11"/>
      <c r="CB33" s="11">
        <v>3</v>
      </c>
      <c r="CD33" s="11" t="s">
        <v>304</v>
      </c>
      <c r="CE33" s="11" t="s">
        <v>305</v>
      </c>
      <c r="CF33" s="15">
        <v>3334057358</v>
      </c>
      <c r="CG33" s="11"/>
      <c r="CH33" s="16" t="s">
        <v>306</v>
      </c>
      <c r="CI33" s="11" t="s">
        <v>307</v>
      </c>
      <c r="CJ33" s="11"/>
      <c r="CK33" s="11" t="s">
        <v>142</v>
      </c>
      <c r="CL33" s="11">
        <v>200</v>
      </c>
      <c r="CM33" s="11" t="s">
        <v>136</v>
      </c>
      <c r="CN33" s="11" t="s">
        <v>308</v>
      </c>
      <c r="CO33" s="11"/>
      <c r="CP33" s="11">
        <v>4</v>
      </c>
    </row>
    <row r="34" spans="1:94" ht="15.75" x14ac:dyDescent="0.25">
      <c r="A34" s="11" t="s">
        <v>309</v>
      </c>
      <c r="B34" s="11" t="s">
        <v>310</v>
      </c>
      <c r="C34" s="15">
        <v>3314277826</v>
      </c>
      <c r="D34" s="11"/>
      <c r="E34" s="11"/>
      <c r="F34" s="11" t="s">
        <v>311</v>
      </c>
      <c r="G34" s="11"/>
      <c r="H34" s="11" t="s">
        <v>142</v>
      </c>
      <c r="I34" s="11">
        <v>50</v>
      </c>
      <c r="J34" s="11" t="s">
        <v>143</v>
      </c>
      <c r="K34" s="11">
        <v>12</v>
      </c>
      <c r="L34" s="11"/>
      <c r="N34" s="22" t="s">
        <v>281</v>
      </c>
      <c r="O34" s="11" t="s">
        <v>282</v>
      </c>
      <c r="P34" s="15">
        <v>3313600806</v>
      </c>
      <c r="Q34" s="11"/>
      <c r="R34" s="11" t="s">
        <v>283</v>
      </c>
      <c r="S34" s="11"/>
      <c r="T34" s="11" t="s">
        <v>312</v>
      </c>
      <c r="U34" s="11" t="s">
        <v>204</v>
      </c>
      <c r="V34" s="11">
        <v>50</v>
      </c>
      <c r="W34" s="11" t="s">
        <v>143</v>
      </c>
      <c r="X34" s="11">
        <v>22</v>
      </c>
      <c r="Y34" s="11"/>
      <c r="AA34" s="11" t="s">
        <v>260</v>
      </c>
      <c r="AB34" s="11" t="s">
        <v>261</v>
      </c>
      <c r="AC34" s="15">
        <v>3317246984</v>
      </c>
      <c r="AD34" s="11"/>
      <c r="AE34" s="16" t="s">
        <v>262</v>
      </c>
      <c r="AF34" s="11" t="s">
        <v>263</v>
      </c>
      <c r="AG34" s="11"/>
      <c r="AH34" s="11" t="s">
        <v>142</v>
      </c>
      <c r="AI34" s="11">
        <v>200</v>
      </c>
      <c r="AJ34" s="11" t="s">
        <v>136</v>
      </c>
      <c r="AK34" s="11" t="s">
        <v>253</v>
      </c>
      <c r="AL34" s="11"/>
      <c r="AN34" s="22" t="s">
        <v>214</v>
      </c>
      <c r="AO34" s="11" t="s">
        <v>215</v>
      </c>
      <c r="AP34" s="15">
        <v>3310932686</v>
      </c>
      <c r="AQ34" s="11"/>
      <c r="AR34" s="16" t="s">
        <v>216</v>
      </c>
      <c r="AS34" s="11" t="s">
        <v>217</v>
      </c>
      <c r="AT34" s="11" t="s">
        <v>203</v>
      </c>
      <c r="AU34" s="11" t="s">
        <v>142</v>
      </c>
      <c r="AV34" s="11">
        <v>187.5</v>
      </c>
      <c r="AW34" s="11" t="s">
        <v>136</v>
      </c>
      <c r="AX34" s="11" t="s">
        <v>218</v>
      </c>
      <c r="AY34" s="11"/>
      <c r="AZ34" s="11">
        <v>1</v>
      </c>
      <c r="BB34" s="11" t="s">
        <v>281</v>
      </c>
      <c r="BC34" s="11" t="s">
        <v>282</v>
      </c>
      <c r="BD34" s="15">
        <v>3313600806</v>
      </c>
      <c r="BE34" s="11"/>
      <c r="BF34" s="11" t="s">
        <v>283</v>
      </c>
      <c r="BG34" s="11"/>
      <c r="BH34" s="11"/>
      <c r="BI34" s="11" t="s">
        <v>142</v>
      </c>
      <c r="BJ34" s="11">
        <v>50</v>
      </c>
      <c r="BK34" s="11" t="s">
        <v>143</v>
      </c>
      <c r="BL34" s="11">
        <v>30</v>
      </c>
      <c r="BM34" s="11"/>
      <c r="BN34" s="11">
        <v>2</v>
      </c>
      <c r="BP34" s="11" t="s">
        <v>266</v>
      </c>
      <c r="BQ34" s="11" t="s">
        <v>267</v>
      </c>
      <c r="BR34" s="15">
        <v>3338304373</v>
      </c>
      <c r="BS34" s="11">
        <v>10990107</v>
      </c>
      <c r="BT34" s="16" t="s">
        <v>268</v>
      </c>
      <c r="BU34" s="11" t="s">
        <v>269</v>
      </c>
      <c r="BV34" s="11"/>
      <c r="BW34" s="11" t="s">
        <v>212</v>
      </c>
      <c r="BX34" s="11">
        <v>187.5</v>
      </c>
      <c r="BY34" s="11" t="s">
        <v>136</v>
      </c>
      <c r="BZ34" s="11" t="s">
        <v>158</v>
      </c>
      <c r="CA34" s="11"/>
      <c r="CB34" s="11">
        <v>3</v>
      </c>
      <c r="CD34" s="11" t="s">
        <v>313</v>
      </c>
      <c r="CE34" s="11" t="s">
        <v>314</v>
      </c>
      <c r="CF34" s="15">
        <v>3331787364</v>
      </c>
      <c r="CG34" s="11"/>
      <c r="CH34" s="16" t="s">
        <v>315</v>
      </c>
      <c r="CI34" s="11" t="s">
        <v>316</v>
      </c>
      <c r="CJ34" s="11"/>
      <c r="CK34" s="11" t="s">
        <v>142</v>
      </c>
      <c r="CL34" s="11">
        <v>200</v>
      </c>
      <c r="CM34" s="11" t="s">
        <v>136</v>
      </c>
      <c r="CN34" s="11" t="s">
        <v>317</v>
      </c>
      <c r="CO34" s="11"/>
      <c r="CP34" s="11">
        <v>3</v>
      </c>
    </row>
    <row r="35" spans="1:94" ht="15.75" x14ac:dyDescent="0.25">
      <c r="A35" s="11" t="s">
        <v>318</v>
      </c>
      <c r="B35" s="11" t="s">
        <v>319</v>
      </c>
      <c r="C35" s="15">
        <v>3317314958</v>
      </c>
      <c r="D35" s="11">
        <v>17314958</v>
      </c>
      <c r="E35" s="16" t="s">
        <v>320</v>
      </c>
      <c r="F35" s="11" t="s">
        <v>321</v>
      </c>
      <c r="G35" s="11"/>
      <c r="H35" s="11" t="s">
        <v>142</v>
      </c>
      <c r="I35" s="11">
        <v>750</v>
      </c>
      <c r="J35" s="11" t="s">
        <v>136</v>
      </c>
      <c r="K35" s="11" t="s">
        <v>171</v>
      </c>
      <c r="L35" s="11"/>
      <c r="N35" s="11" t="s">
        <v>309</v>
      </c>
      <c r="O35" s="11" t="s">
        <v>310</v>
      </c>
      <c r="P35" s="15">
        <v>3314277826</v>
      </c>
      <c r="Q35" s="11"/>
      <c r="R35" s="11"/>
      <c r="S35" s="11" t="s">
        <v>311</v>
      </c>
      <c r="T35" s="11"/>
      <c r="U35" s="11" t="s">
        <v>142</v>
      </c>
      <c r="V35" s="11">
        <v>50</v>
      </c>
      <c r="W35" s="11" t="s">
        <v>143</v>
      </c>
      <c r="X35" s="11">
        <v>12</v>
      </c>
      <c r="Y35" s="11"/>
      <c r="AA35" s="11" t="s">
        <v>270</v>
      </c>
      <c r="AB35" s="11" t="s">
        <v>271</v>
      </c>
      <c r="AC35" s="15">
        <v>3339582509</v>
      </c>
      <c r="AD35" s="11"/>
      <c r="AE35" s="11"/>
      <c r="AF35" s="11" t="s">
        <v>272</v>
      </c>
      <c r="AG35" s="11"/>
      <c r="AH35" s="11" t="s">
        <v>142</v>
      </c>
      <c r="AI35" s="11">
        <v>500</v>
      </c>
      <c r="AJ35" s="11" t="s">
        <v>143</v>
      </c>
      <c r="AK35" s="11">
        <v>10</v>
      </c>
      <c r="AL35" s="11"/>
      <c r="AN35" s="11" t="s">
        <v>270</v>
      </c>
      <c r="AO35" s="11" t="s">
        <v>271</v>
      </c>
      <c r="AP35" s="15">
        <v>3339582509</v>
      </c>
      <c r="AQ35" s="11"/>
      <c r="AR35" s="11"/>
      <c r="AS35" s="11" t="s">
        <v>272</v>
      </c>
      <c r="AT35" s="11"/>
      <c r="AU35" s="11" t="s">
        <v>142</v>
      </c>
      <c r="AV35" s="11">
        <v>400</v>
      </c>
      <c r="AW35" s="11" t="s">
        <v>143</v>
      </c>
      <c r="AX35" s="11">
        <v>10</v>
      </c>
      <c r="AY35" s="11"/>
      <c r="AZ35" s="11">
        <v>1</v>
      </c>
      <c r="BB35" s="11" t="s">
        <v>318</v>
      </c>
      <c r="BC35" s="11" t="s">
        <v>319</v>
      </c>
      <c r="BD35" s="15">
        <v>3317314958</v>
      </c>
      <c r="BE35" s="11">
        <v>17314958</v>
      </c>
      <c r="BF35" s="16" t="s">
        <v>320</v>
      </c>
      <c r="BG35" s="11" t="s">
        <v>321</v>
      </c>
      <c r="BH35" s="11"/>
      <c r="BI35" s="11" t="s">
        <v>142</v>
      </c>
      <c r="BJ35" s="11">
        <v>187.5</v>
      </c>
      <c r="BK35" s="11" t="s">
        <v>136</v>
      </c>
      <c r="BL35" s="11" t="s">
        <v>322</v>
      </c>
      <c r="BM35" s="11"/>
      <c r="BN35" s="11">
        <v>1</v>
      </c>
      <c r="BP35" s="11" t="s">
        <v>236</v>
      </c>
      <c r="BQ35" s="11" t="s">
        <v>237</v>
      </c>
      <c r="BR35" s="15">
        <v>3311856312</v>
      </c>
      <c r="BS35" s="11"/>
      <c r="BT35" s="16" t="s">
        <v>238</v>
      </c>
      <c r="BU35" s="11" t="s">
        <v>239</v>
      </c>
      <c r="BV35" s="11"/>
      <c r="BW35" s="11" t="s">
        <v>142</v>
      </c>
      <c r="BX35" s="11">
        <v>375</v>
      </c>
      <c r="BY35" s="11" t="s">
        <v>143</v>
      </c>
      <c r="BZ35" s="11">
        <v>6</v>
      </c>
      <c r="CA35" s="11"/>
      <c r="CB35" s="11">
        <v>3</v>
      </c>
      <c r="CD35" s="11" t="s">
        <v>323</v>
      </c>
      <c r="CE35" s="11" t="s">
        <v>324</v>
      </c>
      <c r="CF35" s="15">
        <v>3335591738</v>
      </c>
      <c r="CG35" s="11"/>
      <c r="CH35" s="16" t="s">
        <v>160</v>
      </c>
      <c r="CI35" s="11" t="s">
        <v>161</v>
      </c>
      <c r="CJ35" s="11"/>
      <c r="CK35" s="11" t="s">
        <v>142</v>
      </c>
      <c r="CL35" s="11">
        <v>100</v>
      </c>
      <c r="CM35" s="11" t="s">
        <v>136</v>
      </c>
      <c r="CN35" s="11" t="s">
        <v>325</v>
      </c>
      <c r="CO35" s="11"/>
      <c r="CP35" s="11">
        <v>4</v>
      </c>
    </row>
    <row r="36" spans="1:94" ht="15.75" x14ac:dyDescent="0.25">
      <c r="A36" s="11" t="s">
        <v>293</v>
      </c>
      <c r="B36" s="11" t="s">
        <v>294</v>
      </c>
      <c r="C36" s="15">
        <v>3314412645</v>
      </c>
      <c r="D36" s="11"/>
      <c r="E36" s="16"/>
      <c r="F36" s="11" t="s">
        <v>295</v>
      </c>
      <c r="G36" s="11"/>
      <c r="H36" s="11" t="s">
        <v>142</v>
      </c>
      <c r="I36" s="11">
        <v>200</v>
      </c>
      <c r="J36" s="11" t="s">
        <v>136</v>
      </c>
      <c r="K36" s="11">
        <v>2</v>
      </c>
      <c r="L36" s="11"/>
      <c r="N36" s="22" t="s">
        <v>326</v>
      </c>
      <c r="O36" s="11" t="s">
        <v>327</v>
      </c>
      <c r="P36" s="15">
        <v>3318451485</v>
      </c>
      <c r="Q36" s="11"/>
      <c r="R36" s="11" t="s">
        <v>328</v>
      </c>
      <c r="S36" s="11" t="s">
        <v>329</v>
      </c>
      <c r="T36" s="11" t="s">
        <v>203</v>
      </c>
      <c r="U36" s="11" t="s">
        <v>204</v>
      </c>
      <c r="V36" s="11">
        <v>50</v>
      </c>
      <c r="W36" s="11" t="s">
        <v>143</v>
      </c>
      <c r="X36" s="11">
        <v>24</v>
      </c>
      <c r="Y36" s="11"/>
      <c r="AA36" s="11" t="s">
        <v>281</v>
      </c>
      <c r="AB36" s="11" t="s">
        <v>282</v>
      </c>
      <c r="AC36" s="15">
        <v>3313600806</v>
      </c>
      <c r="AD36" s="11"/>
      <c r="AE36" s="11" t="s">
        <v>283</v>
      </c>
      <c r="AF36" s="11"/>
      <c r="AG36" s="11"/>
      <c r="AH36" s="11" t="s">
        <v>142</v>
      </c>
      <c r="AI36" s="11">
        <v>50</v>
      </c>
      <c r="AJ36" s="11" t="s">
        <v>143</v>
      </c>
      <c r="AK36" s="11">
        <v>30</v>
      </c>
      <c r="AL36" s="11"/>
      <c r="AN36" s="11" t="s">
        <v>281</v>
      </c>
      <c r="AO36" s="11" t="s">
        <v>282</v>
      </c>
      <c r="AP36" s="15">
        <v>3313600806</v>
      </c>
      <c r="AQ36" s="11"/>
      <c r="AR36" s="11" t="s">
        <v>283</v>
      </c>
      <c r="AS36" s="11"/>
      <c r="AT36" s="11"/>
      <c r="AU36" s="11" t="s">
        <v>142</v>
      </c>
      <c r="AV36" s="11">
        <v>50</v>
      </c>
      <c r="AW36" s="11" t="s">
        <v>143</v>
      </c>
      <c r="AX36" s="11">
        <v>31</v>
      </c>
      <c r="AY36" s="11"/>
      <c r="AZ36" s="11">
        <v>1</v>
      </c>
      <c r="BB36" s="11" t="s">
        <v>293</v>
      </c>
      <c r="BC36" s="11" t="s">
        <v>294</v>
      </c>
      <c r="BD36" s="15">
        <v>3314412645</v>
      </c>
      <c r="BE36" s="11"/>
      <c r="BF36" s="23"/>
      <c r="BG36" s="11" t="s">
        <v>295</v>
      </c>
      <c r="BH36" s="11"/>
      <c r="BI36" s="11" t="s">
        <v>142</v>
      </c>
      <c r="BJ36" s="11">
        <v>200</v>
      </c>
      <c r="BK36" s="11" t="s">
        <v>136</v>
      </c>
      <c r="BL36" s="11" t="s">
        <v>162</v>
      </c>
      <c r="BM36" s="11"/>
      <c r="BN36" s="11">
        <v>2</v>
      </c>
      <c r="BP36" s="11" t="s">
        <v>246</v>
      </c>
      <c r="BQ36" s="11" t="s">
        <v>247</v>
      </c>
      <c r="BR36" s="15">
        <v>3312326066</v>
      </c>
      <c r="BS36" s="11"/>
      <c r="BT36" s="16" t="s">
        <v>248</v>
      </c>
      <c r="BU36" s="11" t="s">
        <v>249</v>
      </c>
      <c r="BV36" s="11" t="s">
        <v>250</v>
      </c>
      <c r="BW36" s="11" t="s">
        <v>142</v>
      </c>
      <c r="BX36" s="11">
        <v>250</v>
      </c>
      <c r="BY36" s="11" t="s">
        <v>136</v>
      </c>
      <c r="BZ36" s="11" t="s">
        <v>175</v>
      </c>
      <c r="CA36" s="11" t="s">
        <v>330</v>
      </c>
      <c r="CB36" s="11">
        <v>1</v>
      </c>
      <c r="CD36" s="11" t="s">
        <v>331</v>
      </c>
      <c r="CE36" s="11" t="s">
        <v>332</v>
      </c>
      <c r="CF36" s="15">
        <v>3311392611</v>
      </c>
      <c r="CG36" s="11"/>
      <c r="CH36" s="23" t="s">
        <v>333</v>
      </c>
      <c r="CI36" s="11" t="s">
        <v>334</v>
      </c>
      <c r="CJ36" s="11"/>
      <c r="CK36" s="11" t="s">
        <v>142</v>
      </c>
      <c r="CL36" s="11">
        <v>200</v>
      </c>
      <c r="CM36" s="11" t="s">
        <v>136</v>
      </c>
      <c r="CN36" s="11"/>
      <c r="CO36" s="11"/>
      <c r="CP36" s="11">
        <v>3</v>
      </c>
    </row>
    <row r="37" spans="1:94" ht="15.75" x14ac:dyDescent="0.25">
      <c r="A37" s="11" t="s">
        <v>304</v>
      </c>
      <c r="B37" s="11" t="s">
        <v>305</v>
      </c>
      <c r="C37" s="15">
        <v>3334057358</v>
      </c>
      <c r="D37" s="11"/>
      <c r="E37" s="16" t="s">
        <v>306</v>
      </c>
      <c r="F37" s="11" t="s">
        <v>307</v>
      </c>
      <c r="G37" s="11"/>
      <c r="H37" s="11" t="s">
        <v>142</v>
      </c>
      <c r="I37" s="11">
        <v>750</v>
      </c>
      <c r="J37" s="11" t="s">
        <v>136</v>
      </c>
      <c r="K37" s="11" t="s">
        <v>308</v>
      </c>
      <c r="L37" s="11"/>
      <c r="N37" s="11" t="s">
        <v>318</v>
      </c>
      <c r="O37" s="11" t="s">
        <v>319</v>
      </c>
      <c r="P37" s="15">
        <v>3317314958</v>
      </c>
      <c r="Q37" s="11">
        <v>17314958</v>
      </c>
      <c r="R37" s="23" t="s">
        <v>320</v>
      </c>
      <c r="S37" s="11" t="s">
        <v>321</v>
      </c>
      <c r="T37" s="11"/>
      <c r="U37" s="11" t="s">
        <v>142</v>
      </c>
      <c r="V37" s="11">
        <v>750</v>
      </c>
      <c r="W37" s="11" t="s">
        <v>136</v>
      </c>
      <c r="X37" s="11" t="s">
        <v>158</v>
      </c>
      <c r="Y37" s="11"/>
      <c r="AA37" s="11" t="s">
        <v>326</v>
      </c>
      <c r="AB37" s="11" t="s">
        <v>327</v>
      </c>
      <c r="AC37" s="15">
        <v>3318451485</v>
      </c>
      <c r="AD37" s="11"/>
      <c r="AE37" s="11" t="s">
        <v>328</v>
      </c>
      <c r="AF37" s="11" t="s">
        <v>329</v>
      </c>
      <c r="AG37" s="11"/>
      <c r="AH37" s="11" t="s">
        <v>258</v>
      </c>
      <c r="AI37" s="11">
        <v>50</v>
      </c>
      <c r="AJ37" s="11" t="s">
        <v>143</v>
      </c>
      <c r="AK37" s="11">
        <v>4</v>
      </c>
      <c r="AL37" s="11"/>
      <c r="AN37" s="11" t="s">
        <v>326</v>
      </c>
      <c r="AO37" s="11" t="s">
        <v>327</v>
      </c>
      <c r="AP37" s="15">
        <v>3318451485</v>
      </c>
      <c r="AQ37" s="11"/>
      <c r="AR37" s="11" t="s">
        <v>328</v>
      </c>
      <c r="AS37" s="11" t="s">
        <v>329</v>
      </c>
      <c r="AT37" s="11"/>
      <c r="AU37" s="11" t="s">
        <v>142</v>
      </c>
      <c r="AV37" s="11">
        <v>50</v>
      </c>
      <c r="AW37" s="11" t="s">
        <v>143</v>
      </c>
      <c r="AX37" s="11">
        <v>4</v>
      </c>
      <c r="AY37" s="11"/>
      <c r="AZ37" s="11">
        <v>1</v>
      </c>
      <c r="BB37" s="11" t="s">
        <v>298</v>
      </c>
      <c r="BC37" s="11" t="s">
        <v>299</v>
      </c>
      <c r="BD37" s="15">
        <v>3310967806</v>
      </c>
      <c r="BE37" s="11"/>
      <c r="BF37" s="11" t="s">
        <v>300</v>
      </c>
      <c r="BG37" s="11" t="s">
        <v>301</v>
      </c>
      <c r="BH37" s="11"/>
      <c r="BI37" s="11" t="s">
        <v>142</v>
      </c>
      <c r="BJ37" s="11">
        <v>125</v>
      </c>
      <c r="BK37" s="11" t="s">
        <v>136</v>
      </c>
      <c r="BL37" s="11" t="s">
        <v>188</v>
      </c>
      <c r="BM37" s="11"/>
      <c r="BN37" s="11">
        <v>1</v>
      </c>
      <c r="BP37" s="11" t="s">
        <v>260</v>
      </c>
      <c r="BQ37" s="11" t="s">
        <v>261</v>
      </c>
      <c r="BR37" s="15">
        <v>3317246984</v>
      </c>
      <c r="BS37" s="11"/>
      <c r="BT37" s="16" t="s">
        <v>262</v>
      </c>
      <c r="BU37" s="11" t="s">
        <v>263</v>
      </c>
      <c r="BV37" s="11"/>
      <c r="BW37" s="11" t="s">
        <v>142</v>
      </c>
      <c r="BX37" s="11">
        <v>200</v>
      </c>
      <c r="BY37" s="11" t="s">
        <v>136</v>
      </c>
      <c r="BZ37" s="11" t="s">
        <v>335</v>
      </c>
      <c r="CA37" s="11"/>
      <c r="CB37" s="11">
        <v>1</v>
      </c>
      <c r="CD37" s="22" t="s">
        <v>336</v>
      </c>
      <c r="CE37" s="11" t="s">
        <v>337</v>
      </c>
      <c r="CF37" s="15">
        <v>3314103650</v>
      </c>
      <c r="CG37" s="11"/>
      <c r="CH37" s="16" t="s">
        <v>338</v>
      </c>
      <c r="CI37" s="11" t="s">
        <v>321</v>
      </c>
      <c r="CJ37" s="11" t="s">
        <v>203</v>
      </c>
      <c r="CK37" s="11" t="s">
        <v>142</v>
      </c>
      <c r="CL37" s="11">
        <v>200</v>
      </c>
      <c r="CM37" s="11" t="s">
        <v>210</v>
      </c>
      <c r="CN37" s="11" t="s">
        <v>339</v>
      </c>
      <c r="CO37" s="11"/>
      <c r="CP37" s="11">
        <v>4</v>
      </c>
    </row>
    <row r="38" spans="1:94" ht="15.75" x14ac:dyDescent="0.25">
      <c r="A38" s="11" t="s">
        <v>340</v>
      </c>
      <c r="B38" s="11" t="s">
        <v>341</v>
      </c>
      <c r="C38" s="15">
        <v>3336777441</v>
      </c>
      <c r="D38" s="11">
        <v>38231337</v>
      </c>
      <c r="E38" s="16" t="s">
        <v>342</v>
      </c>
      <c r="F38" s="11" t="s">
        <v>343</v>
      </c>
      <c r="G38" s="11" t="s">
        <v>250</v>
      </c>
      <c r="H38" s="11" t="s">
        <v>142</v>
      </c>
      <c r="I38" s="11">
        <v>250</v>
      </c>
      <c r="J38" s="11" t="s">
        <v>136</v>
      </c>
      <c r="K38" s="11" t="s">
        <v>245</v>
      </c>
      <c r="L38" s="11" t="s">
        <v>330</v>
      </c>
      <c r="N38" s="11" t="s">
        <v>304</v>
      </c>
      <c r="O38" s="11" t="s">
        <v>305</v>
      </c>
      <c r="P38" s="15">
        <v>3334057358</v>
      </c>
      <c r="Q38" s="11"/>
      <c r="R38" s="16" t="s">
        <v>306</v>
      </c>
      <c r="S38" s="11" t="s">
        <v>307</v>
      </c>
      <c r="T38" s="11"/>
      <c r="U38" s="11" t="s">
        <v>142</v>
      </c>
      <c r="V38" s="11">
        <v>750</v>
      </c>
      <c r="W38" s="11" t="s">
        <v>136</v>
      </c>
      <c r="X38" s="11" t="s">
        <v>308</v>
      </c>
      <c r="Y38" s="11"/>
      <c r="AA38" s="11" t="s">
        <v>318</v>
      </c>
      <c r="AB38" s="11" t="s">
        <v>319</v>
      </c>
      <c r="AC38" s="15">
        <v>3317314958</v>
      </c>
      <c r="AD38" s="11">
        <v>17314958</v>
      </c>
      <c r="AE38" s="16" t="s">
        <v>320</v>
      </c>
      <c r="AF38" s="11" t="s">
        <v>321</v>
      </c>
      <c r="AG38" s="11"/>
      <c r="AH38" s="11" t="s">
        <v>142</v>
      </c>
      <c r="AI38" s="11">
        <v>187.5</v>
      </c>
      <c r="AJ38" s="11" t="s">
        <v>136</v>
      </c>
      <c r="AK38" s="11" t="s">
        <v>322</v>
      </c>
      <c r="AL38" s="11"/>
      <c r="AN38" s="11" t="s">
        <v>293</v>
      </c>
      <c r="AO38" s="11" t="s">
        <v>294</v>
      </c>
      <c r="AP38" s="15">
        <v>3314412645</v>
      </c>
      <c r="AQ38" s="11"/>
      <c r="AR38" s="16"/>
      <c r="AS38" s="11" t="s">
        <v>295</v>
      </c>
      <c r="AT38" s="11"/>
      <c r="AU38" s="11" t="s">
        <v>142</v>
      </c>
      <c r="AV38" s="11">
        <v>200</v>
      </c>
      <c r="AW38" s="11" t="s">
        <v>136</v>
      </c>
      <c r="AX38" s="11" t="s">
        <v>162</v>
      </c>
      <c r="AY38" s="11"/>
      <c r="AZ38" s="11">
        <v>1</v>
      </c>
      <c r="BB38" s="11" t="s">
        <v>304</v>
      </c>
      <c r="BC38" s="11" t="s">
        <v>305</v>
      </c>
      <c r="BD38" s="15">
        <v>3334057358</v>
      </c>
      <c r="BE38" s="11"/>
      <c r="BF38" s="16" t="s">
        <v>306</v>
      </c>
      <c r="BG38" s="11" t="s">
        <v>307</v>
      </c>
      <c r="BH38" s="11"/>
      <c r="BI38" s="11" t="s">
        <v>251</v>
      </c>
      <c r="BJ38" s="11">
        <v>60</v>
      </c>
      <c r="BK38" s="11" t="s">
        <v>136</v>
      </c>
      <c r="BL38" s="11"/>
      <c r="BM38" s="11"/>
      <c r="BN38" s="11">
        <v>2</v>
      </c>
      <c r="BP38" s="11" t="s">
        <v>270</v>
      </c>
      <c r="BQ38" s="11" t="s">
        <v>271</v>
      </c>
      <c r="BR38" s="15">
        <v>3339582509</v>
      </c>
      <c r="BS38" s="11"/>
      <c r="BT38" s="11"/>
      <c r="BU38" s="11" t="s">
        <v>272</v>
      </c>
      <c r="BV38" s="11"/>
      <c r="BW38" s="11" t="s">
        <v>142</v>
      </c>
      <c r="BX38" s="11">
        <v>400</v>
      </c>
      <c r="BY38" s="11" t="s">
        <v>143</v>
      </c>
      <c r="BZ38" s="11">
        <v>10</v>
      </c>
      <c r="CA38" s="11"/>
      <c r="CB38" s="11">
        <v>3</v>
      </c>
      <c r="CD38" s="11" t="s">
        <v>344</v>
      </c>
      <c r="CE38" s="11" t="s">
        <v>345</v>
      </c>
      <c r="CF38" s="15">
        <v>3311185434</v>
      </c>
      <c r="CG38" s="11"/>
      <c r="CH38" s="16" t="s">
        <v>346</v>
      </c>
      <c r="CI38" s="11" t="s">
        <v>347</v>
      </c>
      <c r="CJ38" s="11"/>
      <c r="CK38" s="11" t="s">
        <v>142</v>
      </c>
      <c r="CL38" s="11">
        <v>187.5</v>
      </c>
      <c r="CM38" s="11" t="s">
        <v>136</v>
      </c>
      <c r="CN38" s="11" t="s">
        <v>348</v>
      </c>
      <c r="CO38" s="11"/>
      <c r="CP38" s="11">
        <v>4</v>
      </c>
    </row>
    <row r="39" spans="1:94" ht="15.75" x14ac:dyDescent="0.25">
      <c r="A39" s="11" t="s">
        <v>313</v>
      </c>
      <c r="B39" s="11" t="s">
        <v>314</v>
      </c>
      <c r="C39" s="15">
        <v>3331787364</v>
      </c>
      <c r="D39" s="11"/>
      <c r="E39" s="16" t="s">
        <v>315</v>
      </c>
      <c r="F39" s="11" t="s">
        <v>316</v>
      </c>
      <c r="G39" s="11"/>
      <c r="H39" s="11" t="s">
        <v>142</v>
      </c>
      <c r="I39" s="11">
        <v>750</v>
      </c>
      <c r="J39" s="11" t="s">
        <v>136</v>
      </c>
      <c r="K39" s="11" t="s">
        <v>188</v>
      </c>
      <c r="L39" s="11"/>
      <c r="N39" s="11" t="s">
        <v>340</v>
      </c>
      <c r="O39" s="11" t="s">
        <v>341</v>
      </c>
      <c r="P39" s="15">
        <v>3336777441</v>
      </c>
      <c r="Q39" s="11">
        <v>38231337</v>
      </c>
      <c r="R39" s="16" t="s">
        <v>342</v>
      </c>
      <c r="S39" s="11" t="s">
        <v>343</v>
      </c>
      <c r="T39" s="11" t="s">
        <v>250</v>
      </c>
      <c r="U39" s="11" t="s">
        <v>142</v>
      </c>
      <c r="V39" s="11">
        <v>200</v>
      </c>
      <c r="W39" s="11" t="s">
        <v>136</v>
      </c>
      <c r="X39" s="11" t="s">
        <v>245</v>
      </c>
      <c r="Y39" s="11"/>
      <c r="AA39" s="11" t="s">
        <v>304</v>
      </c>
      <c r="AB39" s="11" t="s">
        <v>305</v>
      </c>
      <c r="AC39" s="15">
        <v>3334057358</v>
      </c>
      <c r="AD39" s="11"/>
      <c r="AE39" s="16" t="s">
        <v>306</v>
      </c>
      <c r="AF39" s="11" t="s">
        <v>307</v>
      </c>
      <c r="AG39" s="11"/>
      <c r="AH39" s="11" t="s">
        <v>142</v>
      </c>
      <c r="AI39" s="11">
        <v>187.5</v>
      </c>
      <c r="AJ39" s="11" t="s">
        <v>136</v>
      </c>
      <c r="AK39" s="11" t="s">
        <v>308</v>
      </c>
      <c r="AL39" s="11"/>
      <c r="AN39" s="11" t="s">
        <v>304</v>
      </c>
      <c r="AO39" s="11" t="s">
        <v>305</v>
      </c>
      <c r="AP39" s="15">
        <v>3334057358</v>
      </c>
      <c r="AQ39" s="11"/>
      <c r="AR39" s="16" t="s">
        <v>306</v>
      </c>
      <c r="AS39" s="11" t="s">
        <v>307</v>
      </c>
      <c r="AT39" s="11"/>
      <c r="AU39" s="11" t="s">
        <v>251</v>
      </c>
      <c r="AV39" s="11">
        <v>187.5</v>
      </c>
      <c r="AW39" s="11" t="s">
        <v>136</v>
      </c>
      <c r="AX39" s="11"/>
      <c r="AY39" s="11"/>
      <c r="AZ39" s="11">
        <v>1</v>
      </c>
      <c r="BB39" s="11" t="s">
        <v>340</v>
      </c>
      <c r="BC39" s="11" t="s">
        <v>341</v>
      </c>
      <c r="BD39" s="15">
        <v>3336777441</v>
      </c>
      <c r="BE39" s="11">
        <v>38231337</v>
      </c>
      <c r="BF39" s="16" t="s">
        <v>342</v>
      </c>
      <c r="BG39" s="11" t="s">
        <v>343</v>
      </c>
      <c r="BH39" s="11" t="s">
        <v>250</v>
      </c>
      <c r="BI39" s="11" t="s">
        <v>142</v>
      </c>
      <c r="BJ39" s="11">
        <v>200</v>
      </c>
      <c r="BK39" s="11" t="s">
        <v>136</v>
      </c>
      <c r="BL39" s="11" t="s">
        <v>245</v>
      </c>
      <c r="BM39" s="11"/>
      <c r="BN39" s="11">
        <v>2</v>
      </c>
      <c r="BP39" s="11" t="s">
        <v>281</v>
      </c>
      <c r="BQ39" s="11" t="s">
        <v>282</v>
      </c>
      <c r="BR39" s="15">
        <v>3313600806</v>
      </c>
      <c r="BS39" s="11"/>
      <c r="BT39" s="11" t="s">
        <v>283</v>
      </c>
      <c r="BU39" s="11"/>
      <c r="BV39" s="11"/>
      <c r="BW39" s="11" t="s">
        <v>142</v>
      </c>
      <c r="BX39" s="11">
        <v>50</v>
      </c>
      <c r="BY39" s="11" t="s">
        <v>143</v>
      </c>
      <c r="BZ39" s="11">
        <v>30</v>
      </c>
      <c r="CA39" s="11"/>
      <c r="CB39" s="11">
        <v>3</v>
      </c>
      <c r="CD39" s="11" t="s">
        <v>349</v>
      </c>
      <c r="CE39" s="11" t="s">
        <v>350</v>
      </c>
      <c r="CF39" s="15">
        <v>3314415732</v>
      </c>
      <c r="CG39" s="11">
        <v>36275564</v>
      </c>
      <c r="CH39" s="16" t="s">
        <v>351</v>
      </c>
      <c r="CI39" s="11" t="s">
        <v>352</v>
      </c>
      <c r="CJ39" s="11" t="s">
        <v>203</v>
      </c>
      <c r="CK39" s="11" t="s">
        <v>142</v>
      </c>
      <c r="CL39" s="11">
        <v>187.5</v>
      </c>
      <c r="CM39" s="11" t="s">
        <v>136</v>
      </c>
      <c r="CN39" s="11" t="s">
        <v>353</v>
      </c>
      <c r="CO39" s="11"/>
      <c r="CP39" s="11">
        <v>4</v>
      </c>
    </row>
    <row r="40" spans="1:94" ht="15.75" x14ac:dyDescent="0.25">
      <c r="A40" s="11" t="s">
        <v>331</v>
      </c>
      <c r="B40" s="11" t="s">
        <v>332</v>
      </c>
      <c r="C40" s="15">
        <v>3311392611</v>
      </c>
      <c r="D40" s="11"/>
      <c r="E40" s="23" t="s">
        <v>333</v>
      </c>
      <c r="F40" s="11" t="s">
        <v>334</v>
      </c>
      <c r="G40" s="11"/>
      <c r="H40" s="11" t="s">
        <v>142</v>
      </c>
      <c r="I40" s="11">
        <v>750</v>
      </c>
      <c r="J40" s="11" t="s">
        <v>136</v>
      </c>
      <c r="K40" s="11" t="s">
        <v>146</v>
      </c>
      <c r="L40" s="11"/>
      <c r="N40" s="11" t="s">
        <v>313</v>
      </c>
      <c r="O40" s="11" t="s">
        <v>314</v>
      </c>
      <c r="P40" s="15">
        <v>3331787364</v>
      </c>
      <c r="Q40" s="11"/>
      <c r="R40" s="16" t="s">
        <v>315</v>
      </c>
      <c r="S40" s="11" t="s">
        <v>316</v>
      </c>
      <c r="T40" s="11"/>
      <c r="U40" s="11" t="s">
        <v>142</v>
      </c>
      <c r="V40" s="11">
        <v>750</v>
      </c>
      <c r="W40" s="11" t="s">
        <v>136</v>
      </c>
      <c r="X40" s="11" t="s">
        <v>188</v>
      </c>
      <c r="Y40" s="11"/>
      <c r="AA40" s="11" t="s">
        <v>340</v>
      </c>
      <c r="AB40" s="11" t="s">
        <v>341</v>
      </c>
      <c r="AC40" s="15">
        <v>3336777441</v>
      </c>
      <c r="AD40" s="11">
        <v>38231337</v>
      </c>
      <c r="AE40" s="23" t="s">
        <v>342</v>
      </c>
      <c r="AF40" s="11" t="s">
        <v>343</v>
      </c>
      <c r="AG40" s="11" t="s">
        <v>250</v>
      </c>
      <c r="AH40" s="11" t="s">
        <v>142</v>
      </c>
      <c r="AI40" s="11">
        <v>200</v>
      </c>
      <c r="AJ40" s="11" t="s">
        <v>136</v>
      </c>
      <c r="AK40" s="11">
        <v>5</v>
      </c>
      <c r="AL40" s="11"/>
      <c r="AN40" s="11" t="s">
        <v>313</v>
      </c>
      <c r="AO40" s="11" t="s">
        <v>314</v>
      </c>
      <c r="AP40" s="15">
        <v>3331787364</v>
      </c>
      <c r="AQ40" s="11"/>
      <c r="AR40" s="16" t="s">
        <v>315</v>
      </c>
      <c r="AS40" s="11" t="s">
        <v>316</v>
      </c>
      <c r="AT40" s="11"/>
      <c r="AU40" s="11" t="s">
        <v>142</v>
      </c>
      <c r="AV40" s="11">
        <v>187.5</v>
      </c>
      <c r="AW40" s="11" t="s">
        <v>136</v>
      </c>
      <c r="AX40" s="11" t="s">
        <v>171</v>
      </c>
      <c r="AY40" s="11"/>
      <c r="AZ40" s="11">
        <v>1</v>
      </c>
      <c r="BB40" s="11" t="s">
        <v>323</v>
      </c>
      <c r="BC40" s="11" t="s">
        <v>324</v>
      </c>
      <c r="BD40" s="15">
        <v>3335591738</v>
      </c>
      <c r="BE40" s="11"/>
      <c r="BF40" s="16" t="s">
        <v>160</v>
      </c>
      <c r="BG40" s="11" t="s">
        <v>161</v>
      </c>
      <c r="BH40" s="11"/>
      <c r="BI40" s="11" t="s">
        <v>142</v>
      </c>
      <c r="BJ40" s="11">
        <v>100</v>
      </c>
      <c r="BK40" s="11" t="s">
        <v>136</v>
      </c>
      <c r="BL40" s="11" t="s">
        <v>325</v>
      </c>
      <c r="BM40" s="11"/>
      <c r="BN40" s="11">
        <v>2</v>
      </c>
      <c r="BP40" s="11" t="s">
        <v>326</v>
      </c>
      <c r="BQ40" s="11" t="s">
        <v>327</v>
      </c>
      <c r="BR40" s="15">
        <v>3318451485</v>
      </c>
      <c r="BS40" s="11"/>
      <c r="BT40" s="11" t="s">
        <v>328</v>
      </c>
      <c r="BU40" s="11" t="s">
        <v>329</v>
      </c>
      <c r="BV40" s="11"/>
      <c r="BW40" s="11" t="s">
        <v>142</v>
      </c>
      <c r="BX40" s="11">
        <v>50</v>
      </c>
      <c r="BY40" s="11" t="s">
        <v>143</v>
      </c>
      <c r="BZ40" s="11">
        <v>11</v>
      </c>
      <c r="CA40" s="11"/>
      <c r="CB40" s="11">
        <v>2</v>
      </c>
      <c r="CD40" s="11" t="s">
        <v>354</v>
      </c>
      <c r="CE40" s="11" t="s">
        <v>355</v>
      </c>
      <c r="CF40" s="15">
        <v>3315508402</v>
      </c>
      <c r="CG40" s="11"/>
      <c r="CH40" s="23" t="s">
        <v>356</v>
      </c>
      <c r="CI40" s="11" t="s">
        <v>357</v>
      </c>
      <c r="CJ40" s="11" t="s">
        <v>203</v>
      </c>
      <c r="CK40" s="11" t="s">
        <v>142</v>
      </c>
      <c r="CL40" s="11">
        <v>187.5</v>
      </c>
      <c r="CM40" s="11" t="s">
        <v>136</v>
      </c>
      <c r="CN40" s="11" t="s">
        <v>358</v>
      </c>
      <c r="CO40" s="11"/>
      <c r="CP40" s="11">
        <v>4</v>
      </c>
    </row>
    <row r="41" spans="1:94" ht="15.75" x14ac:dyDescent="0.25">
      <c r="A41" s="11" t="s">
        <v>359</v>
      </c>
      <c r="B41" s="11" t="s">
        <v>360</v>
      </c>
      <c r="C41" s="15">
        <v>3339683396</v>
      </c>
      <c r="D41" s="11"/>
      <c r="E41" s="16" t="s">
        <v>361</v>
      </c>
      <c r="F41" s="11"/>
      <c r="G41" s="11"/>
      <c r="H41" s="11" t="s">
        <v>142</v>
      </c>
      <c r="I41" s="11">
        <v>400</v>
      </c>
      <c r="J41" s="11" t="s">
        <v>143</v>
      </c>
      <c r="K41" s="11">
        <v>7</v>
      </c>
      <c r="L41" s="11"/>
      <c r="N41" s="11" t="s">
        <v>331</v>
      </c>
      <c r="O41" s="11" t="s">
        <v>332</v>
      </c>
      <c r="P41" s="15">
        <v>3311392611</v>
      </c>
      <c r="Q41" s="11"/>
      <c r="R41" s="16" t="s">
        <v>333</v>
      </c>
      <c r="S41" s="11" t="s">
        <v>334</v>
      </c>
      <c r="T41" s="11"/>
      <c r="U41" s="11" t="s">
        <v>142</v>
      </c>
      <c r="V41" s="11">
        <v>750</v>
      </c>
      <c r="W41" s="11" t="s">
        <v>136</v>
      </c>
      <c r="X41" s="11" t="s">
        <v>362</v>
      </c>
      <c r="Y41" s="11"/>
      <c r="AA41" s="11" t="s">
        <v>363</v>
      </c>
      <c r="AB41" s="11" t="s">
        <v>364</v>
      </c>
      <c r="AC41" s="15">
        <v>3319582152</v>
      </c>
      <c r="AD41" s="11"/>
      <c r="AE41" s="16" t="s">
        <v>365</v>
      </c>
      <c r="AF41" s="11" t="s">
        <v>366</v>
      </c>
      <c r="AG41" s="11"/>
      <c r="AH41" s="11" t="s">
        <v>142</v>
      </c>
      <c r="AI41" s="11">
        <v>200</v>
      </c>
      <c r="AJ41" s="11" t="s">
        <v>136</v>
      </c>
      <c r="AK41" s="11" t="s">
        <v>252</v>
      </c>
      <c r="AL41" s="11"/>
      <c r="AN41" s="11" t="s">
        <v>331</v>
      </c>
      <c r="AO41" s="11" t="s">
        <v>332</v>
      </c>
      <c r="AP41" s="15">
        <v>3311392611</v>
      </c>
      <c r="AQ41" s="11"/>
      <c r="AR41" s="16" t="s">
        <v>333</v>
      </c>
      <c r="AS41" s="11" t="s">
        <v>334</v>
      </c>
      <c r="AT41" s="11"/>
      <c r="AU41" s="11" t="s">
        <v>142</v>
      </c>
      <c r="AV41" s="11">
        <v>187.5</v>
      </c>
      <c r="AW41" s="11" t="s">
        <v>136</v>
      </c>
      <c r="AX41" s="11" t="s">
        <v>264</v>
      </c>
      <c r="AY41" s="11"/>
      <c r="AZ41" s="11">
        <v>1</v>
      </c>
      <c r="BB41" s="11" t="s">
        <v>331</v>
      </c>
      <c r="BC41" s="11" t="s">
        <v>332</v>
      </c>
      <c r="BD41" s="15">
        <v>3311392611</v>
      </c>
      <c r="BE41" s="11"/>
      <c r="BF41" s="16" t="s">
        <v>333</v>
      </c>
      <c r="BG41" s="11" t="s">
        <v>334</v>
      </c>
      <c r="BH41" s="11"/>
      <c r="BI41" s="11" t="s">
        <v>251</v>
      </c>
      <c r="BJ41" s="11">
        <v>60</v>
      </c>
      <c r="BK41" s="11" t="s">
        <v>136</v>
      </c>
      <c r="BL41" s="11"/>
      <c r="BM41" s="11"/>
      <c r="BN41" s="11">
        <v>2</v>
      </c>
      <c r="BP41" s="11" t="s">
        <v>318</v>
      </c>
      <c r="BQ41" s="11" t="s">
        <v>319</v>
      </c>
      <c r="BR41" s="15">
        <v>3317314958</v>
      </c>
      <c r="BS41" s="11">
        <v>17314958</v>
      </c>
      <c r="BT41" s="16" t="s">
        <v>320</v>
      </c>
      <c r="BU41" s="11" t="s">
        <v>321</v>
      </c>
      <c r="BV41" s="11"/>
      <c r="BW41" s="11" t="s">
        <v>142</v>
      </c>
      <c r="BX41" s="11">
        <v>200</v>
      </c>
      <c r="BY41" s="11" t="s">
        <v>210</v>
      </c>
      <c r="BZ41" s="11" t="s">
        <v>322</v>
      </c>
      <c r="CA41" s="11"/>
      <c r="CB41" s="11">
        <v>2</v>
      </c>
      <c r="CD41" s="11" t="s">
        <v>367</v>
      </c>
      <c r="CE41" s="11" t="s">
        <v>368</v>
      </c>
      <c r="CF41" s="15">
        <v>3339576724</v>
      </c>
      <c r="CG41" s="11"/>
      <c r="CH41" s="16" t="s">
        <v>369</v>
      </c>
      <c r="CI41" s="11" t="s">
        <v>370</v>
      </c>
      <c r="CJ41" s="11" t="s">
        <v>250</v>
      </c>
      <c r="CK41" s="11" t="s">
        <v>142</v>
      </c>
      <c r="CL41" s="11">
        <v>200</v>
      </c>
      <c r="CM41" s="11" t="s">
        <v>136</v>
      </c>
      <c r="CN41" s="11" t="s">
        <v>164</v>
      </c>
      <c r="CO41" s="11" t="s">
        <v>330</v>
      </c>
      <c r="CP41" s="11">
        <v>1</v>
      </c>
    </row>
    <row r="42" spans="1:94" ht="15.75" x14ac:dyDescent="0.25">
      <c r="A42" s="11" t="s">
        <v>344</v>
      </c>
      <c r="B42" s="11" t="s">
        <v>345</v>
      </c>
      <c r="C42" s="15">
        <v>3311185434</v>
      </c>
      <c r="D42" s="11"/>
      <c r="E42" s="16" t="s">
        <v>346</v>
      </c>
      <c r="F42" s="11" t="s">
        <v>347</v>
      </c>
      <c r="G42" s="11"/>
      <c r="H42" s="11" t="s">
        <v>142</v>
      </c>
      <c r="I42" s="11">
        <v>200</v>
      </c>
      <c r="J42" s="11" t="s">
        <v>136</v>
      </c>
      <c r="K42" s="11" t="s">
        <v>175</v>
      </c>
      <c r="L42" s="11"/>
      <c r="N42" s="22" t="s">
        <v>371</v>
      </c>
      <c r="O42" s="11" t="s">
        <v>372</v>
      </c>
      <c r="P42" s="15">
        <v>3310640389</v>
      </c>
      <c r="Q42" s="11"/>
      <c r="R42" s="16" t="s">
        <v>373</v>
      </c>
      <c r="S42" s="11" t="s">
        <v>374</v>
      </c>
      <c r="T42" s="11" t="s">
        <v>312</v>
      </c>
      <c r="U42" s="11" t="s">
        <v>204</v>
      </c>
      <c r="V42" s="11">
        <v>750</v>
      </c>
      <c r="W42" s="11" t="s">
        <v>136</v>
      </c>
      <c r="X42" s="11" t="s">
        <v>253</v>
      </c>
      <c r="Y42" s="11"/>
      <c r="AA42" s="11" t="s">
        <v>331</v>
      </c>
      <c r="AB42" s="11" t="s">
        <v>332</v>
      </c>
      <c r="AC42" s="15">
        <v>3311392611</v>
      </c>
      <c r="AD42" s="11"/>
      <c r="AE42" s="16" t="s">
        <v>333</v>
      </c>
      <c r="AF42" s="11" t="s">
        <v>334</v>
      </c>
      <c r="AG42" s="11"/>
      <c r="AH42" s="11" t="s">
        <v>142</v>
      </c>
      <c r="AI42" s="11">
        <v>187.5</v>
      </c>
      <c r="AJ42" s="11" t="s">
        <v>136</v>
      </c>
      <c r="AK42" s="11" t="s">
        <v>375</v>
      </c>
      <c r="AL42" s="11"/>
      <c r="AN42" s="11" t="s">
        <v>376</v>
      </c>
      <c r="AO42" s="11" t="s">
        <v>377</v>
      </c>
      <c r="AP42" s="15">
        <v>3312088704</v>
      </c>
      <c r="AQ42" s="11"/>
      <c r="AR42" s="16" t="s">
        <v>378</v>
      </c>
      <c r="AS42" s="11" t="s">
        <v>379</v>
      </c>
      <c r="AT42" s="11" t="s">
        <v>380</v>
      </c>
      <c r="AU42" s="11" t="s">
        <v>142</v>
      </c>
      <c r="AV42" s="11">
        <v>200</v>
      </c>
      <c r="AW42" s="11" t="s">
        <v>136</v>
      </c>
      <c r="AX42" s="11" t="s">
        <v>187</v>
      </c>
      <c r="AY42" s="11"/>
      <c r="AZ42" s="11">
        <v>1</v>
      </c>
      <c r="BB42" s="11" t="s">
        <v>376</v>
      </c>
      <c r="BC42" s="11" t="s">
        <v>377</v>
      </c>
      <c r="BD42" s="15">
        <v>3312088704</v>
      </c>
      <c r="BE42" s="11"/>
      <c r="BF42" s="16" t="s">
        <v>378</v>
      </c>
      <c r="BG42" s="11" t="s">
        <v>379</v>
      </c>
      <c r="BH42" s="11" t="s">
        <v>380</v>
      </c>
      <c r="BI42" s="11" t="s">
        <v>142</v>
      </c>
      <c r="BJ42" s="11">
        <v>200</v>
      </c>
      <c r="BK42" s="11" t="s">
        <v>136</v>
      </c>
      <c r="BL42" s="11" t="s">
        <v>187</v>
      </c>
      <c r="BM42" s="11"/>
      <c r="BN42" s="11">
        <v>2</v>
      </c>
      <c r="BP42" s="11" t="s">
        <v>293</v>
      </c>
      <c r="BQ42" s="11" t="s">
        <v>294</v>
      </c>
      <c r="BR42" s="15">
        <v>3314412645</v>
      </c>
      <c r="BS42" s="11"/>
      <c r="BT42" s="23"/>
      <c r="BU42" s="11" t="s">
        <v>295</v>
      </c>
      <c r="BV42" s="11"/>
      <c r="BW42" s="11" t="s">
        <v>142</v>
      </c>
      <c r="BX42" s="11">
        <v>200</v>
      </c>
      <c r="BY42" s="11" t="s">
        <v>136</v>
      </c>
      <c r="BZ42" s="11" t="s">
        <v>264</v>
      </c>
      <c r="CA42" s="11"/>
      <c r="CB42" s="11">
        <v>3</v>
      </c>
      <c r="CD42" s="11" t="s">
        <v>381</v>
      </c>
      <c r="CE42" s="11" t="s">
        <v>382</v>
      </c>
      <c r="CF42" s="15">
        <v>3310408306</v>
      </c>
      <c r="CG42" s="11"/>
      <c r="CH42" s="16" t="s">
        <v>383</v>
      </c>
      <c r="CI42" s="11" t="s">
        <v>384</v>
      </c>
      <c r="CJ42" s="11"/>
      <c r="CK42" s="11" t="s">
        <v>142</v>
      </c>
      <c r="CL42" s="11">
        <v>187.5</v>
      </c>
      <c r="CM42" s="11" t="s">
        <v>136</v>
      </c>
      <c r="CN42" s="11" t="s">
        <v>385</v>
      </c>
      <c r="CO42" s="11"/>
      <c r="CP42" s="11">
        <v>4</v>
      </c>
    </row>
    <row r="43" spans="1:94" ht="15.75" x14ac:dyDescent="0.25">
      <c r="A43" s="11" t="s">
        <v>386</v>
      </c>
      <c r="B43" s="11" t="s">
        <v>387</v>
      </c>
      <c r="C43" s="15">
        <v>3317071188</v>
      </c>
      <c r="D43" s="11"/>
      <c r="E43" s="16" t="s">
        <v>388</v>
      </c>
      <c r="F43" s="11" t="s">
        <v>389</v>
      </c>
      <c r="G43" s="11"/>
      <c r="H43" s="11" t="s">
        <v>142</v>
      </c>
      <c r="I43" s="11">
        <v>750</v>
      </c>
      <c r="J43" s="11" t="s">
        <v>136</v>
      </c>
      <c r="K43" s="11" t="s">
        <v>375</v>
      </c>
      <c r="L43" s="11"/>
      <c r="N43" s="22" t="s">
        <v>336</v>
      </c>
      <c r="O43" s="11" t="s">
        <v>337</v>
      </c>
      <c r="P43" s="15">
        <v>3314103650</v>
      </c>
      <c r="Q43" s="11"/>
      <c r="R43" s="23" t="s">
        <v>338</v>
      </c>
      <c r="S43" s="11"/>
      <c r="T43" s="11"/>
      <c r="U43" s="11" t="s">
        <v>142</v>
      </c>
      <c r="V43" s="11">
        <v>250</v>
      </c>
      <c r="W43" s="11" t="s">
        <v>210</v>
      </c>
      <c r="X43" s="11" t="s">
        <v>390</v>
      </c>
      <c r="Y43" s="11"/>
      <c r="AA43" s="11" t="s">
        <v>376</v>
      </c>
      <c r="AB43" s="11" t="s">
        <v>377</v>
      </c>
      <c r="AC43" s="15">
        <v>3312088704</v>
      </c>
      <c r="AD43" s="11"/>
      <c r="AE43" s="23" t="s">
        <v>378</v>
      </c>
      <c r="AF43" s="11" t="s">
        <v>379</v>
      </c>
      <c r="AG43" s="11" t="s">
        <v>380</v>
      </c>
      <c r="AH43" s="11" t="s">
        <v>142</v>
      </c>
      <c r="AI43" s="11">
        <v>250</v>
      </c>
      <c r="AJ43" s="11" t="s">
        <v>136</v>
      </c>
      <c r="AK43" s="11" t="s">
        <v>187</v>
      </c>
      <c r="AL43" s="11"/>
      <c r="AN43" s="22" t="s">
        <v>336</v>
      </c>
      <c r="AO43" s="11" t="s">
        <v>337</v>
      </c>
      <c r="AP43" s="15">
        <v>3314103650</v>
      </c>
      <c r="AQ43" s="11"/>
      <c r="AR43" s="16" t="s">
        <v>338</v>
      </c>
      <c r="AS43" s="11" t="s">
        <v>321</v>
      </c>
      <c r="AT43" s="11" t="s">
        <v>203</v>
      </c>
      <c r="AU43" s="11" t="s">
        <v>142</v>
      </c>
      <c r="AV43" s="11">
        <v>200</v>
      </c>
      <c r="AW43" s="11" t="s">
        <v>210</v>
      </c>
      <c r="AX43" s="11" t="s">
        <v>391</v>
      </c>
      <c r="AY43" s="11"/>
      <c r="AZ43" s="11">
        <v>1</v>
      </c>
      <c r="BB43" s="22" t="s">
        <v>336</v>
      </c>
      <c r="BC43" s="11" t="s">
        <v>337</v>
      </c>
      <c r="BD43" s="15">
        <v>3314103650</v>
      </c>
      <c r="BE43" s="11"/>
      <c r="BF43" s="16" t="s">
        <v>338</v>
      </c>
      <c r="BG43" s="11" t="s">
        <v>321</v>
      </c>
      <c r="BH43" s="11" t="s">
        <v>203</v>
      </c>
      <c r="BI43" s="11" t="s">
        <v>142</v>
      </c>
      <c r="BJ43" s="11">
        <v>200</v>
      </c>
      <c r="BK43" s="11" t="s">
        <v>210</v>
      </c>
      <c r="BL43" s="11" t="s">
        <v>392</v>
      </c>
      <c r="BM43" s="11"/>
      <c r="BN43" s="11">
        <v>2</v>
      </c>
      <c r="BP43" s="11" t="s">
        <v>393</v>
      </c>
      <c r="BQ43" s="11" t="s">
        <v>394</v>
      </c>
      <c r="BR43" s="15">
        <v>3313386181</v>
      </c>
      <c r="BS43" s="11">
        <v>33652050</v>
      </c>
      <c r="BT43" s="11" t="s">
        <v>395</v>
      </c>
      <c r="BU43" s="11" t="s">
        <v>396</v>
      </c>
      <c r="BV43" s="11" t="s">
        <v>203</v>
      </c>
      <c r="BW43" s="11" t="s">
        <v>142</v>
      </c>
      <c r="BX43" s="11">
        <v>250</v>
      </c>
      <c r="BY43" s="11" t="s">
        <v>136</v>
      </c>
      <c r="BZ43" s="11" t="s">
        <v>397</v>
      </c>
      <c r="CA43" s="11" t="s">
        <v>330</v>
      </c>
      <c r="CB43" s="11">
        <v>1</v>
      </c>
      <c r="CD43" s="11" t="s">
        <v>398</v>
      </c>
      <c r="CE43" s="11" t="s">
        <v>399</v>
      </c>
      <c r="CF43" s="15">
        <v>3333979927</v>
      </c>
      <c r="CG43" s="11">
        <v>36563118</v>
      </c>
      <c r="CH43" s="16" t="s">
        <v>400</v>
      </c>
      <c r="CI43" s="11" t="s">
        <v>401</v>
      </c>
      <c r="CJ43" s="11" t="s">
        <v>203</v>
      </c>
      <c r="CK43" s="11" t="s">
        <v>142</v>
      </c>
      <c r="CL43" s="11">
        <v>200</v>
      </c>
      <c r="CM43" s="11" t="s">
        <v>136</v>
      </c>
      <c r="CN43" s="11"/>
      <c r="CO43" s="11"/>
      <c r="CP43" s="11">
        <v>2</v>
      </c>
    </row>
    <row r="44" spans="1:94" ht="15.75" x14ac:dyDescent="0.25">
      <c r="A44" s="11" t="s">
        <v>349</v>
      </c>
      <c r="B44" s="11" t="s">
        <v>350</v>
      </c>
      <c r="C44" s="15">
        <v>3314415732</v>
      </c>
      <c r="D44" s="11">
        <v>36275564</v>
      </c>
      <c r="E44" s="16" t="s">
        <v>351</v>
      </c>
      <c r="F44" s="11" t="s">
        <v>352</v>
      </c>
      <c r="G44" s="11" t="s">
        <v>203</v>
      </c>
      <c r="H44" s="11" t="s">
        <v>142</v>
      </c>
      <c r="I44" s="11">
        <v>1000</v>
      </c>
      <c r="J44" s="11" t="s">
        <v>136</v>
      </c>
      <c r="K44" s="11" t="s">
        <v>353</v>
      </c>
      <c r="L44" s="11" t="s">
        <v>330</v>
      </c>
      <c r="N44" s="22" t="s">
        <v>359</v>
      </c>
      <c r="O44" s="11" t="s">
        <v>360</v>
      </c>
      <c r="P44" s="15">
        <v>3339683396</v>
      </c>
      <c r="Q44" s="11"/>
      <c r="R44" s="16" t="s">
        <v>361</v>
      </c>
      <c r="S44" s="11"/>
      <c r="T44" s="11" t="s">
        <v>402</v>
      </c>
      <c r="U44" s="11" t="s">
        <v>142</v>
      </c>
      <c r="V44" s="11">
        <v>400</v>
      </c>
      <c r="W44" s="11" t="s">
        <v>143</v>
      </c>
      <c r="X44" s="11">
        <v>7</v>
      </c>
      <c r="Y44" s="11"/>
      <c r="AA44" s="11" t="s">
        <v>359</v>
      </c>
      <c r="AB44" s="11" t="s">
        <v>360</v>
      </c>
      <c r="AC44" s="15">
        <v>3339683396</v>
      </c>
      <c r="AD44" s="11"/>
      <c r="AE44" s="16" t="s">
        <v>361</v>
      </c>
      <c r="AF44" s="11"/>
      <c r="AG44" s="11"/>
      <c r="AH44" s="11" t="s">
        <v>142</v>
      </c>
      <c r="AI44" s="11">
        <v>400</v>
      </c>
      <c r="AJ44" s="11" t="s">
        <v>143</v>
      </c>
      <c r="AK44" s="11">
        <v>7</v>
      </c>
      <c r="AL44" s="11"/>
      <c r="AN44" s="11" t="s">
        <v>403</v>
      </c>
      <c r="AO44" s="11" t="s">
        <v>404</v>
      </c>
      <c r="AP44" s="15">
        <v>3333116669</v>
      </c>
      <c r="AQ44" s="11">
        <v>16557103</v>
      </c>
      <c r="AR44" s="11"/>
      <c r="AS44" s="11" t="s">
        <v>405</v>
      </c>
      <c r="AT44" s="11" t="s">
        <v>203</v>
      </c>
      <c r="AU44" s="11" t="s">
        <v>142</v>
      </c>
      <c r="AV44" s="11">
        <v>250</v>
      </c>
      <c r="AW44" s="11" t="s">
        <v>136</v>
      </c>
      <c r="AX44" s="11" t="s">
        <v>154</v>
      </c>
      <c r="AY44" s="11" t="s">
        <v>330</v>
      </c>
      <c r="AZ44" s="11">
        <v>1</v>
      </c>
      <c r="BB44" s="11" t="s">
        <v>344</v>
      </c>
      <c r="BC44" s="11" t="s">
        <v>345</v>
      </c>
      <c r="BD44" s="15">
        <v>3311185434</v>
      </c>
      <c r="BE44" s="11"/>
      <c r="BF44" s="16" t="s">
        <v>346</v>
      </c>
      <c r="BG44" s="11" t="s">
        <v>347</v>
      </c>
      <c r="BH44" s="11"/>
      <c r="BI44" s="11" t="s">
        <v>142</v>
      </c>
      <c r="BJ44" s="11">
        <v>187.5</v>
      </c>
      <c r="BK44" s="11" t="s">
        <v>136</v>
      </c>
      <c r="BL44" s="11" t="s">
        <v>348</v>
      </c>
      <c r="BM44" s="11"/>
      <c r="BN44" s="11">
        <v>2</v>
      </c>
      <c r="BP44" s="11" t="s">
        <v>304</v>
      </c>
      <c r="BQ44" s="11" t="s">
        <v>305</v>
      </c>
      <c r="BR44" s="15">
        <v>3334057358</v>
      </c>
      <c r="BS44" s="11"/>
      <c r="BT44" s="16" t="s">
        <v>306</v>
      </c>
      <c r="BU44" s="11" t="s">
        <v>307</v>
      </c>
      <c r="BV44" s="11"/>
      <c r="BW44" s="11" t="s">
        <v>142</v>
      </c>
      <c r="BX44" s="11">
        <v>200</v>
      </c>
      <c r="BY44" s="11" t="s">
        <v>136</v>
      </c>
      <c r="BZ44" s="11" t="s">
        <v>308</v>
      </c>
      <c r="CA44" s="11"/>
      <c r="CB44" s="11">
        <v>3</v>
      </c>
      <c r="CD44" s="11" t="s">
        <v>406</v>
      </c>
      <c r="CE44" s="11" t="s">
        <v>407</v>
      </c>
      <c r="CF44" s="15">
        <v>3332003097</v>
      </c>
      <c r="CG44" s="11">
        <v>38103965</v>
      </c>
      <c r="CH44" s="11" t="s">
        <v>408</v>
      </c>
      <c r="CI44" s="11" t="s">
        <v>409</v>
      </c>
      <c r="CJ44" s="11"/>
      <c r="CK44" s="11" t="s">
        <v>142</v>
      </c>
      <c r="CL44" s="11">
        <v>187.5</v>
      </c>
      <c r="CM44" s="11" t="s">
        <v>136</v>
      </c>
      <c r="CN44" s="11" t="s">
        <v>244</v>
      </c>
      <c r="CO44" s="11"/>
      <c r="CP44" s="11">
        <v>2</v>
      </c>
    </row>
    <row r="45" spans="1:94" ht="15.75" x14ac:dyDescent="0.25">
      <c r="A45" s="11" t="s">
        <v>410</v>
      </c>
      <c r="B45" s="11" t="s">
        <v>411</v>
      </c>
      <c r="C45" s="15"/>
      <c r="D45" s="11">
        <v>38257028</v>
      </c>
      <c r="E45" s="16" t="s">
        <v>412</v>
      </c>
      <c r="F45" s="11" t="s">
        <v>413</v>
      </c>
      <c r="G45" s="11"/>
      <c r="H45" s="11" t="s">
        <v>142</v>
      </c>
      <c r="I45" s="11">
        <v>750</v>
      </c>
      <c r="J45" s="11" t="s">
        <v>136</v>
      </c>
      <c r="K45" s="11" t="s">
        <v>362</v>
      </c>
      <c r="L45" s="11"/>
      <c r="N45" s="22" t="s">
        <v>344</v>
      </c>
      <c r="O45" s="11" t="s">
        <v>345</v>
      </c>
      <c r="P45" s="15">
        <v>3311185434</v>
      </c>
      <c r="Q45" s="11"/>
      <c r="R45" s="16" t="s">
        <v>346</v>
      </c>
      <c r="S45" s="11" t="s">
        <v>347</v>
      </c>
      <c r="T45" s="11" t="s">
        <v>203</v>
      </c>
      <c r="U45" s="11" t="s">
        <v>142</v>
      </c>
      <c r="V45" s="11">
        <v>200</v>
      </c>
      <c r="W45" s="11" t="s">
        <v>136</v>
      </c>
      <c r="X45" s="11" t="s">
        <v>414</v>
      </c>
      <c r="Y45" s="11"/>
      <c r="AA45" s="11" t="s">
        <v>344</v>
      </c>
      <c r="AB45" s="11" t="s">
        <v>345</v>
      </c>
      <c r="AC45" s="15">
        <v>3311185434</v>
      </c>
      <c r="AD45" s="11"/>
      <c r="AE45" s="16" t="s">
        <v>346</v>
      </c>
      <c r="AF45" s="11" t="s">
        <v>347</v>
      </c>
      <c r="AG45" s="11"/>
      <c r="AH45" s="11" t="s">
        <v>142</v>
      </c>
      <c r="AI45" s="11">
        <v>187.5</v>
      </c>
      <c r="AJ45" s="11" t="s">
        <v>136</v>
      </c>
      <c r="AK45" s="11" t="s">
        <v>348</v>
      </c>
      <c r="AL45" s="11"/>
      <c r="AN45" s="11" t="s">
        <v>344</v>
      </c>
      <c r="AO45" s="11" t="s">
        <v>345</v>
      </c>
      <c r="AP45" s="15">
        <v>3311185434</v>
      </c>
      <c r="AQ45" s="11"/>
      <c r="AR45" s="16" t="s">
        <v>346</v>
      </c>
      <c r="AS45" s="11" t="s">
        <v>347</v>
      </c>
      <c r="AT45" s="11"/>
      <c r="AU45" s="11" t="s">
        <v>142</v>
      </c>
      <c r="AV45" s="11">
        <v>187.5</v>
      </c>
      <c r="AW45" s="11" t="s">
        <v>136</v>
      </c>
      <c r="AX45" s="11" t="s">
        <v>348</v>
      </c>
      <c r="AY45" s="11"/>
      <c r="AZ45" s="11">
        <v>1</v>
      </c>
      <c r="BB45" s="22" t="s">
        <v>415</v>
      </c>
      <c r="BC45" s="11" t="s">
        <v>416</v>
      </c>
      <c r="BD45" s="15">
        <v>3331878752</v>
      </c>
      <c r="BE45" s="11"/>
      <c r="BF45" s="16" t="s">
        <v>417</v>
      </c>
      <c r="BG45" s="11" t="s">
        <v>418</v>
      </c>
      <c r="BH45" s="11" t="s">
        <v>203</v>
      </c>
      <c r="BI45" s="11" t="s">
        <v>251</v>
      </c>
      <c r="BJ45" s="11">
        <v>60</v>
      </c>
      <c r="BK45" s="11" t="s">
        <v>136</v>
      </c>
      <c r="BL45" s="11"/>
      <c r="BM45" s="11"/>
      <c r="BN45" s="11">
        <v>2</v>
      </c>
      <c r="BP45" s="11" t="s">
        <v>340</v>
      </c>
      <c r="BQ45" s="11" t="s">
        <v>341</v>
      </c>
      <c r="BR45" s="15">
        <v>3336777441</v>
      </c>
      <c r="BS45" s="11">
        <v>38231337</v>
      </c>
      <c r="BT45" s="16" t="s">
        <v>342</v>
      </c>
      <c r="BU45" s="11" t="s">
        <v>343</v>
      </c>
      <c r="BV45" s="11" t="s">
        <v>250</v>
      </c>
      <c r="BW45" s="11" t="s">
        <v>142</v>
      </c>
      <c r="BX45" s="11">
        <v>200</v>
      </c>
      <c r="BY45" s="11" t="s">
        <v>136</v>
      </c>
      <c r="BZ45" s="11" t="s">
        <v>414</v>
      </c>
      <c r="CA45" s="11"/>
      <c r="CB45" s="11">
        <v>3</v>
      </c>
      <c r="CD45" s="11" t="s">
        <v>419</v>
      </c>
      <c r="CE45" s="11" t="s">
        <v>420</v>
      </c>
      <c r="CF45" s="15">
        <v>3311900294</v>
      </c>
      <c r="CG45" s="11"/>
      <c r="CH45" s="16" t="s">
        <v>421</v>
      </c>
      <c r="CI45" s="11" t="s">
        <v>422</v>
      </c>
      <c r="CJ45" s="11" t="s">
        <v>203</v>
      </c>
      <c r="CK45" s="11" t="s">
        <v>142</v>
      </c>
      <c r="CL45" s="11">
        <v>187.5</v>
      </c>
      <c r="CM45" s="11" t="s">
        <v>210</v>
      </c>
      <c r="CN45" s="11">
        <v>0</v>
      </c>
      <c r="CO45" s="11"/>
      <c r="CP45" s="11">
        <v>4</v>
      </c>
    </row>
    <row r="46" spans="1:94" ht="15.75" x14ac:dyDescent="0.25">
      <c r="A46" s="11" t="s">
        <v>423</v>
      </c>
      <c r="B46" s="11" t="s">
        <v>424</v>
      </c>
      <c r="C46" s="15">
        <v>3314501114</v>
      </c>
      <c r="D46" s="11"/>
      <c r="E46" s="11" t="s">
        <v>425</v>
      </c>
      <c r="F46" s="11" t="s">
        <v>426</v>
      </c>
      <c r="G46" s="11"/>
      <c r="H46" s="11" t="s">
        <v>258</v>
      </c>
      <c r="I46" s="11">
        <v>0</v>
      </c>
      <c r="J46" s="11" t="s">
        <v>143</v>
      </c>
      <c r="K46" s="11">
        <v>4</v>
      </c>
      <c r="L46" s="11"/>
      <c r="N46" s="11" t="s">
        <v>386</v>
      </c>
      <c r="O46" s="11" t="s">
        <v>387</v>
      </c>
      <c r="P46" s="15">
        <v>3317071188</v>
      </c>
      <c r="Q46" s="11"/>
      <c r="R46" s="16" t="s">
        <v>388</v>
      </c>
      <c r="S46" s="11" t="s">
        <v>389</v>
      </c>
      <c r="T46" s="11"/>
      <c r="U46" s="11" t="s">
        <v>142</v>
      </c>
      <c r="V46" s="11">
        <v>750</v>
      </c>
      <c r="W46" s="11" t="s">
        <v>136</v>
      </c>
      <c r="X46" s="11" t="s">
        <v>375</v>
      </c>
      <c r="Y46" s="11"/>
      <c r="AA46" s="11" t="s">
        <v>386</v>
      </c>
      <c r="AB46" s="11" t="s">
        <v>387</v>
      </c>
      <c r="AC46" s="15">
        <v>3317071188</v>
      </c>
      <c r="AD46" s="11"/>
      <c r="AE46" s="16" t="s">
        <v>388</v>
      </c>
      <c r="AF46" s="11" t="s">
        <v>389</v>
      </c>
      <c r="AG46" s="11"/>
      <c r="AH46" s="11" t="s">
        <v>142</v>
      </c>
      <c r="AI46" s="11">
        <v>187.5</v>
      </c>
      <c r="AJ46" s="11" t="s">
        <v>136</v>
      </c>
      <c r="AK46" s="11" t="s">
        <v>264</v>
      </c>
      <c r="AL46" s="11"/>
      <c r="AN46" s="11" t="s">
        <v>386</v>
      </c>
      <c r="AO46" s="11" t="s">
        <v>387</v>
      </c>
      <c r="AP46" s="15">
        <v>3317071188</v>
      </c>
      <c r="AQ46" s="11"/>
      <c r="AR46" s="16" t="s">
        <v>388</v>
      </c>
      <c r="AS46" s="11" t="s">
        <v>389</v>
      </c>
      <c r="AT46" s="11"/>
      <c r="AU46" s="11" t="s">
        <v>142</v>
      </c>
      <c r="AV46" s="11">
        <v>187.5</v>
      </c>
      <c r="AW46" s="11" t="s">
        <v>136</v>
      </c>
      <c r="AX46" s="11" t="s">
        <v>244</v>
      </c>
      <c r="AY46" s="11"/>
      <c r="AZ46" s="11">
        <v>1</v>
      </c>
      <c r="BB46" s="11" t="s">
        <v>349</v>
      </c>
      <c r="BC46" s="11" t="s">
        <v>350</v>
      </c>
      <c r="BD46" s="15">
        <v>3314415732</v>
      </c>
      <c r="BE46" s="11">
        <v>36275564</v>
      </c>
      <c r="BF46" s="16" t="s">
        <v>351</v>
      </c>
      <c r="BG46" s="11" t="s">
        <v>352</v>
      </c>
      <c r="BH46" s="11" t="s">
        <v>203</v>
      </c>
      <c r="BI46" s="11" t="s">
        <v>142</v>
      </c>
      <c r="BJ46" s="11">
        <v>200</v>
      </c>
      <c r="BK46" s="11" t="s">
        <v>136</v>
      </c>
      <c r="BL46" s="11" t="s">
        <v>353</v>
      </c>
      <c r="BM46" s="11"/>
      <c r="BN46" s="11">
        <v>2</v>
      </c>
      <c r="BP46" s="11" t="s">
        <v>313</v>
      </c>
      <c r="BQ46" s="11" t="s">
        <v>314</v>
      </c>
      <c r="BR46" s="15">
        <v>3331787364</v>
      </c>
      <c r="BS46" s="11"/>
      <c r="BT46" s="16" t="s">
        <v>315</v>
      </c>
      <c r="BU46" s="11" t="s">
        <v>316</v>
      </c>
      <c r="BV46" s="11"/>
      <c r="BW46" s="11" t="s">
        <v>142</v>
      </c>
      <c r="BX46" s="11">
        <v>200</v>
      </c>
      <c r="BY46" s="11" t="s">
        <v>136</v>
      </c>
      <c r="BZ46" s="11" t="s">
        <v>427</v>
      </c>
      <c r="CA46" s="11"/>
      <c r="CB46" s="11">
        <v>2</v>
      </c>
      <c r="CD46" s="11" t="s">
        <v>428</v>
      </c>
      <c r="CE46" s="11" t="s">
        <v>429</v>
      </c>
      <c r="CF46" s="15">
        <v>3314112703</v>
      </c>
      <c r="CG46" s="11"/>
      <c r="CH46" s="16" t="s">
        <v>430</v>
      </c>
      <c r="CI46" s="11"/>
      <c r="CJ46" s="11"/>
      <c r="CK46" s="11" t="s">
        <v>142</v>
      </c>
      <c r="CL46" s="11">
        <v>200</v>
      </c>
      <c r="CM46" s="11" t="s">
        <v>136</v>
      </c>
      <c r="CN46" s="11" t="s">
        <v>375</v>
      </c>
      <c r="CO46" s="11"/>
      <c r="CP46" s="11">
        <v>3</v>
      </c>
    </row>
    <row r="47" spans="1:94" ht="15.75" x14ac:dyDescent="0.25">
      <c r="A47" s="11" t="s">
        <v>406</v>
      </c>
      <c r="B47" s="11" t="s">
        <v>407</v>
      </c>
      <c r="C47" s="15">
        <v>3332003097</v>
      </c>
      <c r="D47" s="11">
        <v>38103965</v>
      </c>
      <c r="E47" s="11" t="s">
        <v>408</v>
      </c>
      <c r="F47" s="11" t="s">
        <v>409</v>
      </c>
      <c r="G47" s="11"/>
      <c r="H47" s="11" t="s">
        <v>135</v>
      </c>
      <c r="I47" s="11">
        <v>187.5</v>
      </c>
      <c r="J47" s="11" t="s">
        <v>136</v>
      </c>
      <c r="K47" s="11" t="s">
        <v>348</v>
      </c>
      <c r="L47" s="11"/>
      <c r="N47" s="22" t="s">
        <v>431</v>
      </c>
      <c r="O47" s="11" t="s">
        <v>432</v>
      </c>
      <c r="P47" s="15">
        <v>3310932686</v>
      </c>
      <c r="Q47" s="11"/>
      <c r="R47" s="16" t="s">
        <v>433</v>
      </c>
      <c r="S47" s="11"/>
      <c r="T47" s="11"/>
      <c r="U47" s="11" t="s">
        <v>142</v>
      </c>
      <c r="V47" s="11">
        <v>250</v>
      </c>
      <c r="W47" s="11" t="s">
        <v>136</v>
      </c>
      <c r="X47" s="11" t="s">
        <v>292</v>
      </c>
      <c r="Y47" s="11"/>
      <c r="AA47" s="22" t="s">
        <v>415</v>
      </c>
      <c r="AB47" s="11" t="s">
        <v>416</v>
      </c>
      <c r="AC47" s="15">
        <v>3331878752</v>
      </c>
      <c r="AD47" s="11"/>
      <c r="AE47" s="16" t="s">
        <v>417</v>
      </c>
      <c r="AF47" s="11" t="s">
        <v>418</v>
      </c>
      <c r="AG47" s="11" t="s">
        <v>203</v>
      </c>
      <c r="AH47" s="11" t="s">
        <v>142</v>
      </c>
      <c r="AI47" s="11">
        <v>200</v>
      </c>
      <c r="AJ47" s="11" t="s">
        <v>136</v>
      </c>
      <c r="AK47" s="11">
        <v>31</v>
      </c>
      <c r="AL47" s="11"/>
      <c r="AN47" s="11" t="s">
        <v>434</v>
      </c>
      <c r="AO47" s="11" t="s">
        <v>434</v>
      </c>
      <c r="AP47" s="15">
        <v>3338099924</v>
      </c>
      <c r="AQ47" s="11"/>
      <c r="AR47" s="16" t="s">
        <v>435</v>
      </c>
      <c r="AS47" s="11" t="s">
        <v>436</v>
      </c>
      <c r="AT47" s="11"/>
      <c r="AU47" s="11" t="s">
        <v>142</v>
      </c>
      <c r="AV47" s="11">
        <v>200</v>
      </c>
      <c r="AW47" s="11" t="s">
        <v>136</v>
      </c>
      <c r="AX47" s="11" t="s">
        <v>437</v>
      </c>
      <c r="AY47" s="11"/>
      <c r="AZ47" s="11">
        <v>1</v>
      </c>
      <c r="BB47" s="11" t="s">
        <v>354</v>
      </c>
      <c r="BC47" s="11" t="s">
        <v>355</v>
      </c>
      <c r="BD47" s="15">
        <v>3315508402</v>
      </c>
      <c r="BE47" s="11"/>
      <c r="BF47" s="16" t="s">
        <v>356</v>
      </c>
      <c r="BG47" s="11" t="s">
        <v>357</v>
      </c>
      <c r="BH47" s="11" t="s">
        <v>203</v>
      </c>
      <c r="BI47" s="11" t="s">
        <v>142</v>
      </c>
      <c r="BJ47" s="11">
        <v>187.5</v>
      </c>
      <c r="BK47" s="11" t="s">
        <v>136</v>
      </c>
      <c r="BL47" s="11" t="s">
        <v>358</v>
      </c>
      <c r="BM47" s="11"/>
      <c r="BN47" s="11">
        <v>2</v>
      </c>
      <c r="BP47" s="11" t="s">
        <v>323</v>
      </c>
      <c r="BQ47" s="11" t="s">
        <v>324</v>
      </c>
      <c r="BR47" s="15">
        <v>3335591738</v>
      </c>
      <c r="BS47" s="11"/>
      <c r="BT47" s="16" t="s">
        <v>160</v>
      </c>
      <c r="BU47" s="11" t="s">
        <v>161</v>
      </c>
      <c r="BV47" s="11"/>
      <c r="BW47" s="11" t="s">
        <v>142</v>
      </c>
      <c r="BX47" s="11">
        <v>100</v>
      </c>
      <c r="BY47" s="11" t="s">
        <v>136</v>
      </c>
      <c r="BZ47" s="11" t="s">
        <v>317</v>
      </c>
      <c r="CA47" s="11"/>
      <c r="CB47" s="11">
        <v>3</v>
      </c>
      <c r="CD47" s="11" t="s">
        <v>438</v>
      </c>
      <c r="CE47" s="11" t="s">
        <v>439</v>
      </c>
      <c r="CF47" s="15">
        <v>3334488380</v>
      </c>
      <c r="CG47" s="11">
        <v>36314024</v>
      </c>
      <c r="CH47" s="24" t="s">
        <v>440</v>
      </c>
      <c r="CI47" s="11" t="s">
        <v>441</v>
      </c>
      <c r="CJ47" s="11"/>
      <c r="CK47" s="11" t="s">
        <v>135</v>
      </c>
      <c r="CL47" s="11">
        <v>187.5</v>
      </c>
      <c r="CM47" s="11" t="s">
        <v>136</v>
      </c>
      <c r="CN47" s="11" t="s">
        <v>152</v>
      </c>
      <c r="CO47" s="11"/>
      <c r="CP47" s="11">
        <v>3</v>
      </c>
    </row>
    <row r="48" spans="1:94" ht="15.75" x14ac:dyDescent="0.25">
      <c r="A48" s="11" t="s">
        <v>428</v>
      </c>
      <c r="B48" s="11" t="s">
        <v>429</v>
      </c>
      <c r="C48" s="15">
        <v>3314112703</v>
      </c>
      <c r="D48" s="11"/>
      <c r="E48" s="16" t="s">
        <v>430</v>
      </c>
      <c r="F48" s="11"/>
      <c r="G48" s="11"/>
      <c r="H48" s="11" t="s">
        <v>142</v>
      </c>
      <c r="I48" s="11">
        <v>200</v>
      </c>
      <c r="J48" s="11" t="s">
        <v>136</v>
      </c>
      <c r="K48" s="11" t="s">
        <v>180</v>
      </c>
      <c r="L48" s="11"/>
      <c r="N48" s="22" t="s">
        <v>442</v>
      </c>
      <c r="O48" s="11" t="s">
        <v>443</v>
      </c>
      <c r="P48" s="15">
        <v>3315549675</v>
      </c>
      <c r="Q48" s="11"/>
      <c r="R48" s="16" t="s">
        <v>444</v>
      </c>
      <c r="S48" s="11"/>
      <c r="T48" s="11"/>
      <c r="U48" s="11" t="s">
        <v>142</v>
      </c>
      <c r="V48" s="11">
        <v>500</v>
      </c>
      <c r="W48" s="11" t="s">
        <v>143</v>
      </c>
      <c r="X48" s="11">
        <v>29</v>
      </c>
      <c r="Y48" s="11"/>
      <c r="AA48" s="11" t="s">
        <v>349</v>
      </c>
      <c r="AB48" s="11" t="s">
        <v>350</v>
      </c>
      <c r="AC48" s="15">
        <v>3314415732</v>
      </c>
      <c r="AD48" s="11">
        <v>36275564</v>
      </c>
      <c r="AE48" s="16" t="s">
        <v>351</v>
      </c>
      <c r="AF48" s="11" t="s">
        <v>352</v>
      </c>
      <c r="AG48" s="11" t="s">
        <v>203</v>
      </c>
      <c r="AH48" s="11" t="s">
        <v>142</v>
      </c>
      <c r="AI48" s="11">
        <v>200</v>
      </c>
      <c r="AJ48" s="11" t="s">
        <v>136</v>
      </c>
      <c r="AK48" s="11" t="s">
        <v>353</v>
      </c>
      <c r="AL48" s="11"/>
      <c r="AN48" s="11" t="s">
        <v>340</v>
      </c>
      <c r="AO48" s="11" t="s">
        <v>341</v>
      </c>
      <c r="AP48" s="15">
        <v>3336777441</v>
      </c>
      <c r="AQ48" s="11">
        <v>38231337</v>
      </c>
      <c r="AR48" s="16" t="s">
        <v>342</v>
      </c>
      <c r="AS48" s="11" t="s">
        <v>343</v>
      </c>
      <c r="AT48" s="11" t="s">
        <v>250</v>
      </c>
      <c r="AU48" s="11" t="s">
        <v>142</v>
      </c>
      <c r="AV48" s="11">
        <v>200</v>
      </c>
      <c r="AW48" s="11" t="s">
        <v>136</v>
      </c>
      <c r="AX48" s="11" t="s">
        <v>245</v>
      </c>
      <c r="AY48" s="11"/>
      <c r="AZ48" s="11">
        <v>1</v>
      </c>
      <c r="BB48" s="11" t="s">
        <v>445</v>
      </c>
      <c r="BC48" s="11" t="s">
        <v>446</v>
      </c>
      <c r="BD48" s="15">
        <v>3335841961</v>
      </c>
      <c r="BE48" s="11"/>
      <c r="BF48" s="11" t="s">
        <v>447</v>
      </c>
      <c r="BG48" s="11" t="s">
        <v>448</v>
      </c>
      <c r="BH48" s="11"/>
      <c r="BI48" s="11" t="s">
        <v>142</v>
      </c>
      <c r="BJ48" s="11">
        <v>200</v>
      </c>
      <c r="BK48" s="11" t="s">
        <v>136</v>
      </c>
      <c r="BL48" s="11" t="s">
        <v>375</v>
      </c>
      <c r="BM48" s="11"/>
      <c r="BN48" s="11">
        <v>2</v>
      </c>
      <c r="BP48" s="22" t="s">
        <v>336</v>
      </c>
      <c r="BQ48" s="11" t="s">
        <v>337</v>
      </c>
      <c r="BR48" s="15">
        <v>3314103650</v>
      </c>
      <c r="BS48" s="11"/>
      <c r="BT48" s="16" t="s">
        <v>338</v>
      </c>
      <c r="BU48" s="11" t="s">
        <v>321</v>
      </c>
      <c r="BV48" s="11" t="s">
        <v>203</v>
      </c>
      <c r="BW48" s="11" t="s">
        <v>142</v>
      </c>
      <c r="BX48" s="11">
        <v>200</v>
      </c>
      <c r="BY48" s="11" t="s">
        <v>210</v>
      </c>
      <c r="BZ48" s="11" t="s">
        <v>449</v>
      </c>
      <c r="CA48" s="11"/>
      <c r="CB48" s="11">
        <v>3</v>
      </c>
      <c r="CD48" s="11" t="s">
        <v>450</v>
      </c>
      <c r="CE48" s="11" t="s">
        <v>189</v>
      </c>
      <c r="CF48" s="15">
        <v>3317711276</v>
      </c>
      <c r="CG48" s="15">
        <v>3338244746</v>
      </c>
      <c r="CH48" s="11" t="s">
        <v>451</v>
      </c>
      <c r="CI48" s="11" t="s">
        <v>452</v>
      </c>
      <c r="CJ48" s="11"/>
      <c r="CK48" s="11" t="s">
        <v>142</v>
      </c>
      <c r="CL48" s="11">
        <v>187.5</v>
      </c>
      <c r="CM48" s="11" t="s">
        <v>136</v>
      </c>
      <c r="CN48" s="11" t="s">
        <v>187</v>
      </c>
      <c r="CO48" s="11"/>
      <c r="CP48" s="11">
        <v>4</v>
      </c>
    </row>
    <row r="49" spans="1:94" ht="15.75" x14ac:dyDescent="0.25">
      <c r="A49" s="11" t="s">
        <v>453</v>
      </c>
      <c r="B49" s="11" t="s">
        <v>454</v>
      </c>
      <c r="C49" s="15">
        <v>3331406846</v>
      </c>
      <c r="D49" s="11"/>
      <c r="E49" s="23" t="s">
        <v>455</v>
      </c>
      <c r="F49" s="11" t="s">
        <v>456</v>
      </c>
      <c r="G49" s="11" t="s">
        <v>203</v>
      </c>
      <c r="H49" s="11" t="s">
        <v>142</v>
      </c>
      <c r="I49" s="11">
        <v>250</v>
      </c>
      <c r="J49" s="11" t="s">
        <v>136</v>
      </c>
      <c r="K49" s="11" t="s">
        <v>198</v>
      </c>
      <c r="L49" s="11" t="s">
        <v>330</v>
      </c>
      <c r="N49" s="22" t="s">
        <v>457</v>
      </c>
      <c r="O49" s="11" t="s">
        <v>416</v>
      </c>
      <c r="P49" s="15">
        <v>3331878752</v>
      </c>
      <c r="Q49" s="11"/>
      <c r="R49" s="16"/>
      <c r="S49" s="11"/>
      <c r="T49" s="11"/>
      <c r="U49" s="11" t="s">
        <v>142</v>
      </c>
      <c r="V49" s="11">
        <v>250</v>
      </c>
      <c r="W49" s="11" t="s">
        <v>136</v>
      </c>
      <c r="X49" s="11" t="s">
        <v>458</v>
      </c>
      <c r="Y49" s="11"/>
      <c r="AA49" s="11" t="s">
        <v>354</v>
      </c>
      <c r="AB49" s="11" t="s">
        <v>355</v>
      </c>
      <c r="AC49" s="15">
        <v>3315508402</v>
      </c>
      <c r="AD49" s="11"/>
      <c r="AE49" s="16" t="s">
        <v>356</v>
      </c>
      <c r="AF49" s="11" t="s">
        <v>357</v>
      </c>
      <c r="AG49" s="11" t="s">
        <v>203</v>
      </c>
      <c r="AH49" s="11" t="s">
        <v>142</v>
      </c>
      <c r="AI49" s="11">
        <v>250</v>
      </c>
      <c r="AJ49" s="11" t="s">
        <v>136</v>
      </c>
      <c r="AK49" s="11" t="s">
        <v>358</v>
      </c>
      <c r="AL49" s="11"/>
      <c r="AN49" s="22" t="s">
        <v>415</v>
      </c>
      <c r="AO49" s="11" t="s">
        <v>416</v>
      </c>
      <c r="AP49" s="15">
        <v>3331878752</v>
      </c>
      <c r="AQ49" s="11"/>
      <c r="AR49" s="16" t="s">
        <v>417</v>
      </c>
      <c r="AS49" s="11" t="s">
        <v>418</v>
      </c>
      <c r="AT49" s="11" t="s">
        <v>203</v>
      </c>
      <c r="AU49" s="11" t="s">
        <v>142</v>
      </c>
      <c r="AV49" s="11">
        <v>200</v>
      </c>
      <c r="AW49" s="11" t="s">
        <v>136</v>
      </c>
      <c r="AX49" s="11" t="s">
        <v>297</v>
      </c>
      <c r="AY49" s="11"/>
      <c r="AZ49" s="11">
        <v>1</v>
      </c>
      <c r="BB49" s="11" t="s">
        <v>381</v>
      </c>
      <c r="BC49" s="11" t="s">
        <v>382</v>
      </c>
      <c r="BD49" s="15">
        <v>3310408306</v>
      </c>
      <c r="BE49" s="11"/>
      <c r="BF49" s="16" t="s">
        <v>383</v>
      </c>
      <c r="BG49" s="11" t="s">
        <v>384</v>
      </c>
      <c r="BH49" s="11"/>
      <c r="BI49" s="11" t="s">
        <v>142</v>
      </c>
      <c r="BJ49" s="11">
        <v>187.5</v>
      </c>
      <c r="BK49" s="11" t="s">
        <v>136</v>
      </c>
      <c r="BL49" s="11" t="s">
        <v>252</v>
      </c>
      <c r="BM49" s="11"/>
      <c r="BN49" s="11">
        <v>2</v>
      </c>
      <c r="BP49" s="11" t="s">
        <v>344</v>
      </c>
      <c r="BQ49" s="11" t="s">
        <v>345</v>
      </c>
      <c r="BR49" s="15">
        <v>3311185434</v>
      </c>
      <c r="BS49" s="11"/>
      <c r="BT49" s="16" t="s">
        <v>346</v>
      </c>
      <c r="BU49" s="11" t="s">
        <v>347</v>
      </c>
      <c r="BV49" s="11"/>
      <c r="BW49" s="11" t="s">
        <v>142</v>
      </c>
      <c r="BX49" s="11">
        <v>187.5</v>
      </c>
      <c r="BY49" s="11" t="s">
        <v>136</v>
      </c>
      <c r="BZ49" s="11" t="s">
        <v>171</v>
      </c>
      <c r="CA49" s="11"/>
      <c r="CB49" s="11">
        <v>3</v>
      </c>
      <c r="CD49" s="11" t="s">
        <v>459</v>
      </c>
      <c r="CE49" s="11" t="s">
        <v>372</v>
      </c>
      <c r="CF49" s="15">
        <v>3310640389</v>
      </c>
      <c r="CG49" s="11"/>
      <c r="CH49" s="16" t="s">
        <v>373</v>
      </c>
      <c r="CI49" s="11" t="s">
        <v>374</v>
      </c>
      <c r="CJ49" s="11"/>
      <c r="CK49" s="11" t="s">
        <v>142</v>
      </c>
      <c r="CL49" s="11">
        <v>187.5</v>
      </c>
      <c r="CM49" s="11" t="s">
        <v>136</v>
      </c>
      <c r="CN49" s="11" t="s">
        <v>460</v>
      </c>
      <c r="CO49" s="11"/>
      <c r="CP49" s="11">
        <v>4</v>
      </c>
    </row>
    <row r="50" spans="1:94" ht="15.75" x14ac:dyDescent="0.25">
      <c r="A50" s="11" t="s">
        <v>438</v>
      </c>
      <c r="B50" s="11" t="s">
        <v>439</v>
      </c>
      <c r="C50" s="15">
        <v>3334488380</v>
      </c>
      <c r="D50" s="11">
        <v>36314024</v>
      </c>
      <c r="E50" s="11" t="s">
        <v>440</v>
      </c>
      <c r="F50" s="11" t="s">
        <v>441</v>
      </c>
      <c r="G50" s="11"/>
      <c r="H50" s="11" t="s">
        <v>135</v>
      </c>
      <c r="I50" s="11">
        <v>1740</v>
      </c>
      <c r="J50" s="11" t="s">
        <v>143</v>
      </c>
      <c r="K50" s="11">
        <v>22</v>
      </c>
      <c r="L50" s="11"/>
      <c r="N50" s="11" t="s">
        <v>349</v>
      </c>
      <c r="O50" s="11" t="s">
        <v>350</v>
      </c>
      <c r="P50" s="15">
        <v>3314415732</v>
      </c>
      <c r="Q50" s="11">
        <v>36275564</v>
      </c>
      <c r="R50" s="23" t="s">
        <v>351</v>
      </c>
      <c r="S50" s="11" t="s">
        <v>352</v>
      </c>
      <c r="T50" s="11" t="s">
        <v>203</v>
      </c>
      <c r="U50" s="11" t="s">
        <v>142</v>
      </c>
      <c r="V50" s="11">
        <v>1000</v>
      </c>
      <c r="W50" s="11" t="s">
        <v>136</v>
      </c>
      <c r="X50" s="11" t="s">
        <v>353</v>
      </c>
      <c r="Y50" s="11"/>
      <c r="AA50" s="11" t="s">
        <v>419</v>
      </c>
      <c r="AB50" s="11" t="s">
        <v>420</v>
      </c>
      <c r="AC50" s="15">
        <v>3311900294</v>
      </c>
      <c r="AD50" s="11"/>
      <c r="AE50" s="16" t="s">
        <v>421</v>
      </c>
      <c r="AF50" s="11" t="s">
        <v>422</v>
      </c>
      <c r="AG50" s="11" t="s">
        <v>203</v>
      </c>
      <c r="AH50" s="11" t="s">
        <v>142</v>
      </c>
      <c r="AI50" s="11">
        <v>187.5</v>
      </c>
      <c r="AJ50" s="11" t="s">
        <v>136</v>
      </c>
      <c r="AK50" s="11">
        <v>0</v>
      </c>
      <c r="AL50" s="11"/>
      <c r="AN50" s="11" t="s">
        <v>349</v>
      </c>
      <c r="AO50" s="11" t="s">
        <v>350</v>
      </c>
      <c r="AP50" s="15">
        <v>3314415732</v>
      </c>
      <c r="AQ50" s="11">
        <v>36275564</v>
      </c>
      <c r="AR50" s="16" t="s">
        <v>351</v>
      </c>
      <c r="AS50" s="11" t="s">
        <v>352</v>
      </c>
      <c r="AT50" s="11" t="s">
        <v>203</v>
      </c>
      <c r="AU50" s="11" t="s">
        <v>142</v>
      </c>
      <c r="AV50" s="11">
        <v>200</v>
      </c>
      <c r="AW50" s="11" t="s">
        <v>136</v>
      </c>
      <c r="AX50" s="11">
        <v>15</v>
      </c>
      <c r="AY50" s="11"/>
      <c r="AZ50" s="11">
        <v>1</v>
      </c>
      <c r="BB50" s="11" t="s">
        <v>419</v>
      </c>
      <c r="BC50" s="12" t="s">
        <v>420</v>
      </c>
      <c r="BD50" s="13">
        <v>3311900294</v>
      </c>
      <c r="BE50" s="12"/>
      <c r="BF50" s="23" t="s">
        <v>421</v>
      </c>
      <c r="BG50" s="11" t="s">
        <v>422</v>
      </c>
      <c r="BH50" s="12" t="s">
        <v>203</v>
      </c>
      <c r="BI50" s="12" t="s">
        <v>142</v>
      </c>
      <c r="BJ50" s="11">
        <v>187.5</v>
      </c>
      <c r="BK50" s="12" t="s">
        <v>136</v>
      </c>
      <c r="BL50" s="12">
        <v>0</v>
      </c>
      <c r="BM50" s="12"/>
      <c r="BN50" s="11">
        <v>2</v>
      </c>
      <c r="BP50" s="11" t="s">
        <v>386</v>
      </c>
      <c r="BQ50" s="11" t="s">
        <v>387</v>
      </c>
      <c r="BR50" s="15">
        <v>3317071188</v>
      </c>
      <c r="BS50" s="11"/>
      <c r="BT50" s="16" t="s">
        <v>388</v>
      </c>
      <c r="BU50" s="11" t="s">
        <v>389</v>
      </c>
      <c r="BV50" s="11"/>
      <c r="BW50" s="11" t="s">
        <v>142</v>
      </c>
      <c r="BX50" s="11">
        <v>200</v>
      </c>
      <c r="BY50" s="11" t="s">
        <v>136</v>
      </c>
      <c r="BZ50" s="11" t="s">
        <v>152</v>
      </c>
      <c r="CA50" s="11"/>
      <c r="CB50" s="11">
        <v>1</v>
      </c>
      <c r="CD50" s="22" t="s">
        <v>461</v>
      </c>
      <c r="CE50" s="11" t="s">
        <v>462</v>
      </c>
      <c r="CF50" s="15">
        <v>3312176844</v>
      </c>
      <c r="CG50" s="11"/>
      <c r="CH50" s="16" t="s">
        <v>463</v>
      </c>
      <c r="CI50" s="11" t="s">
        <v>464</v>
      </c>
      <c r="CJ50" s="11"/>
      <c r="CK50" s="11" t="s">
        <v>142</v>
      </c>
      <c r="CL50" s="11">
        <v>187.5</v>
      </c>
      <c r="CM50" s="11" t="s">
        <v>136</v>
      </c>
      <c r="CN50" s="11" t="s">
        <v>465</v>
      </c>
      <c r="CO50" s="11"/>
      <c r="CP50" s="11">
        <v>4</v>
      </c>
    </row>
    <row r="51" spans="1:94" ht="15.75" x14ac:dyDescent="0.25">
      <c r="A51" s="11" t="s">
        <v>450</v>
      </c>
      <c r="B51" s="11" t="s">
        <v>189</v>
      </c>
      <c r="C51" s="15">
        <v>3317711276</v>
      </c>
      <c r="D51" s="15">
        <v>3338244746</v>
      </c>
      <c r="E51" s="11" t="s">
        <v>451</v>
      </c>
      <c r="F51" s="11" t="s">
        <v>452</v>
      </c>
      <c r="G51" s="11"/>
      <c r="H51" s="11" t="s">
        <v>142</v>
      </c>
      <c r="I51" s="11">
        <v>750</v>
      </c>
      <c r="J51" s="11" t="s">
        <v>136</v>
      </c>
      <c r="K51" s="11" t="s">
        <v>297</v>
      </c>
      <c r="L51" s="11"/>
      <c r="N51" s="11" t="s">
        <v>410</v>
      </c>
      <c r="O51" s="11" t="s">
        <v>411</v>
      </c>
      <c r="P51" s="15"/>
      <c r="Q51" s="11">
        <v>38257028</v>
      </c>
      <c r="R51" s="16" t="s">
        <v>412</v>
      </c>
      <c r="S51" s="11" t="s">
        <v>413</v>
      </c>
      <c r="T51" s="11"/>
      <c r="U51" s="11" t="s">
        <v>142</v>
      </c>
      <c r="V51" s="11">
        <v>750</v>
      </c>
      <c r="W51" s="11" t="s">
        <v>136</v>
      </c>
      <c r="X51" s="11" t="s">
        <v>137</v>
      </c>
      <c r="Y51" s="11"/>
      <c r="AA51" s="11" t="s">
        <v>438</v>
      </c>
      <c r="AB51" s="11" t="s">
        <v>439</v>
      </c>
      <c r="AC51" s="15">
        <v>3334488380</v>
      </c>
      <c r="AD51" s="11">
        <v>36314024</v>
      </c>
      <c r="AE51" s="11" t="s">
        <v>440</v>
      </c>
      <c r="AF51" s="11" t="s">
        <v>441</v>
      </c>
      <c r="AG51" s="11"/>
      <c r="AH51" s="11" t="s">
        <v>135</v>
      </c>
      <c r="AI51" s="11">
        <v>375</v>
      </c>
      <c r="AJ51" s="11" t="s">
        <v>143</v>
      </c>
      <c r="AK51" s="11">
        <v>22</v>
      </c>
      <c r="AL51" s="11"/>
      <c r="AN51" s="11" t="s">
        <v>354</v>
      </c>
      <c r="AO51" s="11" t="s">
        <v>355</v>
      </c>
      <c r="AP51" s="15">
        <v>3315508402</v>
      </c>
      <c r="AQ51" s="11"/>
      <c r="AR51" s="16" t="s">
        <v>356</v>
      </c>
      <c r="AS51" s="11" t="s">
        <v>357</v>
      </c>
      <c r="AT51" s="11" t="s">
        <v>203</v>
      </c>
      <c r="AU51" s="11" t="s">
        <v>142</v>
      </c>
      <c r="AV51" s="11">
        <v>200</v>
      </c>
      <c r="AW51" s="11" t="s">
        <v>136</v>
      </c>
      <c r="AX51" s="11" t="s">
        <v>358</v>
      </c>
      <c r="AY51" s="11"/>
      <c r="AZ51" s="11">
        <v>1</v>
      </c>
      <c r="BB51" s="11" t="s">
        <v>428</v>
      </c>
      <c r="BC51" s="11" t="s">
        <v>429</v>
      </c>
      <c r="BD51" s="15">
        <v>3314112703</v>
      </c>
      <c r="BE51" s="11"/>
      <c r="BF51" s="16" t="s">
        <v>430</v>
      </c>
      <c r="BG51" s="11"/>
      <c r="BH51" s="11"/>
      <c r="BI51" s="11" t="s">
        <v>142</v>
      </c>
      <c r="BJ51" s="11">
        <v>200</v>
      </c>
      <c r="BK51" s="11" t="s">
        <v>136</v>
      </c>
      <c r="BL51" s="11" t="s">
        <v>466</v>
      </c>
      <c r="BM51" s="11"/>
      <c r="BN51" s="11">
        <v>2</v>
      </c>
      <c r="BP51" s="11" t="s">
        <v>349</v>
      </c>
      <c r="BQ51" s="11" t="s">
        <v>350</v>
      </c>
      <c r="BR51" s="15">
        <v>3314415732</v>
      </c>
      <c r="BS51" s="11">
        <v>36275564</v>
      </c>
      <c r="BT51" s="16" t="s">
        <v>351</v>
      </c>
      <c r="BU51" s="11" t="s">
        <v>352</v>
      </c>
      <c r="BV51" s="11" t="s">
        <v>203</v>
      </c>
      <c r="BW51" s="11" t="s">
        <v>142</v>
      </c>
      <c r="BX51" s="11">
        <v>187.5</v>
      </c>
      <c r="BY51" s="11" t="s">
        <v>136</v>
      </c>
      <c r="BZ51" s="11" t="s">
        <v>353</v>
      </c>
      <c r="CA51" s="11"/>
      <c r="CB51" s="11">
        <v>3</v>
      </c>
      <c r="CD51" s="11" t="s">
        <v>467</v>
      </c>
      <c r="CE51" s="11" t="s">
        <v>468</v>
      </c>
      <c r="CF51" s="15">
        <v>3311802665</v>
      </c>
      <c r="CG51" s="11"/>
      <c r="CH51" s="16" t="s">
        <v>469</v>
      </c>
      <c r="CI51" s="11" t="s">
        <v>470</v>
      </c>
      <c r="CJ51" s="11"/>
      <c r="CK51" s="11" t="s">
        <v>142</v>
      </c>
      <c r="CL51" s="11">
        <v>250</v>
      </c>
      <c r="CM51" s="11" t="s">
        <v>136</v>
      </c>
      <c r="CN51" s="11" t="s">
        <v>151</v>
      </c>
      <c r="CO51" s="11"/>
      <c r="CP51" s="11">
        <v>2</v>
      </c>
    </row>
    <row r="52" spans="1:94" ht="15.75" x14ac:dyDescent="0.25">
      <c r="A52" s="11" t="s">
        <v>467</v>
      </c>
      <c r="B52" s="11" t="s">
        <v>468</v>
      </c>
      <c r="C52" s="15">
        <v>3311802665</v>
      </c>
      <c r="D52" s="11"/>
      <c r="E52" s="16" t="s">
        <v>469</v>
      </c>
      <c r="F52" s="11" t="s">
        <v>470</v>
      </c>
      <c r="G52" s="11"/>
      <c r="H52" s="11" t="s">
        <v>142</v>
      </c>
      <c r="I52" s="11">
        <v>750</v>
      </c>
      <c r="J52" s="11" t="s">
        <v>136</v>
      </c>
      <c r="K52" s="11" t="s">
        <v>218</v>
      </c>
      <c r="L52" s="11"/>
      <c r="N52" s="11" t="s">
        <v>428</v>
      </c>
      <c r="O52" s="11" t="s">
        <v>429</v>
      </c>
      <c r="P52" s="15">
        <v>3314112703</v>
      </c>
      <c r="Q52" s="11"/>
      <c r="R52" s="16" t="s">
        <v>430</v>
      </c>
      <c r="S52" s="11"/>
      <c r="T52" s="11"/>
      <c r="U52" s="11" t="s">
        <v>142</v>
      </c>
      <c r="V52" s="11">
        <v>200</v>
      </c>
      <c r="W52" s="11" t="s">
        <v>136</v>
      </c>
      <c r="X52" s="11" t="s">
        <v>152</v>
      </c>
      <c r="Y52" s="11"/>
      <c r="AA52" s="11" t="s">
        <v>450</v>
      </c>
      <c r="AB52" s="11" t="s">
        <v>189</v>
      </c>
      <c r="AC52" s="15">
        <v>3317711276</v>
      </c>
      <c r="AD52" s="15">
        <v>3338244746</v>
      </c>
      <c r="AE52" s="11" t="s">
        <v>451</v>
      </c>
      <c r="AF52" s="11" t="s">
        <v>452</v>
      </c>
      <c r="AG52" s="11"/>
      <c r="AH52" s="11" t="s">
        <v>142</v>
      </c>
      <c r="AI52" s="11">
        <v>187.5</v>
      </c>
      <c r="AJ52" s="11" t="s">
        <v>136</v>
      </c>
      <c r="AK52" s="11" t="s">
        <v>296</v>
      </c>
      <c r="AL52" s="11"/>
      <c r="AN52" s="11" t="s">
        <v>445</v>
      </c>
      <c r="AO52" s="11" t="s">
        <v>446</v>
      </c>
      <c r="AP52" s="15">
        <v>3335841961</v>
      </c>
      <c r="AQ52" s="11"/>
      <c r="AR52" s="11" t="s">
        <v>447</v>
      </c>
      <c r="AS52" s="11" t="s">
        <v>448</v>
      </c>
      <c r="AT52" s="11"/>
      <c r="AU52" s="11" t="s">
        <v>142</v>
      </c>
      <c r="AV52" s="11">
        <v>200</v>
      </c>
      <c r="AW52" s="11" t="s">
        <v>136</v>
      </c>
      <c r="AX52" s="11" t="s">
        <v>471</v>
      </c>
      <c r="AY52" s="11"/>
      <c r="AZ52" s="11">
        <v>1</v>
      </c>
      <c r="BB52" s="11" t="s">
        <v>438</v>
      </c>
      <c r="BC52" s="11" t="s">
        <v>439</v>
      </c>
      <c r="BD52" s="15">
        <v>3334488380</v>
      </c>
      <c r="BE52" s="11">
        <v>36314024</v>
      </c>
      <c r="BF52" s="11" t="s">
        <v>440</v>
      </c>
      <c r="BG52" s="11" t="s">
        <v>441</v>
      </c>
      <c r="BH52" s="11"/>
      <c r="BI52" s="11" t="s">
        <v>135</v>
      </c>
      <c r="BJ52" s="11">
        <v>187.5</v>
      </c>
      <c r="BK52" s="11" t="s">
        <v>136</v>
      </c>
      <c r="BL52" s="11" t="s">
        <v>472</v>
      </c>
      <c r="BM52" s="11"/>
      <c r="BN52" s="11">
        <v>2</v>
      </c>
      <c r="BP52" s="11" t="s">
        <v>354</v>
      </c>
      <c r="BQ52" s="11" t="s">
        <v>355</v>
      </c>
      <c r="BR52" s="15">
        <v>3315508402</v>
      </c>
      <c r="BS52" s="11"/>
      <c r="BT52" s="16" t="s">
        <v>356</v>
      </c>
      <c r="BU52" s="11" t="s">
        <v>357</v>
      </c>
      <c r="BV52" s="11" t="s">
        <v>203</v>
      </c>
      <c r="BW52" s="11" t="s">
        <v>142</v>
      </c>
      <c r="BX52" s="11">
        <v>187.5</v>
      </c>
      <c r="BY52" s="11" t="s">
        <v>136</v>
      </c>
      <c r="BZ52" s="11" t="s">
        <v>244</v>
      </c>
      <c r="CA52" s="11"/>
      <c r="CB52" s="11">
        <v>3</v>
      </c>
      <c r="CD52" s="11" t="s">
        <v>473</v>
      </c>
      <c r="CE52" s="11" t="s">
        <v>474</v>
      </c>
      <c r="CF52" s="15">
        <v>3317109196</v>
      </c>
      <c r="CG52" s="11">
        <v>15967909</v>
      </c>
      <c r="CH52" s="16" t="s">
        <v>475</v>
      </c>
      <c r="CI52" s="11" t="s">
        <v>476</v>
      </c>
      <c r="CJ52" s="11"/>
      <c r="CK52" s="11" t="s">
        <v>142</v>
      </c>
      <c r="CL52" s="11">
        <v>190</v>
      </c>
      <c r="CM52" s="11" t="s">
        <v>136</v>
      </c>
      <c r="CN52" s="11" t="s">
        <v>137</v>
      </c>
      <c r="CO52" s="11"/>
      <c r="CP52" s="11">
        <v>4</v>
      </c>
    </row>
    <row r="53" spans="1:94" ht="15.75" x14ac:dyDescent="0.25">
      <c r="A53" s="11" t="s">
        <v>473</v>
      </c>
      <c r="B53" s="11" t="s">
        <v>474</v>
      </c>
      <c r="C53" s="15">
        <v>3317109196</v>
      </c>
      <c r="D53" s="11">
        <v>15967909</v>
      </c>
      <c r="E53" s="23" t="s">
        <v>475</v>
      </c>
      <c r="F53" s="11" t="s">
        <v>476</v>
      </c>
      <c r="G53" s="11"/>
      <c r="H53" s="11" t="s">
        <v>142</v>
      </c>
      <c r="I53" s="11">
        <v>750</v>
      </c>
      <c r="J53" s="11" t="s">
        <v>136</v>
      </c>
      <c r="K53" s="11" t="s">
        <v>253</v>
      </c>
      <c r="L53" s="11"/>
      <c r="N53" s="11" t="s">
        <v>438</v>
      </c>
      <c r="O53" s="11" t="s">
        <v>439</v>
      </c>
      <c r="P53" s="15">
        <v>3334488380</v>
      </c>
      <c r="Q53" s="11">
        <v>36314024</v>
      </c>
      <c r="R53" s="11" t="s">
        <v>440</v>
      </c>
      <c r="S53" s="11" t="s">
        <v>441</v>
      </c>
      <c r="T53" s="11"/>
      <c r="U53" s="11" t="s">
        <v>135</v>
      </c>
      <c r="V53" s="11">
        <v>1740</v>
      </c>
      <c r="W53" s="11" t="s">
        <v>143</v>
      </c>
      <c r="X53" s="11">
        <v>20</v>
      </c>
      <c r="Y53" s="11"/>
      <c r="AA53" s="11" t="s">
        <v>459</v>
      </c>
      <c r="AB53" s="11" t="s">
        <v>372</v>
      </c>
      <c r="AC53" s="15">
        <v>3310640389</v>
      </c>
      <c r="AD53" s="11"/>
      <c r="AE53" s="16" t="s">
        <v>373</v>
      </c>
      <c r="AF53" s="11" t="s">
        <v>374</v>
      </c>
      <c r="AG53" s="11"/>
      <c r="AH53" s="11" t="s">
        <v>142</v>
      </c>
      <c r="AI53" s="11">
        <v>187.5</v>
      </c>
      <c r="AJ53" s="11" t="s">
        <v>136</v>
      </c>
      <c r="AK53" s="11" t="s">
        <v>188</v>
      </c>
      <c r="AL53" s="11"/>
      <c r="AN53" s="11" t="s">
        <v>381</v>
      </c>
      <c r="AO53" s="11" t="s">
        <v>382</v>
      </c>
      <c r="AP53" s="15">
        <v>3310408306</v>
      </c>
      <c r="AQ53" s="11"/>
      <c r="AR53" s="16" t="s">
        <v>383</v>
      </c>
      <c r="AS53" s="11" t="s">
        <v>384</v>
      </c>
      <c r="AT53" s="11"/>
      <c r="AU53" s="11" t="s">
        <v>142</v>
      </c>
      <c r="AV53" s="11">
        <v>187.5</v>
      </c>
      <c r="AW53" s="11" t="s">
        <v>136</v>
      </c>
      <c r="AX53" s="11" t="s">
        <v>252</v>
      </c>
      <c r="AY53" s="11"/>
      <c r="AZ53" s="11">
        <v>1</v>
      </c>
      <c r="BB53" s="11" t="s">
        <v>450</v>
      </c>
      <c r="BC53" s="11" t="s">
        <v>189</v>
      </c>
      <c r="BD53" s="15">
        <v>3317711276</v>
      </c>
      <c r="BE53" s="15">
        <v>3338244746</v>
      </c>
      <c r="BF53" s="24" t="s">
        <v>451</v>
      </c>
      <c r="BG53" s="11" t="s">
        <v>452</v>
      </c>
      <c r="BH53" s="11"/>
      <c r="BI53" s="11" t="s">
        <v>142</v>
      </c>
      <c r="BJ53" s="11">
        <v>187.5</v>
      </c>
      <c r="BK53" s="11" t="s">
        <v>136</v>
      </c>
      <c r="BL53" s="11" t="s">
        <v>296</v>
      </c>
      <c r="BM53" s="11"/>
      <c r="BN53" s="11">
        <v>2</v>
      </c>
      <c r="BP53" s="11" t="s">
        <v>445</v>
      </c>
      <c r="BQ53" s="11" t="s">
        <v>446</v>
      </c>
      <c r="BR53" s="15">
        <v>3335841961</v>
      </c>
      <c r="BS53" s="11"/>
      <c r="BT53" s="11" t="s">
        <v>447</v>
      </c>
      <c r="BU53" s="11" t="s">
        <v>448</v>
      </c>
      <c r="BV53" s="11"/>
      <c r="BW53" s="11" t="s">
        <v>142</v>
      </c>
      <c r="BX53" s="11">
        <v>200</v>
      </c>
      <c r="BY53" s="11" t="s">
        <v>136</v>
      </c>
      <c r="BZ53" s="11" t="s">
        <v>472</v>
      </c>
      <c r="CA53" s="11"/>
      <c r="CB53" s="11">
        <v>3</v>
      </c>
      <c r="CD53" s="11" t="s">
        <v>477</v>
      </c>
      <c r="CE53" s="11" t="s">
        <v>478</v>
      </c>
      <c r="CF53" s="15">
        <v>3315398142</v>
      </c>
      <c r="CG53" s="11"/>
      <c r="CH53" s="16" t="s">
        <v>479</v>
      </c>
      <c r="CI53" s="11" t="s">
        <v>480</v>
      </c>
      <c r="CJ53" s="11"/>
      <c r="CK53" s="11" t="s">
        <v>142</v>
      </c>
      <c r="CL53" s="11">
        <v>200</v>
      </c>
      <c r="CM53" s="11" t="s">
        <v>136</v>
      </c>
      <c r="CN53" s="11" t="s">
        <v>253</v>
      </c>
      <c r="CO53" s="11"/>
      <c r="CP53" s="11">
        <v>4</v>
      </c>
    </row>
    <row r="54" spans="1:94" ht="15.75" x14ac:dyDescent="0.25">
      <c r="A54" s="11" t="s">
        <v>481</v>
      </c>
      <c r="B54" s="11" t="s">
        <v>482</v>
      </c>
      <c r="C54" s="15">
        <v>3317440064</v>
      </c>
      <c r="D54" s="11"/>
      <c r="E54" s="16" t="s">
        <v>483</v>
      </c>
      <c r="F54" s="11" t="s">
        <v>484</v>
      </c>
      <c r="G54" s="11"/>
      <c r="H54" s="11"/>
      <c r="I54" s="11">
        <v>200</v>
      </c>
      <c r="J54" s="11" t="s">
        <v>136</v>
      </c>
      <c r="K54" s="11" t="s">
        <v>244</v>
      </c>
      <c r="L54" s="11"/>
      <c r="N54" s="11" t="s">
        <v>450</v>
      </c>
      <c r="O54" s="11" t="s">
        <v>189</v>
      </c>
      <c r="P54" s="15">
        <v>3317711276</v>
      </c>
      <c r="Q54" s="15">
        <v>3338244746</v>
      </c>
      <c r="R54" s="24" t="s">
        <v>451</v>
      </c>
      <c r="S54" s="11" t="s">
        <v>452</v>
      </c>
      <c r="T54" s="11"/>
      <c r="U54" s="11" t="s">
        <v>142</v>
      </c>
      <c r="V54" s="11">
        <v>750</v>
      </c>
      <c r="W54" s="11" t="s">
        <v>136</v>
      </c>
      <c r="X54" s="11" t="s">
        <v>296</v>
      </c>
      <c r="Y54" s="11"/>
      <c r="AA54" s="22" t="s">
        <v>461</v>
      </c>
      <c r="AB54" s="11" t="s">
        <v>462</v>
      </c>
      <c r="AC54" s="15">
        <v>3312176844</v>
      </c>
      <c r="AD54" s="11"/>
      <c r="AE54" s="16" t="s">
        <v>463</v>
      </c>
      <c r="AF54" s="11" t="s">
        <v>464</v>
      </c>
      <c r="AG54" s="11"/>
      <c r="AH54" s="11" t="s">
        <v>142</v>
      </c>
      <c r="AI54" s="11">
        <v>250</v>
      </c>
      <c r="AJ54" s="11" t="s">
        <v>136</v>
      </c>
      <c r="AK54" s="11" t="s">
        <v>465</v>
      </c>
      <c r="AL54" s="11"/>
      <c r="AN54" s="11" t="s">
        <v>419</v>
      </c>
      <c r="AO54" s="11" t="s">
        <v>420</v>
      </c>
      <c r="AP54" s="15">
        <v>3311900294</v>
      </c>
      <c r="AQ54" s="11"/>
      <c r="AR54" s="16" t="s">
        <v>421</v>
      </c>
      <c r="AS54" s="11" t="s">
        <v>422</v>
      </c>
      <c r="AT54" s="11" t="s">
        <v>203</v>
      </c>
      <c r="AU54" s="11" t="s">
        <v>142</v>
      </c>
      <c r="AV54" s="11">
        <v>187.5</v>
      </c>
      <c r="AW54" s="11" t="s">
        <v>136</v>
      </c>
      <c r="AX54" s="11" t="s">
        <v>485</v>
      </c>
      <c r="AY54" s="11"/>
      <c r="AZ54" s="11">
        <v>1</v>
      </c>
      <c r="BB54" s="11" t="s">
        <v>459</v>
      </c>
      <c r="BC54" s="11" t="s">
        <v>372</v>
      </c>
      <c r="BD54" s="15">
        <v>3310640389</v>
      </c>
      <c r="BE54" s="11"/>
      <c r="BF54" s="16" t="s">
        <v>373</v>
      </c>
      <c r="BG54" s="11" t="s">
        <v>374</v>
      </c>
      <c r="BH54" s="11"/>
      <c r="BI54" s="11" t="s">
        <v>142</v>
      </c>
      <c r="BJ54" s="11">
        <v>187.5</v>
      </c>
      <c r="BK54" s="11" t="s">
        <v>136</v>
      </c>
      <c r="BL54" s="11" t="s">
        <v>205</v>
      </c>
      <c r="BM54" s="11"/>
      <c r="BN54" s="11">
        <v>2</v>
      </c>
      <c r="BP54" s="11" t="s">
        <v>486</v>
      </c>
      <c r="BQ54" s="11" t="s">
        <v>487</v>
      </c>
      <c r="BR54" s="15">
        <v>3315207707</v>
      </c>
      <c r="BS54" s="11">
        <v>18155093</v>
      </c>
      <c r="BT54" s="16" t="s">
        <v>488</v>
      </c>
      <c r="BU54" s="11" t="s">
        <v>489</v>
      </c>
      <c r="BV54" s="11"/>
      <c r="BW54" s="11" t="s">
        <v>251</v>
      </c>
      <c r="BX54" s="11">
        <v>0</v>
      </c>
      <c r="BY54" s="11" t="s">
        <v>136</v>
      </c>
      <c r="BZ54" s="11" t="s">
        <v>437</v>
      </c>
      <c r="CA54" s="11"/>
      <c r="CB54" s="11"/>
      <c r="CD54" s="11" t="s">
        <v>490</v>
      </c>
      <c r="CE54" s="11" t="s">
        <v>491</v>
      </c>
      <c r="CF54" s="15">
        <v>3310849639</v>
      </c>
      <c r="CG54" s="11">
        <v>36470293</v>
      </c>
      <c r="CH54" s="24" t="s">
        <v>492</v>
      </c>
      <c r="CI54" s="11" t="s">
        <v>493</v>
      </c>
      <c r="CJ54" s="11"/>
      <c r="CK54" s="11" t="s">
        <v>142</v>
      </c>
      <c r="CL54" s="11">
        <v>125</v>
      </c>
      <c r="CM54" s="11" t="s">
        <v>136</v>
      </c>
      <c r="CN54" s="11" t="s">
        <v>171</v>
      </c>
      <c r="CO54" s="11"/>
      <c r="CP54" s="11">
        <v>4</v>
      </c>
    </row>
    <row r="55" spans="1:94" ht="15.75" x14ac:dyDescent="0.25">
      <c r="A55" s="11" t="s">
        <v>477</v>
      </c>
      <c r="B55" s="11" t="s">
        <v>478</v>
      </c>
      <c r="C55" s="15">
        <v>3315398142</v>
      </c>
      <c r="D55" s="11"/>
      <c r="E55" s="16" t="s">
        <v>479</v>
      </c>
      <c r="F55" s="11" t="s">
        <v>480</v>
      </c>
      <c r="G55" s="11"/>
      <c r="H55" s="11" t="s">
        <v>142</v>
      </c>
      <c r="I55" s="11">
        <v>750</v>
      </c>
      <c r="J55" s="11" t="s">
        <v>136</v>
      </c>
      <c r="K55" s="11" t="s">
        <v>163</v>
      </c>
      <c r="L55" s="11"/>
      <c r="N55" s="22" t="s">
        <v>461</v>
      </c>
      <c r="O55" s="11" t="s">
        <v>462</v>
      </c>
      <c r="P55" s="15">
        <v>3312176844</v>
      </c>
      <c r="Q55" s="11"/>
      <c r="R55" s="16" t="s">
        <v>463</v>
      </c>
      <c r="S55" s="11"/>
      <c r="T55" s="11"/>
      <c r="U55" s="11" t="s">
        <v>142</v>
      </c>
      <c r="V55" s="11">
        <v>500</v>
      </c>
      <c r="W55" s="11" t="s">
        <v>143</v>
      </c>
      <c r="X55" s="11">
        <v>4</v>
      </c>
      <c r="Y55" s="11"/>
      <c r="AA55" s="11" t="s">
        <v>473</v>
      </c>
      <c r="AB55" s="11" t="s">
        <v>474</v>
      </c>
      <c r="AC55" s="15">
        <v>3317109196</v>
      </c>
      <c r="AD55" s="11">
        <v>15967909</v>
      </c>
      <c r="AE55" s="16" t="s">
        <v>475</v>
      </c>
      <c r="AF55" s="11" t="s">
        <v>476</v>
      </c>
      <c r="AG55" s="11"/>
      <c r="AH55" s="11" t="s">
        <v>142</v>
      </c>
      <c r="AI55" s="11">
        <v>187.5</v>
      </c>
      <c r="AJ55" s="11" t="s">
        <v>136</v>
      </c>
      <c r="AK55" s="11" t="s">
        <v>297</v>
      </c>
      <c r="AL55" s="11"/>
      <c r="AN55" s="11" t="s">
        <v>428</v>
      </c>
      <c r="AO55" s="11" t="s">
        <v>429</v>
      </c>
      <c r="AP55" s="15">
        <v>3314112703</v>
      </c>
      <c r="AQ55" s="11"/>
      <c r="AR55" s="16" t="s">
        <v>430</v>
      </c>
      <c r="AS55" s="11"/>
      <c r="AT55" s="11"/>
      <c r="AU55" s="11" t="s">
        <v>142</v>
      </c>
      <c r="AV55" s="11">
        <v>200</v>
      </c>
      <c r="AW55" s="11" t="s">
        <v>136</v>
      </c>
      <c r="AX55" s="11" t="s">
        <v>296</v>
      </c>
      <c r="AY55" s="11"/>
      <c r="AZ55" s="11">
        <v>1</v>
      </c>
      <c r="BB55" s="22" t="s">
        <v>461</v>
      </c>
      <c r="BC55" s="11" t="s">
        <v>462</v>
      </c>
      <c r="BD55" s="15">
        <v>3312176844</v>
      </c>
      <c r="BE55" s="11"/>
      <c r="BF55" s="16" t="s">
        <v>463</v>
      </c>
      <c r="BG55" s="11" t="s">
        <v>464</v>
      </c>
      <c r="BH55" s="11"/>
      <c r="BI55" s="11" t="s">
        <v>142</v>
      </c>
      <c r="BJ55" s="11">
        <v>187.5</v>
      </c>
      <c r="BK55" s="11" t="s">
        <v>136</v>
      </c>
      <c r="BL55" s="11" t="s">
        <v>465</v>
      </c>
      <c r="BM55" s="11"/>
      <c r="BN55" s="11">
        <v>2</v>
      </c>
      <c r="BP55" s="11" t="s">
        <v>381</v>
      </c>
      <c r="BQ55" s="11" t="s">
        <v>382</v>
      </c>
      <c r="BR55" s="15">
        <v>3310408306</v>
      </c>
      <c r="BS55" s="11"/>
      <c r="BT55" s="16" t="s">
        <v>383</v>
      </c>
      <c r="BU55" s="11" t="s">
        <v>384</v>
      </c>
      <c r="BV55" s="11"/>
      <c r="BW55" s="11" t="s">
        <v>142</v>
      </c>
      <c r="BX55" s="11">
        <v>187.5</v>
      </c>
      <c r="BY55" s="11" t="s">
        <v>136</v>
      </c>
      <c r="BZ55" s="11" t="s">
        <v>303</v>
      </c>
      <c r="CA55" s="11"/>
      <c r="CB55" s="11">
        <v>3</v>
      </c>
    </row>
    <row r="56" spans="1:94" ht="15.75" x14ac:dyDescent="0.25">
      <c r="A56" s="11" t="s">
        <v>494</v>
      </c>
      <c r="B56" s="11" t="s">
        <v>495</v>
      </c>
      <c r="C56" s="15">
        <v>3314117605</v>
      </c>
      <c r="D56" s="11">
        <v>38134694</v>
      </c>
      <c r="E56" s="11" t="s">
        <v>496</v>
      </c>
      <c r="F56" s="11" t="s">
        <v>497</v>
      </c>
      <c r="G56" s="11"/>
      <c r="H56" s="11" t="s">
        <v>142</v>
      </c>
      <c r="I56" s="11">
        <v>200</v>
      </c>
      <c r="J56" s="11" t="s">
        <v>136</v>
      </c>
      <c r="K56" s="11" t="s">
        <v>205</v>
      </c>
      <c r="L56" s="11"/>
      <c r="N56" s="11" t="s">
        <v>473</v>
      </c>
      <c r="O56" s="11" t="s">
        <v>474</v>
      </c>
      <c r="P56" s="15">
        <v>3317109196</v>
      </c>
      <c r="Q56" s="11">
        <v>15967909</v>
      </c>
      <c r="R56" s="16" t="s">
        <v>475</v>
      </c>
      <c r="S56" s="11" t="s">
        <v>476</v>
      </c>
      <c r="T56" s="11"/>
      <c r="U56" s="11" t="s">
        <v>142</v>
      </c>
      <c r="V56" s="11">
        <v>750</v>
      </c>
      <c r="W56" s="11" t="s">
        <v>136</v>
      </c>
      <c r="X56" s="11" t="s">
        <v>498</v>
      </c>
      <c r="Y56" s="11"/>
      <c r="AA56" s="11" t="s">
        <v>477</v>
      </c>
      <c r="AB56" s="11" t="s">
        <v>478</v>
      </c>
      <c r="AC56" s="15">
        <v>3315398142</v>
      </c>
      <c r="AD56" s="11"/>
      <c r="AE56" s="16" t="s">
        <v>479</v>
      </c>
      <c r="AF56" s="11" t="s">
        <v>480</v>
      </c>
      <c r="AG56" s="11"/>
      <c r="AH56" s="11" t="s">
        <v>142</v>
      </c>
      <c r="AI56" s="11">
        <v>187.5</v>
      </c>
      <c r="AJ56" s="11" t="s">
        <v>136</v>
      </c>
      <c r="AK56" s="11" t="s">
        <v>137</v>
      </c>
      <c r="AL56" s="11"/>
      <c r="AN56" s="11" t="s">
        <v>438</v>
      </c>
      <c r="AO56" s="11" t="s">
        <v>439</v>
      </c>
      <c r="AP56" s="15">
        <v>3334488380</v>
      </c>
      <c r="AQ56" s="11">
        <v>36314024</v>
      </c>
      <c r="AR56" s="11" t="s">
        <v>440</v>
      </c>
      <c r="AS56" s="11" t="s">
        <v>441</v>
      </c>
      <c r="AT56" s="11"/>
      <c r="AU56" s="11" t="s">
        <v>135</v>
      </c>
      <c r="AV56" s="11">
        <v>375</v>
      </c>
      <c r="AW56" s="11" t="s">
        <v>143</v>
      </c>
      <c r="AX56" s="11">
        <v>22</v>
      </c>
      <c r="AY56" s="11"/>
      <c r="AZ56" s="11">
        <v>1</v>
      </c>
      <c r="BB56" s="11" t="s">
        <v>467</v>
      </c>
      <c r="BC56" s="11" t="s">
        <v>468</v>
      </c>
      <c r="BD56" s="15">
        <v>3311802665</v>
      </c>
      <c r="BE56" s="11"/>
      <c r="BF56" s="16" t="s">
        <v>469</v>
      </c>
      <c r="BG56" s="11" t="s">
        <v>470</v>
      </c>
      <c r="BH56" s="11"/>
      <c r="BI56" s="11" t="s">
        <v>142</v>
      </c>
      <c r="BJ56" s="11">
        <v>250</v>
      </c>
      <c r="BK56" s="11" t="s">
        <v>136</v>
      </c>
      <c r="BL56" s="11" t="s">
        <v>137</v>
      </c>
      <c r="BM56" s="11"/>
      <c r="BN56" s="11">
        <v>1</v>
      </c>
      <c r="BP56" s="11" t="s">
        <v>398</v>
      </c>
      <c r="BQ56" s="11" t="s">
        <v>399</v>
      </c>
      <c r="BR56" s="15">
        <v>3333979927</v>
      </c>
      <c r="BS56" s="11">
        <v>36563118</v>
      </c>
      <c r="BT56" s="16" t="s">
        <v>400</v>
      </c>
      <c r="BU56" s="11" t="s">
        <v>401</v>
      </c>
      <c r="BV56" s="11" t="s">
        <v>203</v>
      </c>
      <c r="BW56" s="11" t="s">
        <v>142</v>
      </c>
      <c r="BX56" s="11">
        <v>250</v>
      </c>
      <c r="BY56" s="11" t="s">
        <v>136</v>
      </c>
      <c r="BZ56" s="11" t="s">
        <v>265</v>
      </c>
      <c r="CA56" s="11" t="s">
        <v>330</v>
      </c>
      <c r="CB56" s="11">
        <v>1</v>
      </c>
    </row>
    <row r="57" spans="1:94" ht="15.75" x14ac:dyDescent="0.25">
      <c r="N57" s="22" t="s">
        <v>499</v>
      </c>
      <c r="O57" s="11" t="s">
        <v>500</v>
      </c>
      <c r="P57" s="15">
        <v>3310234402</v>
      </c>
      <c r="Q57" s="11"/>
      <c r="R57" s="11" t="s">
        <v>501</v>
      </c>
      <c r="S57" s="11" t="s">
        <v>502</v>
      </c>
      <c r="T57" s="11" t="s">
        <v>402</v>
      </c>
      <c r="U57" s="11" t="s">
        <v>142</v>
      </c>
      <c r="V57" s="11">
        <v>250</v>
      </c>
      <c r="W57" s="11" t="s">
        <v>136</v>
      </c>
      <c r="X57" s="11" t="s">
        <v>252</v>
      </c>
      <c r="Y57" s="11"/>
      <c r="AA57" s="11" t="s">
        <v>490</v>
      </c>
      <c r="AB57" s="11" t="s">
        <v>491</v>
      </c>
      <c r="AC57" s="15">
        <v>3310849639</v>
      </c>
      <c r="AD57" s="11">
        <v>36470293</v>
      </c>
      <c r="AE57" s="24" t="s">
        <v>492</v>
      </c>
      <c r="AF57" s="11" t="s">
        <v>493</v>
      </c>
      <c r="AG57" s="11"/>
      <c r="AH57" s="11" t="s">
        <v>142</v>
      </c>
      <c r="AI57" s="11">
        <v>125</v>
      </c>
      <c r="AJ57" s="11" t="s">
        <v>136</v>
      </c>
      <c r="AK57" s="11" t="s">
        <v>164</v>
      </c>
      <c r="AL57" s="11"/>
      <c r="AN57" s="11" t="s">
        <v>450</v>
      </c>
      <c r="AO57" s="11" t="s">
        <v>189</v>
      </c>
      <c r="AP57" s="15">
        <v>3317711276</v>
      </c>
      <c r="AQ57" s="15">
        <v>3338244746</v>
      </c>
      <c r="AR57" s="11" t="s">
        <v>451</v>
      </c>
      <c r="AS57" s="11" t="s">
        <v>452</v>
      </c>
      <c r="AT57" s="11"/>
      <c r="AU57" s="11" t="s">
        <v>142</v>
      </c>
      <c r="AV57" s="11">
        <v>187.5</v>
      </c>
      <c r="AW57" s="11" t="s">
        <v>136</v>
      </c>
      <c r="AX57" s="11" t="s">
        <v>175</v>
      </c>
      <c r="AY57" s="11"/>
      <c r="AZ57" s="11">
        <v>1</v>
      </c>
      <c r="BB57" s="11" t="s">
        <v>473</v>
      </c>
      <c r="BC57" s="11" t="s">
        <v>474</v>
      </c>
      <c r="BD57" s="15">
        <v>3317109196</v>
      </c>
      <c r="BE57" s="11">
        <v>15967909</v>
      </c>
      <c r="BF57" s="23" t="s">
        <v>475</v>
      </c>
      <c r="BG57" s="11" t="s">
        <v>476</v>
      </c>
      <c r="BH57" s="11"/>
      <c r="BI57" s="11" t="s">
        <v>142</v>
      </c>
      <c r="BJ57" s="11">
        <v>190</v>
      </c>
      <c r="BK57" s="11" t="s">
        <v>136</v>
      </c>
      <c r="BL57" s="11" t="s">
        <v>165</v>
      </c>
      <c r="BM57" s="11"/>
      <c r="BN57" s="11">
        <v>2</v>
      </c>
      <c r="BP57" s="11" t="s">
        <v>503</v>
      </c>
      <c r="BQ57" s="11" t="s">
        <v>504</v>
      </c>
      <c r="BR57" s="15">
        <v>3312932081</v>
      </c>
      <c r="BS57" s="11"/>
      <c r="BT57" s="16" t="s">
        <v>505</v>
      </c>
      <c r="BU57" s="11" t="s">
        <v>506</v>
      </c>
      <c r="BV57" s="11" t="s">
        <v>203</v>
      </c>
      <c r="BW57" s="11" t="s">
        <v>142</v>
      </c>
      <c r="BX57" s="11">
        <v>200</v>
      </c>
      <c r="BY57" s="11" t="s">
        <v>136</v>
      </c>
      <c r="BZ57" s="11" t="s">
        <v>460</v>
      </c>
      <c r="CA57" s="11" t="s">
        <v>330</v>
      </c>
      <c r="CB57" s="11">
        <v>1</v>
      </c>
    </row>
    <row r="58" spans="1:94" ht="15.75" x14ac:dyDescent="0.25">
      <c r="N58" s="22" t="s">
        <v>507</v>
      </c>
      <c r="O58" s="11" t="s">
        <v>508</v>
      </c>
      <c r="P58" s="15">
        <v>3333498818</v>
      </c>
      <c r="Q58" s="11"/>
      <c r="R58" s="16" t="s">
        <v>509</v>
      </c>
      <c r="S58" s="11" t="s">
        <v>510</v>
      </c>
      <c r="T58" s="11" t="s">
        <v>203</v>
      </c>
      <c r="U58" s="11" t="s">
        <v>204</v>
      </c>
      <c r="V58" s="11">
        <v>200</v>
      </c>
      <c r="W58" s="11" t="s">
        <v>136</v>
      </c>
      <c r="X58" s="11" t="s">
        <v>427</v>
      </c>
      <c r="Y58" s="11"/>
      <c r="AN58" s="11" t="s">
        <v>459</v>
      </c>
      <c r="AO58" s="11" t="s">
        <v>372</v>
      </c>
      <c r="AP58" s="15">
        <v>3310640389</v>
      </c>
      <c r="AQ58" s="11"/>
      <c r="AR58" s="16" t="s">
        <v>373</v>
      </c>
      <c r="AS58" s="11" t="s">
        <v>374</v>
      </c>
      <c r="AT58" s="11"/>
      <c r="AU58" s="11" t="s">
        <v>142</v>
      </c>
      <c r="AV58" s="11">
        <v>187.5</v>
      </c>
      <c r="AW58" s="11" t="s">
        <v>136</v>
      </c>
      <c r="AX58" s="11" t="s">
        <v>192</v>
      </c>
      <c r="AY58" s="11"/>
      <c r="AZ58" s="11">
        <v>1</v>
      </c>
      <c r="BB58" s="11" t="s">
        <v>481</v>
      </c>
      <c r="BC58" s="11" t="s">
        <v>482</v>
      </c>
      <c r="BD58" s="15">
        <v>3317440064</v>
      </c>
      <c r="BE58" s="11"/>
      <c r="BF58" s="16" t="s">
        <v>483</v>
      </c>
      <c r="BG58" s="11" t="s">
        <v>484</v>
      </c>
      <c r="BH58" s="11"/>
      <c r="BI58" s="11" t="s">
        <v>142</v>
      </c>
      <c r="BJ58" s="11">
        <v>200</v>
      </c>
      <c r="BK58" s="11" t="s">
        <v>136</v>
      </c>
      <c r="BL58" s="11" t="s">
        <v>244</v>
      </c>
      <c r="BM58" s="11"/>
      <c r="BN58" s="11">
        <v>2</v>
      </c>
      <c r="BP58" s="11" t="s">
        <v>406</v>
      </c>
      <c r="BQ58" s="11" t="s">
        <v>407</v>
      </c>
      <c r="BR58" s="15">
        <v>3332003097</v>
      </c>
      <c r="BS58" s="11">
        <v>38103965</v>
      </c>
      <c r="BT58" s="24" t="s">
        <v>408</v>
      </c>
      <c r="BU58" s="11" t="s">
        <v>409</v>
      </c>
      <c r="BV58" s="11"/>
      <c r="BW58" s="11" t="s">
        <v>142</v>
      </c>
      <c r="BX58" s="11">
        <v>187.5</v>
      </c>
      <c r="BY58" s="11" t="s">
        <v>136</v>
      </c>
      <c r="BZ58" s="11" t="s">
        <v>511</v>
      </c>
      <c r="CA58" s="11"/>
      <c r="CB58" s="11">
        <v>1</v>
      </c>
    </row>
    <row r="59" spans="1:94" ht="15.75" x14ac:dyDescent="0.25">
      <c r="N59" s="22" t="s">
        <v>481</v>
      </c>
      <c r="O59" s="11" t="s">
        <v>482</v>
      </c>
      <c r="P59" s="15">
        <v>3317440064</v>
      </c>
      <c r="Q59" s="11"/>
      <c r="R59" s="16" t="s">
        <v>483</v>
      </c>
      <c r="S59" s="11" t="s">
        <v>484</v>
      </c>
      <c r="T59" s="11" t="s">
        <v>203</v>
      </c>
      <c r="U59" s="11" t="s">
        <v>142</v>
      </c>
      <c r="V59" s="11">
        <v>200</v>
      </c>
      <c r="W59" s="11" t="s">
        <v>136</v>
      </c>
      <c r="X59" s="11" t="s">
        <v>244</v>
      </c>
      <c r="Y59" s="11"/>
      <c r="AN59" s="22" t="s">
        <v>461</v>
      </c>
      <c r="AO59" s="11" t="s">
        <v>462</v>
      </c>
      <c r="AP59" s="15">
        <v>3312176844</v>
      </c>
      <c r="AQ59" s="11"/>
      <c r="AR59" s="16" t="s">
        <v>463</v>
      </c>
      <c r="AS59" s="11" t="s">
        <v>464</v>
      </c>
      <c r="AT59" s="11"/>
      <c r="AU59" s="11" t="s">
        <v>142</v>
      </c>
      <c r="AV59" s="11">
        <v>187.5</v>
      </c>
      <c r="AW59" s="11" t="s">
        <v>136</v>
      </c>
      <c r="AX59" s="11" t="s">
        <v>465</v>
      </c>
      <c r="AY59" s="11"/>
      <c r="AZ59" s="11">
        <v>1</v>
      </c>
      <c r="BB59" s="11" t="s">
        <v>477</v>
      </c>
      <c r="BC59" s="11" t="s">
        <v>478</v>
      </c>
      <c r="BD59" s="15">
        <v>3315398142</v>
      </c>
      <c r="BE59" s="11"/>
      <c r="BF59" s="23" t="s">
        <v>479</v>
      </c>
      <c r="BG59" s="11" t="s">
        <v>480</v>
      </c>
      <c r="BH59" s="11"/>
      <c r="BI59" s="11" t="s">
        <v>142</v>
      </c>
      <c r="BJ59" s="11">
        <v>200</v>
      </c>
      <c r="BK59" s="11" t="s">
        <v>136</v>
      </c>
      <c r="BL59" s="11" t="s">
        <v>152</v>
      </c>
      <c r="BM59" s="11"/>
      <c r="BN59" s="11">
        <v>2</v>
      </c>
      <c r="BP59" s="11" t="s">
        <v>419</v>
      </c>
      <c r="BQ59" s="11" t="s">
        <v>420</v>
      </c>
      <c r="BR59" s="15">
        <v>3311900294</v>
      </c>
      <c r="BS59" s="11"/>
      <c r="BT59" s="16" t="s">
        <v>421</v>
      </c>
      <c r="BU59" s="11" t="s">
        <v>422</v>
      </c>
      <c r="BV59" s="11" t="s">
        <v>203</v>
      </c>
      <c r="BW59" s="11" t="s">
        <v>142</v>
      </c>
      <c r="BX59" s="11">
        <v>187.5</v>
      </c>
      <c r="BY59" s="11" t="s">
        <v>143</v>
      </c>
      <c r="BZ59" s="11">
        <v>7</v>
      </c>
      <c r="CA59" s="11"/>
      <c r="CB59" s="11">
        <v>3</v>
      </c>
    </row>
    <row r="60" spans="1:94" ht="15.75" x14ac:dyDescent="0.25">
      <c r="N60" s="11" t="s">
        <v>477</v>
      </c>
      <c r="O60" s="11" t="s">
        <v>478</v>
      </c>
      <c r="P60" s="15">
        <v>3315398142</v>
      </c>
      <c r="Q60" s="11"/>
      <c r="R60" s="16" t="s">
        <v>479</v>
      </c>
      <c r="S60" s="11" t="s">
        <v>480</v>
      </c>
      <c r="T60" s="11"/>
      <c r="U60" s="11" t="s">
        <v>142</v>
      </c>
      <c r="V60" s="11">
        <v>750</v>
      </c>
      <c r="W60" s="11" t="s">
        <v>136</v>
      </c>
      <c r="X60" s="11" t="s">
        <v>297</v>
      </c>
      <c r="Y60" s="11"/>
      <c r="AN60" s="11" t="s">
        <v>473</v>
      </c>
      <c r="AO60" s="11" t="s">
        <v>474</v>
      </c>
      <c r="AP60" s="15">
        <v>3317109196</v>
      </c>
      <c r="AQ60" s="11">
        <v>15967909</v>
      </c>
      <c r="AR60" s="16" t="s">
        <v>475</v>
      </c>
      <c r="AS60" s="11" t="s">
        <v>476</v>
      </c>
      <c r="AT60" s="11"/>
      <c r="AU60" s="11" t="s">
        <v>142</v>
      </c>
      <c r="AV60" s="11">
        <v>187.5</v>
      </c>
      <c r="AW60" s="11" t="s">
        <v>136</v>
      </c>
      <c r="AX60" s="11" t="s">
        <v>512</v>
      </c>
      <c r="AY60" s="11"/>
      <c r="AZ60" s="11">
        <v>1</v>
      </c>
      <c r="BB60" s="11" t="s">
        <v>490</v>
      </c>
      <c r="BC60" s="11" t="s">
        <v>491</v>
      </c>
      <c r="BD60" s="15">
        <v>3310849639</v>
      </c>
      <c r="BE60" s="11">
        <v>36470293</v>
      </c>
      <c r="BF60" s="11" t="s">
        <v>492</v>
      </c>
      <c r="BG60" s="11" t="s">
        <v>493</v>
      </c>
      <c r="BH60" s="11"/>
      <c r="BI60" s="11" t="s">
        <v>142</v>
      </c>
      <c r="BJ60" s="11">
        <v>125</v>
      </c>
      <c r="BK60" s="11" t="s">
        <v>136</v>
      </c>
      <c r="BL60" s="11" t="s">
        <v>171</v>
      </c>
      <c r="BM60" s="11"/>
      <c r="BN60" s="11">
        <v>2</v>
      </c>
      <c r="BP60" s="11" t="s">
        <v>450</v>
      </c>
      <c r="BQ60" s="11" t="s">
        <v>189</v>
      </c>
      <c r="BR60" s="15">
        <v>3317711276</v>
      </c>
      <c r="BS60" s="15">
        <v>3338244746</v>
      </c>
      <c r="BT60" s="24" t="s">
        <v>451</v>
      </c>
      <c r="BU60" s="11" t="s">
        <v>452</v>
      </c>
      <c r="BV60" s="11"/>
      <c r="BW60" s="11" t="s">
        <v>142</v>
      </c>
      <c r="BX60" s="11">
        <v>187.5</v>
      </c>
      <c r="BY60" s="11" t="s">
        <v>136</v>
      </c>
      <c r="BZ60" s="11" t="s">
        <v>296</v>
      </c>
      <c r="CA60" s="11"/>
      <c r="CB60" s="11">
        <v>3</v>
      </c>
    </row>
    <row r="61" spans="1:94" ht="15.75" x14ac:dyDescent="0.25">
      <c r="N61" s="11" t="s">
        <v>419</v>
      </c>
      <c r="O61" s="11" t="s">
        <v>420</v>
      </c>
      <c r="P61" s="15">
        <v>3311900294</v>
      </c>
      <c r="Q61" s="11"/>
      <c r="R61" s="16" t="s">
        <v>421</v>
      </c>
      <c r="S61" s="11" t="s">
        <v>422</v>
      </c>
      <c r="T61" s="11"/>
      <c r="U61" s="11" t="s">
        <v>142</v>
      </c>
      <c r="V61" s="11">
        <v>250</v>
      </c>
      <c r="W61" s="11" t="s">
        <v>210</v>
      </c>
      <c r="X61" s="11"/>
      <c r="Y61" s="11"/>
      <c r="AN61" s="11" t="s">
        <v>481</v>
      </c>
      <c r="AO61" s="11" t="s">
        <v>482</v>
      </c>
      <c r="AP61" s="15">
        <v>3317440064</v>
      </c>
      <c r="AQ61" s="11"/>
      <c r="AR61" s="16" t="s">
        <v>483</v>
      </c>
      <c r="AS61" s="11" t="s">
        <v>484</v>
      </c>
      <c r="AT61" s="11"/>
      <c r="AU61" s="11" t="s">
        <v>142</v>
      </c>
      <c r="AV61" s="11">
        <v>200</v>
      </c>
      <c r="AW61" s="11" t="s">
        <v>136</v>
      </c>
      <c r="AX61" s="11" t="s">
        <v>375</v>
      </c>
      <c r="AY61" s="11"/>
      <c r="AZ61" s="11">
        <v>1</v>
      </c>
      <c r="BP61" s="11" t="s">
        <v>459</v>
      </c>
      <c r="BQ61" s="11" t="s">
        <v>372</v>
      </c>
      <c r="BR61" s="15">
        <v>3310640389</v>
      </c>
      <c r="BS61" s="11"/>
      <c r="BT61" s="16" t="s">
        <v>373</v>
      </c>
      <c r="BU61" s="11" t="s">
        <v>374</v>
      </c>
      <c r="BV61" s="11"/>
      <c r="BW61" s="11" t="s">
        <v>142</v>
      </c>
      <c r="BX61" s="11">
        <v>187.5</v>
      </c>
      <c r="BY61" s="11" t="s">
        <v>136</v>
      </c>
      <c r="BZ61" s="11" t="s">
        <v>513</v>
      </c>
      <c r="CA61" s="11"/>
      <c r="CB61" s="11">
        <v>3</v>
      </c>
    </row>
    <row r="62" spans="1:94" ht="15.75" x14ac:dyDescent="0.25">
      <c r="N62" s="11" t="s">
        <v>459</v>
      </c>
      <c r="O62" s="11" t="s">
        <v>372</v>
      </c>
      <c r="P62" s="15">
        <v>3310640389</v>
      </c>
      <c r="Q62" s="11"/>
      <c r="R62" s="23" t="s">
        <v>373</v>
      </c>
      <c r="S62" s="11" t="s">
        <v>374</v>
      </c>
      <c r="T62" s="11"/>
      <c r="U62" s="11" t="s">
        <v>142</v>
      </c>
      <c r="V62" s="11">
        <v>187.5</v>
      </c>
      <c r="W62" s="11" t="s">
        <v>136</v>
      </c>
      <c r="X62" s="11"/>
      <c r="Y62" s="11"/>
      <c r="AN62" s="11" t="s">
        <v>477</v>
      </c>
      <c r="AO62" s="11" t="s">
        <v>478</v>
      </c>
      <c r="AP62" s="15">
        <v>3315398142</v>
      </c>
      <c r="AQ62" s="11"/>
      <c r="AR62" s="23" t="s">
        <v>479</v>
      </c>
      <c r="AS62" s="11" t="s">
        <v>480</v>
      </c>
      <c r="AT62" s="11"/>
      <c r="AU62" s="11" t="s">
        <v>142</v>
      </c>
      <c r="AV62" s="11">
        <v>187.5</v>
      </c>
      <c r="AW62" s="11" t="s">
        <v>136</v>
      </c>
      <c r="AX62" s="11" t="s">
        <v>137</v>
      </c>
      <c r="AY62" s="11"/>
      <c r="AZ62" s="11">
        <v>1</v>
      </c>
      <c r="BP62" s="22" t="s">
        <v>461</v>
      </c>
      <c r="BQ62" s="11" t="s">
        <v>462</v>
      </c>
      <c r="BR62" s="15">
        <v>3312176844</v>
      </c>
      <c r="BS62" s="11"/>
      <c r="BT62" s="16" t="s">
        <v>463</v>
      </c>
      <c r="BU62" s="11" t="s">
        <v>464</v>
      </c>
      <c r="BV62" s="11"/>
      <c r="BW62" s="11" t="s">
        <v>142</v>
      </c>
      <c r="BX62" s="11">
        <v>187.5</v>
      </c>
      <c r="BY62" s="11" t="s">
        <v>136</v>
      </c>
      <c r="BZ62" s="11" t="s">
        <v>375</v>
      </c>
      <c r="CA62" s="11"/>
      <c r="CB62" s="11">
        <v>3</v>
      </c>
    </row>
    <row r="63" spans="1:94" ht="15.75" x14ac:dyDescent="0.25">
      <c r="AN63" s="11" t="s">
        <v>490</v>
      </c>
      <c r="AO63" s="11" t="s">
        <v>491</v>
      </c>
      <c r="AP63" s="15">
        <v>3310849639</v>
      </c>
      <c r="AQ63" s="11">
        <v>36470293</v>
      </c>
      <c r="AR63" s="11" t="s">
        <v>492</v>
      </c>
      <c r="AS63" s="11" t="s">
        <v>493</v>
      </c>
      <c r="AT63" s="11"/>
      <c r="AU63" s="11" t="s">
        <v>142</v>
      </c>
      <c r="AV63" s="11">
        <v>125</v>
      </c>
      <c r="AW63" s="11" t="s">
        <v>136</v>
      </c>
      <c r="AX63" s="11" t="s">
        <v>511</v>
      </c>
      <c r="AY63" s="11"/>
      <c r="AZ63" s="11">
        <v>1</v>
      </c>
      <c r="BP63" s="11" t="s">
        <v>473</v>
      </c>
      <c r="BQ63" s="11" t="s">
        <v>474</v>
      </c>
      <c r="BR63" s="15">
        <v>3317109196</v>
      </c>
      <c r="BS63" s="11">
        <v>15967909</v>
      </c>
      <c r="BT63" s="23" t="s">
        <v>475</v>
      </c>
      <c r="BU63" s="11" t="s">
        <v>476</v>
      </c>
      <c r="BV63" s="11"/>
      <c r="BW63" s="11" t="s">
        <v>142</v>
      </c>
      <c r="BX63" s="11">
        <v>180</v>
      </c>
      <c r="BY63" s="11" t="s">
        <v>136</v>
      </c>
      <c r="BZ63" s="11" t="s">
        <v>498</v>
      </c>
      <c r="CA63" s="11"/>
      <c r="CB63" s="11">
        <v>3</v>
      </c>
    </row>
    <row r="64" spans="1:94" ht="15.75" x14ac:dyDescent="0.25">
      <c r="BP64" s="11" t="s">
        <v>514</v>
      </c>
      <c r="BQ64" s="11" t="s">
        <v>515</v>
      </c>
      <c r="BR64" s="15">
        <v>3310795109</v>
      </c>
      <c r="BS64" s="11"/>
      <c r="BT64" s="16" t="s">
        <v>516</v>
      </c>
      <c r="BU64" s="11" t="s">
        <v>517</v>
      </c>
      <c r="BV64" s="11"/>
      <c r="BW64" s="11" t="s">
        <v>142</v>
      </c>
      <c r="BX64" s="11">
        <v>200</v>
      </c>
      <c r="BY64" s="11" t="s">
        <v>136</v>
      </c>
      <c r="BZ64" s="11" t="s">
        <v>390</v>
      </c>
      <c r="CA64" s="11"/>
      <c r="CB64" s="11">
        <v>1</v>
      </c>
    </row>
    <row r="65" spans="68:80" ht="15.75" x14ac:dyDescent="0.25">
      <c r="BP65" s="11" t="s">
        <v>518</v>
      </c>
      <c r="BQ65" s="11" t="s">
        <v>519</v>
      </c>
      <c r="BR65" s="15">
        <v>3316013744</v>
      </c>
      <c r="BS65" s="11">
        <v>38232703</v>
      </c>
      <c r="BT65" s="16" t="s">
        <v>520</v>
      </c>
      <c r="BU65" s="11" t="s">
        <v>321</v>
      </c>
      <c r="BV65" s="11" t="s">
        <v>203</v>
      </c>
      <c r="BW65" s="11" t="s">
        <v>142</v>
      </c>
      <c r="BX65" s="11">
        <v>187.5</v>
      </c>
      <c r="BY65" s="11" t="s">
        <v>136</v>
      </c>
      <c r="BZ65" s="11" t="s">
        <v>471</v>
      </c>
      <c r="CA65" s="11" t="s">
        <v>330</v>
      </c>
      <c r="CB65" s="11">
        <v>1</v>
      </c>
    </row>
    <row r="66" spans="68:80" ht="15.75" x14ac:dyDescent="0.25">
      <c r="BP66" s="11" t="s">
        <v>481</v>
      </c>
      <c r="BQ66" s="11" t="s">
        <v>482</v>
      </c>
      <c r="BR66" s="15">
        <v>3317440064</v>
      </c>
      <c r="BS66" s="11"/>
      <c r="BT66" s="16" t="s">
        <v>483</v>
      </c>
      <c r="BU66" s="11" t="s">
        <v>484</v>
      </c>
      <c r="BV66" s="11"/>
      <c r="BW66" s="11" t="s">
        <v>142</v>
      </c>
      <c r="BX66" s="11">
        <v>200</v>
      </c>
      <c r="BY66" s="11" t="s">
        <v>136</v>
      </c>
      <c r="BZ66" s="11" t="s">
        <v>137</v>
      </c>
      <c r="CA66" s="11"/>
      <c r="CB66" s="11">
        <v>3</v>
      </c>
    </row>
    <row r="67" spans="68:80" ht="15.75" x14ac:dyDescent="0.25">
      <c r="BP67" s="11" t="s">
        <v>477</v>
      </c>
      <c r="BQ67" s="11" t="s">
        <v>478</v>
      </c>
      <c r="BR67" s="15">
        <v>3315398142</v>
      </c>
      <c r="BS67" s="11"/>
      <c r="BT67" s="16" t="s">
        <v>479</v>
      </c>
      <c r="BU67" s="11" t="s">
        <v>480</v>
      </c>
      <c r="BV67" s="11"/>
      <c r="BW67" s="11" t="s">
        <v>142</v>
      </c>
      <c r="BX67" s="11">
        <v>200</v>
      </c>
      <c r="BY67" s="11" t="s">
        <v>136</v>
      </c>
      <c r="BZ67" s="11" t="s">
        <v>521</v>
      </c>
      <c r="CA67" s="11"/>
      <c r="CB67" s="11">
        <v>3</v>
      </c>
    </row>
    <row r="68" spans="68:80" ht="15.75" x14ac:dyDescent="0.25">
      <c r="BP68" s="11" t="s">
        <v>490</v>
      </c>
      <c r="BQ68" s="11" t="s">
        <v>491</v>
      </c>
      <c r="BR68" s="15">
        <v>3310849639</v>
      </c>
      <c r="BS68" s="11">
        <v>36470293</v>
      </c>
      <c r="BT68" s="11" t="s">
        <v>492</v>
      </c>
      <c r="BU68" s="11" t="s">
        <v>493</v>
      </c>
      <c r="BV68" s="11"/>
      <c r="BW68" s="11" t="s">
        <v>142</v>
      </c>
      <c r="BX68" s="11">
        <v>125</v>
      </c>
      <c r="BY68" s="11" t="s">
        <v>136</v>
      </c>
      <c r="BZ68" s="11" t="s">
        <v>466</v>
      </c>
      <c r="CA68" s="11"/>
      <c r="CB68" s="11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7447"/>
  </sheetPr>
  <dimension ref="A3:C20"/>
  <sheetViews>
    <sheetView workbookViewId="0">
      <selection activeCell="A3" sqref="A3"/>
    </sheetView>
  </sheetViews>
  <sheetFormatPr baseColWidth="10" defaultRowHeight="15" x14ac:dyDescent="0.25"/>
  <sheetData>
    <row r="3" spans="1:3" x14ac:dyDescent="0.25">
      <c r="A3" s="28"/>
      <c r="B3" s="29"/>
      <c r="C3" s="30"/>
    </row>
    <row r="4" spans="1:3" x14ac:dyDescent="0.25">
      <c r="A4" s="31"/>
      <c r="B4" s="32"/>
      <c r="C4" s="33"/>
    </row>
    <row r="5" spans="1:3" x14ac:dyDescent="0.25">
      <c r="A5" s="31"/>
      <c r="B5" s="32"/>
      <c r="C5" s="33"/>
    </row>
    <row r="6" spans="1:3" x14ac:dyDescent="0.25">
      <c r="A6" s="31"/>
      <c r="B6" s="32"/>
      <c r="C6" s="33"/>
    </row>
    <row r="7" spans="1:3" x14ac:dyDescent="0.25">
      <c r="A7" s="31"/>
      <c r="B7" s="32"/>
      <c r="C7" s="33"/>
    </row>
    <row r="8" spans="1:3" x14ac:dyDescent="0.25">
      <c r="A8" s="31"/>
      <c r="B8" s="32"/>
      <c r="C8" s="33"/>
    </row>
    <row r="9" spans="1:3" x14ac:dyDescent="0.25">
      <c r="A9" s="31"/>
      <c r="B9" s="32"/>
      <c r="C9" s="33"/>
    </row>
    <row r="10" spans="1:3" x14ac:dyDescent="0.25">
      <c r="A10" s="31"/>
      <c r="B10" s="32"/>
      <c r="C10" s="33"/>
    </row>
    <row r="11" spans="1:3" x14ac:dyDescent="0.25">
      <c r="A11" s="31"/>
      <c r="B11" s="32"/>
      <c r="C11" s="33"/>
    </row>
    <row r="12" spans="1:3" x14ac:dyDescent="0.25">
      <c r="A12" s="31"/>
      <c r="B12" s="32"/>
      <c r="C12" s="33"/>
    </row>
    <row r="13" spans="1:3" x14ac:dyDescent="0.25">
      <c r="A13" s="31"/>
      <c r="B13" s="32"/>
      <c r="C13" s="33"/>
    </row>
    <row r="14" spans="1:3" x14ac:dyDescent="0.25">
      <c r="A14" s="31"/>
      <c r="B14" s="32"/>
      <c r="C14" s="33"/>
    </row>
    <row r="15" spans="1:3" x14ac:dyDescent="0.25">
      <c r="A15" s="31"/>
      <c r="B15" s="32"/>
      <c r="C15" s="33"/>
    </row>
    <row r="16" spans="1:3" x14ac:dyDescent="0.25">
      <c r="A16" s="31"/>
      <c r="B16" s="32"/>
      <c r="C16" s="33"/>
    </row>
    <row r="17" spans="1:3" x14ac:dyDescent="0.25">
      <c r="A17" s="31"/>
      <c r="B17" s="32"/>
      <c r="C17" s="33"/>
    </row>
    <row r="18" spans="1:3" x14ac:dyDescent="0.25">
      <c r="A18" s="31"/>
      <c r="B18" s="32"/>
      <c r="C18" s="33"/>
    </row>
    <row r="19" spans="1:3" x14ac:dyDescent="0.25">
      <c r="A19" s="31"/>
      <c r="B19" s="32"/>
      <c r="C19" s="33"/>
    </row>
    <row r="20" spans="1:3" x14ac:dyDescent="0.25">
      <c r="A20" s="34"/>
      <c r="B20" s="35"/>
      <c r="C20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33"/>
  <sheetViews>
    <sheetView tabSelected="1" zoomScaleNormal="100" workbookViewId="0">
      <selection activeCell="B1" sqref="B1"/>
    </sheetView>
  </sheetViews>
  <sheetFormatPr baseColWidth="10" defaultRowHeight="15" x14ac:dyDescent="0.25"/>
  <cols>
    <col min="2" max="2" width="26.140625" customWidth="1"/>
    <col min="3" max="3" width="27.7109375" style="38" customWidth="1"/>
    <col min="4" max="4" width="23.28515625" style="38" customWidth="1"/>
    <col min="5" max="5" width="11.42578125" style="39"/>
    <col min="6" max="6" width="23.42578125" style="38" customWidth="1"/>
    <col min="7" max="7" width="11.42578125" style="39"/>
    <col min="8" max="8" width="11.42578125" style="7"/>
    <col min="9" max="9" width="14" customWidth="1"/>
    <col min="11" max="11" width="12.140625" customWidth="1"/>
    <col min="12" max="12" width="23.85546875" customWidth="1"/>
  </cols>
  <sheetData>
    <row r="1" spans="1:13" x14ac:dyDescent="0.25">
      <c r="A1" t="s">
        <v>525</v>
      </c>
      <c r="B1" s="42" t="s">
        <v>524</v>
      </c>
      <c r="C1" s="43" t="s">
        <v>526</v>
      </c>
      <c r="D1" s="43" t="s">
        <v>617</v>
      </c>
      <c r="E1" s="44" t="s">
        <v>527</v>
      </c>
      <c r="F1" s="43" t="s">
        <v>616</v>
      </c>
      <c r="G1" s="44" t="s">
        <v>618</v>
      </c>
      <c r="H1" s="45" t="s">
        <v>528</v>
      </c>
      <c r="I1" s="46" t="s">
        <v>532</v>
      </c>
      <c r="J1" s="46" t="s">
        <v>530</v>
      </c>
      <c r="K1" s="46" t="s">
        <v>531</v>
      </c>
      <c r="L1" s="46" t="s">
        <v>529</v>
      </c>
      <c r="M1" s="46" t="s">
        <v>111</v>
      </c>
    </row>
    <row r="2" spans="1:13" x14ac:dyDescent="0.25">
      <c r="A2">
        <v>8851</v>
      </c>
      <c r="B2" s="47" t="str">
        <f>VLOOKUP(Tabla6[[#This Row],['# Vuelo]],'Validacion reclamo de equipaje'!P:Q,2,0)</f>
        <v>MEXICO AEREO</v>
      </c>
      <c r="C2" s="48">
        <v>0.87152777777777779</v>
      </c>
      <c r="D2" s="48">
        <v>0.91111111111111109</v>
      </c>
      <c r="E2" s="49">
        <f>'Reclamo de equipaje rediseñado'!$D2-'Reclamo de equipaje rediseñado'!$C2</f>
        <v>3.9583333333333304E-2</v>
      </c>
      <c r="F2" s="48">
        <v>0.91666666666666663</v>
      </c>
      <c r="G2" s="49">
        <f>F2-D2</f>
        <v>5.5555555555555358E-3</v>
      </c>
      <c r="H2" s="50">
        <v>41721</v>
      </c>
      <c r="I2" s="51" t="s">
        <v>536</v>
      </c>
      <c r="J2" s="51" t="s">
        <v>535</v>
      </c>
      <c r="K2" s="51">
        <f>VLOOKUP(J2,'Validacion reclamo de equipaje'!L:M,2,0)</f>
        <v>50</v>
      </c>
      <c r="L2" s="51" t="str">
        <f>VLOOKUP(I2,'Validacion reclamo de equipaje'!H:I,2,0)</f>
        <v>Nacional</v>
      </c>
      <c r="M2" s="51" t="s">
        <v>522</v>
      </c>
    </row>
    <row r="3" spans="1:13" x14ac:dyDescent="0.25">
      <c r="A3">
        <v>8702</v>
      </c>
      <c r="B3" s="47" t="str">
        <f>VLOOKUP(Tabla6[[#This Row],['# Vuelo]],'Validacion reclamo de equipaje'!P:Q,2,0)</f>
        <v>MEXICO AEREO</v>
      </c>
      <c r="C3" s="52">
        <v>0.63402777777777775</v>
      </c>
      <c r="D3" s="52">
        <v>0.64027777777777783</v>
      </c>
      <c r="E3" s="53">
        <f>'Reclamo de equipaje rediseñado'!$D3-'Reclamo de equipaje rediseñado'!$C3</f>
        <v>6.2500000000000888E-3</v>
      </c>
      <c r="F3" s="52">
        <v>0.64861111111111114</v>
      </c>
      <c r="G3" s="53">
        <f t="shared" ref="G3:G66" si="0">F3-D3</f>
        <v>8.3333333333333037E-3</v>
      </c>
      <c r="H3" s="54">
        <v>41725</v>
      </c>
      <c r="I3" s="55" t="s">
        <v>539</v>
      </c>
      <c r="J3" s="55" t="s">
        <v>535</v>
      </c>
      <c r="K3" s="55">
        <f>VLOOKUP(J3,'Validacion reclamo de equipaje'!L:M,2,0)</f>
        <v>50</v>
      </c>
      <c r="L3" s="55" t="str">
        <f>VLOOKUP(I3,'Validacion reclamo de equipaje'!H:I,2,0)</f>
        <v>Nacional</v>
      </c>
      <c r="M3" s="55" t="s">
        <v>522</v>
      </c>
    </row>
    <row r="4" spans="1:13" x14ac:dyDescent="0.25">
      <c r="A4">
        <v>3120</v>
      </c>
      <c r="B4" s="47" t="str">
        <f>VLOOKUP(Tabla6[[#This Row],['# Vuelo]],'Validacion reclamo de equipaje'!P:Q,2,0)</f>
        <v>MEXICO AEREO</v>
      </c>
      <c r="C4" s="48">
        <v>0.44027777777777777</v>
      </c>
      <c r="D4" s="48">
        <v>0.44791666666666669</v>
      </c>
      <c r="E4" s="49">
        <f>'Reclamo de equipaje rediseñado'!$D4-'Reclamo de equipaje rediseñado'!$C4</f>
        <v>7.6388888888889173E-3</v>
      </c>
      <c r="F4" s="48">
        <v>0.45208333333333334</v>
      </c>
      <c r="G4" s="49">
        <f t="shared" si="0"/>
        <v>4.1666666666666519E-3</v>
      </c>
      <c r="H4" s="50">
        <v>41726</v>
      </c>
      <c r="I4" s="51" t="s">
        <v>539</v>
      </c>
      <c r="J4" s="51" t="s">
        <v>540</v>
      </c>
      <c r="K4" s="51" t="e">
        <f>VLOOKUP(J4,'Validacion reclamo de equipaje'!L:M,2,0)</f>
        <v>#N/A</v>
      </c>
      <c r="L4" s="51" t="str">
        <f>VLOOKUP(I4,'Validacion reclamo de equipaje'!H:I,2,0)</f>
        <v>Nacional</v>
      </c>
      <c r="M4" s="51" t="s">
        <v>522</v>
      </c>
    </row>
    <row r="5" spans="1:13" x14ac:dyDescent="0.25">
      <c r="A5">
        <v>2811</v>
      </c>
      <c r="B5" s="47" t="str">
        <f>VLOOKUP(Tabla6[[#This Row],['# Vuelo]],'Validacion reclamo de equipaje'!P:Q,2,0)</f>
        <v>MEXICO AEREO</v>
      </c>
      <c r="C5" s="52">
        <v>0.59583333333333333</v>
      </c>
      <c r="D5" s="52">
        <v>0.59861111111111109</v>
      </c>
      <c r="E5" s="53">
        <f>'Reclamo de equipaje rediseñado'!$D5-'Reclamo de equipaje rediseñado'!$C5</f>
        <v>2.7777777777777679E-3</v>
      </c>
      <c r="F5" s="52">
        <v>0.60416666666666663</v>
      </c>
      <c r="G5" s="53">
        <f t="shared" si="0"/>
        <v>5.5555555555555358E-3</v>
      </c>
      <c r="H5" s="54">
        <v>41722</v>
      </c>
      <c r="I5" s="55" t="s">
        <v>539</v>
      </c>
      <c r="J5" s="55" t="s">
        <v>540</v>
      </c>
      <c r="K5" s="55" t="e">
        <f>VLOOKUP(J5,'Validacion reclamo de equipaje'!L:M,2,0)</f>
        <v>#N/A</v>
      </c>
      <c r="L5" s="55" t="str">
        <f>VLOOKUP(I5,'Validacion reclamo de equipaje'!H:I,2,0)</f>
        <v>Nacional</v>
      </c>
      <c r="M5" s="55" t="s">
        <v>522</v>
      </c>
    </row>
    <row r="6" spans="1:13" x14ac:dyDescent="0.25">
      <c r="A6">
        <v>2625</v>
      </c>
      <c r="B6" s="47" t="str">
        <f>VLOOKUP(Tabla6[[#This Row],['# Vuelo]],'Validacion reclamo de equipaje'!P:Q,2,0)</f>
        <v>MEXICO AEREO</v>
      </c>
      <c r="C6" s="48">
        <v>0.8666666666666667</v>
      </c>
      <c r="D6" s="48">
        <v>0.875</v>
      </c>
      <c r="E6" s="49">
        <f>'Reclamo de equipaje rediseñado'!$D6-'Reclamo de equipaje rediseñado'!$C6</f>
        <v>8.3333333333333037E-3</v>
      </c>
      <c r="F6" s="48">
        <v>0.87708333333333333</v>
      </c>
      <c r="G6" s="49">
        <f t="shared" si="0"/>
        <v>2.0833333333333259E-3</v>
      </c>
      <c r="H6" s="50">
        <v>41715</v>
      </c>
      <c r="I6" s="51" t="s">
        <v>541</v>
      </c>
      <c r="J6" s="51" t="s">
        <v>535</v>
      </c>
      <c r="K6" s="51">
        <f>VLOOKUP(J6,'Validacion reclamo de equipaje'!L:M,2,0)</f>
        <v>50</v>
      </c>
      <c r="L6" s="51" t="str">
        <f>VLOOKUP(I6,'Validacion reclamo de equipaje'!H:I,2,0)</f>
        <v>Nacional</v>
      </c>
      <c r="M6" s="51" t="s">
        <v>522</v>
      </c>
    </row>
    <row r="7" spans="1:13" x14ac:dyDescent="0.25">
      <c r="A7">
        <v>2625</v>
      </c>
      <c r="B7" s="47" t="str">
        <f>VLOOKUP(Tabla6[[#This Row],['# Vuelo]],'Validacion reclamo de equipaje'!P:Q,2,0)</f>
        <v>MEXICO AEREO</v>
      </c>
      <c r="C7" s="52">
        <v>0.86597222222222225</v>
      </c>
      <c r="D7" s="52">
        <v>0.87361111111111101</v>
      </c>
      <c r="E7" s="53">
        <f>'Reclamo de equipaje rediseñado'!$D7-'Reclamo de equipaje rediseñado'!$C7</f>
        <v>7.6388888888887507E-3</v>
      </c>
      <c r="F7" s="52">
        <v>0.87847222222222221</v>
      </c>
      <c r="G7" s="53">
        <f t="shared" si="0"/>
        <v>4.8611111111112049E-3</v>
      </c>
      <c r="H7" s="54">
        <v>41719</v>
      </c>
      <c r="I7" s="55" t="s">
        <v>541</v>
      </c>
      <c r="J7" s="55" t="s">
        <v>535</v>
      </c>
      <c r="K7" s="55">
        <f>VLOOKUP(J7,'Validacion reclamo de equipaje'!L:M,2,0)</f>
        <v>50</v>
      </c>
      <c r="L7" s="55" t="str">
        <f>VLOOKUP(I7,'Validacion reclamo de equipaje'!H:I,2,0)</f>
        <v>Nacional</v>
      </c>
      <c r="M7" s="55" t="s">
        <v>522</v>
      </c>
    </row>
    <row r="8" spans="1:13" x14ac:dyDescent="0.25">
      <c r="A8">
        <v>2625</v>
      </c>
      <c r="B8" s="47" t="str">
        <f>VLOOKUP(Tabla6[[#This Row],['# Vuelo]],'Validacion reclamo de equipaje'!P:Q,2,0)</f>
        <v>MEXICO AEREO</v>
      </c>
      <c r="C8" s="48">
        <v>0.85416666666666663</v>
      </c>
      <c r="D8" s="48">
        <v>0.85902777777777783</v>
      </c>
      <c r="E8" s="49">
        <f>'Reclamo de equipaje rediseñado'!$D8-'Reclamo de equipaje rediseñado'!$C8</f>
        <v>4.8611111111112049E-3</v>
      </c>
      <c r="F8" s="48">
        <v>0.8618055555555556</v>
      </c>
      <c r="G8" s="49">
        <f t="shared" si="0"/>
        <v>2.7777777777777679E-3</v>
      </c>
      <c r="H8" s="50">
        <v>41723</v>
      </c>
      <c r="I8" s="51" t="s">
        <v>541</v>
      </c>
      <c r="J8" s="51" t="s">
        <v>535</v>
      </c>
      <c r="K8" s="51">
        <f>VLOOKUP(J8,'Validacion reclamo de equipaje'!L:M,2,0)</f>
        <v>50</v>
      </c>
      <c r="L8" s="51" t="str">
        <f>VLOOKUP(I8,'Validacion reclamo de equipaje'!H:I,2,0)</f>
        <v>Nacional</v>
      </c>
      <c r="M8" s="51" t="s">
        <v>522</v>
      </c>
    </row>
    <row r="9" spans="1:13" x14ac:dyDescent="0.25">
      <c r="A9">
        <v>2625</v>
      </c>
      <c r="B9" s="47" t="str">
        <f>VLOOKUP(Tabla6[[#This Row],['# Vuelo]],'Validacion reclamo de equipaje'!P:Q,2,0)</f>
        <v>MEXICO AEREO</v>
      </c>
      <c r="C9" s="52">
        <v>0.87847222222222221</v>
      </c>
      <c r="D9" s="52">
        <v>0.8833333333333333</v>
      </c>
      <c r="E9" s="53">
        <f>'Reclamo de equipaje rediseñado'!$D9-'Reclamo de equipaje rediseñado'!$C9</f>
        <v>4.8611111111110938E-3</v>
      </c>
      <c r="F9" s="52">
        <v>0.88611111111111107</v>
      </c>
      <c r="G9" s="53">
        <f t="shared" si="0"/>
        <v>2.7777777777777679E-3</v>
      </c>
      <c r="H9" s="54">
        <v>41724</v>
      </c>
      <c r="I9" s="55" t="s">
        <v>541</v>
      </c>
      <c r="J9" s="55" t="s">
        <v>535</v>
      </c>
      <c r="K9" s="55">
        <f>VLOOKUP(J9,'Validacion reclamo de equipaje'!L:M,2,0)</f>
        <v>50</v>
      </c>
      <c r="L9" s="55" t="str">
        <f>VLOOKUP(I9,'Validacion reclamo de equipaje'!H:I,2,0)</f>
        <v>Nacional</v>
      </c>
      <c r="M9" s="55" t="s">
        <v>522</v>
      </c>
    </row>
    <row r="10" spans="1:13" x14ac:dyDescent="0.25">
      <c r="A10">
        <v>2625</v>
      </c>
      <c r="B10" s="47" t="str">
        <f>VLOOKUP(Tabla6[[#This Row],['# Vuelo]],'Validacion reclamo de equipaje'!P:Q,2,0)</f>
        <v>MEXICO AEREO</v>
      </c>
      <c r="C10" s="48">
        <v>0.85277777777777775</v>
      </c>
      <c r="D10" s="48">
        <v>0.86111111111111116</v>
      </c>
      <c r="E10" s="49">
        <f>'Reclamo de equipaje rediseñado'!$D10-'Reclamo de equipaje rediseñado'!$C10</f>
        <v>8.3333333333334147E-3</v>
      </c>
      <c r="F10" s="48">
        <v>0.8666666666666667</v>
      </c>
      <c r="G10" s="49">
        <f t="shared" si="0"/>
        <v>5.5555555555555358E-3</v>
      </c>
      <c r="H10" s="50">
        <v>41724</v>
      </c>
      <c r="I10" s="51" t="s">
        <v>541</v>
      </c>
      <c r="J10" s="51" t="s">
        <v>535</v>
      </c>
      <c r="K10" s="51">
        <f>VLOOKUP(J10,'Validacion reclamo de equipaje'!L:M,2,0)</f>
        <v>50</v>
      </c>
      <c r="L10" s="51" t="str">
        <f>VLOOKUP(I10,'Validacion reclamo de equipaje'!H:I,2,0)</f>
        <v>Nacional</v>
      </c>
      <c r="M10" s="51" t="s">
        <v>522</v>
      </c>
    </row>
    <row r="11" spans="1:13" x14ac:dyDescent="0.25">
      <c r="A11">
        <v>2625</v>
      </c>
      <c r="B11" s="47" t="str">
        <f>VLOOKUP(Tabla6[[#This Row],['# Vuelo]],'Validacion reclamo de equipaje'!P:Q,2,0)</f>
        <v>MEXICO AEREO</v>
      </c>
      <c r="C11" s="52">
        <v>0.85902777777777783</v>
      </c>
      <c r="D11" s="52">
        <v>0.86805555555555547</v>
      </c>
      <c r="E11" s="53">
        <f>'Reclamo de equipaje rediseñado'!$D11-'Reclamo de equipaje rediseñado'!$C11</f>
        <v>9.0277777777776347E-3</v>
      </c>
      <c r="F11" s="52">
        <v>0.87152777777777779</v>
      </c>
      <c r="G11" s="53">
        <f t="shared" si="0"/>
        <v>3.4722222222223209E-3</v>
      </c>
      <c r="H11" s="54">
        <v>41725</v>
      </c>
      <c r="I11" s="55" t="s">
        <v>541</v>
      </c>
      <c r="J11" s="55" t="s">
        <v>535</v>
      </c>
      <c r="K11" s="55">
        <f>VLOOKUP(J11,'Validacion reclamo de equipaje'!L:M,2,0)</f>
        <v>50</v>
      </c>
      <c r="L11" s="55" t="str">
        <f>VLOOKUP(I11,'Validacion reclamo de equipaje'!H:I,2,0)</f>
        <v>Nacional</v>
      </c>
      <c r="M11" s="55" t="s">
        <v>522</v>
      </c>
    </row>
    <row r="12" spans="1:13" x14ac:dyDescent="0.25">
      <c r="A12">
        <v>2625</v>
      </c>
      <c r="B12" s="47" t="str">
        <f>VLOOKUP(Tabla6[[#This Row],['# Vuelo]],'Validacion reclamo de equipaje'!P:Q,2,0)</f>
        <v>MEXICO AEREO</v>
      </c>
      <c r="C12" s="48">
        <v>0.91388888888888886</v>
      </c>
      <c r="D12" s="48">
        <v>0.92083333333333339</v>
      </c>
      <c r="E12" s="49">
        <f>'Reclamo de equipaje rediseñado'!$D12-'Reclamo de equipaje rediseñado'!$C12</f>
        <v>6.9444444444445308E-3</v>
      </c>
      <c r="F12" s="48">
        <v>0.92291666666666661</v>
      </c>
      <c r="G12" s="49">
        <f t="shared" si="0"/>
        <v>2.0833333333332149E-3</v>
      </c>
      <c r="H12" s="50">
        <v>41726</v>
      </c>
      <c r="I12" s="51" t="s">
        <v>541</v>
      </c>
      <c r="J12" s="51" t="s">
        <v>535</v>
      </c>
      <c r="K12" s="51">
        <f>VLOOKUP(J12,'Validacion reclamo de equipaje'!L:M,2,0)</f>
        <v>50</v>
      </c>
      <c r="L12" s="51" t="str">
        <f>VLOOKUP(I12,'Validacion reclamo de equipaje'!H:I,2,0)</f>
        <v>Nacional</v>
      </c>
      <c r="M12" s="51" t="s">
        <v>522</v>
      </c>
    </row>
    <row r="13" spans="1:13" x14ac:dyDescent="0.25">
      <c r="A13">
        <v>2622</v>
      </c>
      <c r="B13" s="47" t="str">
        <f>VLOOKUP(Tabla6[[#This Row],['# Vuelo]],'Validacion reclamo de equipaje'!P:Q,2,0)</f>
        <v>MEXICO AEREO</v>
      </c>
      <c r="C13" s="52">
        <v>0.4548611111111111</v>
      </c>
      <c r="D13" s="52">
        <v>0.45902777777777781</v>
      </c>
      <c r="E13" s="53">
        <f>'Reclamo de equipaje rediseñado'!$D13-'Reclamo de equipaje rediseñado'!$C13</f>
        <v>4.1666666666667074E-3</v>
      </c>
      <c r="F13" s="52">
        <v>0.46111111111111108</v>
      </c>
      <c r="G13" s="53">
        <f t="shared" si="0"/>
        <v>2.0833333333332704E-3</v>
      </c>
      <c r="H13" s="54">
        <v>41714</v>
      </c>
      <c r="I13" s="55" t="s">
        <v>542</v>
      </c>
      <c r="J13" s="55" t="s">
        <v>535</v>
      </c>
      <c r="K13" s="55">
        <f>VLOOKUP(J13,'Validacion reclamo de equipaje'!L:M,2,0)</f>
        <v>50</v>
      </c>
      <c r="L13" s="55" t="str">
        <f>VLOOKUP(I13,'Validacion reclamo de equipaje'!H:I,2,0)</f>
        <v>Nacional</v>
      </c>
      <c r="M13" s="55" t="s">
        <v>522</v>
      </c>
    </row>
    <row r="14" spans="1:13" x14ac:dyDescent="0.25">
      <c r="A14">
        <v>2622</v>
      </c>
      <c r="B14" s="47" t="str">
        <f>VLOOKUP(Tabla6[[#This Row],['# Vuelo]],'Validacion reclamo de equipaje'!P:Q,2,0)</f>
        <v>MEXICO AEREO</v>
      </c>
      <c r="C14" s="48">
        <v>0.44791666666666669</v>
      </c>
      <c r="D14" s="48">
        <v>0.45277777777777778</v>
      </c>
      <c r="E14" s="49">
        <f>'Reclamo de equipaje rediseñado'!$D14-'Reclamo de equipaje rediseñado'!$C14</f>
        <v>4.8611111111110938E-3</v>
      </c>
      <c r="F14" s="48">
        <v>0.45833333333333331</v>
      </c>
      <c r="G14" s="49">
        <f t="shared" si="0"/>
        <v>5.5555555555555358E-3</v>
      </c>
      <c r="H14" s="50">
        <v>41715</v>
      </c>
      <c r="I14" s="51" t="s">
        <v>542</v>
      </c>
      <c r="J14" s="51" t="s">
        <v>535</v>
      </c>
      <c r="K14" s="51">
        <f>VLOOKUP(J14,'Validacion reclamo de equipaje'!L:M,2,0)</f>
        <v>50</v>
      </c>
      <c r="L14" s="51" t="str">
        <f>VLOOKUP(I14,'Validacion reclamo de equipaje'!H:I,2,0)</f>
        <v>Nacional</v>
      </c>
      <c r="M14" s="51" t="s">
        <v>522</v>
      </c>
    </row>
    <row r="15" spans="1:13" x14ac:dyDescent="0.25">
      <c r="A15">
        <v>2622</v>
      </c>
      <c r="B15" s="47" t="str">
        <f>VLOOKUP(Tabla6[[#This Row],['# Vuelo]],'Validacion reclamo de equipaje'!P:Q,2,0)</f>
        <v>MEXICO AEREO</v>
      </c>
      <c r="C15" s="52">
        <v>0.44513888888888892</v>
      </c>
      <c r="D15" s="52">
        <v>0.44722222222222219</v>
      </c>
      <c r="E15" s="53">
        <f>'Reclamo de equipaje rediseñado'!$D15-'Reclamo de equipaje rediseñado'!$C15</f>
        <v>2.0833333333332704E-3</v>
      </c>
      <c r="F15" s="52">
        <v>0.45069444444444445</v>
      </c>
      <c r="G15" s="53">
        <f t="shared" si="0"/>
        <v>3.4722222222222654E-3</v>
      </c>
      <c r="H15" s="54">
        <v>41721</v>
      </c>
      <c r="I15" s="55" t="s">
        <v>542</v>
      </c>
      <c r="J15" s="55" t="s">
        <v>535</v>
      </c>
      <c r="K15" s="55">
        <f>VLOOKUP(J15,'Validacion reclamo de equipaje'!L:M,2,0)</f>
        <v>50</v>
      </c>
      <c r="L15" s="55" t="str">
        <f>VLOOKUP(I15,'Validacion reclamo de equipaje'!H:I,2,0)</f>
        <v>Nacional</v>
      </c>
      <c r="M15" s="55" t="s">
        <v>522</v>
      </c>
    </row>
    <row r="16" spans="1:13" x14ac:dyDescent="0.25">
      <c r="A16">
        <v>2622</v>
      </c>
      <c r="B16" s="47" t="str">
        <f>VLOOKUP(Tabla6[[#This Row],['# Vuelo]],'Validacion reclamo de equipaje'!P:Q,2,0)</f>
        <v>MEXICO AEREO</v>
      </c>
      <c r="C16" s="48">
        <v>0.43402777777777773</v>
      </c>
      <c r="D16" s="48">
        <v>0.4375</v>
      </c>
      <c r="E16" s="49">
        <f>'Reclamo de equipaje rediseñado'!$D16-'Reclamo de equipaje rediseñado'!$C16</f>
        <v>3.4722222222222654E-3</v>
      </c>
      <c r="F16" s="48">
        <v>0.44375000000000003</v>
      </c>
      <c r="G16" s="49">
        <f t="shared" si="0"/>
        <v>6.2500000000000333E-3</v>
      </c>
      <c r="H16" s="50">
        <v>41722</v>
      </c>
      <c r="I16" s="51" t="s">
        <v>542</v>
      </c>
      <c r="J16" s="51" t="s">
        <v>535</v>
      </c>
      <c r="K16" s="51">
        <f>VLOOKUP(J16,'Validacion reclamo de equipaje'!L:M,2,0)</f>
        <v>50</v>
      </c>
      <c r="L16" s="51" t="str">
        <f>VLOOKUP(I16,'Validacion reclamo de equipaje'!H:I,2,0)</f>
        <v>Nacional</v>
      </c>
      <c r="M16" s="51" t="s">
        <v>522</v>
      </c>
    </row>
    <row r="17" spans="1:13" x14ac:dyDescent="0.25">
      <c r="A17">
        <v>2622</v>
      </c>
      <c r="B17" s="47" t="str">
        <f>VLOOKUP(Tabla6[[#This Row],['# Vuelo]],'Validacion reclamo de equipaje'!P:Q,2,0)</f>
        <v>MEXICO AEREO</v>
      </c>
      <c r="C17" s="52">
        <v>0.45277777777777778</v>
      </c>
      <c r="D17" s="52">
        <v>0.45763888888888887</v>
      </c>
      <c r="E17" s="53">
        <f>'Reclamo de equipaje rediseñado'!$D17-'Reclamo de equipaje rediseñado'!$C17</f>
        <v>4.8611111111110938E-3</v>
      </c>
      <c r="F17" s="52">
        <v>0.46319444444444446</v>
      </c>
      <c r="G17" s="53">
        <f t="shared" si="0"/>
        <v>5.5555555555555913E-3</v>
      </c>
      <c r="H17" s="54">
        <v>41725</v>
      </c>
      <c r="I17" s="55" t="s">
        <v>542</v>
      </c>
      <c r="J17" s="55" t="s">
        <v>535</v>
      </c>
      <c r="K17" s="55">
        <f>VLOOKUP(J17,'Validacion reclamo de equipaje'!L:M,2,0)</f>
        <v>50</v>
      </c>
      <c r="L17" s="55" t="str">
        <f>VLOOKUP(I17,'Validacion reclamo de equipaje'!H:I,2,0)</f>
        <v>Nacional</v>
      </c>
      <c r="M17" s="55" t="s">
        <v>522</v>
      </c>
    </row>
    <row r="18" spans="1:13" x14ac:dyDescent="0.25">
      <c r="A18">
        <v>2622</v>
      </c>
      <c r="B18" s="47" t="str">
        <f>VLOOKUP(Tabla6[[#This Row],['# Vuelo]],'Validacion reclamo de equipaje'!P:Q,2,0)</f>
        <v>MEXICO AEREO</v>
      </c>
      <c r="C18" s="48">
        <v>0.44513888888888892</v>
      </c>
      <c r="D18" s="48">
        <v>0.45694444444444443</v>
      </c>
      <c r="E18" s="49">
        <f>'Reclamo de equipaje rediseñado'!$D18-'Reclamo de equipaje rediseñado'!$C18</f>
        <v>1.1805555555555514E-2</v>
      </c>
      <c r="F18" s="48">
        <v>0.45902777777777781</v>
      </c>
      <c r="G18" s="49">
        <f t="shared" si="0"/>
        <v>2.0833333333333814E-3</v>
      </c>
      <c r="H18" s="50">
        <v>41725</v>
      </c>
      <c r="I18" s="51" t="s">
        <v>542</v>
      </c>
      <c r="J18" s="51" t="s">
        <v>535</v>
      </c>
      <c r="K18" s="51">
        <f>VLOOKUP(J18,'Validacion reclamo de equipaje'!L:M,2,0)</f>
        <v>50</v>
      </c>
      <c r="L18" s="51" t="str">
        <f>VLOOKUP(I18,'Validacion reclamo de equipaje'!H:I,2,0)</f>
        <v>Nacional</v>
      </c>
      <c r="M18" s="51" t="s">
        <v>522</v>
      </c>
    </row>
    <row r="19" spans="1:13" x14ac:dyDescent="0.25">
      <c r="A19">
        <v>2622</v>
      </c>
      <c r="B19" s="47" t="str">
        <f>VLOOKUP(Tabla6[[#This Row],['# Vuelo]],'Validacion reclamo de equipaje'!P:Q,2,0)</f>
        <v>MEXICO AEREO</v>
      </c>
      <c r="C19" s="52">
        <v>0.44444444444444442</v>
      </c>
      <c r="D19" s="52">
        <v>0.45</v>
      </c>
      <c r="E19" s="53">
        <f>'Reclamo de equipaje rediseñado'!$D19-'Reclamo de equipaje rediseñado'!$C19</f>
        <v>5.5555555555555913E-3</v>
      </c>
      <c r="F19" s="52">
        <v>0.45208333333333334</v>
      </c>
      <c r="G19" s="53">
        <f t="shared" si="0"/>
        <v>2.0833333333333259E-3</v>
      </c>
      <c r="H19" s="54">
        <v>41725</v>
      </c>
      <c r="I19" s="55" t="s">
        <v>542</v>
      </c>
      <c r="J19" s="55" t="s">
        <v>535</v>
      </c>
      <c r="K19" s="55">
        <f>VLOOKUP(J19,'Validacion reclamo de equipaje'!L:M,2,0)</f>
        <v>50</v>
      </c>
      <c r="L19" s="55" t="str">
        <f>VLOOKUP(I19,'Validacion reclamo de equipaje'!H:I,2,0)</f>
        <v>Nacional</v>
      </c>
      <c r="M19" s="55" t="s">
        <v>522</v>
      </c>
    </row>
    <row r="20" spans="1:13" x14ac:dyDescent="0.25">
      <c r="A20">
        <v>2622</v>
      </c>
      <c r="B20" s="47" t="str">
        <f>VLOOKUP(Tabla6[[#This Row],['# Vuelo]],'Validacion reclamo de equipaje'!P:Q,2,0)</f>
        <v>MEXICO AEREO</v>
      </c>
      <c r="C20" s="48">
        <v>0.45208333333333334</v>
      </c>
      <c r="D20" s="48">
        <v>0.4548611111111111</v>
      </c>
      <c r="E20" s="49">
        <f>'Reclamo de equipaje rediseñado'!$D20-'Reclamo de equipaje rediseñado'!$C20</f>
        <v>2.7777777777777679E-3</v>
      </c>
      <c r="F20" s="48">
        <v>0.46180555555555558</v>
      </c>
      <c r="G20" s="49">
        <f t="shared" si="0"/>
        <v>6.9444444444444753E-3</v>
      </c>
      <c r="H20" s="50">
        <v>41726</v>
      </c>
      <c r="I20" s="51" t="s">
        <v>542</v>
      </c>
      <c r="J20" s="51" t="s">
        <v>535</v>
      </c>
      <c r="K20" s="51">
        <f>VLOOKUP(J20,'Validacion reclamo de equipaje'!L:M,2,0)</f>
        <v>50</v>
      </c>
      <c r="L20" s="51" t="str">
        <f>VLOOKUP(I20,'Validacion reclamo de equipaje'!H:I,2,0)</f>
        <v>Nacional</v>
      </c>
      <c r="M20" s="51" t="s">
        <v>522</v>
      </c>
    </row>
    <row r="21" spans="1:13" x14ac:dyDescent="0.25">
      <c r="A21">
        <v>2622</v>
      </c>
      <c r="B21" s="47" t="str">
        <f>VLOOKUP(Tabla6[[#This Row],['# Vuelo]],'Validacion reclamo de equipaje'!P:Q,2,0)</f>
        <v>MEXICO AEREO</v>
      </c>
      <c r="C21" s="52">
        <v>0.44444444444444442</v>
      </c>
      <c r="D21" s="52">
        <v>0.45624999999999999</v>
      </c>
      <c r="E21" s="53">
        <f>'Reclamo de equipaje rediseñado'!$D21-'Reclamo de equipaje rediseñado'!$C21</f>
        <v>1.1805555555555569E-2</v>
      </c>
      <c r="F21" s="52">
        <v>0.45833333333333331</v>
      </c>
      <c r="G21" s="53">
        <f t="shared" si="0"/>
        <v>2.0833333333333259E-3</v>
      </c>
      <c r="H21" s="54">
        <v>41727</v>
      </c>
      <c r="I21" s="55" t="s">
        <v>542</v>
      </c>
      <c r="J21" s="55" t="s">
        <v>535</v>
      </c>
      <c r="K21" s="55">
        <f>VLOOKUP(J21,'Validacion reclamo de equipaje'!L:M,2,0)</f>
        <v>50</v>
      </c>
      <c r="L21" s="55" t="str">
        <f>VLOOKUP(I21,'Validacion reclamo de equipaje'!H:I,2,0)</f>
        <v>Nacional</v>
      </c>
      <c r="M21" s="55" t="s">
        <v>522</v>
      </c>
    </row>
    <row r="22" spans="1:13" x14ac:dyDescent="0.25">
      <c r="A22">
        <v>2622</v>
      </c>
      <c r="B22" s="47" t="str">
        <f>VLOOKUP(Tabla6[[#This Row],['# Vuelo]],'Validacion reclamo de equipaje'!P:Q,2,0)</f>
        <v>MEXICO AEREO</v>
      </c>
      <c r="C22" s="48">
        <v>0.4375</v>
      </c>
      <c r="D22" s="48">
        <v>0.44375000000000003</v>
      </c>
      <c r="E22" s="49">
        <f>'Reclamo de equipaje rediseñado'!$D22-'Reclamo de equipaje rediseñado'!$C22</f>
        <v>6.2500000000000333E-3</v>
      </c>
      <c r="F22" s="48">
        <v>0.44722222222222219</v>
      </c>
      <c r="G22" s="49">
        <f t="shared" si="0"/>
        <v>3.4722222222221544E-3</v>
      </c>
      <c r="H22" s="50">
        <v>41729</v>
      </c>
      <c r="I22" s="51" t="s">
        <v>542</v>
      </c>
      <c r="J22" s="51" t="s">
        <v>535</v>
      </c>
      <c r="K22" s="51">
        <f>VLOOKUP(J22,'Validacion reclamo de equipaje'!L:M,2,0)</f>
        <v>50</v>
      </c>
      <c r="L22" s="51" t="str">
        <f>VLOOKUP(I22,'Validacion reclamo de equipaje'!H:I,2,0)</f>
        <v>Nacional</v>
      </c>
      <c r="M22" s="51" t="s">
        <v>522</v>
      </c>
    </row>
    <row r="23" spans="1:13" x14ac:dyDescent="0.25">
      <c r="A23">
        <v>2622</v>
      </c>
      <c r="B23" s="47" t="str">
        <f>VLOOKUP(Tabla6[[#This Row],['# Vuelo]],'Validacion reclamo de equipaje'!P:Q,2,0)</f>
        <v>MEXICO AEREO</v>
      </c>
      <c r="C23" s="52">
        <v>0.44444444444444442</v>
      </c>
      <c r="D23" s="52">
        <v>0.45069444444444445</v>
      </c>
      <c r="E23" s="53">
        <f>'Reclamo de equipaje rediseñado'!$D23-'Reclamo de equipaje rediseñado'!$C23</f>
        <v>6.2500000000000333E-3</v>
      </c>
      <c r="F23" s="52">
        <v>0.4548611111111111</v>
      </c>
      <c r="G23" s="53">
        <f t="shared" si="0"/>
        <v>4.1666666666666519E-3</v>
      </c>
      <c r="H23" s="54">
        <v>41717</v>
      </c>
      <c r="I23" s="55" t="s">
        <v>542</v>
      </c>
      <c r="J23" s="55" t="s">
        <v>535</v>
      </c>
      <c r="K23" s="55">
        <f>VLOOKUP(J23,'Validacion reclamo de equipaje'!L:M,2,0)</f>
        <v>50</v>
      </c>
      <c r="L23" s="55" t="str">
        <f>VLOOKUP(I23,'Validacion reclamo de equipaje'!H:I,2,0)</f>
        <v>Nacional</v>
      </c>
      <c r="M23" s="55" t="s">
        <v>522</v>
      </c>
    </row>
    <row r="24" spans="1:13" x14ac:dyDescent="0.25">
      <c r="A24">
        <v>2621</v>
      </c>
      <c r="B24" s="47" t="str">
        <f>VLOOKUP(Tabla6[[#This Row],['# Vuelo]],'Validacion reclamo de equipaje'!P:Q,2,0)</f>
        <v>MEXICO AEREO</v>
      </c>
      <c r="C24" s="48">
        <v>0.44444444444444442</v>
      </c>
      <c r="D24" s="48">
        <v>0.45555555555555555</v>
      </c>
      <c r="E24" s="49">
        <f>'Reclamo de equipaje rediseñado'!$D24-'Reclamo de equipaje rediseñado'!$C24</f>
        <v>1.1111111111111127E-2</v>
      </c>
      <c r="F24" s="48">
        <v>0.46180555555555558</v>
      </c>
      <c r="G24" s="49">
        <f t="shared" si="0"/>
        <v>6.2500000000000333E-3</v>
      </c>
      <c r="H24" s="50">
        <v>41715</v>
      </c>
      <c r="I24" s="51" t="s">
        <v>541</v>
      </c>
      <c r="J24" s="51" t="s">
        <v>535</v>
      </c>
      <c r="K24" s="51">
        <f>VLOOKUP(J24,'Validacion reclamo de equipaje'!L:M,2,0)</f>
        <v>50</v>
      </c>
      <c r="L24" s="51" t="str">
        <f>VLOOKUP(I24,'Validacion reclamo de equipaje'!H:I,2,0)</f>
        <v>Nacional</v>
      </c>
      <c r="M24" s="51" t="s">
        <v>522</v>
      </c>
    </row>
    <row r="25" spans="1:13" x14ac:dyDescent="0.25">
      <c r="A25">
        <v>2621</v>
      </c>
      <c r="B25" s="47" t="str">
        <f>VLOOKUP(Tabla6[[#This Row],['# Vuelo]],'Validacion reclamo de equipaje'!P:Q,2,0)</f>
        <v>MEXICO AEREO</v>
      </c>
      <c r="C25" s="52">
        <v>0.44305555555555554</v>
      </c>
      <c r="D25" s="52">
        <v>0.4465277777777778</v>
      </c>
      <c r="E25" s="53">
        <f>'Reclamo de equipaje rediseñado'!$D25-'Reclamo de equipaje rediseñado'!$C25</f>
        <v>3.4722222222222654E-3</v>
      </c>
      <c r="F25" s="52">
        <v>0.4513888888888889</v>
      </c>
      <c r="G25" s="53">
        <f t="shared" si="0"/>
        <v>4.8611111111110938E-3</v>
      </c>
      <c r="H25" s="54">
        <v>41716</v>
      </c>
      <c r="I25" s="55" t="s">
        <v>541</v>
      </c>
      <c r="J25" s="55" t="s">
        <v>535</v>
      </c>
      <c r="K25" s="55">
        <f>VLOOKUP(J25,'Validacion reclamo de equipaje'!L:M,2,0)</f>
        <v>50</v>
      </c>
      <c r="L25" s="55" t="str">
        <f>VLOOKUP(I25,'Validacion reclamo de equipaje'!H:I,2,0)</f>
        <v>Nacional</v>
      </c>
      <c r="M25" s="55" t="s">
        <v>522</v>
      </c>
    </row>
    <row r="26" spans="1:13" x14ac:dyDescent="0.25">
      <c r="A26">
        <v>2621</v>
      </c>
      <c r="B26" s="47" t="str">
        <f>VLOOKUP(Tabla6[[#This Row],['# Vuelo]],'Validacion reclamo de equipaje'!P:Q,2,0)</f>
        <v>MEXICO AEREO</v>
      </c>
      <c r="C26" s="48">
        <v>0.44444444444444442</v>
      </c>
      <c r="D26" s="48">
        <v>0.44791666666666669</v>
      </c>
      <c r="E26" s="49">
        <f>'Reclamo de equipaje rediseñado'!$D26-'Reclamo de equipaje rediseñado'!$C26</f>
        <v>3.4722222222222654E-3</v>
      </c>
      <c r="F26" s="48">
        <v>0.45347222222222222</v>
      </c>
      <c r="G26" s="49">
        <f t="shared" si="0"/>
        <v>5.5555555555555358E-3</v>
      </c>
      <c r="H26" s="50">
        <v>41720</v>
      </c>
      <c r="I26" s="51" t="s">
        <v>541</v>
      </c>
      <c r="J26" s="51" t="s">
        <v>535</v>
      </c>
      <c r="K26" s="51">
        <f>VLOOKUP(J26,'Validacion reclamo de equipaje'!L:M,2,0)</f>
        <v>50</v>
      </c>
      <c r="L26" s="51" t="str">
        <f>VLOOKUP(I26,'Validacion reclamo de equipaje'!H:I,2,0)</f>
        <v>Nacional</v>
      </c>
      <c r="M26" s="51" t="s">
        <v>522</v>
      </c>
    </row>
    <row r="27" spans="1:13" x14ac:dyDescent="0.25">
      <c r="A27">
        <v>2621</v>
      </c>
      <c r="B27" s="47" t="str">
        <f>VLOOKUP(Tabla6[[#This Row],['# Vuelo]],'Validacion reclamo de equipaje'!P:Q,2,0)</f>
        <v>MEXICO AEREO</v>
      </c>
      <c r="C27" s="52">
        <v>0.45833333333333331</v>
      </c>
      <c r="D27" s="52">
        <v>0.46111111111111108</v>
      </c>
      <c r="E27" s="53">
        <f>'Reclamo de equipaje rediseñado'!$D27-'Reclamo de equipaje rediseñado'!$C27</f>
        <v>2.7777777777777679E-3</v>
      </c>
      <c r="F27" s="52">
        <v>0.46319444444444446</v>
      </c>
      <c r="G27" s="53">
        <f t="shared" si="0"/>
        <v>2.0833333333333814E-3</v>
      </c>
      <c r="H27" s="54">
        <v>41722</v>
      </c>
      <c r="I27" s="55" t="s">
        <v>541</v>
      </c>
      <c r="J27" s="55" t="s">
        <v>535</v>
      </c>
      <c r="K27" s="55">
        <f>VLOOKUP(J27,'Validacion reclamo de equipaje'!L:M,2,0)</f>
        <v>50</v>
      </c>
      <c r="L27" s="55" t="str">
        <f>VLOOKUP(I27,'Validacion reclamo de equipaje'!H:I,2,0)</f>
        <v>Nacional</v>
      </c>
      <c r="M27" s="55" t="s">
        <v>522</v>
      </c>
    </row>
    <row r="28" spans="1:13" x14ac:dyDescent="0.25">
      <c r="A28">
        <v>2621</v>
      </c>
      <c r="B28" s="47" t="str">
        <f>VLOOKUP(Tabla6[[#This Row],['# Vuelo]],'Validacion reclamo de equipaje'!P:Q,2,0)</f>
        <v>MEXICO AEREO</v>
      </c>
      <c r="C28" s="48">
        <v>0.4604166666666667</v>
      </c>
      <c r="D28" s="48">
        <v>0.46111111111111108</v>
      </c>
      <c r="E28" s="49">
        <f>'Reclamo de equipaje rediseñado'!$D28-'Reclamo de equipaje rediseñado'!$C28</f>
        <v>6.9444444444438647E-4</v>
      </c>
      <c r="F28" s="48">
        <v>0.46458333333333335</v>
      </c>
      <c r="G28" s="49">
        <f t="shared" si="0"/>
        <v>3.4722222222222654E-3</v>
      </c>
      <c r="H28" s="50">
        <v>41725</v>
      </c>
      <c r="I28" s="51" t="s">
        <v>541</v>
      </c>
      <c r="J28" s="51" t="s">
        <v>535</v>
      </c>
      <c r="K28" s="51">
        <f>VLOOKUP(J28,'Validacion reclamo de equipaje'!L:M,2,0)</f>
        <v>50</v>
      </c>
      <c r="L28" s="51" t="str">
        <f>VLOOKUP(I28,'Validacion reclamo de equipaje'!H:I,2,0)</f>
        <v>Nacional</v>
      </c>
      <c r="M28" s="51" t="s">
        <v>522</v>
      </c>
    </row>
    <row r="29" spans="1:13" x14ac:dyDescent="0.25">
      <c r="A29">
        <v>2621</v>
      </c>
      <c r="B29" s="47" t="str">
        <f>VLOOKUP(Tabla6[[#This Row],['# Vuelo]],'Validacion reclamo de equipaje'!P:Q,2,0)</f>
        <v>MEXICO AEREO</v>
      </c>
      <c r="C29" s="52">
        <v>0.4597222222222222</v>
      </c>
      <c r="D29" s="52">
        <v>0.46527777777777773</v>
      </c>
      <c r="E29" s="53">
        <f>'Reclamo de equipaje rediseñado'!$D29-'Reclamo de equipaje rediseñado'!$C29</f>
        <v>5.5555555555555358E-3</v>
      </c>
      <c r="F29" s="52">
        <v>0.47291666666666665</v>
      </c>
      <c r="G29" s="53">
        <f t="shared" si="0"/>
        <v>7.6388888888889173E-3</v>
      </c>
      <c r="H29" s="54">
        <v>41726</v>
      </c>
      <c r="I29" s="55" t="s">
        <v>541</v>
      </c>
      <c r="J29" s="55" t="s">
        <v>535</v>
      </c>
      <c r="K29" s="55">
        <f>VLOOKUP(J29,'Validacion reclamo de equipaje'!L:M,2,0)</f>
        <v>50</v>
      </c>
      <c r="L29" s="55" t="str">
        <f>VLOOKUP(I29,'Validacion reclamo de equipaje'!H:I,2,0)</f>
        <v>Nacional</v>
      </c>
      <c r="M29" s="55" t="s">
        <v>522</v>
      </c>
    </row>
    <row r="30" spans="1:13" x14ac:dyDescent="0.25">
      <c r="A30">
        <v>2621</v>
      </c>
      <c r="B30" s="47" t="str">
        <f>VLOOKUP(Tabla6[[#This Row],['# Vuelo]],'Validacion reclamo de equipaje'!P:Q,2,0)</f>
        <v>MEXICO AEREO</v>
      </c>
      <c r="C30" s="48">
        <v>0.44444444444444442</v>
      </c>
      <c r="D30" s="48">
        <v>0.44791666666666669</v>
      </c>
      <c r="E30" s="49">
        <f>'Reclamo de equipaje rediseñado'!$D30-'Reclamo de equipaje rediseñado'!$C30</f>
        <v>3.4722222222222654E-3</v>
      </c>
      <c r="F30" s="48">
        <v>0.4513888888888889</v>
      </c>
      <c r="G30" s="49">
        <f t="shared" si="0"/>
        <v>3.4722222222222099E-3</v>
      </c>
      <c r="H30" s="50">
        <v>41727</v>
      </c>
      <c r="I30" s="51" t="s">
        <v>541</v>
      </c>
      <c r="J30" s="51" t="s">
        <v>535</v>
      </c>
      <c r="K30" s="51">
        <f>VLOOKUP(J30,'Validacion reclamo de equipaje'!L:M,2,0)</f>
        <v>50</v>
      </c>
      <c r="L30" s="51" t="str">
        <f>VLOOKUP(I30,'Validacion reclamo de equipaje'!H:I,2,0)</f>
        <v>Nacional</v>
      </c>
      <c r="M30" s="51" t="s">
        <v>522</v>
      </c>
    </row>
    <row r="31" spans="1:13" x14ac:dyDescent="0.25">
      <c r="A31">
        <v>2621</v>
      </c>
      <c r="B31" s="47" t="str">
        <f>VLOOKUP(Tabla6[[#This Row],['# Vuelo]],'Validacion reclamo de equipaje'!P:Q,2,0)</f>
        <v>MEXICO AEREO</v>
      </c>
      <c r="C31" s="52">
        <v>0.4375</v>
      </c>
      <c r="D31" s="52">
        <v>0.44444444444444442</v>
      </c>
      <c r="E31" s="53">
        <f>'Reclamo de equipaje rediseñado'!$D31-'Reclamo de equipaje rediseñado'!$C31</f>
        <v>6.9444444444444198E-3</v>
      </c>
      <c r="F31" s="52">
        <v>0.44722222222222219</v>
      </c>
      <c r="G31" s="53">
        <f t="shared" si="0"/>
        <v>2.7777777777777679E-3</v>
      </c>
      <c r="H31" s="54">
        <v>41729</v>
      </c>
      <c r="I31" s="55" t="s">
        <v>541</v>
      </c>
      <c r="J31" s="55" t="s">
        <v>535</v>
      </c>
      <c r="K31" s="55">
        <f>VLOOKUP(J31,'Validacion reclamo de equipaje'!L:M,2,0)</f>
        <v>50</v>
      </c>
      <c r="L31" s="55" t="str">
        <f>VLOOKUP(I31,'Validacion reclamo de equipaje'!H:I,2,0)</f>
        <v>Nacional</v>
      </c>
      <c r="M31" s="55" t="s">
        <v>522</v>
      </c>
    </row>
    <row r="32" spans="1:13" x14ac:dyDescent="0.25">
      <c r="A32">
        <v>2621</v>
      </c>
      <c r="B32" s="47" t="str">
        <f>VLOOKUP(Tabla6[[#This Row],['# Vuelo]],'Validacion reclamo de equipaje'!P:Q,2,0)</f>
        <v>MEXICO AEREO</v>
      </c>
      <c r="C32" s="48">
        <v>0.4465277777777778</v>
      </c>
      <c r="D32" s="48">
        <v>0.4513888888888889</v>
      </c>
      <c r="E32" s="49">
        <f>'Reclamo de equipaje rediseñado'!$D32-'Reclamo de equipaje rediseñado'!$C32</f>
        <v>4.8611111111110938E-3</v>
      </c>
      <c r="F32" s="48">
        <v>0.45555555555555555</v>
      </c>
      <c r="G32" s="49">
        <f t="shared" si="0"/>
        <v>4.1666666666666519E-3</v>
      </c>
      <c r="H32" s="50">
        <v>41717</v>
      </c>
      <c r="I32" s="51" t="s">
        <v>541</v>
      </c>
      <c r="J32" s="51" t="s">
        <v>535</v>
      </c>
      <c r="K32" s="51">
        <f>VLOOKUP(J32,'Validacion reclamo de equipaje'!L:M,2,0)</f>
        <v>50</v>
      </c>
      <c r="L32" s="51" t="str">
        <f>VLOOKUP(I32,'Validacion reclamo de equipaje'!H:I,2,0)</f>
        <v>Nacional</v>
      </c>
      <c r="M32" s="51" t="s">
        <v>522</v>
      </c>
    </row>
    <row r="33" spans="1:13" x14ac:dyDescent="0.25">
      <c r="A33">
        <v>2621</v>
      </c>
      <c r="B33" s="47" t="str">
        <f>VLOOKUP(Tabla6[[#This Row],['# Vuelo]],'Validacion reclamo de equipaje'!P:Q,2,0)</f>
        <v>MEXICO AEREO</v>
      </c>
      <c r="C33" s="52">
        <v>0.45277777777777778</v>
      </c>
      <c r="D33" s="52">
        <v>0.46666666666666662</v>
      </c>
      <c r="E33" s="53">
        <f>'Reclamo de equipaje rediseñado'!$D33-'Reclamo de equipaje rediseñado'!$C33</f>
        <v>1.388888888888884E-2</v>
      </c>
      <c r="F33" s="52">
        <v>0.47430555555555554</v>
      </c>
      <c r="G33" s="53">
        <f t="shared" si="0"/>
        <v>7.6388888888889173E-3</v>
      </c>
      <c r="H33" s="54">
        <v>41718</v>
      </c>
      <c r="I33" s="55" t="s">
        <v>541</v>
      </c>
      <c r="J33" s="55" t="s">
        <v>535</v>
      </c>
      <c r="K33" s="55">
        <f>VLOOKUP(J33,'Validacion reclamo de equipaje'!L:M,2,0)</f>
        <v>50</v>
      </c>
      <c r="L33" s="55" t="str">
        <f>VLOOKUP(I33,'Validacion reclamo de equipaje'!H:I,2,0)</f>
        <v>Nacional</v>
      </c>
      <c r="M33" s="55" t="s">
        <v>522</v>
      </c>
    </row>
    <row r="34" spans="1:13" x14ac:dyDescent="0.25">
      <c r="A34">
        <v>2501</v>
      </c>
      <c r="B34" s="47" t="str">
        <f>VLOOKUP(Tabla6[[#This Row],['# Vuelo]],'Validacion reclamo de equipaje'!P:Q,2,0)</f>
        <v>MEXICO AEREO</v>
      </c>
      <c r="C34" s="48">
        <v>0.68472222222222223</v>
      </c>
      <c r="D34" s="48">
        <v>0.70347222222222217</v>
      </c>
      <c r="E34" s="49">
        <f>'Reclamo de equipaje rediseñado'!$D34-'Reclamo de equipaje rediseñado'!$C34</f>
        <v>1.8749999999999933E-2</v>
      </c>
      <c r="F34" s="48">
        <v>0.70833333333333337</v>
      </c>
      <c r="G34" s="49">
        <f t="shared" si="0"/>
        <v>4.8611111111112049E-3</v>
      </c>
      <c r="H34" s="50">
        <v>41727</v>
      </c>
      <c r="I34" s="51" t="s">
        <v>541</v>
      </c>
      <c r="J34" s="51" t="s">
        <v>540</v>
      </c>
      <c r="K34" s="51" t="e">
        <f>VLOOKUP(J34,'Validacion reclamo de equipaje'!L:M,2,0)</f>
        <v>#N/A</v>
      </c>
      <c r="L34" s="51" t="str">
        <f>VLOOKUP(I34,'Validacion reclamo de equipaje'!H:I,2,0)</f>
        <v>Nacional</v>
      </c>
      <c r="M34" s="51" t="s">
        <v>522</v>
      </c>
    </row>
    <row r="35" spans="1:13" x14ac:dyDescent="0.25">
      <c r="A35">
        <v>2469</v>
      </c>
      <c r="B35" s="47" t="str">
        <f>VLOOKUP(Tabla6[[#This Row],['# Vuelo]],'Validacion reclamo de equipaje'!P:Q,2,0)</f>
        <v>MEXICO AEREO</v>
      </c>
      <c r="C35" s="52">
        <v>0.88680555555555562</v>
      </c>
      <c r="D35" s="52">
        <v>0.90833333333333333</v>
      </c>
      <c r="E35" s="53">
        <f>'Reclamo de equipaje rediseñado'!$D35-'Reclamo de equipaje rediseñado'!$C35</f>
        <v>2.1527777777777701E-2</v>
      </c>
      <c r="F35" s="52">
        <v>0.91319444444444453</v>
      </c>
      <c r="G35" s="53">
        <f t="shared" si="0"/>
        <v>4.8611111111112049E-3</v>
      </c>
      <c r="H35" s="54">
        <v>41719</v>
      </c>
      <c r="I35" s="55" t="s">
        <v>545</v>
      </c>
      <c r="J35" s="55" t="s">
        <v>535</v>
      </c>
      <c r="K35" s="55">
        <f>VLOOKUP(J35,'Validacion reclamo de equipaje'!L:M,2,0)</f>
        <v>50</v>
      </c>
      <c r="L35" s="55" t="str">
        <f>VLOOKUP(I35,'Validacion reclamo de equipaje'!H:I,2,0)</f>
        <v>Nacional</v>
      </c>
      <c r="M35" s="55" t="s">
        <v>522</v>
      </c>
    </row>
    <row r="36" spans="1:13" x14ac:dyDescent="0.25">
      <c r="A36">
        <v>2469</v>
      </c>
      <c r="B36" s="47" t="str">
        <f>VLOOKUP(Tabla6[[#This Row],['# Vuelo]],'Validacion reclamo de equipaje'!P:Q,2,0)</f>
        <v>MEXICO AEREO</v>
      </c>
      <c r="C36" s="48">
        <v>0.8979166666666667</v>
      </c>
      <c r="D36" s="48">
        <v>0.90138888888888891</v>
      </c>
      <c r="E36" s="49">
        <f>'Reclamo de equipaje rediseñado'!$D36-'Reclamo de equipaje rediseñado'!$C36</f>
        <v>3.4722222222222099E-3</v>
      </c>
      <c r="F36" s="48">
        <v>0.90625</v>
      </c>
      <c r="G36" s="49">
        <f t="shared" si="0"/>
        <v>4.8611111111110938E-3</v>
      </c>
      <c r="H36" s="50">
        <v>41713</v>
      </c>
      <c r="I36" s="51" t="s">
        <v>545</v>
      </c>
      <c r="J36" s="51" t="s">
        <v>535</v>
      </c>
      <c r="K36" s="51">
        <f>VLOOKUP(J36,'Validacion reclamo de equipaje'!L:M,2,0)</f>
        <v>50</v>
      </c>
      <c r="L36" s="51" t="str">
        <f>VLOOKUP(I36,'Validacion reclamo de equipaje'!H:I,2,0)</f>
        <v>Nacional</v>
      </c>
      <c r="M36" s="51" t="s">
        <v>522</v>
      </c>
    </row>
    <row r="37" spans="1:13" x14ac:dyDescent="0.25">
      <c r="A37">
        <v>2469</v>
      </c>
      <c r="B37" s="47" t="str">
        <f>VLOOKUP(Tabla6[[#This Row],['# Vuelo]],'Validacion reclamo de equipaje'!P:Q,2,0)</f>
        <v>MEXICO AEREO</v>
      </c>
      <c r="C37" s="52">
        <v>0.90902777777777777</v>
      </c>
      <c r="D37" s="52">
        <v>0.91249999999999998</v>
      </c>
      <c r="E37" s="53">
        <f>'Reclamo de equipaje rediseñado'!$D37-'Reclamo de equipaje rediseñado'!$C37</f>
        <v>3.4722222222222099E-3</v>
      </c>
      <c r="F37" s="52">
        <v>0.91805555555555562</v>
      </c>
      <c r="G37" s="53">
        <f t="shared" si="0"/>
        <v>5.5555555555556468E-3</v>
      </c>
      <c r="H37" s="54">
        <v>41715</v>
      </c>
      <c r="I37" s="55" t="s">
        <v>545</v>
      </c>
      <c r="J37" s="55" t="s">
        <v>535</v>
      </c>
      <c r="K37" s="55">
        <f>VLOOKUP(J37,'Validacion reclamo de equipaje'!L:M,2,0)</f>
        <v>50</v>
      </c>
      <c r="L37" s="55" t="str">
        <f>VLOOKUP(I37,'Validacion reclamo de equipaje'!H:I,2,0)</f>
        <v>Nacional</v>
      </c>
      <c r="M37" s="55" t="s">
        <v>522</v>
      </c>
    </row>
    <row r="38" spans="1:13" x14ac:dyDescent="0.25">
      <c r="A38">
        <v>2469</v>
      </c>
      <c r="B38" s="47" t="str">
        <f>VLOOKUP(Tabla6[[#This Row],['# Vuelo]],'Validacion reclamo de equipaje'!P:Q,2,0)</f>
        <v>MEXICO AEREO</v>
      </c>
      <c r="C38" s="48">
        <v>0.90972222222222221</v>
      </c>
      <c r="D38" s="48">
        <v>0.91666666666666663</v>
      </c>
      <c r="E38" s="49">
        <f>'Reclamo de equipaje rediseñado'!$D38-'Reclamo de equipaje rediseñado'!$C38</f>
        <v>6.9444444444444198E-3</v>
      </c>
      <c r="F38" s="48">
        <v>0.91875000000000007</v>
      </c>
      <c r="G38" s="49">
        <f t="shared" si="0"/>
        <v>2.083333333333437E-3</v>
      </c>
      <c r="H38" s="50">
        <v>41716</v>
      </c>
      <c r="I38" s="51" t="s">
        <v>545</v>
      </c>
      <c r="J38" s="51" t="s">
        <v>535</v>
      </c>
      <c r="K38" s="51">
        <f>VLOOKUP(J38,'Validacion reclamo de equipaje'!L:M,2,0)</f>
        <v>50</v>
      </c>
      <c r="L38" s="51" t="str">
        <f>VLOOKUP(I38,'Validacion reclamo de equipaje'!H:I,2,0)</f>
        <v>Nacional</v>
      </c>
      <c r="M38" s="51" t="s">
        <v>522</v>
      </c>
    </row>
    <row r="39" spans="1:13" x14ac:dyDescent="0.25">
      <c r="A39">
        <v>2469</v>
      </c>
      <c r="B39" s="47" t="str">
        <f>VLOOKUP(Tabla6[[#This Row],['# Vuelo]],'Validacion reclamo de equipaje'!P:Q,2,0)</f>
        <v>MEXICO AEREO</v>
      </c>
      <c r="C39" s="52">
        <v>0.89930555555555547</v>
      </c>
      <c r="D39" s="52">
        <v>0.90486111111111101</v>
      </c>
      <c r="E39" s="53">
        <f>'Reclamo de equipaje rediseñado'!$D39-'Reclamo de equipaje rediseñado'!$C39</f>
        <v>5.5555555555555358E-3</v>
      </c>
      <c r="F39" s="52">
        <v>0.90833333333333333</v>
      </c>
      <c r="G39" s="53">
        <f t="shared" si="0"/>
        <v>3.4722222222223209E-3</v>
      </c>
      <c r="H39" s="54">
        <v>41721</v>
      </c>
      <c r="I39" s="55" t="s">
        <v>545</v>
      </c>
      <c r="J39" s="55" t="s">
        <v>535</v>
      </c>
      <c r="K39" s="55">
        <f>VLOOKUP(J39,'Validacion reclamo de equipaje'!L:M,2,0)</f>
        <v>50</v>
      </c>
      <c r="L39" s="55" t="str">
        <f>VLOOKUP(I39,'Validacion reclamo de equipaje'!H:I,2,0)</f>
        <v>Nacional</v>
      </c>
      <c r="M39" s="55" t="s">
        <v>522</v>
      </c>
    </row>
    <row r="40" spans="1:13" x14ac:dyDescent="0.25">
      <c r="A40">
        <v>2469</v>
      </c>
      <c r="B40" s="47" t="str">
        <f>VLOOKUP(Tabla6[[#This Row],['# Vuelo]],'Validacion reclamo de equipaje'!P:Q,2,0)</f>
        <v>MEXICO AEREO</v>
      </c>
      <c r="C40" s="48">
        <v>0.90416666666666667</v>
      </c>
      <c r="D40" s="48">
        <v>0.91805555555555562</v>
      </c>
      <c r="E40" s="49">
        <f>'Reclamo de equipaje rediseñado'!$D40-'Reclamo de equipaje rediseñado'!$C40</f>
        <v>1.3888888888888951E-2</v>
      </c>
      <c r="F40" s="48">
        <v>0.92291666666666661</v>
      </c>
      <c r="G40" s="49">
        <f t="shared" si="0"/>
        <v>4.8611111111109828E-3</v>
      </c>
      <c r="H40" s="50">
        <v>41722</v>
      </c>
      <c r="I40" s="51" t="s">
        <v>545</v>
      </c>
      <c r="J40" s="51" t="s">
        <v>535</v>
      </c>
      <c r="K40" s="51">
        <f>VLOOKUP(J40,'Validacion reclamo de equipaje'!L:M,2,0)</f>
        <v>50</v>
      </c>
      <c r="L40" s="51" t="str">
        <f>VLOOKUP(I40,'Validacion reclamo de equipaje'!H:I,2,0)</f>
        <v>Nacional</v>
      </c>
      <c r="M40" s="51" t="s">
        <v>522</v>
      </c>
    </row>
    <row r="41" spans="1:13" x14ac:dyDescent="0.25">
      <c r="A41">
        <v>2469</v>
      </c>
      <c r="B41" s="47" t="str">
        <f>VLOOKUP(Tabla6[[#This Row],['# Vuelo]],'Validacion reclamo de equipaje'!P:Q,2,0)</f>
        <v>MEXICO AEREO</v>
      </c>
      <c r="C41" s="52">
        <v>0.90208333333333324</v>
      </c>
      <c r="D41" s="52">
        <v>0.90694444444444444</v>
      </c>
      <c r="E41" s="53">
        <f>'Reclamo de equipaje rediseñado'!$D41-'Reclamo de equipaje rediseñado'!$C41</f>
        <v>4.8611111111112049E-3</v>
      </c>
      <c r="F41" s="52">
        <v>0.91527777777777775</v>
      </c>
      <c r="G41" s="53">
        <f t="shared" si="0"/>
        <v>8.3333333333333037E-3</v>
      </c>
      <c r="H41" s="54">
        <v>41723</v>
      </c>
      <c r="I41" s="55" t="s">
        <v>545</v>
      </c>
      <c r="J41" s="55" t="s">
        <v>535</v>
      </c>
      <c r="K41" s="55">
        <f>VLOOKUP(J41,'Validacion reclamo de equipaje'!L:M,2,0)</f>
        <v>50</v>
      </c>
      <c r="L41" s="55" t="str">
        <f>VLOOKUP(I41,'Validacion reclamo de equipaje'!H:I,2,0)</f>
        <v>Nacional</v>
      </c>
      <c r="M41" s="55" t="s">
        <v>522</v>
      </c>
    </row>
    <row r="42" spans="1:13" x14ac:dyDescent="0.25">
      <c r="A42">
        <v>2469</v>
      </c>
      <c r="B42" s="47" t="str">
        <f>VLOOKUP(Tabla6[[#This Row],['# Vuelo]],'Validacion reclamo de equipaje'!P:Q,2,0)</f>
        <v>MEXICO AEREO</v>
      </c>
      <c r="C42" s="48">
        <v>0.92708333333333337</v>
      </c>
      <c r="D42" s="48">
        <v>0.93263888888888891</v>
      </c>
      <c r="E42" s="49">
        <f>'Reclamo de equipaje rediseñado'!$D42-'Reclamo de equipaje rediseñado'!$C42</f>
        <v>5.5555555555555358E-3</v>
      </c>
      <c r="F42" s="48">
        <v>0.93611111111111101</v>
      </c>
      <c r="G42" s="49">
        <f t="shared" si="0"/>
        <v>3.4722222222220989E-3</v>
      </c>
      <c r="H42" s="50">
        <v>41724</v>
      </c>
      <c r="I42" s="51" t="s">
        <v>545</v>
      </c>
      <c r="J42" s="51" t="s">
        <v>535</v>
      </c>
      <c r="K42" s="51">
        <f>VLOOKUP(J42,'Validacion reclamo de equipaje'!L:M,2,0)</f>
        <v>50</v>
      </c>
      <c r="L42" s="51" t="str">
        <f>VLOOKUP(I42,'Validacion reclamo de equipaje'!H:I,2,0)</f>
        <v>Nacional</v>
      </c>
      <c r="M42" s="51" t="s">
        <v>522</v>
      </c>
    </row>
    <row r="43" spans="1:13" x14ac:dyDescent="0.25">
      <c r="A43">
        <v>2469</v>
      </c>
      <c r="B43" s="47" t="str">
        <f>VLOOKUP(Tabla6[[#This Row],['# Vuelo]],'Validacion reclamo de equipaje'!P:Q,2,0)</f>
        <v>MEXICO AEREO</v>
      </c>
      <c r="C43" s="52">
        <v>0.90972222222222221</v>
      </c>
      <c r="D43" s="52">
        <v>0.91736111111111107</v>
      </c>
      <c r="E43" s="53">
        <f>'Reclamo de equipaje rediseñado'!$D43-'Reclamo de equipaje rediseñado'!$C43</f>
        <v>7.6388888888888618E-3</v>
      </c>
      <c r="F43" s="52">
        <v>0.92083333333333339</v>
      </c>
      <c r="G43" s="53">
        <f t="shared" si="0"/>
        <v>3.4722222222223209E-3</v>
      </c>
      <c r="H43" s="54">
        <v>41725</v>
      </c>
      <c r="I43" s="55" t="s">
        <v>545</v>
      </c>
      <c r="J43" s="55" t="s">
        <v>535</v>
      </c>
      <c r="K43" s="55">
        <f>VLOOKUP(J43,'Validacion reclamo de equipaje'!L:M,2,0)</f>
        <v>50</v>
      </c>
      <c r="L43" s="55" t="str">
        <f>VLOOKUP(I43,'Validacion reclamo de equipaje'!H:I,2,0)</f>
        <v>Nacional</v>
      </c>
      <c r="M43" s="55" t="s">
        <v>522</v>
      </c>
    </row>
    <row r="44" spans="1:13" x14ac:dyDescent="0.25">
      <c r="A44">
        <v>2469</v>
      </c>
      <c r="B44" s="47" t="str">
        <f>VLOOKUP(Tabla6[[#This Row],['# Vuelo]],'Validacion reclamo de equipaje'!P:Q,2,0)</f>
        <v>MEXICO AEREO</v>
      </c>
      <c r="C44" s="48">
        <v>0.91736111111111107</v>
      </c>
      <c r="D44" s="48">
        <v>0.92708333333333337</v>
      </c>
      <c r="E44" s="49">
        <f>'Reclamo de equipaje rediseñado'!$D44-'Reclamo de equipaje rediseñado'!$C44</f>
        <v>9.7222222222222987E-3</v>
      </c>
      <c r="F44" s="48">
        <v>0.92986111111111114</v>
      </c>
      <c r="G44" s="49">
        <f t="shared" si="0"/>
        <v>2.7777777777777679E-3</v>
      </c>
      <c r="H44" s="50">
        <v>41726</v>
      </c>
      <c r="I44" s="51" t="s">
        <v>545</v>
      </c>
      <c r="J44" s="51" t="s">
        <v>535</v>
      </c>
      <c r="K44" s="51">
        <f>VLOOKUP(J44,'Validacion reclamo de equipaje'!L:M,2,0)</f>
        <v>50</v>
      </c>
      <c r="L44" s="51" t="str">
        <f>VLOOKUP(I44,'Validacion reclamo de equipaje'!H:I,2,0)</f>
        <v>Nacional</v>
      </c>
      <c r="M44" s="51" t="s">
        <v>522</v>
      </c>
    </row>
    <row r="45" spans="1:13" x14ac:dyDescent="0.25">
      <c r="A45">
        <v>2469</v>
      </c>
      <c r="B45" s="47" t="str">
        <f>VLOOKUP(Tabla6[[#This Row],['# Vuelo]],'Validacion reclamo de equipaje'!P:Q,2,0)</f>
        <v>MEXICO AEREO</v>
      </c>
      <c r="C45" s="52">
        <v>0.92361111111111116</v>
      </c>
      <c r="D45" s="52">
        <v>0.9277777777777777</v>
      </c>
      <c r="E45" s="53">
        <f>'Reclamo de equipaje rediseñado'!$D45-'Reclamo de equipaje rediseñado'!$C45</f>
        <v>4.1666666666665408E-3</v>
      </c>
      <c r="F45" s="52">
        <v>0.93125000000000002</v>
      </c>
      <c r="G45" s="53">
        <f t="shared" si="0"/>
        <v>3.4722222222223209E-3</v>
      </c>
      <c r="H45" s="54">
        <v>41727</v>
      </c>
      <c r="I45" s="55" t="s">
        <v>545</v>
      </c>
      <c r="J45" s="55" t="s">
        <v>535</v>
      </c>
      <c r="K45" s="55">
        <f>VLOOKUP(J45,'Validacion reclamo de equipaje'!L:M,2,0)</f>
        <v>50</v>
      </c>
      <c r="L45" s="55" t="str">
        <f>VLOOKUP(I45,'Validacion reclamo de equipaje'!H:I,2,0)</f>
        <v>Nacional</v>
      </c>
      <c r="M45" s="55" t="s">
        <v>522</v>
      </c>
    </row>
    <row r="46" spans="1:13" x14ac:dyDescent="0.25">
      <c r="A46">
        <v>2335</v>
      </c>
      <c r="B46" s="47" t="str">
        <f>VLOOKUP(Tabla6[[#This Row],['# Vuelo]],'Validacion reclamo de equipaje'!P:Q,2,0)</f>
        <v>MEXICO AEREO</v>
      </c>
      <c r="C46" s="48">
        <v>0.95416666666666661</v>
      </c>
      <c r="D46" s="48">
        <v>0.9604166666666667</v>
      </c>
      <c r="E46" s="49">
        <f>'Reclamo de equipaje rediseñado'!$D46-'Reclamo de equipaje rediseñado'!$C46</f>
        <v>6.2500000000000888E-3</v>
      </c>
      <c r="F46" s="48">
        <v>0.96666666666666667</v>
      </c>
      <c r="G46" s="49">
        <f t="shared" si="0"/>
        <v>6.2499999999999778E-3</v>
      </c>
      <c r="H46" s="50">
        <v>41715</v>
      </c>
      <c r="I46" s="51" t="s">
        <v>542</v>
      </c>
      <c r="J46" s="51" t="s">
        <v>535</v>
      </c>
      <c r="K46" s="51">
        <f>VLOOKUP(J46,'Validacion reclamo de equipaje'!L:M,2,0)</f>
        <v>50</v>
      </c>
      <c r="L46" s="51" t="str">
        <f>VLOOKUP(I46,'Validacion reclamo de equipaje'!H:I,2,0)</f>
        <v>Nacional</v>
      </c>
      <c r="M46" s="51" t="s">
        <v>522</v>
      </c>
    </row>
    <row r="47" spans="1:13" x14ac:dyDescent="0.25">
      <c r="A47">
        <v>2335</v>
      </c>
      <c r="B47" s="47" t="str">
        <f>VLOOKUP(Tabla6[[#This Row],['# Vuelo]],'Validacion reclamo de equipaje'!P:Q,2,0)</f>
        <v>MEXICO AEREO</v>
      </c>
      <c r="C47" s="52">
        <v>0.94444444444444453</v>
      </c>
      <c r="D47" s="52">
        <v>0.94791666666666663</v>
      </c>
      <c r="E47" s="53">
        <f>'Reclamo de equipaje rediseñado'!$D47-'Reclamo de equipaje rediseñado'!$C47</f>
        <v>3.4722222222220989E-3</v>
      </c>
      <c r="F47" s="52">
        <v>0.95347222222222217</v>
      </c>
      <c r="G47" s="53">
        <f t="shared" si="0"/>
        <v>5.5555555555555358E-3</v>
      </c>
      <c r="H47" s="54">
        <v>41719</v>
      </c>
      <c r="I47" s="55" t="s">
        <v>542</v>
      </c>
      <c r="J47" s="55" t="s">
        <v>535</v>
      </c>
      <c r="K47" s="55">
        <f>VLOOKUP(J47,'Validacion reclamo de equipaje'!L:M,2,0)</f>
        <v>50</v>
      </c>
      <c r="L47" s="55" t="str">
        <f>VLOOKUP(I47,'Validacion reclamo de equipaje'!H:I,2,0)</f>
        <v>Nacional</v>
      </c>
      <c r="M47" s="55" t="s">
        <v>522</v>
      </c>
    </row>
    <row r="48" spans="1:13" x14ac:dyDescent="0.25">
      <c r="A48">
        <v>2335</v>
      </c>
      <c r="B48" s="47" t="str">
        <f>VLOOKUP(Tabla6[[#This Row],['# Vuelo]],'Validacion reclamo de equipaje'!P:Q,2,0)</f>
        <v>MEXICO AEREO</v>
      </c>
      <c r="C48" s="48">
        <v>0.95624999999999993</v>
      </c>
      <c r="D48" s="48">
        <v>0.9604166666666667</v>
      </c>
      <c r="E48" s="49">
        <f>'Reclamo de equipaje rediseñado'!$D48-'Reclamo de equipaje rediseñado'!$C48</f>
        <v>4.1666666666667629E-3</v>
      </c>
      <c r="F48" s="48">
        <v>0.96388888888888891</v>
      </c>
      <c r="G48" s="49">
        <f t="shared" si="0"/>
        <v>3.4722222222222099E-3</v>
      </c>
      <c r="H48" s="50">
        <v>41724</v>
      </c>
      <c r="I48" s="51" t="s">
        <v>542</v>
      </c>
      <c r="J48" s="51" t="s">
        <v>535</v>
      </c>
      <c r="K48" s="51">
        <f>VLOOKUP(J48,'Validacion reclamo de equipaje'!L:M,2,0)</f>
        <v>50</v>
      </c>
      <c r="L48" s="51" t="str">
        <f>VLOOKUP(I48,'Validacion reclamo de equipaje'!H:I,2,0)</f>
        <v>Nacional</v>
      </c>
      <c r="M48" s="51" t="s">
        <v>522</v>
      </c>
    </row>
    <row r="49" spans="1:13" x14ac:dyDescent="0.25">
      <c r="A49">
        <v>2335</v>
      </c>
      <c r="B49" s="47" t="str">
        <f>VLOOKUP(Tabla6[[#This Row],['# Vuelo]],'Validacion reclamo de equipaje'!P:Q,2,0)</f>
        <v>MEXICO AEREO</v>
      </c>
      <c r="C49" s="52">
        <v>0.95694444444444438</v>
      </c>
      <c r="D49" s="52">
        <v>0.96875</v>
      </c>
      <c r="E49" s="53">
        <f>'Reclamo de equipaje rediseñado'!$D49-'Reclamo de equipaje rediseñado'!$C49</f>
        <v>1.1805555555555625E-2</v>
      </c>
      <c r="F49" s="52">
        <v>0.97222222222222221</v>
      </c>
      <c r="G49" s="53">
        <f t="shared" si="0"/>
        <v>3.4722222222222099E-3</v>
      </c>
      <c r="H49" s="54">
        <v>41725</v>
      </c>
      <c r="I49" s="55" t="s">
        <v>542</v>
      </c>
      <c r="J49" s="55" t="s">
        <v>535</v>
      </c>
      <c r="K49" s="55">
        <f>VLOOKUP(J49,'Validacion reclamo de equipaje'!L:M,2,0)</f>
        <v>50</v>
      </c>
      <c r="L49" s="55" t="str">
        <f>VLOOKUP(I49,'Validacion reclamo de equipaje'!H:I,2,0)</f>
        <v>Nacional</v>
      </c>
      <c r="M49" s="55" t="s">
        <v>522</v>
      </c>
    </row>
    <row r="50" spans="1:13" x14ac:dyDescent="0.25">
      <c r="A50">
        <v>2335</v>
      </c>
      <c r="B50" s="47" t="str">
        <f>VLOOKUP(Tabla6[[#This Row],['# Vuelo]],'Validacion reclamo de equipaje'!P:Q,2,0)</f>
        <v>MEXICO AEREO</v>
      </c>
      <c r="C50" s="48">
        <v>0.94305555555555554</v>
      </c>
      <c r="D50" s="48">
        <v>0.95416666666666661</v>
      </c>
      <c r="E50" s="49">
        <f>'Reclamo de equipaje rediseñado'!$D50-'Reclamo de equipaje rediseñado'!$C50</f>
        <v>1.1111111111111072E-2</v>
      </c>
      <c r="F50" s="48">
        <v>0.95624999999999993</v>
      </c>
      <c r="G50" s="49">
        <f t="shared" si="0"/>
        <v>2.0833333333333259E-3</v>
      </c>
      <c r="H50" s="50">
        <v>41726</v>
      </c>
      <c r="I50" s="51" t="s">
        <v>542</v>
      </c>
      <c r="J50" s="51" t="s">
        <v>535</v>
      </c>
      <c r="K50" s="51">
        <f>VLOOKUP(J50,'Validacion reclamo de equipaje'!L:M,2,0)</f>
        <v>50</v>
      </c>
      <c r="L50" s="51" t="str">
        <f>VLOOKUP(I50,'Validacion reclamo de equipaje'!H:I,2,0)</f>
        <v>Nacional</v>
      </c>
      <c r="M50" s="51" t="s">
        <v>522</v>
      </c>
    </row>
    <row r="51" spans="1:13" x14ac:dyDescent="0.25">
      <c r="A51">
        <v>2335</v>
      </c>
      <c r="B51" s="47" t="str">
        <f>VLOOKUP(Tabla6[[#This Row],['# Vuelo]],'Validacion reclamo de equipaje'!P:Q,2,0)</f>
        <v>MEXICO AEREO</v>
      </c>
      <c r="C51" s="52">
        <v>0.95972222222222225</v>
      </c>
      <c r="D51" s="52">
        <v>0.99444444444444446</v>
      </c>
      <c r="E51" s="53">
        <f>'Reclamo de equipaje rediseñado'!$D51-'Reclamo de equipaje rediseñado'!$C51</f>
        <v>3.472222222222221E-2</v>
      </c>
      <c r="F51" s="52">
        <v>1.0111111111111111</v>
      </c>
      <c r="G51" s="53">
        <f t="shared" si="0"/>
        <v>1.6666666666666607E-2</v>
      </c>
      <c r="H51" s="54">
        <v>41722</v>
      </c>
      <c r="I51" s="55" t="s">
        <v>542</v>
      </c>
      <c r="J51" s="55" t="s">
        <v>535</v>
      </c>
      <c r="K51" s="55">
        <f>VLOOKUP(J51,'Validacion reclamo de equipaje'!L:M,2,0)</f>
        <v>50</v>
      </c>
      <c r="L51" s="55" t="str">
        <f>VLOOKUP(I51,'Validacion reclamo de equipaje'!H:I,2,0)</f>
        <v>Nacional</v>
      </c>
      <c r="M51" s="55" t="s">
        <v>522</v>
      </c>
    </row>
    <row r="52" spans="1:13" x14ac:dyDescent="0.25">
      <c r="A52">
        <v>2335</v>
      </c>
      <c r="B52" s="47" t="str">
        <f>VLOOKUP(Tabla6[[#This Row],['# Vuelo]],'Validacion reclamo de equipaje'!P:Q,2,0)</f>
        <v>MEXICO AEREO</v>
      </c>
      <c r="C52" s="48">
        <v>0.94791666666666663</v>
      </c>
      <c r="D52" s="48">
        <v>0.95833333333333337</v>
      </c>
      <c r="E52" s="49">
        <f>'Reclamo de equipaje rediseñado'!$D52-'Reclamo de equipaje rediseñado'!$C52</f>
        <v>1.0416666666666741E-2</v>
      </c>
      <c r="F52" s="48">
        <v>0.9604166666666667</v>
      </c>
      <c r="G52" s="49">
        <f t="shared" si="0"/>
        <v>2.0833333333333259E-3</v>
      </c>
      <c r="H52" s="50">
        <v>41724</v>
      </c>
      <c r="I52" s="51" t="s">
        <v>542</v>
      </c>
      <c r="J52" s="51" t="s">
        <v>535</v>
      </c>
      <c r="K52" s="51">
        <f>VLOOKUP(J52,'Validacion reclamo de equipaje'!L:M,2,0)</f>
        <v>50</v>
      </c>
      <c r="L52" s="51" t="str">
        <f>VLOOKUP(I52,'Validacion reclamo de equipaje'!H:I,2,0)</f>
        <v>Nacional</v>
      </c>
      <c r="M52" s="51" t="s">
        <v>522</v>
      </c>
    </row>
    <row r="53" spans="1:13" x14ac:dyDescent="0.25">
      <c r="A53">
        <v>2320</v>
      </c>
      <c r="B53" s="47" t="str">
        <f>VLOOKUP(Tabla6[[#This Row],['# Vuelo]],'Validacion reclamo de equipaje'!P:Q,2,0)</f>
        <v>MEXICO AEREO</v>
      </c>
      <c r="C53" s="52">
        <v>0.53402777777777777</v>
      </c>
      <c r="D53" s="52">
        <v>0.53680555555555554</v>
      </c>
      <c r="E53" s="53">
        <f>'Reclamo de equipaje rediseñado'!$D53-'Reclamo de equipaje rediseñado'!$C53</f>
        <v>2.7777777777777679E-3</v>
      </c>
      <c r="F53" s="52">
        <v>0.54027777777777775</v>
      </c>
      <c r="G53" s="53">
        <f t="shared" si="0"/>
        <v>3.4722222222222099E-3</v>
      </c>
      <c r="H53" s="54">
        <v>41714</v>
      </c>
      <c r="I53" s="55" t="s">
        <v>544</v>
      </c>
      <c r="J53" s="55" t="s">
        <v>535</v>
      </c>
      <c r="K53" s="55">
        <f>VLOOKUP(J53,'Validacion reclamo de equipaje'!L:M,2,0)</f>
        <v>50</v>
      </c>
      <c r="L53" s="55" t="str">
        <f>VLOOKUP(I53,'Validacion reclamo de equipaje'!H:I,2,0)</f>
        <v>Nacional</v>
      </c>
      <c r="M53" s="55" t="s">
        <v>522</v>
      </c>
    </row>
    <row r="54" spans="1:13" x14ac:dyDescent="0.25">
      <c r="A54">
        <v>2320</v>
      </c>
      <c r="B54" s="47" t="str">
        <f>VLOOKUP(Tabla6[[#This Row],['# Vuelo]],'Validacion reclamo de equipaje'!P:Q,2,0)</f>
        <v>MEXICO AEREO</v>
      </c>
      <c r="C54" s="48">
        <v>0.54027777777777775</v>
      </c>
      <c r="D54" s="48">
        <v>0.54999999999999993</v>
      </c>
      <c r="E54" s="49">
        <f>'Reclamo de equipaje rediseñado'!$D54-'Reclamo de equipaje rediseñado'!$C54</f>
        <v>9.7222222222221877E-3</v>
      </c>
      <c r="F54" s="48">
        <v>0.55555555555555558</v>
      </c>
      <c r="G54" s="49">
        <f t="shared" si="0"/>
        <v>5.5555555555556468E-3</v>
      </c>
      <c r="H54" s="50">
        <v>41715</v>
      </c>
      <c r="I54" s="51" t="s">
        <v>544</v>
      </c>
      <c r="J54" s="51" t="s">
        <v>535</v>
      </c>
      <c r="K54" s="51">
        <f>VLOOKUP(J54,'Validacion reclamo de equipaje'!L:M,2,0)</f>
        <v>50</v>
      </c>
      <c r="L54" s="51" t="str">
        <f>VLOOKUP(I54,'Validacion reclamo de equipaje'!H:I,2,0)</f>
        <v>Nacional</v>
      </c>
      <c r="M54" s="51" t="s">
        <v>522</v>
      </c>
    </row>
    <row r="55" spans="1:13" x14ac:dyDescent="0.25">
      <c r="A55">
        <v>2320</v>
      </c>
      <c r="B55" s="47" t="str">
        <f>VLOOKUP(Tabla6[[#This Row],['# Vuelo]],'Validacion reclamo de equipaje'!P:Q,2,0)</f>
        <v>MEXICO AEREO</v>
      </c>
      <c r="C55" s="52">
        <v>0.52500000000000002</v>
      </c>
      <c r="D55" s="52">
        <v>0.53125</v>
      </c>
      <c r="E55" s="53">
        <f>'Reclamo de equipaje rediseñado'!$D55-'Reclamo de equipaje rediseñado'!$C55</f>
        <v>6.2499999999999778E-3</v>
      </c>
      <c r="F55" s="52">
        <v>0.53402777777777777</v>
      </c>
      <c r="G55" s="53">
        <f t="shared" si="0"/>
        <v>2.7777777777777679E-3</v>
      </c>
      <c r="H55" s="54">
        <v>41716</v>
      </c>
      <c r="I55" s="55" t="s">
        <v>544</v>
      </c>
      <c r="J55" s="55" t="s">
        <v>535</v>
      </c>
      <c r="K55" s="55">
        <f>VLOOKUP(J55,'Validacion reclamo de equipaje'!L:M,2,0)</f>
        <v>50</v>
      </c>
      <c r="L55" s="55" t="str">
        <f>VLOOKUP(I55,'Validacion reclamo de equipaje'!H:I,2,0)</f>
        <v>Nacional</v>
      </c>
      <c r="M55" s="55" t="s">
        <v>522</v>
      </c>
    </row>
    <row r="56" spans="1:13" x14ac:dyDescent="0.25">
      <c r="A56">
        <v>2320</v>
      </c>
      <c r="B56" s="47" t="str">
        <f>VLOOKUP(Tabla6[[#This Row],['# Vuelo]],'Validacion reclamo de equipaje'!P:Q,2,0)</f>
        <v>MEXICO AEREO</v>
      </c>
      <c r="C56" s="48">
        <v>0.53194444444444444</v>
      </c>
      <c r="D56" s="48">
        <v>0.53611111111111109</v>
      </c>
      <c r="E56" s="49">
        <f>'Reclamo de equipaje rediseñado'!$D56-'Reclamo de equipaje rediseñado'!$C56</f>
        <v>4.1666666666666519E-3</v>
      </c>
      <c r="F56" s="48">
        <v>0.54097222222222219</v>
      </c>
      <c r="G56" s="49">
        <f t="shared" si="0"/>
        <v>4.8611111111110938E-3</v>
      </c>
      <c r="H56" s="50">
        <v>41718</v>
      </c>
      <c r="I56" s="51" t="s">
        <v>544</v>
      </c>
      <c r="J56" s="51" t="s">
        <v>535</v>
      </c>
      <c r="K56" s="51">
        <f>VLOOKUP(J56,'Validacion reclamo de equipaje'!L:M,2,0)</f>
        <v>50</v>
      </c>
      <c r="L56" s="51" t="str">
        <f>VLOOKUP(I56,'Validacion reclamo de equipaje'!H:I,2,0)</f>
        <v>Nacional</v>
      </c>
      <c r="M56" s="51" t="s">
        <v>522</v>
      </c>
    </row>
    <row r="57" spans="1:13" x14ac:dyDescent="0.25">
      <c r="A57">
        <v>2320</v>
      </c>
      <c r="B57" s="47" t="str">
        <f>VLOOKUP(Tabla6[[#This Row],['# Vuelo]],'Validacion reclamo de equipaje'!P:Q,2,0)</f>
        <v>MEXICO AEREO</v>
      </c>
      <c r="C57" s="52">
        <v>0.54305555555555551</v>
      </c>
      <c r="D57" s="52">
        <v>0.54722222222222217</v>
      </c>
      <c r="E57" s="53">
        <f>'Reclamo de equipaje rediseñado'!$D57-'Reclamo de equipaje rediseñado'!$C57</f>
        <v>4.1666666666666519E-3</v>
      </c>
      <c r="F57" s="52">
        <v>0.55208333333333337</v>
      </c>
      <c r="G57" s="53">
        <f t="shared" si="0"/>
        <v>4.8611111111112049E-3</v>
      </c>
      <c r="H57" s="54">
        <v>41720</v>
      </c>
      <c r="I57" s="55" t="s">
        <v>544</v>
      </c>
      <c r="J57" s="55" t="s">
        <v>535</v>
      </c>
      <c r="K57" s="55">
        <f>VLOOKUP(J57,'Validacion reclamo de equipaje'!L:M,2,0)</f>
        <v>50</v>
      </c>
      <c r="L57" s="55" t="str">
        <f>VLOOKUP(I57,'Validacion reclamo de equipaje'!H:I,2,0)</f>
        <v>Nacional</v>
      </c>
      <c r="M57" s="55" t="s">
        <v>522</v>
      </c>
    </row>
    <row r="58" spans="1:13" x14ac:dyDescent="0.25">
      <c r="A58">
        <v>2320</v>
      </c>
      <c r="B58" s="47" t="str">
        <f>VLOOKUP(Tabla6[[#This Row],['# Vuelo]],'Validacion reclamo de equipaje'!P:Q,2,0)</f>
        <v>MEXICO AEREO</v>
      </c>
      <c r="C58" s="48">
        <v>0.53819444444444442</v>
      </c>
      <c r="D58" s="48">
        <v>0.54166666666666663</v>
      </c>
      <c r="E58" s="49">
        <f>'Reclamo de equipaje rediseñado'!$D58-'Reclamo de equipaje rediseñado'!$C58</f>
        <v>3.4722222222222099E-3</v>
      </c>
      <c r="F58" s="48">
        <v>0.54861111111111105</v>
      </c>
      <c r="G58" s="49">
        <f t="shared" si="0"/>
        <v>6.9444444444444198E-3</v>
      </c>
      <c r="H58" s="50">
        <v>41721</v>
      </c>
      <c r="I58" s="51" t="s">
        <v>544</v>
      </c>
      <c r="J58" s="51" t="s">
        <v>535</v>
      </c>
      <c r="K58" s="51">
        <f>VLOOKUP(J58,'Validacion reclamo de equipaje'!L:M,2,0)</f>
        <v>50</v>
      </c>
      <c r="L58" s="51" t="str">
        <f>VLOOKUP(I58,'Validacion reclamo de equipaje'!H:I,2,0)</f>
        <v>Nacional</v>
      </c>
      <c r="M58" s="51" t="s">
        <v>522</v>
      </c>
    </row>
    <row r="59" spans="1:13" x14ac:dyDescent="0.25">
      <c r="A59">
        <v>2320</v>
      </c>
      <c r="B59" s="47" t="str">
        <f>VLOOKUP(Tabla6[[#This Row],['# Vuelo]],'Validacion reclamo de equipaje'!P:Q,2,0)</f>
        <v>MEXICO AEREO</v>
      </c>
      <c r="C59" s="52">
        <v>0.54722222222222217</v>
      </c>
      <c r="D59" s="52">
        <v>0.54791666666666672</v>
      </c>
      <c r="E59" s="53">
        <f>'Reclamo de equipaje rediseñado'!$D59-'Reclamo de equipaje rediseñado'!$C59</f>
        <v>6.94444444444553E-4</v>
      </c>
      <c r="F59" s="52">
        <v>0.54999999999999993</v>
      </c>
      <c r="G59" s="53">
        <f t="shared" si="0"/>
        <v>2.0833333333332149E-3</v>
      </c>
      <c r="H59" s="54">
        <v>41722</v>
      </c>
      <c r="I59" s="55" t="s">
        <v>544</v>
      </c>
      <c r="J59" s="55" t="s">
        <v>535</v>
      </c>
      <c r="K59" s="55">
        <f>VLOOKUP(J59,'Validacion reclamo de equipaje'!L:M,2,0)</f>
        <v>50</v>
      </c>
      <c r="L59" s="55" t="str">
        <f>VLOOKUP(I59,'Validacion reclamo de equipaje'!H:I,2,0)</f>
        <v>Nacional</v>
      </c>
      <c r="M59" s="55" t="s">
        <v>522</v>
      </c>
    </row>
    <row r="60" spans="1:13" x14ac:dyDescent="0.25">
      <c r="A60">
        <v>2320</v>
      </c>
      <c r="B60" s="47" t="str">
        <f>VLOOKUP(Tabla6[[#This Row],['# Vuelo]],'Validacion reclamo de equipaje'!P:Q,2,0)</f>
        <v>MEXICO AEREO</v>
      </c>
      <c r="C60" s="48">
        <v>0.73541666666666661</v>
      </c>
      <c r="D60" s="48">
        <v>0.74097222222222225</v>
      </c>
      <c r="E60" s="49">
        <f>'Reclamo de equipaje rediseñado'!$D60-'Reclamo de equipaje rediseñado'!$C60</f>
        <v>5.5555555555556468E-3</v>
      </c>
      <c r="F60" s="48">
        <v>0.74722222222222223</v>
      </c>
      <c r="G60" s="49">
        <f t="shared" si="0"/>
        <v>6.2499999999999778E-3</v>
      </c>
      <c r="H60" s="50">
        <v>41725</v>
      </c>
      <c r="I60" s="51" t="s">
        <v>544</v>
      </c>
      <c r="J60" s="51" t="s">
        <v>535</v>
      </c>
      <c r="K60" s="51">
        <f>VLOOKUP(J60,'Validacion reclamo de equipaje'!L:M,2,0)</f>
        <v>50</v>
      </c>
      <c r="L60" s="51" t="str">
        <f>VLOOKUP(I60,'Validacion reclamo de equipaje'!H:I,2,0)</f>
        <v>Nacional</v>
      </c>
      <c r="M60" s="51" t="s">
        <v>522</v>
      </c>
    </row>
    <row r="61" spans="1:13" x14ac:dyDescent="0.25">
      <c r="A61">
        <v>2320</v>
      </c>
      <c r="B61" s="47" t="str">
        <f>VLOOKUP(Tabla6[[#This Row],['# Vuelo]],'Validacion reclamo de equipaje'!P:Q,2,0)</f>
        <v>MEXICO AEREO</v>
      </c>
      <c r="C61" s="52">
        <v>0.65138888888888891</v>
      </c>
      <c r="D61" s="52">
        <v>0.65763888888888888</v>
      </c>
      <c r="E61" s="53">
        <f>'Reclamo de equipaje rediseñado'!$D61-'Reclamo de equipaje rediseñado'!$C61</f>
        <v>6.2499999999999778E-3</v>
      </c>
      <c r="F61" s="52">
        <v>0.66041666666666665</v>
      </c>
      <c r="G61" s="53">
        <f t="shared" si="0"/>
        <v>2.7777777777777679E-3</v>
      </c>
      <c r="H61" s="54">
        <v>41725</v>
      </c>
      <c r="I61" s="55" t="s">
        <v>544</v>
      </c>
      <c r="J61" s="55" t="s">
        <v>535</v>
      </c>
      <c r="K61" s="55">
        <f>VLOOKUP(J61,'Validacion reclamo de equipaje'!L:M,2,0)</f>
        <v>50</v>
      </c>
      <c r="L61" s="55" t="str">
        <f>VLOOKUP(I61,'Validacion reclamo de equipaje'!H:I,2,0)</f>
        <v>Nacional</v>
      </c>
      <c r="M61" s="55" t="s">
        <v>522</v>
      </c>
    </row>
    <row r="62" spans="1:13" x14ac:dyDescent="0.25">
      <c r="A62">
        <v>2320</v>
      </c>
      <c r="B62" s="47" t="str">
        <f>VLOOKUP(Tabla6[[#This Row],['# Vuelo]],'Validacion reclamo de equipaje'!P:Q,2,0)</f>
        <v>MEXICO AEREO</v>
      </c>
      <c r="C62" s="48">
        <v>0.53680555555555554</v>
      </c>
      <c r="D62" s="48">
        <v>0.54166666666666663</v>
      </c>
      <c r="E62" s="49">
        <f>'Reclamo de equipaje rediseñado'!$D62-'Reclamo de equipaje rediseñado'!$C62</f>
        <v>4.8611111111110938E-3</v>
      </c>
      <c r="F62" s="48">
        <v>0.55069444444444449</v>
      </c>
      <c r="G62" s="49">
        <f t="shared" si="0"/>
        <v>9.0277777777778567E-3</v>
      </c>
      <c r="H62" s="50">
        <v>41726</v>
      </c>
      <c r="I62" s="51" t="s">
        <v>544</v>
      </c>
      <c r="J62" s="51" t="s">
        <v>535</v>
      </c>
      <c r="K62" s="51">
        <f>VLOOKUP(J62,'Validacion reclamo de equipaje'!L:M,2,0)</f>
        <v>50</v>
      </c>
      <c r="L62" s="51" t="str">
        <f>VLOOKUP(I62,'Validacion reclamo de equipaje'!H:I,2,0)</f>
        <v>Nacional</v>
      </c>
      <c r="M62" s="51" t="s">
        <v>522</v>
      </c>
    </row>
    <row r="63" spans="1:13" x14ac:dyDescent="0.25">
      <c r="A63">
        <v>2320</v>
      </c>
      <c r="B63" s="47" t="str">
        <f>VLOOKUP(Tabla6[[#This Row],['# Vuelo]],'Validacion reclamo de equipaje'!P:Q,2,0)</f>
        <v>MEXICO AEREO</v>
      </c>
      <c r="C63" s="52">
        <v>0.57222222222222219</v>
      </c>
      <c r="D63" s="52">
        <v>0.57638888888888895</v>
      </c>
      <c r="E63" s="53">
        <f>'Reclamo de equipaje rediseñado'!$D63-'Reclamo de equipaje rediseñado'!$C63</f>
        <v>4.1666666666667629E-3</v>
      </c>
      <c r="F63" s="52">
        <v>0.58194444444444449</v>
      </c>
      <c r="G63" s="53">
        <f t="shared" si="0"/>
        <v>5.5555555555555358E-3</v>
      </c>
      <c r="H63" s="54">
        <v>41727</v>
      </c>
      <c r="I63" s="55" t="s">
        <v>544</v>
      </c>
      <c r="J63" s="55" t="s">
        <v>535</v>
      </c>
      <c r="K63" s="55">
        <f>VLOOKUP(J63,'Validacion reclamo de equipaje'!L:M,2,0)</f>
        <v>50</v>
      </c>
      <c r="L63" s="55" t="str">
        <f>VLOOKUP(I63,'Validacion reclamo de equipaje'!H:I,2,0)</f>
        <v>Nacional</v>
      </c>
      <c r="M63" s="55" t="s">
        <v>522</v>
      </c>
    </row>
    <row r="64" spans="1:13" x14ac:dyDescent="0.25">
      <c r="A64">
        <v>2320</v>
      </c>
      <c r="B64" s="47" t="str">
        <f>VLOOKUP(Tabla6[[#This Row],['# Vuelo]],'Validacion reclamo de equipaje'!P:Q,2,0)</f>
        <v>MEXICO AEREO</v>
      </c>
      <c r="C64" s="48">
        <v>0.52916666666666667</v>
      </c>
      <c r="D64" s="48">
        <v>0.53472222222222221</v>
      </c>
      <c r="E64" s="49">
        <f>'Reclamo de equipaje rediseñado'!$D64-'Reclamo de equipaje rediseñado'!$C64</f>
        <v>5.5555555555555358E-3</v>
      </c>
      <c r="F64" s="48">
        <v>0.53611111111111109</v>
      </c>
      <c r="G64" s="49">
        <f t="shared" si="0"/>
        <v>1.388888888888884E-3</v>
      </c>
      <c r="H64" s="50">
        <v>41729</v>
      </c>
      <c r="I64" s="51" t="s">
        <v>544</v>
      </c>
      <c r="J64" s="51" t="s">
        <v>535</v>
      </c>
      <c r="K64" s="51">
        <f>VLOOKUP(J64,'Validacion reclamo de equipaje'!L:M,2,0)</f>
        <v>50</v>
      </c>
      <c r="L64" s="51" t="str">
        <f>VLOOKUP(I64,'Validacion reclamo de equipaje'!H:I,2,0)</f>
        <v>Nacional</v>
      </c>
      <c r="M64" s="51" t="s">
        <v>522</v>
      </c>
    </row>
    <row r="65" spans="1:13" x14ac:dyDescent="0.25">
      <c r="A65">
        <v>2320</v>
      </c>
      <c r="B65" s="47" t="str">
        <f>VLOOKUP(Tabla6[[#This Row],['# Vuelo]],'Validacion reclamo de equipaje'!P:Q,2,0)</f>
        <v>MEXICO AEREO</v>
      </c>
      <c r="C65" s="52">
        <v>0.54861111111111105</v>
      </c>
      <c r="D65" s="52">
        <v>0.55277777777777781</v>
      </c>
      <c r="E65" s="53">
        <f>'Reclamo de equipaje rediseñado'!$D65-'Reclamo de equipaje rediseñado'!$C65</f>
        <v>4.1666666666667629E-3</v>
      </c>
      <c r="F65" s="52">
        <v>0.5541666666666667</v>
      </c>
      <c r="G65" s="53">
        <f t="shared" si="0"/>
        <v>1.388888888888884E-3</v>
      </c>
      <c r="H65" s="54">
        <v>41717</v>
      </c>
      <c r="I65" s="55" t="s">
        <v>544</v>
      </c>
      <c r="J65" s="55" t="s">
        <v>535</v>
      </c>
      <c r="K65" s="55">
        <f>VLOOKUP(J65,'Validacion reclamo de equipaje'!L:M,2,0)</f>
        <v>50</v>
      </c>
      <c r="L65" s="55" t="str">
        <f>VLOOKUP(I65,'Validacion reclamo de equipaje'!H:I,2,0)</f>
        <v>Nacional</v>
      </c>
      <c r="M65" s="55" t="s">
        <v>522</v>
      </c>
    </row>
    <row r="66" spans="1:13" x14ac:dyDescent="0.25">
      <c r="A66">
        <v>2301</v>
      </c>
      <c r="B66" s="47" t="str">
        <f>VLOOKUP(Tabla6[[#This Row],['# Vuelo]],'Validacion reclamo de equipaje'!P:Q,2,0)</f>
        <v>MEXICO AEREO</v>
      </c>
      <c r="C66" s="48">
        <v>0.70138888888888884</v>
      </c>
      <c r="D66" s="48">
        <v>0.70208333333333339</v>
      </c>
      <c r="E66" s="49">
        <f>'Reclamo de equipaje rediseñado'!$D66-'Reclamo de equipaje rediseñado'!$C66</f>
        <v>6.94444444444553E-4</v>
      </c>
      <c r="F66" s="48">
        <v>0.7055555555555556</v>
      </c>
      <c r="G66" s="49">
        <f t="shared" si="0"/>
        <v>3.4722222222222099E-3</v>
      </c>
      <c r="H66" s="50">
        <v>41714</v>
      </c>
      <c r="I66" s="51" t="s">
        <v>547</v>
      </c>
      <c r="J66" s="51" t="s">
        <v>535</v>
      </c>
      <c r="K66" s="51">
        <f>VLOOKUP(J66,'Validacion reclamo de equipaje'!L:M,2,0)</f>
        <v>50</v>
      </c>
      <c r="L66" s="51" t="str">
        <f>VLOOKUP(I66,'Validacion reclamo de equipaje'!H:I,2,0)</f>
        <v>Nacional</v>
      </c>
      <c r="M66" s="51" t="s">
        <v>522</v>
      </c>
    </row>
    <row r="67" spans="1:13" x14ac:dyDescent="0.25">
      <c r="A67">
        <v>2301</v>
      </c>
      <c r="B67" s="47" t="str">
        <f>VLOOKUP(Tabla6[[#This Row],['# Vuelo]],'Validacion reclamo de equipaje'!P:Q,2,0)</f>
        <v>MEXICO AEREO</v>
      </c>
      <c r="C67" s="52">
        <v>0.69791666666666663</v>
      </c>
      <c r="D67" s="52">
        <v>0.70624999999999993</v>
      </c>
      <c r="E67" s="53">
        <f>'Reclamo de equipaje rediseñado'!$D67-'Reclamo de equipaje rediseñado'!$C67</f>
        <v>8.3333333333333037E-3</v>
      </c>
      <c r="F67" s="52">
        <v>0.71180555555555547</v>
      </c>
      <c r="G67" s="53">
        <f t="shared" ref="G67:G130" si="1">F67-D67</f>
        <v>5.5555555555555358E-3</v>
      </c>
      <c r="H67" s="54">
        <v>41715</v>
      </c>
      <c r="I67" s="55" t="s">
        <v>547</v>
      </c>
      <c r="J67" s="55" t="s">
        <v>535</v>
      </c>
      <c r="K67" s="55">
        <f>VLOOKUP(J67,'Validacion reclamo de equipaje'!L:M,2,0)</f>
        <v>50</v>
      </c>
      <c r="L67" s="55" t="str">
        <f>VLOOKUP(I67,'Validacion reclamo de equipaje'!H:I,2,0)</f>
        <v>Nacional</v>
      </c>
      <c r="M67" s="55" t="s">
        <v>522</v>
      </c>
    </row>
    <row r="68" spans="1:13" x14ac:dyDescent="0.25">
      <c r="A68">
        <v>2301</v>
      </c>
      <c r="B68" s="47" t="str">
        <f>VLOOKUP(Tabla6[[#This Row],['# Vuelo]],'Validacion reclamo de equipaje'!P:Q,2,0)</f>
        <v>MEXICO AEREO</v>
      </c>
      <c r="C68" s="48">
        <v>0.7006944444444444</v>
      </c>
      <c r="D68" s="48">
        <v>0.70486111111111116</v>
      </c>
      <c r="E68" s="49">
        <f>'Reclamo de equipaje rediseñado'!$D68-'Reclamo de equipaje rediseñado'!$C68</f>
        <v>4.1666666666667629E-3</v>
      </c>
      <c r="F68" s="48">
        <v>0.71180555555555547</v>
      </c>
      <c r="G68" s="49">
        <f t="shared" si="1"/>
        <v>6.9444444444443088E-3</v>
      </c>
      <c r="H68" s="50">
        <v>41716</v>
      </c>
      <c r="I68" s="51" t="s">
        <v>547</v>
      </c>
      <c r="J68" s="51" t="s">
        <v>535</v>
      </c>
      <c r="K68" s="51">
        <f>VLOOKUP(J68,'Validacion reclamo de equipaje'!L:M,2,0)</f>
        <v>50</v>
      </c>
      <c r="L68" s="51" t="str">
        <f>VLOOKUP(I68,'Validacion reclamo de equipaje'!H:I,2,0)</f>
        <v>Nacional</v>
      </c>
      <c r="M68" s="51" t="s">
        <v>522</v>
      </c>
    </row>
    <row r="69" spans="1:13" x14ac:dyDescent="0.25">
      <c r="A69">
        <v>2301</v>
      </c>
      <c r="B69" s="47" t="str">
        <f>VLOOKUP(Tabla6[[#This Row],['# Vuelo]],'Validacion reclamo de equipaje'!P:Q,2,0)</f>
        <v>MEXICO AEREO</v>
      </c>
      <c r="C69" s="52">
        <v>0.69861111111111107</v>
      </c>
      <c r="D69" s="52">
        <v>0.70347222222222217</v>
      </c>
      <c r="E69" s="53">
        <f>'Reclamo de equipaje rediseñado'!$D69-'Reclamo de equipaje rediseñado'!$C69</f>
        <v>4.8611111111110938E-3</v>
      </c>
      <c r="F69" s="52">
        <v>0.7090277777777777</v>
      </c>
      <c r="G69" s="53">
        <f t="shared" si="1"/>
        <v>5.5555555555555358E-3</v>
      </c>
      <c r="H69" s="54">
        <v>41718</v>
      </c>
      <c r="I69" s="55" t="s">
        <v>547</v>
      </c>
      <c r="J69" s="55" t="s">
        <v>535</v>
      </c>
      <c r="K69" s="55">
        <f>VLOOKUP(J69,'Validacion reclamo de equipaje'!L:M,2,0)</f>
        <v>50</v>
      </c>
      <c r="L69" s="55" t="str">
        <f>VLOOKUP(I69,'Validacion reclamo de equipaje'!H:I,2,0)</f>
        <v>Nacional</v>
      </c>
      <c r="M69" s="55" t="s">
        <v>522</v>
      </c>
    </row>
    <row r="70" spans="1:13" x14ac:dyDescent="0.25">
      <c r="A70">
        <v>2301</v>
      </c>
      <c r="B70" s="47" t="str">
        <f>VLOOKUP(Tabla6[[#This Row],['# Vuelo]],'Validacion reclamo de equipaje'!P:Q,2,0)</f>
        <v>MEXICO AEREO</v>
      </c>
      <c r="C70" s="48">
        <v>0.70277777777777783</v>
      </c>
      <c r="D70" s="48">
        <v>0.71180555555555547</v>
      </c>
      <c r="E70" s="49">
        <f>'Reclamo de equipaje rediseñado'!$D70-'Reclamo de equipaje rediseñado'!$C70</f>
        <v>9.0277777777776347E-3</v>
      </c>
      <c r="F70" s="48">
        <v>0.71527777777777779</v>
      </c>
      <c r="G70" s="49">
        <f t="shared" si="1"/>
        <v>3.4722222222223209E-3</v>
      </c>
      <c r="H70" s="50">
        <v>41720</v>
      </c>
      <c r="I70" s="51" t="s">
        <v>547</v>
      </c>
      <c r="J70" s="51" t="s">
        <v>535</v>
      </c>
      <c r="K70" s="51">
        <f>VLOOKUP(J70,'Validacion reclamo de equipaje'!L:M,2,0)</f>
        <v>50</v>
      </c>
      <c r="L70" s="51" t="str">
        <f>VLOOKUP(I70,'Validacion reclamo de equipaje'!H:I,2,0)</f>
        <v>Nacional</v>
      </c>
      <c r="M70" s="51" t="s">
        <v>522</v>
      </c>
    </row>
    <row r="71" spans="1:13" x14ac:dyDescent="0.25">
      <c r="A71">
        <v>2301</v>
      </c>
      <c r="B71" s="47" t="str">
        <f>VLOOKUP(Tabla6[[#This Row],['# Vuelo]],'Validacion reclamo de equipaje'!P:Q,2,0)</f>
        <v>MEXICO AEREO</v>
      </c>
      <c r="C71" s="52">
        <v>0.68888888888888899</v>
      </c>
      <c r="D71" s="52">
        <v>0.69166666666666676</v>
      </c>
      <c r="E71" s="53">
        <f>'Reclamo de equipaje rediseñado'!$D71-'Reclamo de equipaje rediseñado'!$C71</f>
        <v>2.7777777777777679E-3</v>
      </c>
      <c r="F71" s="52">
        <v>0.69652777777777775</v>
      </c>
      <c r="G71" s="53">
        <f t="shared" si="1"/>
        <v>4.8611111111109828E-3</v>
      </c>
      <c r="H71" s="54">
        <v>41721</v>
      </c>
      <c r="I71" s="55" t="s">
        <v>547</v>
      </c>
      <c r="J71" s="55" t="s">
        <v>535</v>
      </c>
      <c r="K71" s="55">
        <f>VLOOKUP(J71,'Validacion reclamo de equipaje'!L:M,2,0)</f>
        <v>50</v>
      </c>
      <c r="L71" s="55" t="str">
        <f>VLOOKUP(I71,'Validacion reclamo de equipaje'!H:I,2,0)</f>
        <v>Nacional</v>
      </c>
      <c r="M71" s="55" t="s">
        <v>522</v>
      </c>
    </row>
    <row r="72" spans="1:13" x14ac:dyDescent="0.25">
      <c r="A72">
        <v>2301</v>
      </c>
      <c r="B72" s="47" t="str">
        <f>VLOOKUP(Tabla6[[#This Row],['# Vuelo]],'Validacion reclamo de equipaje'!P:Q,2,0)</f>
        <v>MEXICO AEREO</v>
      </c>
      <c r="C72" s="48">
        <v>0.69513888888888886</v>
      </c>
      <c r="D72" s="48">
        <v>0.70277777777777783</v>
      </c>
      <c r="E72" s="49">
        <f>'Reclamo de equipaje rediseñado'!$D72-'Reclamo de equipaje rediseñado'!$C72</f>
        <v>7.6388888888889728E-3</v>
      </c>
      <c r="F72" s="48">
        <v>0.70486111111111116</v>
      </c>
      <c r="G72" s="49">
        <f t="shared" si="1"/>
        <v>2.0833333333333259E-3</v>
      </c>
      <c r="H72" s="50">
        <v>41722</v>
      </c>
      <c r="I72" s="51" t="s">
        <v>547</v>
      </c>
      <c r="J72" s="51" t="s">
        <v>535</v>
      </c>
      <c r="K72" s="51">
        <f>VLOOKUP(J72,'Validacion reclamo de equipaje'!L:M,2,0)</f>
        <v>50</v>
      </c>
      <c r="L72" s="51" t="str">
        <f>VLOOKUP(I72,'Validacion reclamo de equipaje'!H:I,2,0)</f>
        <v>Nacional</v>
      </c>
      <c r="M72" s="51" t="s">
        <v>522</v>
      </c>
    </row>
    <row r="73" spans="1:13" x14ac:dyDescent="0.25">
      <c r="A73">
        <v>2301</v>
      </c>
      <c r="B73" s="47" t="str">
        <f>VLOOKUP(Tabla6[[#This Row],['# Vuelo]],'Validacion reclamo de equipaje'!P:Q,2,0)</f>
        <v>MEXICO AEREO</v>
      </c>
      <c r="C73" s="52">
        <v>0.85</v>
      </c>
      <c r="D73" s="52">
        <v>0.86249999999999993</v>
      </c>
      <c r="E73" s="53">
        <f>'Reclamo de equipaje rediseñado'!$D73-'Reclamo de equipaje rediseñado'!$C73</f>
        <v>1.2499999999999956E-2</v>
      </c>
      <c r="F73" s="52">
        <v>0.86458333333333337</v>
      </c>
      <c r="G73" s="53">
        <f t="shared" si="1"/>
        <v>2.083333333333437E-3</v>
      </c>
      <c r="H73" s="54">
        <v>41724</v>
      </c>
      <c r="I73" s="55" t="s">
        <v>547</v>
      </c>
      <c r="J73" s="55" t="s">
        <v>535</v>
      </c>
      <c r="K73" s="55">
        <f>VLOOKUP(J73,'Validacion reclamo de equipaje'!L:M,2,0)</f>
        <v>50</v>
      </c>
      <c r="L73" s="55" t="str">
        <f>VLOOKUP(I73,'Validacion reclamo de equipaje'!H:I,2,0)</f>
        <v>Nacional</v>
      </c>
      <c r="M73" s="55" t="s">
        <v>522</v>
      </c>
    </row>
    <row r="74" spans="1:13" x14ac:dyDescent="0.25">
      <c r="A74">
        <v>2301</v>
      </c>
      <c r="B74" s="47" t="str">
        <f>VLOOKUP(Tabla6[[#This Row],['# Vuelo]],'Validacion reclamo de equipaje'!P:Q,2,0)</f>
        <v>MEXICO AEREO</v>
      </c>
      <c r="C74" s="48">
        <v>0.69861111111111107</v>
      </c>
      <c r="D74" s="48">
        <v>0.70486111111111116</v>
      </c>
      <c r="E74" s="49">
        <f>'Reclamo de equipaje rediseñado'!$D74-'Reclamo de equipaje rediseñado'!$C74</f>
        <v>6.2500000000000888E-3</v>
      </c>
      <c r="F74" s="48">
        <v>0.7090277777777777</v>
      </c>
      <c r="G74" s="49">
        <f t="shared" si="1"/>
        <v>4.1666666666665408E-3</v>
      </c>
      <c r="H74" s="50">
        <v>41726</v>
      </c>
      <c r="I74" s="51" t="s">
        <v>547</v>
      </c>
      <c r="J74" s="51" t="s">
        <v>535</v>
      </c>
      <c r="K74" s="51">
        <f>VLOOKUP(J74,'Validacion reclamo de equipaje'!L:M,2,0)</f>
        <v>50</v>
      </c>
      <c r="L74" s="51" t="str">
        <f>VLOOKUP(I74,'Validacion reclamo de equipaje'!H:I,2,0)</f>
        <v>Nacional</v>
      </c>
      <c r="M74" s="51" t="s">
        <v>522</v>
      </c>
    </row>
    <row r="75" spans="1:13" x14ac:dyDescent="0.25">
      <c r="A75">
        <v>2301</v>
      </c>
      <c r="B75" s="47" t="str">
        <f>VLOOKUP(Tabla6[[#This Row],['# Vuelo]],'Validacion reclamo de equipaje'!P:Q,2,0)</f>
        <v>MEXICO AEREO</v>
      </c>
      <c r="C75" s="52">
        <v>0.71180555555555547</v>
      </c>
      <c r="D75" s="52">
        <v>0.71388888888888891</v>
      </c>
      <c r="E75" s="53">
        <f>'Reclamo de equipaje rediseñado'!$D75-'Reclamo de equipaje rediseñado'!$C75</f>
        <v>2.083333333333437E-3</v>
      </c>
      <c r="F75" s="52">
        <v>0.71944444444444444</v>
      </c>
      <c r="G75" s="53">
        <f t="shared" si="1"/>
        <v>5.5555555555555358E-3</v>
      </c>
      <c r="H75" s="54">
        <v>41717</v>
      </c>
      <c r="I75" s="55" t="s">
        <v>547</v>
      </c>
      <c r="J75" s="55" t="s">
        <v>535</v>
      </c>
      <c r="K75" s="55">
        <f>VLOOKUP(J75,'Validacion reclamo de equipaje'!L:M,2,0)</f>
        <v>50</v>
      </c>
      <c r="L75" s="55" t="str">
        <f>VLOOKUP(I75,'Validacion reclamo de equipaje'!H:I,2,0)</f>
        <v>Nacional</v>
      </c>
      <c r="M75" s="55" t="s">
        <v>522</v>
      </c>
    </row>
    <row r="76" spans="1:13" x14ac:dyDescent="0.25">
      <c r="A76">
        <v>2277</v>
      </c>
      <c r="B76" s="47" t="str">
        <f>VLOOKUP(Tabla6[[#This Row],['# Vuelo]],'Validacion reclamo de equipaje'!P:Q,2,0)</f>
        <v>MEXICO AEREO</v>
      </c>
      <c r="C76" s="48">
        <v>0.91527777777777775</v>
      </c>
      <c r="D76" s="48">
        <v>0.9243055555555556</v>
      </c>
      <c r="E76" s="49">
        <f>'Reclamo de equipaje rediseñado'!$D76-'Reclamo de equipaje rediseñado'!$C76</f>
        <v>9.0277777777778567E-3</v>
      </c>
      <c r="F76" s="48">
        <v>0.92847222222222225</v>
      </c>
      <c r="G76" s="49">
        <f t="shared" si="1"/>
        <v>4.1666666666666519E-3</v>
      </c>
      <c r="H76" s="50">
        <v>41713</v>
      </c>
      <c r="I76" s="51" t="s">
        <v>542</v>
      </c>
      <c r="J76" s="51" t="s">
        <v>535</v>
      </c>
      <c r="K76" s="51">
        <f>VLOOKUP(J76,'Validacion reclamo de equipaje'!L:M,2,0)</f>
        <v>50</v>
      </c>
      <c r="L76" s="51" t="str">
        <f>VLOOKUP(I76,'Validacion reclamo de equipaje'!H:I,2,0)</f>
        <v>Nacional</v>
      </c>
      <c r="M76" s="51" t="s">
        <v>522</v>
      </c>
    </row>
    <row r="77" spans="1:13" x14ac:dyDescent="0.25">
      <c r="A77">
        <v>2277</v>
      </c>
      <c r="B77" s="47" t="str">
        <f>VLOOKUP(Tabla6[[#This Row],['# Vuelo]],'Validacion reclamo de equipaje'!P:Q,2,0)</f>
        <v>MEXICO AEREO</v>
      </c>
      <c r="C77" s="52">
        <v>0.94444444444444453</v>
      </c>
      <c r="D77" s="52">
        <v>0.95000000000000007</v>
      </c>
      <c r="E77" s="53">
        <f>'Reclamo de equipaje rediseñado'!$D77-'Reclamo de equipaje rediseñado'!$C77</f>
        <v>5.5555555555555358E-3</v>
      </c>
      <c r="F77" s="52">
        <v>0.95277777777777783</v>
      </c>
      <c r="G77" s="53">
        <f t="shared" si="1"/>
        <v>2.7777777777777679E-3</v>
      </c>
      <c r="H77" s="54">
        <v>41715</v>
      </c>
      <c r="I77" s="55" t="s">
        <v>542</v>
      </c>
      <c r="J77" s="55" t="s">
        <v>535</v>
      </c>
      <c r="K77" s="55">
        <f>VLOOKUP(J77,'Validacion reclamo de equipaje'!L:M,2,0)</f>
        <v>50</v>
      </c>
      <c r="L77" s="55" t="str">
        <f>VLOOKUP(I77,'Validacion reclamo de equipaje'!H:I,2,0)</f>
        <v>Nacional</v>
      </c>
      <c r="M77" s="55" t="s">
        <v>522</v>
      </c>
    </row>
    <row r="78" spans="1:13" x14ac:dyDescent="0.25">
      <c r="A78">
        <v>2277</v>
      </c>
      <c r="B78" s="47" t="str">
        <f>VLOOKUP(Tabla6[[#This Row],['# Vuelo]],'Validacion reclamo de equipaje'!P:Q,2,0)</f>
        <v>MEXICO AEREO</v>
      </c>
      <c r="C78" s="48">
        <v>0.93611111111111101</v>
      </c>
      <c r="D78" s="48">
        <v>0.94444444444444453</v>
      </c>
      <c r="E78" s="49">
        <f>'Reclamo de equipaje rediseñado'!$D78-'Reclamo de equipaje rediseñado'!$C78</f>
        <v>8.3333333333335258E-3</v>
      </c>
      <c r="F78" s="48">
        <v>0.94652777777777775</v>
      </c>
      <c r="G78" s="49">
        <f t="shared" si="1"/>
        <v>2.0833333333332149E-3</v>
      </c>
      <c r="H78" s="50">
        <v>41716</v>
      </c>
      <c r="I78" s="51" t="s">
        <v>542</v>
      </c>
      <c r="J78" s="51" t="s">
        <v>535</v>
      </c>
      <c r="K78" s="51">
        <f>VLOOKUP(J78,'Validacion reclamo de equipaje'!L:M,2,0)</f>
        <v>50</v>
      </c>
      <c r="L78" s="51" t="str">
        <f>VLOOKUP(I78,'Validacion reclamo de equipaje'!H:I,2,0)</f>
        <v>Nacional</v>
      </c>
      <c r="M78" s="51" t="s">
        <v>522</v>
      </c>
    </row>
    <row r="79" spans="1:13" x14ac:dyDescent="0.25">
      <c r="A79">
        <v>2277</v>
      </c>
      <c r="B79" s="47" t="str">
        <f>VLOOKUP(Tabla6[[#This Row],['# Vuelo]],'Validacion reclamo de equipaje'!P:Q,2,0)</f>
        <v>MEXICO AEREO</v>
      </c>
      <c r="C79" s="52">
        <v>0.93888888888888899</v>
      </c>
      <c r="D79" s="52">
        <v>0.94652777777777775</v>
      </c>
      <c r="E79" s="53">
        <f>'Reclamo de equipaje rediseñado'!$D79-'Reclamo de equipaje rediseñado'!$C79</f>
        <v>7.6388888888887507E-3</v>
      </c>
      <c r="F79" s="52">
        <v>0.95000000000000007</v>
      </c>
      <c r="G79" s="53">
        <f t="shared" si="1"/>
        <v>3.4722222222223209E-3</v>
      </c>
      <c r="H79" s="54">
        <v>41719</v>
      </c>
      <c r="I79" s="55" t="s">
        <v>542</v>
      </c>
      <c r="J79" s="55" t="s">
        <v>535</v>
      </c>
      <c r="K79" s="55">
        <f>VLOOKUP(J79,'Validacion reclamo de equipaje'!L:M,2,0)</f>
        <v>50</v>
      </c>
      <c r="L79" s="55" t="str">
        <f>VLOOKUP(I79,'Validacion reclamo de equipaje'!H:I,2,0)</f>
        <v>Nacional</v>
      </c>
      <c r="M79" s="55" t="s">
        <v>522</v>
      </c>
    </row>
    <row r="80" spans="1:13" x14ac:dyDescent="0.25">
      <c r="A80">
        <v>2277</v>
      </c>
      <c r="B80" s="47" t="str">
        <f>VLOOKUP(Tabla6[[#This Row],['# Vuelo]],'Validacion reclamo de equipaje'!P:Q,2,0)</f>
        <v>MEXICO AEREO</v>
      </c>
      <c r="C80" s="48">
        <v>0.93194444444444446</v>
      </c>
      <c r="D80" s="48">
        <v>0.93819444444444444</v>
      </c>
      <c r="E80" s="49">
        <f>'Reclamo de equipaje rediseñado'!$D80-'Reclamo de equipaje rediseñado'!$C80</f>
        <v>6.2499999999999778E-3</v>
      </c>
      <c r="F80" s="48">
        <v>0.94305555555555554</v>
      </c>
      <c r="G80" s="49">
        <f t="shared" si="1"/>
        <v>4.8611111111110938E-3</v>
      </c>
      <c r="H80" s="50">
        <v>41721</v>
      </c>
      <c r="I80" s="51" t="s">
        <v>542</v>
      </c>
      <c r="J80" s="51" t="s">
        <v>535</v>
      </c>
      <c r="K80" s="51">
        <f>VLOOKUP(J80,'Validacion reclamo de equipaje'!L:M,2,0)</f>
        <v>50</v>
      </c>
      <c r="L80" s="51" t="str">
        <f>VLOOKUP(I80,'Validacion reclamo de equipaje'!H:I,2,0)</f>
        <v>Nacional</v>
      </c>
      <c r="M80" s="51" t="s">
        <v>522</v>
      </c>
    </row>
    <row r="81" spans="1:13" x14ac:dyDescent="0.25">
      <c r="A81">
        <v>2277</v>
      </c>
      <c r="B81" s="47" t="str">
        <f>VLOOKUP(Tabla6[[#This Row],['# Vuelo]],'Validacion reclamo de equipaje'!P:Q,2,0)</f>
        <v>MEXICO AEREO</v>
      </c>
      <c r="C81" s="52">
        <v>0.95138888888888884</v>
      </c>
      <c r="D81" s="52">
        <v>0.95833333333333337</v>
      </c>
      <c r="E81" s="53">
        <f>'Reclamo de equipaje rediseñado'!$D81-'Reclamo de equipaje rediseñado'!$C81</f>
        <v>6.9444444444445308E-3</v>
      </c>
      <c r="F81" s="52">
        <v>0.96388888888888891</v>
      </c>
      <c r="G81" s="53">
        <f t="shared" si="1"/>
        <v>5.5555555555555358E-3</v>
      </c>
      <c r="H81" s="54">
        <v>41722</v>
      </c>
      <c r="I81" s="55" t="s">
        <v>542</v>
      </c>
      <c r="J81" s="55" t="s">
        <v>535</v>
      </c>
      <c r="K81" s="55">
        <f>VLOOKUP(J81,'Validacion reclamo de equipaje'!L:M,2,0)</f>
        <v>50</v>
      </c>
      <c r="L81" s="55" t="str">
        <f>VLOOKUP(I81,'Validacion reclamo de equipaje'!H:I,2,0)</f>
        <v>Nacional</v>
      </c>
      <c r="M81" s="55" t="s">
        <v>522</v>
      </c>
    </row>
    <row r="82" spans="1:13" x14ac:dyDescent="0.25">
      <c r="A82">
        <v>2277</v>
      </c>
      <c r="B82" s="47" t="str">
        <f>VLOOKUP(Tabla6[[#This Row],['# Vuelo]],'Validacion reclamo de equipaje'!P:Q,2,0)</f>
        <v>MEXICO AEREO</v>
      </c>
      <c r="C82" s="48">
        <v>0.92847222222222225</v>
      </c>
      <c r="D82" s="48">
        <v>0.93472222222222223</v>
      </c>
      <c r="E82" s="49">
        <f>'Reclamo de equipaje rediseñado'!$D82-'Reclamo de equipaje rediseñado'!$C82</f>
        <v>6.2499999999999778E-3</v>
      </c>
      <c r="F82" s="48">
        <v>0.9375</v>
      </c>
      <c r="G82" s="49">
        <f t="shared" si="1"/>
        <v>2.7777777777777679E-3</v>
      </c>
      <c r="H82" s="50">
        <v>41723</v>
      </c>
      <c r="I82" s="51" t="s">
        <v>542</v>
      </c>
      <c r="J82" s="51" t="s">
        <v>535</v>
      </c>
      <c r="K82" s="51">
        <f>VLOOKUP(J82,'Validacion reclamo de equipaje'!L:M,2,0)</f>
        <v>50</v>
      </c>
      <c r="L82" s="51" t="str">
        <f>VLOOKUP(I82,'Validacion reclamo de equipaje'!H:I,2,0)</f>
        <v>Nacional</v>
      </c>
      <c r="M82" s="51" t="s">
        <v>522</v>
      </c>
    </row>
    <row r="83" spans="1:13" x14ac:dyDescent="0.25">
      <c r="A83">
        <v>2277</v>
      </c>
      <c r="B83" s="47" t="str">
        <f>VLOOKUP(Tabla6[[#This Row],['# Vuelo]],'Validacion reclamo de equipaje'!P:Q,2,0)</f>
        <v>MEXICO AEREO</v>
      </c>
      <c r="C83" s="52">
        <v>1.0069444444444444</v>
      </c>
      <c r="D83" s="52">
        <v>1.0138888888888888</v>
      </c>
      <c r="E83" s="53">
        <f>'Reclamo de equipaje rediseñado'!$D83-'Reclamo de equipaje rediseñado'!$C83</f>
        <v>6.9444444444444198E-3</v>
      </c>
      <c r="F83" s="52">
        <v>1.0194444444444444</v>
      </c>
      <c r="G83" s="53">
        <f t="shared" si="1"/>
        <v>5.5555555555555358E-3</v>
      </c>
      <c r="H83" s="54">
        <v>41724</v>
      </c>
      <c r="I83" s="55" t="s">
        <v>542</v>
      </c>
      <c r="J83" s="55" t="s">
        <v>535</v>
      </c>
      <c r="K83" s="55">
        <f>VLOOKUP(J83,'Validacion reclamo de equipaje'!L:M,2,0)</f>
        <v>50</v>
      </c>
      <c r="L83" s="55" t="str">
        <f>VLOOKUP(I83,'Validacion reclamo de equipaje'!H:I,2,0)</f>
        <v>Nacional</v>
      </c>
      <c r="M83" s="55" t="s">
        <v>522</v>
      </c>
    </row>
    <row r="84" spans="1:13" x14ac:dyDescent="0.25">
      <c r="A84">
        <v>2277</v>
      </c>
      <c r="B84" s="47" t="str">
        <f>VLOOKUP(Tabla6[[#This Row],['# Vuelo]],'Validacion reclamo de equipaje'!P:Q,2,0)</f>
        <v>MEXICO AEREO</v>
      </c>
      <c r="C84" s="48">
        <v>0.98263888888888884</v>
      </c>
      <c r="D84" s="48">
        <v>0.98611111111111116</v>
      </c>
      <c r="E84" s="49">
        <f>'Reclamo de equipaje rediseñado'!$D84-'Reclamo de equipaje rediseñado'!$C84</f>
        <v>3.4722222222223209E-3</v>
      </c>
      <c r="F84" s="48">
        <v>0.9868055555555556</v>
      </c>
      <c r="G84" s="49">
        <f t="shared" si="1"/>
        <v>6.9444444444444198E-4</v>
      </c>
      <c r="H84" s="50">
        <v>41724</v>
      </c>
      <c r="I84" s="51" t="s">
        <v>542</v>
      </c>
      <c r="J84" s="51" t="s">
        <v>535</v>
      </c>
      <c r="K84" s="51">
        <f>VLOOKUP(J84,'Validacion reclamo de equipaje'!L:M,2,0)</f>
        <v>50</v>
      </c>
      <c r="L84" s="51" t="str">
        <f>VLOOKUP(I84,'Validacion reclamo de equipaje'!H:I,2,0)</f>
        <v>Nacional</v>
      </c>
      <c r="M84" s="51" t="s">
        <v>522</v>
      </c>
    </row>
    <row r="85" spans="1:13" x14ac:dyDescent="0.25">
      <c r="A85">
        <v>2277</v>
      </c>
      <c r="B85" s="47" t="str">
        <f>VLOOKUP(Tabla6[[#This Row],['# Vuelo]],'Validacion reclamo de equipaje'!P:Q,2,0)</f>
        <v>MEXICO AEREO</v>
      </c>
      <c r="C85" s="52">
        <v>0.98402777777777783</v>
      </c>
      <c r="D85" s="52">
        <v>0.98611111111111116</v>
      </c>
      <c r="E85" s="53">
        <f>'Reclamo de equipaje rediseñado'!$D85-'Reclamo de equipaje rediseñado'!$C85</f>
        <v>2.0833333333333259E-3</v>
      </c>
      <c r="F85" s="52">
        <v>0.9868055555555556</v>
      </c>
      <c r="G85" s="53">
        <f t="shared" si="1"/>
        <v>6.9444444444444198E-4</v>
      </c>
      <c r="H85" s="54">
        <v>41724</v>
      </c>
      <c r="I85" s="55" t="s">
        <v>542</v>
      </c>
      <c r="J85" s="55" t="s">
        <v>535</v>
      </c>
      <c r="K85" s="55">
        <f>VLOOKUP(J85,'Validacion reclamo de equipaje'!L:M,2,0)</f>
        <v>50</v>
      </c>
      <c r="L85" s="55" t="str">
        <f>VLOOKUP(I85,'Validacion reclamo de equipaje'!H:I,2,0)</f>
        <v>Nacional</v>
      </c>
      <c r="M85" s="55" t="s">
        <v>522</v>
      </c>
    </row>
    <row r="86" spans="1:13" x14ac:dyDescent="0.25">
      <c r="A86">
        <v>2277</v>
      </c>
      <c r="B86" s="47" t="str">
        <f>VLOOKUP(Tabla6[[#This Row],['# Vuelo]],'Validacion reclamo de equipaje'!P:Q,2,0)</f>
        <v>MEXICO AEREO</v>
      </c>
      <c r="C86" s="48">
        <v>0.9375</v>
      </c>
      <c r="D86" s="48">
        <v>0.94861111111111107</v>
      </c>
      <c r="E86" s="49">
        <f>'Reclamo de equipaje rediseñado'!$D86-'Reclamo de equipaje rediseñado'!$C86</f>
        <v>1.1111111111111072E-2</v>
      </c>
      <c r="F86" s="48">
        <v>0.95277777777777783</v>
      </c>
      <c r="G86" s="49">
        <f t="shared" si="1"/>
        <v>4.1666666666667629E-3</v>
      </c>
      <c r="H86" s="50">
        <v>41725</v>
      </c>
      <c r="I86" s="51" t="s">
        <v>542</v>
      </c>
      <c r="J86" s="51" t="s">
        <v>535</v>
      </c>
      <c r="K86" s="51">
        <f>VLOOKUP(J86,'Validacion reclamo de equipaje'!L:M,2,0)</f>
        <v>50</v>
      </c>
      <c r="L86" s="51" t="str">
        <f>VLOOKUP(I86,'Validacion reclamo de equipaje'!H:I,2,0)</f>
        <v>Nacional</v>
      </c>
      <c r="M86" s="51" t="s">
        <v>522</v>
      </c>
    </row>
    <row r="87" spans="1:13" x14ac:dyDescent="0.25">
      <c r="A87">
        <v>2277</v>
      </c>
      <c r="B87" s="47" t="str">
        <f>VLOOKUP(Tabla6[[#This Row],['# Vuelo]],'Validacion reclamo de equipaje'!P:Q,2,0)</f>
        <v>MEXICO AEREO</v>
      </c>
      <c r="C87" s="52">
        <v>0.92083333333333339</v>
      </c>
      <c r="D87" s="52">
        <v>0.9291666666666667</v>
      </c>
      <c r="E87" s="53">
        <f>'Reclamo de equipaje rediseñado'!$D87-'Reclamo de equipaje rediseñado'!$C87</f>
        <v>8.3333333333333037E-3</v>
      </c>
      <c r="F87" s="52">
        <v>0.93263888888888891</v>
      </c>
      <c r="G87" s="53">
        <f t="shared" si="1"/>
        <v>3.4722222222222099E-3</v>
      </c>
      <c r="H87" s="54">
        <v>41726</v>
      </c>
      <c r="I87" s="55" t="s">
        <v>542</v>
      </c>
      <c r="J87" s="55" t="s">
        <v>535</v>
      </c>
      <c r="K87" s="55">
        <f>VLOOKUP(J87,'Validacion reclamo de equipaje'!L:M,2,0)</f>
        <v>50</v>
      </c>
      <c r="L87" s="55" t="str">
        <f>VLOOKUP(I87,'Validacion reclamo de equipaje'!H:I,2,0)</f>
        <v>Nacional</v>
      </c>
      <c r="M87" s="55" t="s">
        <v>522</v>
      </c>
    </row>
    <row r="88" spans="1:13" x14ac:dyDescent="0.25">
      <c r="A88">
        <v>2277</v>
      </c>
      <c r="B88" s="47" t="str">
        <f>VLOOKUP(Tabla6[[#This Row],['# Vuelo]],'Validacion reclamo de equipaje'!P:Q,2,0)</f>
        <v>MEXICO AEREO</v>
      </c>
      <c r="C88" s="48">
        <v>0.9375</v>
      </c>
      <c r="D88" s="48">
        <v>0.94444444444444453</v>
      </c>
      <c r="E88" s="49">
        <f>'Reclamo de equipaje rediseñado'!$D88-'Reclamo de equipaje rediseñado'!$C88</f>
        <v>6.9444444444445308E-3</v>
      </c>
      <c r="F88" s="48">
        <v>0.95138888888888884</v>
      </c>
      <c r="G88" s="49">
        <f t="shared" si="1"/>
        <v>6.9444444444443088E-3</v>
      </c>
      <c r="H88" s="50">
        <v>41727</v>
      </c>
      <c r="I88" s="51" t="s">
        <v>542</v>
      </c>
      <c r="J88" s="51" t="s">
        <v>535</v>
      </c>
      <c r="K88" s="51">
        <f>VLOOKUP(J88,'Validacion reclamo de equipaje'!L:M,2,0)</f>
        <v>50</v>
      </c>
      <c r="L88" s="51" t="str">
        <f>VLOOKUP(I88,'Validacion reclamo de equipaje'!H:I,2,0)</f>
        <v>Nacional</v>
      </c>
      <c r="M88" s="51" t="s">
        <v>522</v>
      </c>
    </row>
    <row r="89" spans="1:13" x14ac:dyDescent="0.25">
      <c r="A89">
        <v>2219</v>
      </c>
      <c r="B89" s="47" t="str">
        <f>VLOOKUP(Tabla6[[#This Row],['# Vuelo]],'Validacion reclamo de equipaje'!P:Q,2,0)</f>
        <v>MEXICO AEREO</v>
      </c>
      <c r="C89" s="52">
        <v>0.57500000000000007</v>
      </c>
      <c r="D89" s="52">
        <v>0.57708333333333328</v>
      </c>
      <c r="E89" s="53">
        <f>'Reclamo de equipaje rediseñado'!$D89-'Reclamo de equipaje rediseñado'!$C89</f>
        <v>2.0833333333332149E-3</v>
      </c>
      <c r="F89" s="52">
        <v>0.58263888888888882</v>
      </c>
      <c r="G89" s="53">
        <f t="shared" si="1"/>
        <v>5.5555555555555358E-3</v>
      </c>
      <c r="H89" s="54">
        <v>41714</v>
      </c>
      <c r="I89" s="55" t="s">
        <v>548</v>
      </c>
      <c r="J89" s="55" t="s">
        <v>535</v>
      </c>
      <c r="K89" s="55">
        <f>VLOOKUP(J89,'Validacion reclamo de equipaje'!L:M,2,0)</f>
        <v>50</v>
      </c>
      <c r="L89" s="55" t="str">
        <f>VLOOKUP(I89,'Validacion reclamo de equipaje'!H:I,2,0)</f>
        <v>Nacional</v>
      </c>
      <c r="M89" s="55" t="s">
        <v>522</v>
      </c>
    </row>
    <row r="90" spans="1:13" x14ac:dyDescent="0.25">
      <c r="A90">
        <v>2219</v>
      </c>
      <c r="B90" s="47" t="str">
        <f>VLOOKUP(Tabla6[[#This Row],['# Vuelo]],'Validacion reclamo de equipaje'!P:Q,2,0)</f>
        <v>MEXICO AEREO</v>
      </c>
      <c r="C90" s="48">
        <v>0.58611111111111114</v>
      </c>
      <c r="D90" s="48">
        <v>0.59166666666666667</v>
      </c>
      <c r="E90" s="49">
        <f>'Reclamo de equipaje rediseñado'!$D90-'Reclamo de equipaje rediseñado'!$C90</f>
        <v>5.5555555555555358E-3</v>
      </c>
      <c r="F90" s="48">
        <v>0.59930555555555554</v>
      </c>
      <c r="G90" s="49">
        <f t="shared" si="1"/>
        <v>7.6388888888888618E-3</v>
      </c>
      <c r="H90" s="50">
        <v>41715</v>
      </c>
      <c r="I90" s="51" t="s">
        <v>548</v>
      </c>
      <c r="J90" s="51" t="s">
        <v>535</v>
      </c>
      <c r="K90" s="51">
        <f>VLOOKUP(J90,'Validacion reclamo de equipaje'!L:M,2,0)</f>
        <v>50</v>
      </c>
      <c r="L90" s="51" t="str">
        <f>VLOOKUP(I90,'Validacion reclamo de equipaje'!H:I,2,0)</f>
        <v>Nacional</v>
      </c>
      <c r="M90" s="51" t="s">
        <v>522</v>
      </c>
    </row>
    <row r="91" spans="1:13" x14ac:dyDescent="0.25">
      <c r="A91">
        <v>2219</v>
      </c>
      <c r="B91" s="47" t="str">
        <f>VLOOKUP(Tabla6[[#This Row],['# Vuelo]],'Validacion reclamo de equipaje'!P:Q,2,0)</f>
        <v>MEXICO AEREO</v>
      </c>
      <c r="C91" s="52">
        <v>0.59027777777777779</v>
      </c>
      <c r="D91" s="52">
        <v>0.59444444444444444</v>
      </c>
      <c r="E91" s="53">
        <f>'Reclamo de equipaje rediseñado'!$D91-'Reclamo de equipaje rediseñado'!$C91</f>
        <v>4.1666666666666519E-3</v>
      </c>
      <c r="F91" s="52">
        <v>0.59722222222222221</v>
      </c>
      <c r="G91" s="53">
        <f t="shared" si="1"/>
        <v>2.7777777777777679E-3</v>
      </c>
      <c r="H91" s="54">
        <v>41716</v>
      </c>
      <c r="I91" s="55" t="s">
        <v>548</v>
      </c>
      <c r="J91" s="55" t="s">
        <v>535</v>
      </c>
      <c r="K91" s="55">
        <f>VLOOKUP(J91,'Validacion reclamo de equipaje'!L:M,2,0)</f>
        <v>50</v>
      </c>
      <c r="L91" s="55" t="str">
        <f>VLOOKUP(I91,'Validacion reclamo de equipaje'!H:I,2,0)</f>
        <v>Nacional</v>
      </c>
      <c r="M91" s="55" t="s">
        <v>522</v>
      </c>
    </row>
    <row r="92" spans="1:13" x14ac:dyDescent="0.25">
      <c r="A92">
        <v>2219</v>
      </c>
      <c r="B92" s="47" t="str">
        <f>VLOOKUP(Tabla6[[#This Row],['# Vuelo]],'Validacion reclamo de equipaje'!P:Q,2,0)</f>
        <v>MEXICO AEREO</v>
      </c>
      <c r="C92" s="48">
        <v>0.5854166666666667</v>
      </c>
      <c r="D92" s="48">
        <v>0.59097222222222223</v>
      </c>
      <c r="E92" s="49">
        <f>'Reclamo de equipaje rediseñado'!$D92-'Reclamo de equipaje rediseñado'!$C92</f>
        <v>5.5555555555555358E-3</v>
      </c>
      <c r="F92" s="48">
        <v>0.59513888888888888</v>
      </c>
      <c r="G92" s="49">
        <f t="shared" si="1"/>
        <v>4.1666666666666519E-3</v>
      </c>
      <c r="H92" s="50">
        <v>41717</v>
      </c>
      <c r="I92" s="51" t="s">
        <v>548</v>
      </c>
      <c r="J92" s="51" t="s">
        <v>535</v>
      </c>
      <c r="K92" s="51">
        <f>VLOOKUP(J92,'Validacion reclamo de equipaje'!L:M,2,0)</f>
        <v>50</v>
      </c>
      <c r="L92" s="51" t="str">
        <f>VLOOKUP(I92,'Validacion reclamo de equipaje'!H:I,2,0)</f>
        <v>Nacional</v>
      </c>
      <c r="M92" s="51" t="s">
        <v>522</v>
      </c>
    </row>
    <row r="93" spans="1:13" x14ac:dyDescent="0.25">
      <c r="A93">
        <v>2219</v>
      </c>
      <c r="B93" s="47" t="str">
        <f>VLOOKUP(Tabla6[[#This Row],['# Vuelo]],'Validacion reclamo de equipaje'!P:Q,2,0)</f>
        <v>MEXICO AEREO</v>
      </c>
      <c r="C93" s="52">
        <v>0.57361111111111118</v>
      </c>
      <c r="D93" s="52">
        <v>0.57777777777777783</v>
      </c>
      <c r="E93" s="53">
        <f>'Reclamo de equipaje rediseñado'!$D93-'Reclamo de equipaje rediseñado'!$C93</f>
        <v>4.1666666666666519E-3</v>
      </c>
      <c r="F93" s="52">
        <v>0.58611111111111114</v>
      </c>
      <c r="G93" s="53">
        <f t="shared" si="1"/>
        <v>8.3333333333333037E-3</v>
      </c>
      <c r="H93" s="54">
        <v>41718</v>
      </c>
      <c r="I93" s="55" t="s">
        <v>548</v>
      </c>
      <c r="J93" s="55" t="s">
        <v>535</v>
      </c>
      <c r="K93" s="55">
        <f>VLOOKUP(J93,'Validacion reclamo de equipaje'!L:M,2,0)</f>
        <v>50</v>
      </c>
      <c r="L93" s="55" t="str">
        <f>VLOOKUP(I93,'Validacion reclamo de equipaje'!H:I,2,0)</f>
        <v>Nacional</v>
      </c>
      <c r="M93" s="55" t="s">
        <v>522</v>
      </c>
    </row>
    <row r="94" spans="1:13" x14ac:dyDescent="0.25">
      <c r="A94">
        <v>2219</v>
      </c>
      <c r="B94" s="47" t="str">
        <f>VLOOKUP(Tabla6[[#This Row],['# Vuelo]],'Validacion reclamo de equipaje'!P:Q,2,0)</f>
        <v>MEXICO AEREO</v>
      </c>
      <c r="C94" s="48">
        <v>0.57500000000000007</v>
      </c>
      <c r="D94" s="48">
        <v>0.5805555555555556</v>
      </c>
      <c r="E94" s="49">
        <f>'Reclamo de equipaje rediseñado'!$D94-'Reclamo de equipaje rediseñado'!$C94</f>
        <v>5.5555555555555358E-3</v>
      </c>
      <c r="F94" s="48">
        <v>0.58402777777777781</v>
      </c>
      <c r="G94" s="49">
        <f t="shared" si="1"/>
        <v>3.4722222222222099E-3</v>
      </c>
      <c r="H94" s="50">
        <v>41721</v>
      </c>
      <c r="I94" s="51" t="s">
        <v>548</v>
      </c>
      <c r="J94" s="51" t="s">
        <v>535</v>
      </c>
      <c r="K94" s="51">
        <f>VLOOKUP(J94,'Validacion reclamo de equipaje'!L:M,2,0)</f>
        <v>50</v>
      </c>
      <c r="L94" s="51" t="str">
        <f>VLOOKUP(I94,'Validacion reclamo de equipaje'!H:I,2,0)</f>
        <v>Nacional</v>
      </c>
      <c r="M94" s="51" t="s">
        <v>522</v>
      </c>
    </row>
    <row r="95" spans="1:13" x14ac:dyDescent="0.25">
      <c r="A95">
        <v>2219</v>
      </c>
      <c r="B95" s="47" t="str">
        <f>VLOOKUP(Tabla6[[#This Row],['# Vuelo]],'Validacion reclamo de equipaje'!P:Q,2,0)</f>
        <v>MEXICO AEREO</v>
      </c>
      <c r="C95" s="52">
        <v>0.59166666666666667</v>
      </c>
      <c r="D95" s="52">
        <v>0.59583333333333333</v>
      </c>
      <c r="E95" s="53">
        <f>'Reclamo de equipaje rediseñado'!$D95-'Reclamo de equipaje rediseñado'!$C95</f>
        <v>4.1666666666666519E-3</v>
      </c>
      <c r="F95" s="52">
        <v>0.6</v>
      </c>
      <c r="G95" s="53">
        <f t="shared" si="1"/>
        <v>4.1666666666666519E-3</v>
      </c>
      <c r="H95" s="54">
        <v>41722</v>
      </c>
      <c r="I95" s="55" t="s">
        <v>548</v>
      </c>
      <c r="J95" s="55" t="s">
        <v>535</v>
      </c>
      <c r="K95" s="55">
        <f>VLOOKUP(J95,'Validacion reclamo de equipaje'!L:M,2,0)</f>
        <v>50</v>
      </c>
      <c r="L95" s="55" t="str">
        <f>VLOOKUP(I95,'Validacion reclamo de equipaje'!H:I,2,0)</f>
        <v>Nacional</v>
      </c>
      <c r="M95" s="55" t="s">
        <v>522</v>
      </c>
    </row>
    <row r="96" spans="1:13" x14ac:dyDescent="0.25">
      <c r="A96">
        <v>2219</v>
      </c>
      <c r="B96" s="47" t="str">
        <f>VLOOKUP(Tabla6[[#This Row],['# Vuelo]],'Validacion reclamo de equipaje'!P:Q,2,0)</f>
        <v>MEXICO AEREO</v>
      </c>
      <c r="C96" s="48">
        <v>0.66875000000000007</v>
      </c>
      <c r="D96" s="48">
        <v>0.6743055555555556</v>
      </c>
      <c r="E96" s="49">
        <f>'Reclamo de equipaje rediseñado'!$D96-'Reclamo de equipaje rediseñado'!$C96</f>
        <v>5.5555555555555358E-3</v>
      </c>
      <c r="F96" s="48">
        <v>0.68263888888888891</v>
      </c>
      <c r="G96" s="49">
        <f t="shared" si="1"/>
        <v>8.3333333333333037E-3</v>
      </c>
      <c r="H96" s="50">
        <v>41725</v>
      </c>
      <c r="I96" s="51" t="s">
        <v>548</v>
      </c>
      <c r="J96" s="51" t="s">
        <v>535</v>
      </c>
      <c r="K96" s="51">
        <f>VLOOKUP(J96,'Validacion reclamo de equipaje'!L:M,2,0)</f>
        <v>50</v>
      </c>
      <c r="L96" s="51" t="str">
        <f>VLOOKUP(I96,'Validacion reclamo de equipaje'!H:I,2,0)</f>
        <v>Nacional</v>
      </c>
      <c r="M96" s="51" t="s">
        <v>522</v>
      </c>
    </row>
    <row r="97" spans="1:13" x14ac:dyDescent="0.25">
      <c r="A97">
        <v>2219</v>
      </c>
      <c r="B97" s="47" t="str">
        <f>VLOOKUP(Tabla6[[#This Row],['# Vuelo]],'Validacion reclamo de equipaje'!P:Q,2,0)</f>
        <v>MEXICO AEREO</v>
      </c>
      <c r="C97" s="52">
        <v>0.61041666666666672</v>
      </c>
      <c r="D97" s="52">
        <v>0.6166666666666667</v>
      </c>
      <c r="E97" s="53">
        <f>'Reclamo de equipaje rediseñado'!$D97-'Reclamo de equipaje rediseñado'!$C97</f>
        <v>6.2499999999999778E-3</v>
      </c>
      <c r="F97" s="52">
        <v>0.62083333333333335</v>
      </c>
      <c r="G97" s="53">
        <f t="shared" si="1"/>
        <v>4.1666666666666519E-3</v>
      </c>
      <c r="H97" s="54">
        <v>41725</v>
      </c>
      <c r="I97" s="55" t="s">
        <v>548</v>
      </c>
      <c r="J97" s="55" t="s">
        <v>535</v>
      </c>
      <c r="K97" s="55">
        <f>VLOOKUP(J97,'Validacion reclamo de equipaje'!L:M,2,0)</f>
        <v>50</v>
      </c>
      <c r="L97" s="55" t="str">
        <f>VLOOKUP(I97,'Validacion reclamo de equipaje'!H:I,2,0)</f>
        <v>Nacional</v>
      </c>
      <c r="M97" s="55" t="s">
        <v>522</v>
      </c>
    </row>
    <row r="98" spans="1:13" x14ac:dyDescent="0.25">
      <c r="A98">
        <v>2219</v>
      </c>
      <c r="B98" s="47" t="str">
        <f>VLOOKUP(Tabla6[[#This Row],['# Vuelo]],'Validacion reclamo de equipaje'!P:Q,2,0)</f>
        <v>MEXICO AEREO</v>
      </c>
      <c r="C98" s="48">
        <v>0.57430555555555551</v>
      </c>
      <c r="D98" s="48">
        <v>0.57916666666666672</v>
      </c>
      <c r="E98" s="49">
        <f>'Reclamo de equipaje rediseñado'!$D98-'Reclamo de equipaje rediseñado'!$C98</f>
        <v>4.8611111111112049E-3</v>
      </c>
      <c r="F98" s="48">
        <v>0.58750000000000002</v>
      </c>
      <c r="G98" s="49">
        <f t="shared" si="1"/>
        <v>8.3333333333333037E-3</v>
      </c>
      <c r="H98" s="50">
        <v>41726</v>
      </c>
      <c r="I98" s="51" t="s">
        <v>548</v>
      </c>
      <c r="J98" s="51" t="s">
        <v>535</v>
      </c>
      <c r="K98" s="51">
        <f>VLOOKUP(J98,'Validacion reclamo de equipaje'!L:M,2,0)</f>
        <v>50</v>
      </c>
      <c r="L98" s="51" t="str">
        <f>VLOOKUP(I98,'Validacion reclamo de equipaje'!H:I,2,0)</f>
        <v>Nacional</v>
      </c>
      <c r="M98" s="51" t="s">
        <v>522</v>
      </c>
    </row>
    <row r="99" spans="1:13" x14ac:dyDescent="0.25">
      <c r="A99">
        <v>2219</v>
      </c>
      <c r="B99" s="47" t="str">
        <f>VLOOKUP(Tabla6[[#This Row],['# Vuelo]],'Validacion reclamo de equipaje'!P:Q,2,0)</f>
        <v>MEXICO AEREO</v>
      </c>
      <c r="C99" s="52">
        <v>0.57638888888888895</v>
      </c>
      <c r="D99" s="52">
        <v>0.58333333333333337</v>
      </c>
      <c r="E99" s="53">
        <f>'Reclamo de equipaje rediseñado'!$D99-'Reclamo de equipaje rediseñado'!$C99</f>
        <v>6.9444444444444198E-3</v>
      </c>
      <c r="F99" s="52">
        <v>0.58680555555555558</v>
      </c>
      <c r="G99" s="53">
        <f t="shared" si="1"/>
        <v>3.4722222222222099E-3</v>
      </c>
      <c r="H99" s="54">
        <v>41729</v>
      </c>
      <c r="I99" s="55" t="s">
        <v>548</v>
      </c>
      <c r="J99" s="55" t="s">
        <v>535</v>
      </c>
      <c r="K99" s="55">
        <f>VLOOKUP(J99,'Validacion reclamo de equipaje'!L:M,2,0)</f>
        <v>50</v>
      </c>
      <c r="L99" s="55" t="str">
        <f>VLOOKUP(I99,'Validacion reclamo de equipaje'!H:I,2,0)</f>
        <v>Nacional</v>
      </c>
      <c r="M99" s="55" t="s">
        <v>522</v>
      </c>
    </row>
    <row r="100" spans="1:13" x14ac:dyDescent="0.25">
      <c r="A100">
        <v>2219</v>
      </c>
      <c r="B100" s="47" t="str">
        <f>VLOOKUP(Tabla6[[#This Row],['# Vuelo]],'Validacion reclamo de equipaje'!P:Q,2,0)</f>
        <v>MEXICO AEREO</v>
      </c>
      <c r="C100" s="48">
        <v>0.70624999999999993</v>
      </c>
      <c r="D100" s="48">
        <v>0.71597222222222223</v>
      </c>
      <c r="E100" s="49">
        <f>'Reclamo de equipaje rediseñado'!$D100-'Reclamo de equipaje rediseñado'!$C100</f>
        <v>9.7222222222222987E-3</v>
      </c>
      <c r="F100" s="48">
        <v>0.71736111111111101</v>
      </c>
      <c r="G100" s="49">
        <f t="shared" si="1"/>
        <v>1.3888888888887729E-3</v>
      </c>
      <c r="H100" s="50">
        <v>41716</v>
      </c>
      <c r="I100" s="51" t="s">
        <v>548</v>
      </c>
      <c r="J100" s="51" t="s">
        <v>535</v>
      </c>
      <c r="K100" s="51">
        <f>VLOOKUP(J100,'Validacion reclamo de equipaje'!L:M,2,0)</f>
        <v>50</v>
      </c>
      <c r="L100" s="51" t="str">
        <f>VLOOKUP(I100,'Validacion reclamo de equipaje'!H:I,2,0)</f>
        <v>Nacional</v>
      </c>
      <c r="M100" s="51" t="s">
        <v>522</v>
      </c>
    </row>
    <row r="101" spans="1:13" x14ac:dyDescent="0.25">
      <c r="A101">
        <v>2193</v>
      </c>
      <c r="B101" s="47" t="str">
        <f>VLOOKUP(Tabla6[[#This Row],['# Vuelo]],'Validacion reclamo de equipaje'!P:Q,2,0)</f>
        <v>MEXICO AEREO</v>
      </c>
      <c r="C101" s="52">
        <v>0.82777777777777783</v>
      </c>
      <c r="D101" s="52">
        <v>0.83472222222222225</v>
      </c>
      <c r="E101" s="53">
        <f>'Reclamo de equipaje rediseñado'!$D101-'Reclamo de equipaje rediseñado'!$C101</f>
        <v>6.9444444444444198E-3</v>
      </c>
      <c r="F101" s="52">
        <v>0.83819444444444446</v>
      </c>
      <c r="G101" s="53">
        <f t="shared" si="1"/>
        <v>3.4722222222222099E-3</v>
      </c>
      <c r="H101" s="54">
        <v>41715</v>
      </c>
      <c r="I101" s="55" t="s">
        <v>549</v>
      </c>
      <c r="J101" s="55" t="s">
        <v>535</v>
      </c>
      <c r="K101" s="55">
        <f>VLOOKUP(J101,'Validacion reclamo de equipaje'!L:M,2,0)</f>
        <v>50</v>
      </c>
      <c r="L101" s="55" t="str">
        <f>VLOOKUP(I101,'Validacion reclamo de equipaje'!H:I,2,0)</f>
        <v>Nacional</v>
      </c>
      <c r="M101" s="55" t="s">
        <v>522</v>
      </c>
    </row>
    <row r="102" spans="1:13" x14ac:dyDescent="0.25">
      <c r="A102">
        <v>2193</v>
      </c>
      <c r="B102" s="47" t="str">
        <f>VLOOKUP(Tabla6[[#This Row],['# Vuelo]],'Validacion reclamo de equipaje'!P:Q,2,0)</f>
        <v>MEXICO AEREO</v>
      </c>
      <c r="C102" s="48">
        <v>0.83958333333333324</v>
      </c>
      <c r="D102" s="48">
        <v>0.84236111111111101</v>
      </c>
      <c r="E102" s="49">
        <f>'Reclamo de equipaje rediseñado'!$D102-'Reclamo de equipaje rediseñado'!$C102</f>
        <v>2.7777777777777679E-3</v>
      </c>
      <c r="F102" s="48">
        <v>0.84444444444444444</v>
      </c>
      <c r="G102" s="49">
        <f t="shared" si="1"/>
        <v>2.083333333333437E-3</v>
      </c>
      <c r="H102" s="50">
        <v>41716</v>
      </c>
      <c r="I102" s="51" t="s">
        <v>549</v>
      </c>
      <c r="J102" s="51" t="s">
        <v>535</v>
      </c>
      <c r="K102" s="51">
        <f>VLOOKUP(J102,'Validacion reclamo de equipaje'!L:M,2,0)</f>
        <v>50</v>
      </c>
      <c r="L102" s="51" t="str">
        <f>VLOOKUP(I102,'Validacion reclamo de equipaje'!H:I,2,0)</f>
        <v>Nacional</v>
      </c>
      <c r="M102" s="51" t="s">
        <v>522</v>
      </c>
    </row>
    <row r="103" spans="1:13" x14ac:dyDescent="0.25">
      <c r="A103">
        <v>2193</v>
      </c>
      <c r="B103" s="47" t="str">
        <f>VLOOKUP(Tabla6[[#This Row],['# Vuelo]],'Validacion reclamo de equipaje'!P:Q,2,0)</f>
        <v>MEXICO AEREO</v>
      </c>
      <c r="C103" s="52">
        <v>0.84791666666666676</v>
      </c>
      <c r="D103" s="52">
        <v>0.85902777777777783</v>
      </c>
      <c r="E103" s="53">
        <f>'Reclamo de equipaje rediseñado'!$D103-'Reclamo de equipaje rediseñado'!$C103</f>
        <v>1.1111111111111072E-2</v>
      </c>
      <c r="F103" s="52">
        <v>0.86458333333333337</v>
      </c>
      <c r="G103" s="53">
        <f t="shared" si="1"/>
        <v>5.5555555555555358E-3</v>
      </c>
      <c r="H103" s="54">
        <v>41719</v>
      </c>
      <c r="I103" s="55" t="s">
        <v>549</v>
      </c>
      <c r="J103" s="55" t="s">
        <v>535</v>
      </c>
      <c r="K103" s="55">
        <f>VLOOKUP(J103,'Validacion reclamo de equipaje'!L:M,2,0)</f>
        <v>50</v>
      </c>
      <c r="L103" s="55" t="str">
        <f>VLOOKUP(I103,'Validacion reclamo de equipaje'!H:I,2,0)</f>
        <v>Nacional</v>
      </c>
      <c r="M103" s="55" t="s">
        <v>522</v>
      </c>
    </row>
    <row r="104" spans="1:13" x14ac:dyDescent="0.25">
      <c r="A104">
        <v>2193</v>
      </c>
      <c r="B104" s="47" t="str">
        <f>VLOOKUP(Tabla6[[#This Row],['# Vuelo]],'Validacion reclamo de equipaje'!P:Q,2,0)</f>
        <v>MEXICO AEREO</v>
      </c>
      <c r="C104" s="48">
        <v>0.85</v>
      </c>
      <c r="D104" s="48">
        <v>0.86111111111111116</v>
      </c>
      <c r="E104" s="49">
        <f>'Reclamo de equipaje rediseñado'!$D104-'Reclamo de equipaje rediseñado'!$C104</f>
        <v>1.1111111111111183E-2</v>
      </c>
      <c r="F104" s="48">
        <v>0.8652777777777777</v>
      </c>
      <c r="G104" s="49">
        <f t="shared" si="1"/>
        <v>4.1666666666665408E-3</v>
      </c>
      <c r="H104" s="50">
        <v>41721</v>
      </c>
      <c r="I104" s="51" t="s">
        <v>549</v>
      </c>
      <c r="J104" s="51" t="s">
        <v>535</v>
      </c>
      <c r="K104" s="51">
        <f>VLOOKUP(J104,'Validacion reclamo de equipaje'!L:M,2,0)</f>
        <v>50</v>
      </c>
      <c r="L104" s="51" t="str">
        <f>VLOOKUP(I104,'Validacion reclamo de equipaje'!H:I,2,0)</f>
        <v>Nacional</v>
      </c>
      <c r="M104" s="51" t="s">
        <v>522</v>
      </c>
    </row>
    <row r="105" spans="1:13" x14ac:dyDescent="0.25">
      <c r="A105">
        <v>2193</v>
      </c>
      <c r="B105" s="47" t="str">
        <f>VLOOKUP(Tabla6[[#This Row],['# Vuelo]],'Validacion reclamo de equipaje'!P:Q,2,0)</f>
        <v>MEXICO AEREO</v>
      </c>
      <c r="C105" s="52">
        <v>0.84166666666666667</v>
      </c>
      <c r="D105" s="52">
        <v>0.84652777777777777</v>
      </c>
      <c r="E105" s="53">
        <f>'Reclamo de equipaje rediseñado'!$D105-'Reclamo de equipaje rediseñado'!$C105</f>
        <v>4.8611111111110938E-3</v>
      </c>
      <c r="F105" s="52">
        <v>0.84861111111111109</v>
      </c>
      <c r="G105" s="53">
        <f t="shared" si="1"/>
        <v>2.0833333333333259E-3</v>
      </c>
      <c r="H105" s="54">
        <v>41724</v>
      </c>
      <c r="I105" s="55" t="s">
        <v>549</v>
      </c>
      <c r="J105" s="55" t="s">
        <v>535</v>
      </c>
      <c r="K105" s="55">
        <f>VLOOKUP(J105,'Validacion reclamo de equipaje'!L:M,2,0)</f>
        <v>50</v>
      </c>
      <c r="L105" s="55" t="str">
        <f>VLOOKUP(I105,'Validacion reclamo de equipaje'!H:I,2,0)</f>
        <v>Nacional</v>
      </c>
      <c r="M105" s="55" t="s">
        <v>522</v>
      </c>
    </row>
    <row r="106" spans="1:13" x14ac:dyDescent="0.25">
      <c r="A106">
        <v>2193</v>
      </c>
      <c r="B106" s="47" t="str">
        <f>VLOOKUP(Tabla6[[#This Row],['# Vuelo]],'Validacion reclamo de equipaje'!P:Q,2,0)</f>
        <v>MEXICO AEREO</v>
      </c>
      <c r="C106" s="48">
        <v>0.84375</v>
      </c>
      <c r="D106" s="48">
        <v>0.84652777777777777</v>
      </c>
      <c r="E106" s="49">
        <f>'Reclamo de equipaje rediseñado'!$D106-'Reclamo de equipaje rediseñado'!$C106</f>
        <v>2.7777777777777679E-3</v>
      </c>
      <c r="F106" s="48">
        <v>0.85277777777777775</v>
      </c>
      <c r="G106" s="49">
        <f t="shared" si="1"/>
        <v>6.2499999999999778E-3</v>
      </c>
      <c r="H106" s="50">
        <v>41724</v>
      </c>
      <c r="I106" s="51" t="s">
        <v>549</v>
      </c>
      <c r="J106" s="51" t="s">
        <v>535</v>
      </c>
      <c r="K106" s="51">
        <f>VLOOKUP(J106,'Validacion reclamo de equipaje'!L:M,2,0)</f>
        <v>50</v>
      </c>
      <c r="L106" s="51" t="str">
        <f>VLOOKUP(I106,'Validacion reclamo de equipaje'!H:I,2,0)</f>
        <v>Nacional</v>
      </c>
      <c r="M106" s="51" t="s">
        <v>522</v>
      </c>
    </row>
    <row r="107" spans="1:13" x14ac:dyDescent="0.25">
      <c r="A107">
        <v>2193</v>
      </c>
      <c r="B107" s="47" t="str">
        <f>VLOOKUP(Tabla6[[#This Row],['# Vuelo]],'Validacion reclamo de equipaje'!P:Q,2,0)</f>
        <v>MEXICO AEREO</v>
      </c>
      <c r="C107" s="52">
        <v>0.85069444444444453</v>
      </c>
      <c r="D107" s="52">
        <v>0.85416666666666663</v>
      </c>
      <c r="E107" s="53">
        <f>'Reclamo de equipaje rediseñado'!$D107-'Reclamo de equipaje rediseñado'!$C107</f>
        <v>3.4722222222220989E-3</v>
      </c>
      <c r="F107" s="52">
        <v>0.85763888888888884</v>
      </c>
      <c r="G107" s="53">
        <f t="shared" si="1"/>
        <v>3.4722222222222099E-3</v>
      </c>
      <c r="H107" s="54">
        <v>41725</v>
      </c>
      <c r="I107" s="55" t="s">
        <v>549</v>
      </c>
      <c r="J107" s="55" t="s">
        <v>535</v>
      </c>
      <c r="K107" s="55">
        <f>VLOOKUP(J107,'Validacion reclamo de equipaje'!L:M,2,0)</f>
        <v>50</v>
      </c>
      <c r="L107" s="55" t="str">
        <f>VLOOKUP(I107,'Validacion reclamo de equipaje'!H:I,2,0)</f>
        <v>Nacional</v>
      </c>
      <c r="M107" s="55" t="s">
        <v>522</v>
      </c>
    </row>
    <row r="108" spans="1:13" x14ac:dyDescent="0.25">
      <c r="A108">
        <v>2193</v>
      </c>
      <c r="B108" s="47" t="str">
        <f>VLOOKUP(Tabla6[[#This Row],['# Vuelo]],'Validacion reclamo de equipaje'!P:Q,2,0)</f>
        <v>MEXICO AEREO</v>
      </c>
      <c r="C108" s="48">
        <v>0.82916666666666661</v>
      </c>
      <c r="D108" s="48">
        <v>0.84027777777777779</v>
      </c>
      <c r="E108" s="49">
        <f>'Reclamo de equipaje rediseñado'!$D108-'Reclamo de equipaje rediseñado'!$C108</f>
        <v>1.1111111111111183E-2</v>
      </c>
      <c r="F108" s="48">
        <v>0.84305555555555556</v>
      </c>
      <c r="G108" s="49">
        <f t="shared" si="1"/>
        <v>2.7777777777777679E-3</v>
      </c>
      <c r="H108" s="50">
        <v>41726</v>
      </c>
      <c r="I108" s="51" t="s">
        <v>549</v>
      </c>
      <c r="J108" s="51" t="s">
        <v>535</v>
      </c>
      <c r="K108" s="51">
        <f>VLOOKUP(J108,'Validacion reclamo de equipaje'!L:M,2,0)</f>
        <v>50</v>
      </c>
      <c r="L108" s="51" t="str">
        <f>VLOOKUP(I108,'Validacion reclamo de equipaje'!H:I,2,0)</f>
        <v>Nacional</v>
      </c>
      <c r="M108" s="51" t="s">
        <v>522</v>
      </c>
    </row>
    <row r="109" spans="1:13" x14ac:dyDescent="0.25">
      <c r="A109">
        <v>2185</v>
      </c>
      <c r="B109" s="47" t="str">
        <f>VLOOKUP(Tabla6[[#This Row],['# Vuelo]],'Validacion reclamo de equipaje'!P:Q,2,0)</f>
        <v>MEXICO AEREO</v>
      </c>
      <c r="C109" s="52">
        <v>0.88541666666666663</v>
      </c>
      <c r="D109" s="52">
        <v>0.8881944444444444</v>
      </c>
      <c r="E109" s="53">
        <f>'Reclamo de equipaje rediseñado'!$D109-'Reclamo de equipaje rediseñado'!$C109</f>
        <v>2.7777777777777679E-3</v>
      </c>
      <c r="F109" s="52">
        <v>0.89583333333333337</v>
      </c>
      <c r="G109" s="53">
        <f t="shared" si="1"/>
        <v>7.6388888888889728E-3</v>
      </c>
      <c r="H109" s="54">
        <v>41713</v>
      </c>
      <c r="I109" s="55" t="s">
        <v>549</v>
      </c>
      <c r="J109" s="55" t="s">
        <v>535</v>
      </c>
      <c r="K109" s="55">
        <f>VLOOKUP(J109,'Validacion reclamo de equipaje'!L:M,2,0)</f>
        <v>50</v>
      </c>
      <c r="L109" s="55" t="str">
        <f>VLOOKUP(I109,'Validacion reclamo de equipaje'!H:I,2,0)</f>
        <v>Nacional</v>
      </c>
      <c r="M109" s="55" t="s">
        <v>522</v>
      </c>
    </row>
    <row r="110" spans="1:13" x14ac:dyDescent="0.25">
      <c r="A110">
        <v>2185</v>
      </c>
      <c r="B110" s="47" t="str">
        <f>VLOOKUP(Tabla6[[#This Row],['# Vuelo]],'Validacion reclamo de equipaje'!P:Q,2,0)</f>
        <v>MEXICO AEREO</v>
      </c>
      <c r="C110" s="48">
        <v>0.8979166666666667</v>
      </c>
      <c r="D110" s="48">
        <v>0.90347222222222223</v>
      </c>
      <c r="E110" s="49">
        <f>'Reclamo de equipaje rediseñado'!$D110-'Reclamo de equipaje rediseñado'!$C110</f>
        <v>5.5555555555555358E-3</v>
      </c>
      <c r="F110" s="48">
        <v>0.90625</v>
      </c>
      <c r="G110" s="49">
        <f t="shared" si="1"/>
        <v>2.7777777777777679E-3</v>
      </c>
      <c r="H110" s="50">
        <v>41715</v>
      </c>
      <c r="I110" s="51" t="s">
        <v>549</v>
      </c>
      <c r="J110" s="51" t="s">
        <v>535</v>
      </c>
      <c r="K110" s="51">
        <f>VLOOKUP(J110,'Validacion reclamo de equipaje'!L:M,2,0)</f>
        <v>50</v>
      </c>
      <c r="L110" s="51" t="str">
        <f>VLOOKUP(I110,'Validacion reclamo de equipaje'!H:I,2,0)</f>
        <v>Nacional</v>
      </c>
      <c r="M110" s="51" t="s">
        <v>522</v>
      </c>
    </row>
    <row r="111" spans="1:13" x14ac:dyDescent="0.25">
      <c r="A111">
        <v>2185</v>
      </c>
      <c r="B111" s="47" t="str">
        <f>VLOOKUP(Tabla6[[#This Row],['# Vuelo]],'Validacion reclamo de equipaje'!P:Q,2,0)</f>
        <v>MEXICO AEREO</v>
      </c>
      <c r="C111" s="52">
        <v>0.91666666666666663</v>
      </c>
      <c r="D111" s="52">
        <v>0.92361111111111116</v>
      </c>
      <c r="E111" s="53">
        <f>'Reclamo de equipaje rediseñado'!$D111-'Reclamo de equipaje rediseñado'!$C111</f>
        <v>6.9444444444445308E-3</v>
      </c>
      <c r="F111" s="52">
        <v>0.92708333333333337</v>
      </c>
      <c r="G111" s="53">
        <f t="shared" si="1"/>
        <v>3.4722222222222099E-3</v>
      </c>
      <c r="H111" s="54">
        <v>41716</v>
      </c>
      <c r="I111" s="55" t="s">
        <v>549</v>
      </c>
      <c r="J111" s="55" t="s">
        <v>535</v>
      </c>
      <c r="K111" s="55">
        <f>VLOOKUP(J111,'Validacion reclamo de equipaje'!L:M,2,0)</f>
        <v>50</v>
      </c>
      <c r="L111" s="55" t="str">
        <f>VLOOKUP(I111,'Validacion reclamo de equipaje'!H:I,2,0)</f>
        <v>Nacional</v>
      </c>
      <c r="M111" s="55" t="s">
        <v>522</v>
      </c>
    </row>
    <row r="112" spans="1:13" x14ac:dyDescent="0.25">
      <c r="A112">
        <v>2185</v>
      </c>
      <c r="B112" s="47" t="str">
        <f>VLOOKUP(Tabla6[[#This Row],['# Vuelo]],'Validacion reclamo de equipaje'!P:Q,2,0)</f>
        <v>MEXICO AEREO</v>
      </c>
      <c r="C112" s="48">
        <v>0.89236111111111116</v>
      </c>
      <c r="D112" s="48">
        <v>0.92013888888888884</v>
      </c>
      <c r="E112" s="49">
        <f>'Reclamo de equipaje rediseñado'!$D112-'Reclamo de equipaje rediseñado'!$C112</f>
        <v>2.7777777777777679E-2</v>
      </c>
      <c r="F112" s="48">
        <v>0.94444444444444453</v>
      </c>
      <c r="G112" s="49">
        <f t="shared" si="1"/>
        <v>2.4305555555555691E-2</v>
      </c>
      <c r="H112" s="50">
        <v>41719</v>
      </c>
      <c r="I112" s="51" t="s">
        <v>549</v>
      </c>
      <c r="J112" s="51" t="s">
        <v>535</v>
      </c>
      <c r="K112" s="51">
        <f>VLOOKUP(J112,'Validacion reclamo de equipaje'!L:M,2,0)</f>
        <v>50</v>
      </c>
      <c r="L112" s="51" t="str">
        <f>VLOOKUP(I112,'Validacion reclamo de equipaje'!H:I,2,0)</f>
        <v>Nacional</v>
      </c>
      <c r="M112" s="51" t="s">
        <v>522</v>
      </c>
    </row>
    <row r="113" spans="1:13" x14ac:dyDescent="0.25">
      <c r="A113">
        <v>2185</v>
      </c>
      <c r="B113" s="47" t="str">
        <f>VLOOKUP(Tabla6[[#This Row],['# Vuelo]],'Validacion reclamo de equipaje'!P:Q,2,0)</f>
        <v>MEXICO AEREO</v>
      </c>
      <c r="C113" s="52">
        <v>0.89861111111111114</v>
      </c>
      <c r="D113" s="52">
        <v>0.90347222222222223</v>
      </c>
      <c r="E113" s="53">
        <f>'Reclamo de equipaje rediseñado'!$D113-'Reclamo de equipaje rediseñado'!$C113</f>
        <v>4.8611111111110938E-3</v>
      </c>
      <c r="F113" s="52">
        <v>0.90763888888888899</v>
      </c>
      <c r="G113" s="53">
        <f t="shared" si="1"/>
        <v>4.1666666666667629E-3</v>
      </c>
      <c r="H113" s="54">
        <v>41721</v>
      </c>
      <c r="I113" s="55" t="s">
        <v>549</v>
      </c>
      <c r="J113" s="55" t="s">
        <v>535</v>
      </c>
      <c r="K113" s="55">
        <f>VLOOKUP(J113,'Validacion reclamo de equipaje'!L:M,2,0)</f>
        <v>50</v>
      </c>
      <c r="L113" s="55" t="str">
        <f>VLOOKUP(I113,'Validacion reclamo de equipaje'!H:I,2,0)</f>
        <v>Nacional</v>
      </c>
      <c r="M113" s="55" t="s">
        <v>522</v>
      </c>
    </row>
    <row r="114" spans="1:13" x14ac:dyDescent="0.25">
      <c r="A114">
        <v>2185</v>
      </c>
      <c r="B114" s="47" t="str">
        <f>VLOOKUP(Tabla6[[#This Row],['# Vuelo]],'Validacion reclamo de equipaje'!P:Q,2,0)</f>
        <v>MEXICO AEREO</v>
      </c>
      <c r="C114" s="48">
        <v>0.90277777777777779</v>
      </c>
      <c r="D114" s="48">
        <v>0.90347222222222223</v>
      </c>
      <c r="E114" s="49">
        <f>'Reclamo de equipaje rediseñado'!$D114-'Reclamo de equipaje rediseñado'!$C114</f>
        <v>6.9444444444444198E-4</v>
      </c>
      <c r="F114" s="48">
        <v>0.91249999999999998</v>
      </c>
      <c r="G114" s="49">
        <f t="shared" si="1"/>
        <v>9.0277777777777457E-3</v>
      </c>
      <c r="H114" s="50">
        <v>41721</v>
      </c>
      <c r="I114" s="51" t="s">
        <v>549</v>
      </c>
      <c r="J114" s="51" t="s">
        <v>535</v>
      </c>
      <c r="K114" s="51">
        <f>VLOOKUP(J114,'Validacion reclamo de equipaje'!L:M,2,0)</f>
        <v>50</v>
      </c>
      <c r="L114" s="51" t="str">
        <f>VLOOKUP(I114,'Validacion reclamo de equipaje'!H:I,2,0)</f>
        <v>Nacional</v>
      </c>
      <c r="M114" s="51" t="s">
        <v>522</v>
      </c>
    </row>
    <row r="115" spans="1:13" x14ac:dyDescent="0.25">
      <c r="A115">
        <v>2185</v>
      </c>
      <c r="B115" s="47" t="str">
        <f>VLOOKUP(Tabla6[[#This Row],['# Vuelo]],'Validacion reclamo de equipaje'!P:Q,2,0)</f>
        <v>MEXICO AEREO</v>
      </c>
      <c r="C115" s="52">
        <v>0.89513888888888893</v>
      </c>
      <c r="D115" s="52">
        <v>0.89583333333333337</v>
      </c>
      <c r="E115" s="53">
        <f>'Reclamo de equipaje rediseñado'!$D115-'Reclamo de equipaje rediseñado'!$C115</f>
        <v>6.9444444444444198E-4</v>
      </c>
      <c r="F115" s="52">
        <v>0.90069444444444446</v>
      </c>
      <c r="G115" s="53">
        <f t="shared" si="1"/>
        <v>4.8611111111110938E-3</v>
      </c>
      <c r="H115" s="54">
        <v>41723</v>
      </c>
      <c r="I115" s="55" t="s">
        <v>549</v>
      </c>
      <c r="J115" s="55" t="s">
        <v>535</v>
      </c>
      <c r="K115" s="55">
        <f>VLOOKUP(J115,'Validacion reclamo de equipaje'!L:M,2,0)</f>
        <v>50</v>
      </c>
      <c r="L115" s="55" t="str">
        <f>VLOOKUP(I115,'Validacion reclamo de equipaje'!H:I,2,0)</f>
        <v>Nacional</v>
      </c>
      <c r="M115" s="55" t="s">
        <v>522</v>
      </c>
    </row>
    <row r="116" spans="1:13" x14ac:dyDescent="0.25">
      <c r="A116">
        <v>2185</v>
      </c>
      <c r="B116" s="47" t="str">
        <f>VLOOKUP(Tabla6[[#This Row],['# Vuelo]],'Validacion reclamo de equipaje'!P:Q,2,0)</f>
        <v>MEXICO AEREO</v>
      </c>
      <c r="C116" s="48">
        <v>0.89027777777777783</v>
      </c>
      <c r="D116" s="48">
        <v>0.89374999999999993</v>
      </c>
      <c r="E116" s="49">
        <f>'Reclamo de equipaje rediseñado'!$D116-'Reclamo de equipaje rediseñado'!$C116</f>
        <v>3.4722222222220989E-3</v>
      </c>
      <c r="F116" s="48">
        <v>0.90347222222222223</v>
      </c>
      <c r="G116" s="49">
        <f t="shared" si="1"/>
        <v>9.7222222222222987E-3</v>
      </c>
      <c r="H116" s="50">
        <v>41724</v>
      </c>
      <c r="I116" s="51" t="s">
        <v>549</v>
      </c>
      <c r="J116" s="51" t="s">
        <v>535</v>
      </c>
      <c r="K116" s="51">
        <f>VLOOKUP(J116,'Validacion reclamo de equipaje'!L:M,2,0)</f>
        <v>50</v>
      </c>
      <c r="L116" s="51" t="str">
        <f>VLOOKUP(I116,'Validacion reclamo de equipaje'!H:I,2,0)</f>
        <v>Nacional</v>
      </c>
      <c r="M116" s="51" t="s">
        <v>522</v>
      </c>
    </row>
    <row r="117" spans="1:13" x14ac:dyDescent="0.25">
      <c r="A117">
        <v>2185</v>
      </c>
      <c r="B117" s="47" t="str">
        <f>VLOOKUP(Tabla6[[#This Row],['# Vuelo]],'Validacion reclamo de equipaje'!P:Q,2,0)</f>
        <v>MEXICO AEREO</v>
      </c>
      <c r="C117" s="52">
        <v>0.88888888888888884</v>
      </c>
      <c r="D117" s="52">
        <v>0.89374999999999993</v>
      </c>
      <c r="E117" s="53">
        <f>'Reclamo de equipaje rediseñado'!$D117-'Reclamo de equipaje rediseñado'!$C117</f>
        <v>4.8611111111110938E-3</v>
      </c>
      <c r="F117" s="52">
        <v>0.89722222222222225</v>
      </c>
      <c r="G117" s="53">
        <f t="shared" si="1"/>
        <v>3.4722222222223209E-3</v>
      </c>
      <c r="H117" s="54">
        <v>41724</v>
      </c>
      <c r="I117" s="55" t="s">
        <v>549</v>
      </c>
      <c r="J117" s="55" t="s">
        <v>535</v>
      </c>
      <c r="K117" s="55">
        <f>VLOOKUP(J117,'Validacion reclamo de equipaje'!L:M,2,0)</f>
        <v>50</v>
      </c>
      <c r="L117" s="55" t="str">
        <f>VLOOKUP(I117,'Validacion reclamo de equipaje'!H:I,2,0)</f>
        <v>Nacional</v>
      </c>
      <c r="M117" s="55" t="s">
        <v>522</v>
      </c>
    </row>
    <row r="118" spans="1:13" x14ac:dyDescent="0.25">
      <c r="A118">
        <v>2185</v>
      </c>
      <c r="B118" s="47" t="str">
        <f>VLOOKUP(Tabla6[[#This Row],['# Vuelo]],'Validacion reclamo de equipaje'!P:Q,2,0)</f>
        <v>MEXICO AEREO</v>
      </c>
      <c r="C118" s="48">
        <v>0.9</v>
      </c>
      <c r="D118" s="48">
        <v>0.90416666666666667</v>
      </c>
      <c r="E118" s="49">
        <f>'Reclamo de equipaje rediseñado'!$D118-'Reclamo de equipaje rediseñado'!$C118</f>
        <v>4.1666666666666519E-3</v>
      </c>
      <c r="F118" s="48">
        <v>0.90694444444444444</v>
      </c>
      <c r="G118" s="49">
        <f t="shared" si="1"/>
        <v>2.7777777777777679E-3</v>
      </c>
      <c r="H118" s="50">
        <v>41725</v>
      </c>
      <c r="I118" s="51" t="s">
        <v>549</v>
      </c>
      <c r="J118" s="51" t="s">
        <v>535</v>
      </c>
      <c r="K118" s="51">
        <f>VLOOKUP(J118,'Validacion reclamo de equipaje'!L:M,2,0)</f>
        <v>50</v>
      </c>
      <c r="L118" s="51" t="str">
        <f>VLOOKUP(I118,'Validacion reclamo de equipaje'!H:I,2,0)</f>
        <v>Nacional</v>
      </c>
      <c r="M118" s="51" t="s">
        <v>522</v>
      </c>
    </row>
    <row r="119" spans="1:13" x14ac:dyDescent="0.25">
      <c r="A119">
        <v>2185</v>
      </c>
      <c r="B119" s="47" t="str">
        <f>VLOOKUP(Tabla6[[#This Row],['# Vuelo]],'Validacion reclamo de equipaje'!P:Q,2,0)</f>
        <v>MEXICO AEREO</v>
      </c>
      <c r="C119" s="52">
        <v>0.90625</v>
      </c>
      <c r="D119" s="52">
        <v>0.91319444444444453</v>
      </c>
      <c r="E119" s="53">
        <f>'Reclamo de equipaje rediseñado'!$D119-'Reclamo de equipaje rediseñado'!$C119</f>
        <v>6.9444444444445308E-3</v>
      </c>
      <c r="F119" s="52">
        <v>0.91666666666666663</v>
      </c>
      <c r="G119" s="53">
        <f t="shared" si="1"/>
        <v>3.4722222222220989E-3</v>
      </c>
      <c r="H119" s="54">
        <v>41726</v>
      </c>
      <c r="I119" s="55" t="s">
        <v>549</v>
      </c>
      <c r="J119" s="55" t="s">
        <v>535</v>
      </c>
      <c r="K119" s="55">
        <f>VLOOKUP(J119,'Validacion reclamo de equipaje'!L:M,2,0)</f>
        <v>50</v>
      </c>
      <c r="L119" s="55" t="str">
        <f>VLOOKUP(I119,'Validacion reclamo de equipaje'!H:I,2,0)</f>
        <v>Nacional</v>
      </c>
      <c r="M119" s="55" t="s">
        <v>522</v>
      </c>
    </row>
    <row r="120" spans="1:13" x14ac:dyDescent="0.25">
      <c r="A120">
        <v>2185</v>
      </c>
      <c r="B120" s="47" t="str">
        <f>VLOOKUP(Tabla6[[#This Row],['# Vuelo]],'Validacion reclamo de equipaje'!P:Q,2,0)</f>
        <v>MEXICO AEREO</v>
      </c>
      <c r="C120" s="48">
        <v>0.89513888888888893</v>
      </c>
      <c r="D120" s="48">
        <v>0.89930555555555547</v>
      </c>
      <c r="E120" s="49">
        <f>'Reclamo de equipaje rediseñado'!$D120-'Reclamo de equipaje rediseñado'!$C120</f>
        <v>4.1666666666665408E-3</v>
      </c>
      <c r="F120" s="48">
        <v>0.90277777777777779</v>
      </c>
      <c r="G120" s="49">
        <f t="shared" si="1"/>
        <v>3.4722222222223209E-3</v>
      </c>
      <c r="H120" s="50">
        <v>41727</v>
      </c>
      <c r="I120" s="51" t="s">
        <v>549</v>
      </c>
      <c r="J120" s="51" t="s">
        <v>535</v>
      </c>
      <c r="K120" s="51">
        <f>VLOOKUP(J120,'Validacion reclamo de equipaje'!L:M,2,0)</f>
        <v>50</v>
      </c>
      <c r="L120" s="51" t="str">
        <f>VLOOKUP(I120,'Validacion reclamo de equipaje'!H:I,2,0)</f>
        <v>Nacional</v>
      </c>
      <c r="M120" s="51" t="s">
        <v>522</v>
      </c>
    </row>
    <row r="121" spans="1:13" x14ac:dyDescent="0.25">
      <c r="A121">
        <v>2185</v>
      </c>
      <c r="B121" s="47" t="str">
        <f>VLOOKUP(Tabla6[[#This Row],['# Vuelo]],'Validacion reclamo de equipaje'!P:Q,2,0)</f>
        <v>MEXICO AEREO</v>
      </c>
      <c r="C121" s="52">
        <v>0.88194444444444453</v>
      </c>
      <c r="D121" s="52">
        <v>0.88541666666666663</v>
      </c>
      <c r="E121" s="53">
        <f>'Reclamo de equipaje rediseñado'!$D121-'Reclamo de equipaje rediseñado'!$C121</f>
        <v>3.4722222222220989E-3</v>
      </c>
      <c r="F121" s="52">
        <v>0.92986111111111114</v>
      </c>
      <c r="G121" s="53">
        <f t="shared" si="1"/>
        <v>4.4444444444444509E-2</v>
      </c>
      <c r="H121" s="54">
        <v>41716</v>
      </c>
      <c r="I121" s="55" t="s">
        <v>549</v>
      </c>
      <c r="J121" s="55" t="s">
        <v>535</v>
      </c>
      <c r="K121" s="55">
        <f>VLOOKUP(J121,'Validacion reclamo de equipaje'!L:M,2,0)</f>
        <v>50</v>
      </c>
      <c r="L121" s="55" t="str">
        <f>VLOOKUP(I121,'Validacion reclamo de equipaje'!H:I,2,0)</f>
        <v>Nacional</v>
      </c>
      <c r="M121" s="55" t="s">
        <v>522</v>
      </c>
    </row>
    <row r="122" spans="1:13" x14ac:dyDescent="0.25">
      <c r="A122">
        <v>2185</v>
      </c>
      <c r="B122" s="47" t="str">
        <f>VLOOKUP(Tabla6[[#This Row],['# Vuelo]],'Validacion reclamo de equipaje'!P:Q,2,0)</f>
        <v>MEXICO AEREO</v>
      </c>
      <c r="C122" s="48">
        <v>0.92499999999999993</v>
      </c>
      <c r="D122" s="48">
        <v>0.92986111111111114</v>
      </c>
      <c r="E122" s="49">
        <f>'Reclamo de equipaje rediseñado'!$D122-'Reclamo de equipaje rediseñado'!$C122</f>
        <v>4.8611111111112049E-3</v>
      </c>
      <c r="F122" s="48">
        <v>0.93125000000000002</v>
      </c>
      <c r="G122" s="49">
        <f t="shared" si="1"/>
        <v>1.388888888888884E-3</v>
      </c>
      <c r="H122" s="50">
        <v>41716</v>
      </c>
      <c r="I122" s="51" t="s">
        <v>549</v>
      </c>
      <c r="J122" s="51" t="s">
        <v>535</v>
      </c>
      <c r="K122" s="51">
        <f>VLOOKUP(J122,'Validacion reclamo de equipaje'!L:M,2,0)</f>
        <v>50</v>
      </c>
      <c r="L122" s="51" t="str">
        <f>VLOOKUP(I122,'Validacion reclamo de equipaje'!H:I,2,0)</f>
        <v>Nacional</v>
      </c>
      <c r="M122" s="51" t="s">
        <v>522</v>
      </c>
    </row>
    <row r="123" spans="1:13" x14ac:dyDescent="0.25">
      <c r="A123">
        <v>2184</v>
      </c>
      <c r="B123" s="47" t="str">
        <f>VLOOKUP(Tabla6[[#This Row],['# Vuelo]],'Validacion reclamo de equipaje'!P:Q,2,0)</f>
        <v>MEXICO AEREO</v>
      </c>
      <c r="C123" s="52">
        <v>0.33124999999999999</v>
      </c>
      <c r="D123" s="52">
        <v>0.3347222222222222</v>
      </c>
      <c r="E123" s="53">
        <f>'Reclamo de equipaje rediseñado'!$D123-'Reclamo de equipaje rediseñado'!$C123</f>
        <v>3.4722222222222099E-3</v>
      </c>
      <c r="F123" s="52">
        <v>0.33819444444444446</v>
      </c>
      <c r="G123" s="53">
        <f t="shared" si="1"/>
        <v>3.4722222222222654E-3</v>
      </c>
      <c r="H123" s="54">
        <v>41716</v>
      </c>
      <c r="I123" s="55" t="s">
        <v>543</v>
      </c>
      <c r="J123" s="55" t="s">
        <v>535</v>
      </c>
      <c r="K123" s="55">
        <f>VLOOKUP(J123,'Validacion reclamo de equipaje'!L:M,2,0)</f>
        <v>50</v>
      </c>
      <c r="L123" s="55" t="str">
        <f>VLOOKUP(I123,'Validacion reclamo de equipaje'!H:I,2,0)</f>
        <v>Nacional</v>
      </c>
      <c r="M123" s="55" t="s">
        <v>522</v>
      </c>
    </row>
    <row r="124" spans="1:13" x14ac:dyDescent="0.25">
      <c r="A124">
        <v>2184</v>
      </c>
      <c r="B124" s="47" t="str">
        <f>VLOOKUP(Tabla6[[#This Row],['# Vuelo]],'Validacion reclamo de equipaje'!P:Q,2,0)</f>
        <v>MEXICO AEREO</v>
      </c>
      <c r="C124" s="48">
        <v>0.34375</v>
      </c>
      <c r="D124" s="48">
        <v>0.34583333333333338</v>
      </c>
      <c r="E124" s="49">
        <f>'Reclamo de equipaje rediseñado'!$D124-'Reclamo de equipaje rediseñado'!$C124</f>
        <v>2.0833333333333814E-3</v>
      </c>
      <c r="F124" s="48">
        <v>0.35069444444444442</v>
      </c>
      <c r="G124" s="49">
        <f t="shared" si="1"/>
        <v>4.8611111111110383E-3</v>
      </c>
      <c r="H124" s="50">
        <v>41720</v>
      </c>
      <c r="I124" s="51" t="s">
        <v>543</v>
      </c>
      <c r="J124" s="51" t="s">
        <v>535</v>
      </c>
      <c r="K124" s="51">
        <f>VLOOKUP(J124,'Validacion reclamo de equipaje'!L:M,2,0)</f>
        <v>50</v>
      </c>
      <c r="L124" s="51" t="str">
        <f>VLOOKUP(I124,'Validacion reclamo de equipaje'!H:I,2,0)</f>
        <v>Nacional</v>
      </c>
      <c r="M124" s="51" t="s">
        <v>522</v>
      </c>
    </row>
    <row r="125" spans="1:13" x14ac:dyDescent="0.25">
      <c r="A125">
        <v>2184</v>
      </c>
      <c r="B125" s="47" t="str">
        <f>VLOOKUP(Tabla6[[#This Row],['# Vuelo]],'Validacion reclamo de equipaje'!P:Q,2,0)</f>
        <v>MEXICO AEREO</v>
      </c>
      <c r="C125" s="52">
        <v>0.34097222222222223</v>
      </c>
      <c r="D125" s="52">
        <v>0.34583333333333338</v>
      </c>
      <c r="E125" s="53">
        <f>'Reclamo de equipaje rediseñado'!$D125-'Reclamo de equipaje rediseñado'!$C125</f>
        <v>4.8611111111111494E-3</v>
      </c>
      <c r="F125" s="52">
        <v>0.34930555555555554</v>
      </c>
      <c r="G125" s="53">
        <f t="shared" si="1"/>
        <v>3.4722222222221544E-3</v>
      </c>
      <c r="H125" s="54">
        <v>41722</v>
      </c>
      <c r="I125" s="55" t="s">
        <v>543</v>
      </c>
      <c r="J125" s="55" t="s">
        <v>535</v>
      </c>
      <c r="K125" s="55">
        <f>VLOOKUP(J125,'Validacion reclamo de equipaje'!L:M,2,0)</f>
        <v>50</v>
      </c>
      <c r="L125" s="55" t="str">
        <f>VLOOKUP(I125,'Validacion reclamo de equipaje'!H:I,2,0)</f>
        <v>Nacional</v>
      </c>
      <c r="M125" s="55" t="s">
        <v>522</v>
      </c>
    </row>
    <row r="126" spans="1:13" x14ac:dyDescent="0.25">
      <c r="A126">
        <v>2184</v>
      </c>
      <c r="B126" s="47" t="str">
        <f>VLOOKUP(Tabla6[[#This Row],['# Vuelo]],'Validacion reclamo de equipaje'!P:Q,2,0)</f>
        <v>MEXICO AEREO</v>
      </c>
      <c r="C126" s="48">
        <v>0.3430555555555555</v>
      </c>
      <c r="D126" s="48">
        <v>0.34791666666666665</v>
      </c>
      <c r="E126" s="49">
        <f>'Reclamo de equipaje rediseñado'!$D126-'Reclamo de equipaje rediseñado'!$C126</f>
        <v>4.8611111111111494E-3</v>
      </c>
      <c r="F126" s="48">
        <v>0.35694444444444445</v>
      </c>
      <c r="G126" s="49">
        <f t="shared" si="1"/>
        <v>9.0277777777778012E-3</v>
      </c>
      <c r="H126" s="50">
        <v>41725</v>
      </c>
      <c r="I126" s="51" t="s">
        <v>543</v>
      </c>
      <c r="J126" s="51" t="s">
        <v>535</v>
      </c>
      <c r="K126" s="51">
        <f>VLOOKUP(J126,'Validacion reclamo de equipaje'!L:M,2,0)</f>
        <v>50</v>
      </c>
      <c r="L126" s="51" t="str">
        <f>VLOOKUP(I126,'Validacion reclamo de equipaje'!H:I,2,0)</f>
        <v>Nacional</v>
      </c>
      <c r="M126" s="51" t="s">
        <v>522</v>
      </c>
    </row>
    <row r="127" spans="1:13" x14ac:dyDescent="0.25">
      <c r="A127">
        <v>2184</v>
      </c>
      <c r="B127" s="47" t="str">
        <f>VLOOKUP(Tabla6[[#This Row],['# Vuelo]],'Validacion reclamo de equipaje'!P:Q,2,0)</f>
        <v>MEXICO AEREO</v>
      </c>
      <c r="C127" s="52">
        <v>0.34166666666666662</v>
      </c>
      <c r="D127" s="52">
        <v>0.34375</v>
      </c>
      <c r="E127" s="53">
        <f>'Reclamo de equipaje rediseñado'!$D127-'Reclamo de equipaje rediseñado'!$C127</f>
        <v>2.0833333333333814E-3</v>
      </c>
      <c r="F127" s="52">
        <v>0.35347222222222219</v>
      </c>
      <c r="G127" s="53">
        <f t="shared" si="1"/>
        <v>9.7222222222221877E-3</v>
      </c>
      <c r="H127" s="54">
        <v>41726</v>
      </c>
      <c r="I127" s="55" t="s">
        <v>543</v>
      </c>
      <c r="J127" s="55" t="s">
        <v>535</v>
      </c>
      <c r="K127" s="55">
        <f>VLOOKUP(J127,'Validacion reclamo de equipaje'!L:M,2,0)</f>
        <v>50</v>
      </c>
      <c r="L127" s="55" t="str">
        <f>VLOOKUP(I127,'Validacion reclamo de equipaje'!H:I,2,0)</f>
        <v>Nacional</v>
      </c>
      <c r="M127" s="55" t="s">
        <v>522</v>
      </c>
    </row>
    <row r="128" spans="1:13" x14ac:dyDescent="0.25">
      <c r="A128">
        <v>2184</v>
      </c>
      <c r="B128" s="47" t="str">
        <f>VLOOKUP(Tabla6[[#This Row],['# Vuelo]],'Validacion reclamo de equipaje'!P:Q,2,0)</f>
        <v>MEXICO AEREO</v>
      </c>
      <c r="C128" s="48">
        <v>0.33888888888888885</v>
      </c>
      <c r="D128" s="48">
        <v>0.3430555555555555</v>
      </c>
      <c r="E128" s="49">
        <f>'Reclamo de equipaje rediseñado'!$D128-'Reclamo de equipaje rediseñado'!$C128</f>
        <v>4.1666666666666519E-3</v>
      </c>
      <c r="F128" s="48">
        <v>0.3444444444444445</v>
      </c>
      <c r="G128" s="49">
        <f t="shared" si="1"/>
        <v>1.388888888888995E-3</v>
      </c>
      <c r="H128" s="50">
        <v>41729</v>
      </c>
      <c r="I128" s="51" t="s">
        <v>543</v>
      </c>
      <c r="J128" s="51" t="s">
        <v>535</v>
      </c>
      <c r="K128" s="51">
        <f>VLOOKUP(J128,'Validacion reclamo de equipaje'!L:M,2,0)</f>
        <v>50</v>
      </c>
      <c r="L128" s="51" t="str">
        <f>VLOOKUP(I128,'Validacion reclamo de equipaje'!H:I,2,0)</f>
        <v>Nacional</v>
      </c>
      <c r="M128" s="51" t="s">
        <v>522</v>
      </c>
    </row>
    <row r="129" spans="1:13" x14ac:dyDescent="0.25">
      <c r="A129">
        <v>2184</v>
      </c>
      <c r="B129" s="47" t="str">
        <f>VLOOKUP(Tabla6[[#This Row],['# Vuelo]],'Validacion reclamo de equipaje'!P:Q,2,0)</f>
        <v>MEXICO AEREO</v>
      </c>
      <c r="C129" s="52">
        <v>0.33611111111111108</v>
      </c>
      <c r="D129" s="52">
        <v>0.33819444444444446</v>
      </c>
      <c r="E129" s="53">
        <f>'Reclamo de equipaje rediseñado'!$D129-'Reclamo de equipaje rediseñado'!$C129</f>
        <v>2.0833333333333814E-3</v>
      </c>
      <c r="F129" s="52">
        <v>0.34166666666666662</v>
      </c>
      <c r="G129" s="53">
        <f t="shared" si="1"/>
        <v>3.4722222222221544E-3</v>
      </c>
      <c r="H129" s="54">
        <v>41717</v>
      </c>
      <c r="I129" s="55" t="s">
        <v>543</v>
      </c>
      <c r="J129" s="55" t="s">
        <v>535</v>
      </c>
      <c r="K129" s="55">
        <f>VLOOKUP(J129,'Validacion reclamo de equipaje'!L:M,2,0)</f>
        <v>50</v>
      </c>
      <c r="L129" s="55" t="str">
        <f>VLOOKUP(I129,'Validacion reclamo de equipaje'!H:I,2,0)</f>
        <v>Nacional</v>
      </c>
      <c r="M129" s="55" t="s">
        <v>522</v>
      </c>
    </row>
    <row r="130" spans="1:13" x14ac:dyDescent="0.25">
      <c r="A130">
        <v>2184</v>
      </c>
      <c r="B130" s="47" t="str">
        <f>VLOOKUP(Tabla6[[#This Row],['# Vuelo]],'Validacion reclamo de equipaje'!P:Q,2,0)</f>
        <v>MEXICO AEREO</v>
      </c>
      <c r="C130" s="48">
        <v>0.35069444444444442</v>
      </c>
      <c r="D130" s="48">
        <v>0.35625000000000001</v>
      </c>
      <c r="E130" s="49">
        <f>'Reclamo de equipaje rediseñado'!$D130-'Reclamo de equipaje rediseñado'!$C130</f>
        <v>5.5555555555555913E-3</v>
      </c>
      <c r="F130" s="48">
        <v>0.35972222222222222</v>
      </c>
      <c r="G130" s="49">
        <f t="shared" si="1"/>
        <v>3.4722222222222099E-3</v>
      </c>
      <c r="H130" s="50">
        <v>41718</v>
      </c>
      <c r="I130" s="51" t="s">
        <v>543</v>
      </c>
      <c r="J130" s="51" t="s">
        <v>535</v>
      </c>
      <c r="K130" s="51">
        <f>VLOOKUP(J130,'Validacion reclamo de equipaje'!L:M,2,0)</f>
        <v>50</v>
      </c>
      <c r="L130" s="51" t="str">
        <f>VLOOKUP(I130,'Validacion reclamo de equipaje'!H:I,2,0)</f>
        <v>Nacional</v>
      </c>
      <c r="M130" s="51" t="s">
        <v>522</v>
      </c>
    </row>
    <row r="131" spans="1:13" x14ac:dyDescent="0.25">
      <c r="A131">
        <v>2122</v>
      </c>
      <c r="B131" s="47" t="str">
        <f>VLOOKUP(Tabla6[[#This Row],['# Vuelo]],'Validacion reclamo de equipaje'!P:Q,2,0)</f>
        <v>MEXICO AEREO</v>
      </c>
      <c r="C131" s="52">
        <v>0.7090277777777777</v>
      </c>
      <c r="D131" s="52">
        <v>0.71597222222222223</v>
      </c>
      <c r="E131" s="53">
        <f>'Reclamo de equipaje rediseñado'!$D131-'Reclamo de equipaje rediseñado'!$C131</f>
        <v>6.9444444444445308E-3</v>
      </c>
      <c r="F131" s="52">
        <v>0.71666666666666667</v>
      </c>
      <c r="G131" s="53">
        <f t="shared" ref="G131:G194" si="2">F131-D131</f>
        <v>6.9444444444444198E-4</v>
      </c>
      <c r="H131" s="54">
        <v>41716</v>
      </c>
      <c r="I131" s="55" t="s">
        <v>550</v>
      </c>
      <c r="J131" s="55" t="s">
        <v>535</v>
      </c>
      <c r="K131" s="55">
        <f>VLOOKUP(J131,'Validacion reclamo de equipaje'!L:M,2,0)</f>
        <v>50</v>
      </c>
      <c r="L131" s="55" t="str">
        <f>VLOOKUP(I131,'Validacion reclamo de equipaje'!H:I,2,0)</f>
        <v>Nacional</v>
      </c>
      <c r="M131" s="55" t="s">
        <v>522</v>
      </c>
    </row>
    <row r="132" spans="1:13" x14ac:dyDescent="0.25">
      <c r="A132">
        <v>2122</v>
      </c>
      <c r="B132" s="47" t="str">
        <f>VLOOKUP(Tabla6[[#This Row],['# Vuelo]],'Validacion reclamo de equipaje'!P:Q,2,0)</f>
        <v>MEXICO AEREO</v>
      </c>
      <c r="C132" s="48">
        <v>0.65902777777777777</v>
      </c>
      <c r="D132" s="48">
        <v>0.66319444444444442</v>
      </c>
      <c r="E132" s="49">
        <f>'Reclamo de equipaje rediseñado'!$D132-'Reclamo de equipaje rediseñado'!$C132</f>
        <v>4.1666666666666519E-3</v>
      </c>
      <c r="F132" s="48">
        <v>0.6694444444444444</v>
      </c>
      <c r="G132" s="49">
        <f t="shared" si="2"/>
        <v>6.2499999999999778E-3</v>
      </c>
      <c r="H132" s="50">
        <v>41718</v>
      </c>
      <c r="I132" s="51" t="s">
        <v>550</v>
      </c>
      <c r="J132" s="51" t="s">
        <v>535</v>
      </c>
      <c r="K132" s="51">
        <f>VLOOKUP(J132,'Validacion reclamo de equipaje'!L:M,2,0)</f>
        <v>50</v>
      </c>
      <c r="L132" s="51" t="str">
        <f>VLOOKUP(I132,'Validacion reclamo de equipaje'!H:I,2,0)</f>
        <v>Nacional</v>
      </c>
      <c r="M132" s="51" t="s">
        <v>522</v>
      </c>
    </row>
    <row r="133" spans="1:13" x14ac:dyDescent="0.25">
      <c r="A133">
        <v>2122</v>
      </c>
      <c r="B133" s="47" t="str">
        <f>VLOOKUP(Tabla6[[#This Row],['# Vuelo]],'Validacion reclamo de equipaje'!P:Q,2,0)</f>
        <v>MEXICO AEREO</v>
      </c>
      <c r="C133" s="52">
        <v>0.64444444444444449</v>
      </c>
      <c r="D133" s="52">
        <v>0.64930555555555558</v>
      </c>
      <c r="E133" s="53">
        <f>'Reclamo de equipaje rediseñado'!$D133-'Reclamo de equipaje rediseñado'!$C133</f>
        <v>4.8611111111110938E-3</v>
      </c>
      <c r="F133" s="52">
        <v>0.65138888888888891</v>
      </c>
      <c r="G133" s="53">
        <f t="shared" si="2"/>
        <v>2.0833333333333259E-3</v>
      </c>
      <c r="H133" s="54">
        <v>41720</v>
      </c>
      <c r="I133" s="55" t="s">
        <v>550</v>
      </c>
      <c r="J133" s="55" t="s">
        <v>535</v>
      </c>
      <c r="K133" s="55">
        <f>VLOOKUP(J133,'Validacion reclamo de equipaje'!L:M,2,0)</f>
        <v>50</v>
      </c>
      <c r="L133" s="55" t="str">
        <f>VLOOKUP(I133,'Validacion reclamo de equipaje'!H:I,2,0)</f>
        <v>Nacional</v>
      </c>
      <c r="M133" s="55" t="s">
        <v>522</v>
      </c>
    </row>
    <row r="134" spans="1:13" x14ac:dyDescent="0.25">
      <c r="A134">
        <v>2122</v>
      </c>
      <c r="B134" s="47" t="str">
        <f>VLOOKUP(Tabla6[[#This Row],['# Vuelo]],'Validacion reclamo de equipaje'!P:Q,2,0)</f>
        <v>MEXICO AEREO</v>
      </c>
      <c r="C134" s="48">
        <v>0.65</v>
      </c>
      <c r="D134" s="48">
        <v>0.65277777777777779</v>
      </c>
      <c r="E134" s="49">
        <f>'Reclamo de equipaje rediseñado'!$D134-'Reclamo de equipaje rediseñado'!$C134</f>
        <v>2.7777777777777679E-3</v>
      </c>
      <c r="F134" s="48">
        <v>0.65625</v>
      </c>
      <c r="G134" s="49">
        <f t="shared" si="2"/>
        <v>3.4722222222222099E-3</v>
      </c>
      <c r="H134" s="50">
        <v>41721</v>
      </c>
      <c r="I134" s="51" t="s">
        <v>550</v>
      </c>
      <c r="J134" s="51" t="s">
        <v>535</v>
      </c>
      <c r="K134" s="51">
        <f>VLOOKUP(J134,'Validacion reclamo de equipaje'!L:M,2,0)</f>
        <v>50</v>
      </c>
      <c r="L134" s="51" t="str">
        <f>VLOOKUP(I134,'Validacion reclamo de equipaje'!H:I,2,0)</f>
        <v>Nacional</v>
      </c>
      <c r="M134" s="51" t="s">
        <v>522</v>
      </c>
    </row>
    <row r="135" spans="1:13" x14ac:dyDescent="0.25">
      <c r="A135">
        <v>2122</v>
      </c>
      <c r="B135" s="47" t="str">
        <f>VLOOKUP(Tabla6[[#This Row],['# Vuelo]],'Validacion reclamo de equipaje'!P:Q,2,0)</f>
        <v>MEXICO AEREO</v>
      </c>
      <c r="C135" s="52">
        <v>0.66666666666666663</v>
      </c>
      <c r="D135" s="52">
        <v>0.67013888888888884</v>
      </c>
      <c r="E135" s="53">
        <f>'Reclamo de equipaje rediseñado'!$D135-'Reclamo de equipaje rediseñado'!$C135</f>
        <v>3.4722222222222099E-3</v>
      </c>
      <c r="F135" s="52">
        <v>0.67291666666666661</v>
      </c>
      <c r="G135" s="53">
        <f t="shared" si="2"/>
        <v>2.7777777777777679E-3</v>
      </c>
      <c r="H135" s="54">
        <v>41722</v>
      </c>
      <c r="I135" s="55" t="s">
        <v>550</v>
      </c>
      <c r="J135" s="55" t="s">
        <v>535</v>
      </c>
      <c r="K135" s="55">
        <f>VLOOKUP(J135,'Validacion reclamo de equipaje'!L:M,2,0)</f>
        <v>50</v>
      </c>
      <c r="L135" s="55" t="str">
        <f>VLOOKUP(I135,'Validacion reclamo de equipaje'!H:I,2,0)</f>
        <v>Nacional</v>
      </c>
      <c r="M135" s="55" t="s">
        <v>522</v>
      </c>
    </row>
    <row r="136" spans="1:13" x14ac:dyDescent="0.25">
      <c r="A136">
        <v>2122</v>
      </c>
      <c r="B136" s="47" t="str">
        <f>VLOOKUP(Tabla6[[#This Row],['# Vuelo]],'Validacion reclamo de equipaje'!P:Q,2,0)</f>
        <v>MEXICO AEREO</v>
      </c>
      <c r="C136" s="48">
        <v>0.65694444444444444</v>
      </c>
      <c r="D136" s="48">
        <v>0.66249999999999998</v>
      </c>
      <c r="E136" s="49">
        <f>'Reclamo de equipaje rediseñado'!$D136-'Reclamo de equipaje rediseñado'!$C136</f>
        <v>5.5555555555555358E-3</v>
      </c>
      <c r="F136" s="48">
        <v>0.6694444444444444</v>
      </c>
      <c r="G136" s="49">
        <f t="shared" si="2"/>
        <v>6.9444444444444198E-3</v>
      </c>
      <c r="H136" s="50">
        <v>41725</v>
      </c>
      <c r="I136" s="51" t="s">
        <v>550</v>
      </c>
      <c r="J136" s="51" t="s">
        <v>535</v>
      </c>
      <c r="K136" s="51">
        <f>VLOOKUP(J136,'Validacion reclamo de equipaje'!L:M,2,0)</f>
        <v>50</v>
      </c>
      <c r="L136" s="51" t="str">
        <f>VLOOKUP(I136,'Validacion reclamo de equipaje'!H:I,2,0)</f>
        <v>Nacional</v>
      </c>
      <c r="M136" s="51" t="s">
        <v>522</v>
      </c>
    </row>
    <row r="137" spans="1:13" x14ac:dyDescent="0.25">
      <c r="A137">
        <v>2122</v>
      </c>
      <c r="B137" s="47" t="str">
        <f>VLOOKUP(Tabla6[[#This Row],['# Vuelo]],'Validacion reclamo de equipaje'!P:Q,2,0)</f>
        <v>MEXICO AEREO</v>
      </c>
      <c r="C137" s="52">
        <v>0.65625</v>
      </c>
      <c r="D137" s="52">
        <v>0.66180555555555554</v>
      </c>
      <c r="E137" s="53">
        <f>'Reclamo de equipaje rediseñado'!$D137-'Reclamo de equipaje rediseñado'!$C137</f>
        <v>5.5555555555555358E-3</v>
      </c>
      <c r="F137" s="52">
        <v>0.66388888888888886</v>
      </c>
      <c r="G137" s="53">
        <f t="shared" si="2"/>
        <v>2.0833333333333259E-3</v>
      </c>
      <c r="H137" s="54">
        <v>41725</v>
      </c>
      <c r="I137" s="55" t="s">
        <v>550</v>
      </c>
      <c r="J137" s="55" t="s">
        <v>535</v>
      </c>
      <c r="K137" s="55">
        <f>VLOOKUP(J137,'Validacion reclamo de equipaje'!L:M,2,0)</f>
        <v>50</v>
      </c>
      <c r="L137" s="55" t="str">
        <f>VLOOKUP(I137,'Validacion reclamo de equipaje'!H:I,2,0)</f>
        <v>Nacional</v>
      </c>
      <c r="M137" s="55" t="s">
        <v>522</v>
      </c>
    </row>
    <row r="138" spans="1:13" x14ac:dyDescent="0.25">
      <c r="A138">
        <v>2122</v>
      </c>
      <c r="B138" s="47" t="str">
        <f>VLOOKUP(Tabla6[[#This Row],['# Vuelo]],'Validacion reclamo de equipaje'!P:Q,2,0)</f>
        <v>MEXICO AEREO</v>
      </c>
      <c r="C138" s="48">
        <v>0.65277777777777779</v>
      </c>
      <c r="D138" s="48">
        <v>0.65555555555555556</v>
      </c>
      <c r="E138" s="49">
        <f>'Reclamo de equipaje rediseñado'!$D138-'Reclamo de equipaje rediseñado'!$C138</f>
        <v>2.7777777777777679E-3</v>
      </c>
      <c r="F138" s="48">
        <v>0.65763888888888888</v>
      </c>
      <c r="G138" s="49">
        <f t="shared" si="2"/>
        <v>2.0833333333333259E-3</v>
      </c>
      <c r="H138" s="50">
        <v>41726</v>
      </c>
      <c r="I138" s="51" t="s">
        <v>550</v>
      </c>
      <c r="J138" s="51" t="s">
        <v>535</v>
      </c>
      <c r="K138" s="51">
        <f>VLOOKUP(J138,'Validacion reclamo de equipaje'!L:M,2,0)</f>
        <v>50</v>
      </c>
      <c r="L138" s="51" t="str">
        <f>VLOOKUP(I138,'Validacion reclamo de equipaje'!H:I,2,0)</f>
        <v>Nacional</v>
      </c>
      <c r="M138" s="51" t="s">
        <v>522</v>
      </c>
    </row>
    <row r="139" spans="1:13" x14ac:dyDescent="0.25">
      <c r="A139">
        <v>2122</v>
      </c>
      <c r="B139" s="47" t="str">
        <f>VLOOKUP(Tabla6[[#This Row],['# Vuelo]],'Validacion reclamo de equipaje'!P:Q,2,0)</f>
        <v>MEXICO AEREO</v>
      </c>
      <c r="C139" s="52">
        <v>0.64722222222222225</v>
      </c>
      <c r="D139" s="52">
        <v>0.65069444444444446</v>
      </c>
      <c r="E139" s="53">
        <f>'Reclamo de equipaje rediseñado'!$D139-'Reclamo de equipaje rediseñado'!$C139</f>
        <v>3.4722222222222099E-3</v>
      </c>
      <c r="F139" s="52">
        <v>0.65208333333333335</v>
      </c>
      <c r="G139" s="53">
        <f t="shared" si="2"/>
        <v>1.388888888888884E-3</v>
      </c>
      <c r="H139" s="54">
        <v>41727</v>
      </c>
      <c r="I139" s="55" t="s">
        <v>550</v>
      </c>
      <c r="J139" s="55" t="s">
        <v>535</v>
      </c>
      <c r="K139" s="55">
        <f>VLOOKUP(J139,'Validacion reclamo de equipaje'!L:M,2,0)</f>
        <v>50</v>
      </c>
      <c r="L139" s="55" t="str">
        <f>VLOOKUP(I139,'Validacion reclamo de equipaje'!H:I,2,0)</f>
        <v>Nacional</v>
      </c>
      <c r="M139" s="55" t="s">
        <v>522</v>
      </c>
    </row>
    <row r="140" spans="1:13" x14ac:dyDescent="0.25">
      <c r="A140">
        <v>2122</v>
      </c>
      <c r="B140" s="47" t="str">
        <f>VLOOKUP(Tabla6[[#This Row],['# Vuelo]],'Validacion reclamo de equipaje'!P:Q,2,0)</f>
        <v>MEXICO AEREO</v>
      </c>
      <c r="C140" s="48">
        <v>0.66319444444444442</v>
      </c>
      <c r="D140" s="48">
        <v>0.66666666666666663</v>
      </c>
      <c r="E140" s="49">
        <f>'Reclamo de equipaje rediseñado'!$D140-'Reclamo de equipaje rediseñado'!$C140</f>
        <v>3.4722222222222099E-3</v>
      </c>
      <c r="F140" s="48">
        <v>0.67013888888888884</v>
      </c>
      <c r="G140" s="49">
        <f t="shared" si="2"/>
        <v>3.4722222222222099E-3</v>
      </c>
      <c r="H140" s="50">
        <v>41729</v>
      </c>
      <c r="I140" s="51" t="s">
        <v>550</v>
      </c>
      <c r="J140" s="51" t="s">
        <v>535</v>
      </c>
      <c r="K140" s="51">
        <f>VLOOKUP(J140,'Validacion reclamo de equipaje'!L:M,2,0)</f>
        <v>50</v>
      </c>
      <c r="L140" s="51" t="str">
        <f>VLOOKUP(I140,'Validacion reclamo de equipaje'!H:I,2,0)</f>
        <v>Nacional</v>
      </c>
      <c r="M140" s="51" t="s">
        <v>522</v>
      </c>
    </row>
    <row r="141" spans="1:13" x14ac:dyDescent="0.25">
      <c r="A141">
        <v>2122</v>
      </c>
      <c r="B141" s="47" t="str">
        <f>VLOOKUP(Tabla6[[#This Row],['# Vuelo]],'Validacion reclamo de equipaje'!P:Q,2,0)</f>
        <v>MEXICO AEREO</v>
      </c>
      <c r="C141" s="52">
        <v>0.66111111111111109</v>
      </c>
      <c r="D141" s="52">
        <v>0.66805555555555562</v>
      </c>
      <c r="E141" s="53">
        <f>'Reclamo de equipaje rediseñado'!$D141-'Reclamo de equipaje rediseñado'!$C141</f>
        <v>6.9444444444445308E-3</v>
      </c>
      <c r="F141" s="52">
        <v>0.67222222222222217</v>
      </c>
      <c r="G141" s="53">
        <f t="shared" si="2"/>
        <v>4.1666666666665408E-3</v>
      </c>
      <c r="H141" s="54">
        <v>41717</v>
      </c>
      <c r="I141" s="55" t="s">
        <v>550</v>
      </c>
      <c r="J141" s="55" t="s">
        <v>535</v>
      </c>
      <c r="K141" s="55">
        <f>VLOOKUP(J141,'Validacion reclamo de equipaje'!L:M,2,0)</f>
        <v>50</v>
      </c>
      <c r="L141" s="55" t="str">
        <f>VLOOKUP(I141,'Validacion reclamo de equipaje'!H:I,2,0)</f>
        <v>Nacional</v>
      </c>
      <c r="M141" s="55" t="s">
        <v>522</v>
      </c>
    </row>
    <row r="142" spans="1:13" x14ac:dyDescent="0.25">
      <c r="A142">
        <v>2121</v>
      </c>
      <c r="B142" s="47" t="str">
        <f>VLOOKUP(Tabla6[[#This Row],['# Vuelo]],'Validacion reclamo de equipaje'!P:Q,2,0)</f>
        <v>MEXICO AEREO</v>
      </c>
      <c r="C142" s="48">
        <v>0.86111111111111116</v>
      </c>
      <c r="D142" s="48">
        <v>0.86736111111111114</v>
      </c>
      <c r="E142" s="49">
        <f>'Reclamo de equipaje rediseñado'!$D142-'Reclamo de equipaje rediseñado'!$C142</f>
        <v>6.2499999999999778E-3</v>
      </c>
      <c r="F142" s="48">
        <v>0.86875000000000002</v>
      </c>
      <c r="G142" s="49">
        <f t="shared" si="2"/>
        <v>1.388888888888884E-3</v>
      </c>
      <c r="H142" s="50">
        <v>41713</v>
      </c>
      <c r="I142" s="51" t="s">
        <v>550</v>
      </c>
      <c r="J142" s="51" t="s">
        <v>535</v>
      </c>
      <c r="K142" s="51">
        <f>VLOOKUP(J142,'Validacion reclamo de equipaje'!L:M,2,0)</f>
        <v>50</v>
      </c>
      <c r="L142" s="51" t="str">
        <f>VLOOKUP(I142,'Validacion reclamo de equipaje'!H:I,2,0)</f>
        <v>Nacional</v>
      </c>
      <c r="M142" s="51" t="s">
        <v>522</v>
      </c>
    </row>
    <row r="143" spans="1:13" x14ac:dyDescent="0.25">
      <c r="A143">
        <v>2121</v>
      </c>
      <c r="B143" s="47" t="str">
        <f>VLOOKUP(Tabla6[[#This Row],['# Vuelo]],'Validacion reclamo de equipaje'!P:Q,2,0)</f>
        <v>MEXICO AEREO</v>
      </c>
      <c r="C143" s="52">
        <v>0.86805555555555547</v>
      </c>
      <c r="D143" s="52">
        <v>0.87361111111111101</v>
      </c>
      <c r="E143" s="53">
        <f>'Reclamo de equipaje rediseñado'!$D143-'Reclamo de equipaje rediseñado'!$C143</f>
        <v>5.5555555555555358E-3</v>
      </c>
      <c r="F143" s="52">
        <v>0.87847222222222221</v>
      </c>
      <c r="G143" s="53">
        <f t="shared" si="2"/>
        <v>4.8611111111112049E-3</v>
      </c>
      <c r="H143" s="54">
        <v>41719</v>
      </c>
      <c r="I143" s="55" t="s">
        <v>550</v>
      </c>
      <c r="J143" s="55" t="s">
        <v>535</v>
      </c>
      <c r="K143" s="55">
        <f>VLOOKUP(J143,'Validacion reclamo de equipaje'!L:M,2,0)</f>
        <v>50</v>
      </c>
      <c r="L143" s="55" t="str">
        <f>VLOOKUP(I143,'Validacion reclamo de equipaje'!H:I,2,0)</f>
        <v>Nacional</v>
      </c>
      <c r="M143" s="55" t="s">
        <v>522</v>
      </c>
    </row>
    <row r="144" spans="1:13" x14ac:dyDescent="0.25">
      <c r="A144">
        <v>2121</v>
      </c>
      <c r="B144" s="47" t="str">
        <f>VLOOKUP(Tabla6[[#This Row],['# Vuelo]],'Validacion reclamo de equipaje'!P:Q,2,0)</f>
        <v>MEXICO AEREO</v>
      </c>
      <c r="C144" s="48">
        <v>0.85486111111111107</v>
      </c>
      <c r="D144" s="48">
        <v>0.86111111111111116</v>
      </c>
      <c r="E144" s="49">
        <f>'Reclamo de equipaje rediseñado'!$D144-'Reclamo de equipaje rediseñado'!$C144</f>
        <v>6.2500000000000888E-3</v>
      </c>
      <c r="F144" s="48">
        <v>0.87013888888888891</v>
      </c>
      <c r="G144" s="49">
        <f t="shared" si="2"/>
        <v>9.0277777777777457E-3</v>
      </c>
      <c r="H144" s="50">
        <v>41721</v>
      </c>
      <c r="I144" s="51" t="s">
        <v>550</v>
      </c>
      <c r="J144" s="51" t="s">
        <v>535</v>
      </c>
      <c r="K144" s="51">
        <f>VLOOKUP(J144,'Validacion reclamo de equipaje'!L:M,2,0)</f>
        <v>50</v>
      </c>
      <c r="L144" s="51" t="str">
        <f>VLOOKUP(I144,'Validacion reclamo de equipaje'!H:I,2,0)</f>
        <v>Nacional</v>
      </c>
      <c r="M144" s="51" t="s">
        <v>522</v>
      </c>
    </row>
    <row r="145" spans="1:13" x14ac:dyDescent="0.25">
      <c r="A145">
        <v>2121</v>
      </c>
      <c r="B145" s="47" t="str">
        <f>VLOOKUP(Tabla6[[#This Row],['# Vuelo]],'Validacion reclamo de equipaje'!P:Q,2,0)</f>
        <v>MEXICO AEREO</v>
      </c>
      <c r="C145" s="52">
        <v>0.88194444444444453</v>
      </c>
      <c r="D145" s="52">
        <v>0.89444444444444438</v>
      </c>
      <c r="E145" s="53">
        <f>'Reclamo de equipaje rediseñado'!$D145-'Reclamo de equipaje rediseñado'!$C145</f>
        <v>1.2499999999999845E-2</v>
      </c>
      <c r="F145" s="52">
        <v>0.90208333333333324</v>
      </c>
      <c r="G145" s="53">
        <f t="shared" si="2"/>
        <v>7.6388888888888618E-3</v>
      </c>
      <c r="H145" s="54">
        <v>41721</v>
      </c>
      <c r="I145" s="55" t="s">
        <v>550</v>
      </c>
      <c r="J145" s="55" t="s">
        <v>535</v>
      </c>
      <c r="K145" s="55">
        <f>VLOOKUP(J145,'Validacion reclamo de equipaje'!L:M,2,0)</f>
        <v>50</v>
      </c>
      <c r="L145" s="55" t="str">
        <f>VLOOKUP(I145,'Validacion reclamo de equipaje'!H:I,2,0)</f>
        <v>Nacional</v>
      </c>
      <c r="M145" s="55" t="s">
        <v>522</v>
      </c>
    </row>
    <row r="146" spans="1:13" x14ac:dyDescent="0.25">
      <c r="A146">
        <v>2121</v>
      </c>
      <c r="B146" s="47" t="str">
        <f>VLOOKUP(Tabla6[[#This Row],['# Vuelo]],'Validacion reclamo de equipaje'!P:Q,2,0)</f>
        <v>MEXICO AEREO</v>
      </c>
      <c r="C146" s="48">
        <v>0.86805555555555547</v>
      </c>
      <c r="D146" s="48">
        <v>0.875</v>
      </c>
      <c r="E146" s="49">
        <f>'Reclamo de equipaje rediseñado'!$D146-'Reclamo de equipaje rediseñado'!$C146</f>
        <v>6.9444444444445308E-3</v>
      </c>
      <c r="F146" s="48">
        <v>0.88194444444444453</v>
      </c>
      <c r="G146" s="49">
        <f t="shared" si="2"/>
        <v>6.9444444444445308E-3</v>
      </c>
      <c r="H146" s="50">
        <v>41723</v>
      </c>
      <c r="I146" s="51" t="s">
        <v>550</v>
      </c>
      <c r="J146" s="51" t="s">
        <v>535</v>
      </c>
      <c r="K146" s="51">
        <f>VLOOKUP(J146,'Validacion reclamo de equipaje'!L:M,2,0)</f>
        <v>50</v>
      </c>
      <c r="L146" s="51" t="str">
        <f>VLOOKUP(I146,'Validacion reclamo de equipaje'!H:I,2,0)</f>
        <v>Nacional</v>
      </c>
      <c r="M146" s="51" t="s">
        <v>522</v>
      </c>
    </row>
    <row r="147" spans="1:13" x14ac:dyDescent="0.25">
      <c r="A147">
        <v>2121</v>
      </c>
      <c r="B147" s="47" t="str">
        <f>VLOOKUP(Tabla6[[#This Row],['# Vuelo]],'Validacion reclamo de equipaje'!P:Q,2,0)</f>
        <v>MEXICO AEREO</v>
      </c>
      <c r="C147" s="52">
        <v>0.86805555555555547</v>
      </c>
      <c r="D147" s="52">
        <v>0.87152777777777779</v>
      </c>
      <c r="E147" s="53">
        <f>'Reclamo de equipaje rediseñado'!$D147-'Reclamo de equipaje rediseñado'!$C147</f>
        <v>3.4722222222223209E-3</v>
      </c>
      <c r="F147" s="52">
        <v>0.875</v>
      </c>
      <c r="G147" s="53">
        <f t="shared" si="2"/>
        <v>3.4722222222222099E-3</v>
      </c>
      <c r="H147" s="54">
        <v>41724</v>
      </c>
      <c r="I147" s="55" t="s">
        <v>550</v>
      </c>
      <c r="J147" s="55" t="s">
        <v>535</v>
      </c>
      <c r="K147" s="55">
        <f>VLOOKUP(J147,'Validacion reclamo de equipaje'!L:M,2,0)</f>
        <v>50</v>
      </c>
      <c r="L147" s="55" t="str">
        <f>VLOOKUP(I147,'Validacion reclamo de equipaje'!H:I,2,0)</f>
        <v>Nacional</v>
      </c>
      <c r="M147" s="55" t="s">
        <v>522</v>
      </c>
    </row>
    <row r="148" spans="1:13" x14ac:dyDescent="0.25">
      <c r="A148">
        <v>2121</v>
      </c>
      <c r="B148" s="47" t="str">
        <f>VLOOKUP(Tabla6[[#This Row],['# Vuelo]],'Validacion reclamo de equipaje'!P:Q,2,0)</f>
        <v>MEXICO AEREO</v>
      </c>
      <c r="C148" s="48">
        <v>0.86111111111111116</v>
      </c>
      <c r="D148" s="48">
        <v>0.86319444444444438</v>
      </c>
      <c r="E148" s="49">
        <f>'Reclamo de equipaje rediseñado'!$D148-'Reclamo de equipaje rediseñado'!$C148</f>
        <v>2.0833333333332149E-3</v>
      </c>
      <c r="F148" s="48">
        <v>0.86736111111111114</v>
      </c>
      <c r="G148" s="49">
        <f t="shared" si="2"/>
        <v>4.1666666666667629E-3</v>
      </c>
      <c r="H148" s="50">
        <v>41724</v>
      </c>
      <c r="I148" s="51" t="s">
        <v>550</v>
      </c>
      <c r="J148" s="51" t="s">
        <v>535</v>
      </c>
      <c r="K148" s="51">
        <f>VLOOKUP(J148,'Validacion reclamo de equipaje'!L:M,2,0)</f>
        <v>50</v>
      </c>
      <c r="L148" s="51" t="str">
        <f>VLOOKUP(I148,'Validacion reclamo de equipaje'!H:I,2,0)</f>
        <v>Nacional</v>
      </c>
      <c r="M148" s="51" t="s">
        <v>522</v>
      </c>
    </row>
    <row r="149" spans="1:13" x14ac:dyDescent="0.25">
      <c r="A149">
        <v>2121</v>
      </c>
      <c r="B149" s="47" t="str">
        <f>VLOOKUP(Tabla6[[#This Row],['# Vuelo]],'Validacion reclamo de equipaje'!P:Q,2,0)</f>
        <v>MEXICO AEREO</v>
      </c>
      <c r="C149" s="52">
        <v>0.85069444444444453</v>
      </c>
      <c r="D149" s="52">
        <v>0.86041666666666661</v>
      </c>
      <c r="E149" s="53">
        <f>'Reclamo de equipaje rediseñado'!$D149-'Reclamo de equipaje rediseñado'!$C149</f>
        <v>9.7222222222220767E-3</v>
      </c>
      <c r="F149" s="52">
        <v>0.86319444444444438</v>
      </c>
      <c r="G149" s="53">
        <f t="shared" si="2"/>
        <v>2.7777777777777679E-3</v>
      </c>
      <c r="H149" s="54">
        <v>41727</v>
      </c>
      <c r="I149" s="55" t="s">
        <v>550</v>
      </c>
      <c r="J149" s="55" t="s">
        <v>535</v>
      </c>
      <c r="K149" s="55">
        <f>VLOOKUP(J149,'Validacion reclamo de equipaje'!L:M,2,0)</f>
        <v>50</v>
      </c>
      <c r="L149" s="55" t="str">
        <f>VLOOKUP(I149,'Validacion reclamo de equipaje'!H:I,2,0)</f>
        <v>Nacional</v>
      </c>
      <c r="M149" s="55" t="s">
        <v>522</v>
      </c>
    </row>
    <row r="150" spans="1:13" x14ac:dyDescent="0.25">
      <c r="A150">
        <v>2121</v>
      </c>
      <c r="B150" s="47" t="str">
        <f>VLOOKUP(Tabla6[[#This Row],['# Vuelo]],'Validacion reclamo de equipaje'!P:Q,2,0)</f>
        <v>MEXICO AEREO</v>
      </c>
      <c r="C150" s="48">
        <v>0.8652777777777777</v>
      </c>
      <c r="D150" s="48">
        <v>0.87152777777777779</v>
      </c>
      <c r="E150" s="49">
        <f>'Reclamo de equipaje rediseñado'!$D150-'Reclamo de equipaje rediseñado'!$C150</f>
        <v>6.2500000000000888E-3</v>
      </c>
      <c r="F150" s="48">
        <v>0.875</v>
      </c>
      <c r="G150" s="49">
        <f t="shared" si="2"/>
        <v>3.4722222222222099E-3</v>
      </c>
      <c r="H150" s="50">
        <v>41715</v>
      </c>
      <c r="I150" s="51" t="s">
        <v>550</v>
      </c>
      <c r="J150" s="51" t="s">
        <v>535</v>
      </c>
      <c r="K150" s="51">
        <f>VLOOKUP(J150,'Validacion reclamo de equipaje'!L:M,2,0)</f>
        <v>50</v>
      </c>
      <c r="L150" s="51" t="str">
        <f>VLOOKUP(I150,'Validacion reclamo de equipaje'!H:I,2,0)</f>
        <v>Nacional</v>
      </c>
      <c r="M150" s="51" t="s">
        <v>522</v>
      </c>
    </row>
    <row r="151" spans="1:13" x14ac:dyDescent="0.25">
      <c r="A151">
        <v>2121</v>
      </c>
      <c r="B151" s="47" t="str">
        <f>VLOOKUP(Tabla6[[#This Row],['# Vuelo]],'Validacion reclamo de equipaje'!P:Q,2,0)</f>
        <v>MEXICO AEREO</v>
      </c>
      <c r="C151" s="52">
        <v>0.86319444444444438</v>
      </c>
      <c r="D151" s="52">
        <v>0.87083333333333324</v>
      </c>
      <c r="E151" s="53">
        <f>'Reclamo de equipaje rediseñado'!$D151-'Reclamo de equipaje rediseñado'!$C151</f>
        <v>7.6388888888888618E-3</v>
      </c>
      <c r="F151" s="52">
        <v>0.87361111111111101</v>
      </c>
      <c r="G151" s="53">
        <f t="shared" si="2"/>
        <v>2.7777777777777679E-3</v>
      </c>
      <c r="H151" s="54">
        <v>41725</v>
      </c>
      <c r="I151" s="55" t="s">
        <v>550</v>
      </c>
      <c r="J151" s="55" t="s">
        <v>535</v>
      </c>
      <c r="K151" s="55">
        <f>VLOOKUP(J151,'Validacion reclamo de equipaje'!L:M,2,0)</f>
        <v>50</v>
      </c>
      <c r="L151" s="55" t="str">
        <f>VLOOKUP(I151,'Validacion reclamo de equipaje'!H:I,2,0)</f>
        <v>Nacional</v>
      </c>
      <c r="M151" s="55" t="s">
        <v>522</v>
      </c>
    </row>
    <row r="152" spans="1:13" x14ac:dyDescent="0.25">
      <c r="A152">
        <v>2058</v>
      </c>
      <c r="B152" s="47" t="str">
        <f>VLOOKUP(Tabla6[[#This Row],['# Vuelo]],'Validacion reclamo de equipaje'!P:Q,2,0)</f>
        <v>MEXICO AEREO</v>
      </c>
      <c r="C152" s="48">
        <v>0.90763888888888899</v>
      </c>
      <c r="D152" s="48">
        <v>0.91388888888888886</v>
      </c>
      <c r="E152" s="49">
        <f>'Reclamo de equipaje rediseñado'!$D152-'Reclamo de equipaje rediseñado'!$C152</f>
        <v>6.2499999999998668E-3</v>
      </c>
      <c r="F152" s="48">
        <v>0.91875000000000007</v>
      </c>
      <c r="G152" s="49">
        <f t="shared" si="2"/>
        <v>4.8611111111112049E-3</v>
      </c>
      <c r="H152" s="50">
        <v>41713</v>
      </c>
      <c r="I152" s="51" t="s">
        <v>542</v>
      </c>
      <c r="J152" s="51" t="s">
        <v>535</v>
      </c>
      <c r="K152" s="51">
        <f>VLOOKUP(J152,'Validacion reclamo de equipaje'!L:M,2,0)</f>
        <v>50</v>
      </c>
      <c r="L152" s="51" t="str">
        <f>VLOOKUP(I152,'Validacion reclamo de equipaje'!H:I,2,0)</f>
        <v>Nacional</v>
      </c>
      <c r="M152" s="51" t="s">
        <v>522</v>
      </c>
    </row>
    <row r="153" spans="1:13" x14ac:dyDescent="0.25">
      <c r="A153">
        <v>2058</v>
      </c>
      <c r="B153" s="47" t="str">
        <f>VLOOKUP(Tabla6[[#This Row],['# Vuelo]],'Validacion reclamo de equipaje'!P:Q,2,0)</f>
        <v>MEXICO AEREO</v>
      </c>
      <c r="C153" s="52">
        <v>0.91041666666666676</v>
      </c>
      <c r="D153" s="52">
        <v>0.91875000000000007</v>
      </c>
      <c r="E153" s="53">
        <f>'Reclamo de equipaje rediseñado'!$D153-'Reclamo de equipaje rediseñado'!$C153</f>
        <v>8.3333333333333037E-3</v>
      </c>
      <c r="F153" s="52">
        <v>0.92152777777777783</v>
      </c>
      <c r="G153" s="53">
        <f t="shared" si="2"/>
        <v>2.7777777777777679E-3</v>
      </c>
      <c r="H153" s="54">
        <v>41715</v>
      </c>
      <c r="I153" s="55" t="s">
        <v>542</v>
      </c>
      <c r="J153" s="55" t="s">
        <v>535</v>
      </c>
      <c r="K153" s="55">
        <f>VLOOKUP(J153,'Validacion reclamo de equipaje'!L:M,2,0)</f>
        <v>50</v>
      </c>
      <c r="L153" s="55" t="str">
        <f>VLOOKUP(I153,'Validacion reclamo de equipaje'!H:I,2,0)</f>
        <v>Nacional</v>
      </c>
      <c r="M153" s="55" t="s">
        <v>522</v>
      </c>
    </row>
    <row r="154" spans="1:13" x14ac:dyDescent="0.25">
      <c r="A154">
        <v>2058</v>
      </c>
      <c r="B154" s="47" t="str">
        <f>VLOOKUP(Tabla6[[#This Row],['# Vuelo]],'Validacion reclamo de equipaje'!P:Q,2,0)</f>
        <v>MEXICO AEREO</v>
      </c>
      <c r="C154" s="48">
        <v>0.92222222222222217</v>
      </c>
      <c r="D154" s="48">
        <v>0.93055555555555547</v>
      </c>
      <c r="E154" s="49">
        <f>'Reclamo de equipaje rediseñado'!$D154-'Reclamo de equipaje rediseñado'!$C154</f>
        <v>8.3333333333333037E-3</v>
      </c>
      <c r="F154" s="48">
        <v>0.93472222222222223</v>
      </c>
      <c r="G154" s="49">
        <f t="shared" si="2"/>
        <v>4.1666666666667629E-3</v>
      </c>
      <c r="H154" s="50">
        <v>41716</v>
      </c>
      <c r="I154" s="51" t="s">
        <v>542</v>
      </c>
      <c r="J154" s="51" t="s">
        <v>535</v>
      </c>
      <c r="K154" s="51">
        <f>VLOOKUP(J154,'Validacion reclamo de equipaje'!L:M,2,0)</f>
        <v>50</v>
      </c>
      <c r="L154" s="51" t="str">
        <f>VLOOKUP(I154,'Validacion reclamo de equipaje'!H:I,2,0)</f>
        <v>Nacional</v>
      </c>
      <c r="M154" s="51" t="s">
        <v>522</v>
      </c>
    </row>
    <row r="155" spans="1:13" x14ac:dyDescent="0.25">
      <c r="A155">
        <v>2058</v>
      </c>
      <c r="B155" s="47" t="str">
        <f>VLOOKUP(Tabla6[[#This Row],['# Vuelo]],'Validacion reclamo de equipaje'!P:Q,2,0)</f>
        <v>MEXICO AEREO</v>
      </c>
      <c r="C155" s="52">
        <v>0.9145833333333333</v>
      </c>
      <c r="D155" s="52">
        <v>0.92013888888888884</v>
      </c>
      <c r="E155" s="53">
        <f>'Reclamo de equipaje rediseñado'!$D155-'Reclamo de equipaje rediseñado'!$C155</f>
        <v>5.5555555555555358E-3</v>
      </c>
      <c r="F155" s="52">
        <v>0.92361111111111116</v>
      </c>
      <c r="G155" s="53">
        <f t="shared" si="2"/>
        <v>3.4722222222223209E-3</v>
      </c>
      <c r="H155" s="54">
        <v>41719</v>
      </c>
      <c r="I155" s="55" t="s">
        <v>542</v>
      </c>
      <c r="J155" s="55" t="s">
        <v>535</v>
      </c>
      <c r="K155" s="55">
        <f>VLOOKUP(J155,'Validacion reclamo de equipaje'!L:M,2,0)</f>
        <v>50</v>
      </c>
      <c r="L155" s="55" t="str">
        <f>VLOOKUP(I155,'Validacion reclamo de equipaje'!H:I,2,0)</f>
        <v>Nacional</v>
      </c>
      <c r="M155" s="55" t="s">
        <v>522</v>
      </c>
    </row>
    <row r="156" spans="1:13" x14ac:dyDescent="0.25">
      <c r="A156">
        <v>2058</v>
      </c>
      <c r="B156" s="47" t="str">
        <f>VLOOKUP(Tabla6[[#This Row],['# Vuelo]],'Validacion reclamo de equipaje'!P:Q,2,0)</f>
        <v>MEXICO AEREO</v>
      </c>
      <c r="C156" s="48">
        <v>0.91041666666666676</v>
      </c>
      <c r="D156" s="48">
        <v>0.93819444444444444</v>
      </c>
      <c r="E156" s="49">
        <f>'Reclamo de equipaje rediseñado'!$D156-'Reclamo de equipaje rediseñado'!$C156</f>
        <v>2.7777777777777679E-2</v>
      </c>
      <c r="F156" s="48">
        <v>0.94166666666666676</v>
      </c>
      <c r="G156" s="49">
        <f t="shared" si="2"/>
        <v>3.4722222222223209E-3</v>
      </c>
      <c r="H156" s="50">
        <v>41721</v>
      </c>
      <c r="I156" s="51" t="s">
        <v>542</v>
      </c>
      <c r="J156" s="51" t="s">
        <v>535</v>
      </c>
      <c r="K156" s="51">
        <f>VLOOKUP(J156,'Validacion reclamo de equipaje'!L:M,2,0)</f>
        <v>50</v>
      </c>
      <c r="L156" s="51" t="str">
        <f>VLOOKUP(I156,'Validacion reclamo de equipaje'!H:I,2,0)</f>
        <v>Nacional</v>
      </c>
      <c r="M156" s="51" t="s">
        <v>522</v>
      </c>
    </row>
    <row r="157" spans="1:13" x14ac:dyDescent="0.25">
      <c r="A157">
        <v>2058</v>
      </c>
      <c r="B157" s="47" t="str">
        <f>VLOOKUP(Tabla6[[#This Row],['# Vuelo]],'Validacion reclamo de equipaje'!P:Q,2,0)</f>
        <v>MEXICO AEREO</v>
      </c>
      <c r="C157" s="52">
        <v>0.91666666666666663</v>
      </c>
      <c r="D157" s="52">
        <v>0.92152777777777783</v>
      </c>
      <c r="E157" s="53">
        <f>'Reclamo de equipaje rediseñado'!$D157-'Reclamo de equipaje rediseñado'!$C157</f>
        <v>4.8611111111112049E-3</v>
      </c>
      <c r="F157" s="52">
        <v>0.92986111111111114</v>
      </c>
      <c r="G157" s="53">
        <f t="shared" si="2"/>
        <v>8.3333333333333037E-3</v>
      </c>
      <c r="H157" s="54">
        <v>41723</v>
      </c>
      <c r="I157" s="55" t="s">
        <v>542</v>
      </c>
      <c r="J157" s="55" t="s">
        <v>535</v>
      </c>
      <c r="K157" s="55">
        <f>VLOOKUP(J157,'Validacion reclamo de equipaje'!L:M,2,0)</f>
        <v>50</v>
      </c>
      <c r="L157" s="55" t="str">
        <f>VLOOKUP(I157,'Validacion reclamo de equipaje'!H:I,2,0)</f>
        <v>Nacional</v>
      </c>
      <c r="M157" s="55" t="s">
        <v>522</v>
      </c>
    </row>
    <row r="158" spans="1:13" x14ac:dyDescent="0.25">
      <c r="A158">
        <v>2058</v>
      </c>
      <c r="B158" s="47" t="str">
        <f>VLOOKUP(Tabla6[[#This Row],['# Vuelo]],'Validacion reclamo de equipaje'!P:Q,2,0)</f>
        <v>MEXICO AEREO</v>
      </c>
      <c r="C158" s="48">
        <v>0.92083333333333339</v>
      </c>
      <c r="D158" s="48">
        <v>0.92361111111111116</v>
      </c>
      <c r="E158" s="49">
        <f>'Reclamo de equipaje rediseñado'!$D158-'Reclamo de equipaje rediseñado'!$C158</f>
        <v>2.7777777777777679E-3</v>
      </c>
      <c r="F158" s="48">
        <v>0.92499999999999993</v>
      </c>
      <c r="G158" s="49">
        <f t="shared" si="2"/>
        <v>1.3888888888887729E-3</v>
      </c>
      <c r="H158" s="50">
        <v>41724</v>
      </c>
      <c r="I158" s="51" t="s">
        <v>542</v>
      </c>
      <c r="J158" s="51" t="s">
        <v>535</v>
      </c>
      <c r="K158" s="51">
        <f>VLOOKUP(J158,'Validacion reclamo de equipaje'!L:M,2,0)</f>
        <v>50</v>
      </c>
      <c r="L158" s="51" t="str">
        <f>VLOOKUP(I158,'Validacion reclamo de equipaje'!H:I,2,0)</f>
        <v>Nacional</v>
      </c>
      <c r="M158" s="51" t="s">
        <v>522</v>
      </c>
    </row>
    <row r="159" spans="1:13" x14ac:dyDescent="0.25">
      <c r="A159">
        <v>2058</v>
      </c>
      <c r="B159" s="47" t="str">
        <f>VLOOKUP(Tabla6[[#This Row],['# Vuelo]],'Validacion reclamo de equipaje'!P:Q,2,0)</f>
        <v>MEXICO AEREO</v>
      </c>
      <c r="C159" s="52">
        <v>0.91736111111111107</v>
      </c>
      <c r="D159" s="52">
        <v>0.9243055555555556</v>
      </c>
      <c r="E159" s="53">
        <f>'Reclamo de equipaje rediseñado'!$D159-'Reclamo de equipaje rediseñado'!$C159</f>
        <v>6.9444444444445308E-3</v>
      </c>
      <c r="F159" s="52">
        <v>0.92986111111111114</v>
      </c>
      <c r="G159" s="53">
        <f t="shared" si="2"/>
        <v>5.5555555555555358E-3</v>
      </c>
      <c r="H159" s="54">
        <v>41724</v>
      </c>
      <c r="I159" s="55" t="s">
        <v>542</v>
      </c>
      <c r="J159" s="55" t="s">
        <v>535</v>
      </c>
      <c r="K159" s="55">
        <f>VLOOKUP(J159,'Validacion reclamo de equipaje'!L:M,2,0)</f>
        <v>50</v>
      </c>
      <c r="L159" s="55" t="str">
        <f>VLOOKUP(I159,'Validacion reclamo de equipaje'!H:I,2,0)</f>
        <v>Nacional</v>
      </c>
      <c r="M159" s="55" t="s">
        <v>522</v>
      </c>
    </row>
    <row r="160" spans="1:13" x14ac:dyDescent="0.25">
      <c r="A160">
        <v>2058</v>
      </c>
      <c r="B160" s="47" t="str">
        <f>VLOOKUP(Tabla6[[#This Row],['# Vuelo]],'Validacion reclamo de equipaje'!P:Q,2,0)</f>
        <v>MEXICO AEREO</v>
      </c>
      <c r="C160" s="48">
        <v>0.91041666666666676</v>
      </c>
      <c r="D160" s="48">
        <v>0.91875000000000007</v>
      </c>
      <c r="E160" s="49">
        <f>'Reclamo de equipaje rediseñado'!$D160-'Reclamo de equipaje rediseñado'!$C160</f>
        <v>8.3333333333333037E-3</v>
      </c>
      <c r="F160" s="48">
        <v>0.92291666666666661</v>
      </c>
      <c r="G160" s="49">
        <f t="shared" si="2"/>
        <v>4.1666666666665408E-3</v>
      </c>
      <c r="H160" s="50">
        <v>41726</v>
      </c>
      <c r="I160" s="51" t="s">
        <v>542</v>
      </c>
      <c r="J160" s="51" t="s">
        <v>535</v>
      </c>
      <c r="K160" s="51">
        <f>VLOOKUP(J160,'Validacion reclamo de equipaje'!L:M,2,0)</f>
        <v>50</v>
      </c>
      <c r="L160" s="51" t="str">
        <f>VLOOKUP(I160,'Validacion reclamo de equipaje'!H:I,2,0)</f>
        <v>Nacional</v>
      </c>
      <c r="M160" s="51" t="s">
        <v>522</v>
      </c>
    </row>
    <row r="161" spans="1:13" x14ac:dyDescent="0.25">
      <c r="A161">
        <v>2058</v>
      </c>
      <c r="B161" s="47" t="str">
        <f>VLOOKUP(Tabla6[[#This Row],['# Vuelo]],'Validacion reclamo de equipaje'!P:Q,2,0)</f>
        <v>MEXICO AEREO</v>
      </c>
      <c r="C161" s="52">
        <v>0.9375</v>
      </c>
      <c r="D161" s="52">
        <v>0.94236111111111109</v>
      </c>
      <c r="E161" s="53">
        <f>'Reclamo de equipaje rediseñado'!$D161-'Reclamo de equipaje rediseñado'!$C161</f>
        <v>4.8611111111110938E-3</v>
      </c>
      <c r="F161" s="52">
        <v>0.94791666666666663</v>
      </c>
      <c r="G161" s="53">
        <f t="shared" si="2"/>
        <v>5.5555555555555358E-3</v>
      </c>
      <c r="H161" s="54">
        <v>41727</v>
      </c>
      <c r="I161" s="55" t="s">
        <v>542</v>
      </c>
      <c r="J161" s="55" t="s">
        <v>535</v>
      </c>
      <c r="K161" s="55">
        <f>VLOOKUP(J161,'Validacion reclamo de equipaje'!L:M,2,0)</f>
        <v>50</v>
      </c>
      <c r="L161" s="55" t="str">
        <f>VLOOKUP(I161,'Validacion reclamo de equipaje'!H:I,2,0)</f>
        <v>Nacional</v>
      </c>
      <c r="M161" s="55" t="s">
        <v>522</v>
      </c>
    </row>
    <row r="162" spans="1:13" x14ac:dyDescent="0.25">
      <c r="A162">
        <v>2028</v>
      </c>
      <c r="B162" s="47" t="str">
        <f>VLOOKUP(Tabla6[[#This Row],['# Vuelo]],'Validacion reclamo de equipaje'!P:Q,2,0)</f>
        <v>MEXICO AEREO</v>
      </c>
      <c r="C162" s="48">
        <v>0.76666666666666661</v>
      </c>
      <c r="D162" s="48">
        <v>0.76874999999999993</v>
      </c>
      <c r="E162" s="49">
        <f>'Reclamo de equipaje rediseñado'!$D162-'Reclamo de equipaje rediseñado'!$C162</f>
        <v>2.0833333333333259E-3</v>
      </c>
      <c r="F162" s="48">
        <v>0.77013888888888893</v>
      </c>
      <c r="G162" s="49">
        <f t="shared" si="2"/>
        <v>1.388888888888995E-3</v>
      </c>
      <c r="H162" s="50">
        <v>41714</v>
      </c>
      <c r="I162" s="51" t="s">
        <v>543</v>
      </c>
      <c r="J162" s="51" t="s">
        <v>535</v>
      </c>
      <c r="K162" s="51">
        <f>VLOOKUP(J162,'Validacion reclamo de equipaje'!L:M,2,0)</f>
        <v>50</v>
      </c>
      <c r="L162" s="51" t="str">
        <f>VLOOKUP(I162,'Validacion reclamo de equipaje'!H:I,2,0)</f>
        <v>Nacional</v>
      </c>
      <c r="M162" s="51" t="s">
        <v>522</v>
      </c>
    </row>
    <row r="163" spans="1:13" x14ac:dyDescent="0.25">
      <c r="A163">
        <v>2028</v>
      </c>
      <c r="B163" s="47" t="str">
        <f>VLOOKUP(Tabla6[[#This Row],['# Vuelo]],'Validacion reclamo de equipaje'!P:Q,2,0)</f>
        <v>MEXICO AEREO</v>
      </c>
      <c r="C163" s="52">
        <v>0.75138888888888899</v>
      </c>
      <c r="D163" s="52">
        <v>0.7583333333333333</v>
      </c>
      <c r="E163" s="53">
        <f>'Reclamo de equipaje rediseñado'!$D163-'Reclamo de equipaje rediseñado'!$C163</f>
        <v>6.9444444444443088E-3</v>
      </c>
      <c r="F163" s="52">
        <v>0.76736111111111116</v>
      </c>
      <c r="G163" s="53">
        <f t="shared" si="2"/>
        <v>9.0277777777778567E-3</v>
      </c>
      <c r="H163" s="54">
        <v>41715</v>
      </c>
      <c r="I163" s="55" t="s">
        <v>543</v>
      </c>
      <c r="J163" s="55" t="s">
        <v>535</v>
      </c>
      <c r="K163" s="55">
        <f>VLOOKUP(J163,'Validacion reclamo de equipaje'!L:M,2,0)</f>
        <v>50</v>
      </c>
      <c r="L163" s="55" t="str">
        <f>VLOOKUP(I163,'Validacion reclamo de equipaje'!H:I,2,0)</f>
        <v>Nacional</v>
      </c>
      <c r="M163" s="55" t="s">
        <v>522</v>
      </c>
    </row>
    <row r="164" spans="1:13" x14ac:dyDescent="0.25">
      <c r="A164">
        <v>2028</v>
      </c>
      <c r="B164" s="47" t="str">
        <f>VLOOKUP(Tabla6[[#This Row],['# Vuelo]],'Validacion reclamo de equipaje'!P:Q,2,0)</f>
        <v>MEXICO AEREO</v>
      </c>
      <c r="C164" s="48">
        <v>0.75416666666666676</v>
      </c>
      <c r="D164" s="48">
        <v>0.75763888888888886</v>
      </c>
      <c r="E164" s="49">
        <f>'Reclamo de equipaje rediseñado'!$D164-'Reclamo de equipaje rediseñado'!$C164</f>
        <v>3.4722222222220989E-3</v>
      </c>
      <c r="F164" s="48">
        <v>0.76041666666666663</v>
      </c>
      <c r="G164" s="49">
        <f t="shared" si="2"/>
        <v>2.7777777777777679E-3</v>
      </c>
      <c r="H164" s="50">
        <v>41716</v>
      </c>
      <c r="I164" s="51" t="s">
        <v>543</v>
      </c>
      <c r="J164" s="51" t="s">
        <v>535</v>
      </c>
      <c r="K164" s="51">
        <f>VLOOKUP(J164,'Validacion reclamo de equipaje'!L:M,2,0)</f>
        <v>50</v>
      </c>
      <c r="L164" s="51" t="str">
        <f>VLOOKUP(I164,'Validacion reclamo de equipaje'!H:I,2,0)</f>
        <v>Nacional</v>
      </c>
      <c r="M164" s="51" t="s">
        <v>522</v>
      </c>
    </row>
    <row r="165" spans="1:13" x14ac:dyDescent="0.25">
      <c r="A165">
        <v>2028</v>
      </c>
      <c r="B165" s="47" t="str">
        <f>VLOOKUP(Tabla6[[#This Row],['# Vuelo]],'Validacion reclamo de equipaje'!P:Q,2,0)</f>
        <v>MEXICO AEREO</v>
      </c>
      <c r="C165" s="52">
        <v>0.7416666666666667</v>
      </c>
      <c r="D165" s="52">
        <v>0.75347222222222221</v>
      </c>
      <c r="E165" s="53">
        <f>'Reclamo de equipaje rediseñado'!$D165-'Reclamo de equipaje rediseñado'!$C165</f>
        <v>1.1805555555555514E-2</v>
      </c>
      <c r="F165" s="52">
        <v>0.75555555555555554</v>
      </c>
      <c r="G165" s="53">
        <f t="shared" si="2"/>
        <v>2.0833333333333259E-3</v>
      </c>
      <c r="H165" s="54">
        <v>41720</v>
      </c>
      <c r="I165" s="55" t="s">
        <v>543</v>
      </c>
      <c r="J165" s="55" t="s">
        <v>535</v>
      </c>
      <c r="K165" s="55">
        <f>VLOOKUP(J165,'Validacion reclamo de equipaje'!L:M,2,0)</f>
        <v>50</v>
      </c>
      <c r="L165" s="55" t="str">
        <f>VLOOKUP(I165,'Validacion reclamo de equipaje'!H:I,2,0)</f>
        <v>Nacional</v>
      </c>
      <c r="M165" s="55" t="s">
        <v>522</v>
      </c>
    </row>
    <row r="166" spans="1:13" x14ac:dyDescent="0.25">
      <c r="A166">
        <v>2028</v>
      </c>
      <c r="B166" s="47" t="str">
        <f>VLOOKUP(Tabla6[[#This Row],['# Vuelo]],'Validacion reclamo de equipaje'!P:Q,2,0)</f>
        <v>MEXICO AEREO</v>
      </c>
      <c r="C166" s="48">
        <v>0.75138888888888899</v>
      </c>
      <c r="D166" s="48">
        <v>0.75624999999999998</v>
      </c>
      <c r="E166" s="49">
        <f>'Reclamo de equipaje rediseñado'!$D166-'Reclamo de equipaje rediseñado'!$C166</f>
        <v>4.8611111111109828E-3</v>
      </c>
      <c r="F166" s="48">
        <v>0.75902777777777775</v>
      </c>
      <c r="G166" s="49">
        <f t="shared" si="2"/>
        <v>2.7777777777777679E-3</v>
      </c>
      <c r="H166" s="50">
        <v>41721</v>
      </c>
      <c r="I166" s="51" t="s">
        <v>543</v>
      </c>
      <c r="J166" s="51" t="s">
        <v>535</v>
      </c>
      <c r="K166" s="51">
        <f>VLOOKUP(J166,'Validacion reclamo de equipaje'!L:M,2,0)</f>
        <v>50</v>
      </c>
      <c r="L166" s="51" t="str">
        <f>VLOOKUP(I166,'Validacion reclamo de equipaje'!H:I,2,0)</f>
        <v>Nacional</v>
      </c>
      <c r="M166" s="51" t="s">
        <v>522</v>
      </c>
    </row>
    <row r="167" spans="1:13" x14ac:dyDescent="0.25">
      <c r="A167">
        <v>2028</v>
      </c>
      <c r="B167" s="47" t="str">
        <f>VLOOKUP(Tabla6[[#This Row],['# Vuelo]],'Validacion reclamo de equipaje'!P:Q,2,0)</f>
        <v>MEXICO AEREO</v>
      </c>
      <c r="C167" s="52">
        <v>0.77708333333333324</v>
      </c>
      <c r="D167" s="52">
        <v>0.78125</v>
      </c>
      <c r="E167" s="53">
        <f>'Reclamo de equipaje rediseñado'!$D167-'Reclamo de equipaje rediseñado'!$C167</f>
        <v>4.1666666666667629E-3</v>
      </c>
      <c r="F167" s="52">
        <v>0.78472222222222221</v>
      </c>
      <c r="G167" s="53">
        <f t="shared" si="2"/>
        <v>3.4722222222222099E-3</v>
      </c>
      <c r="H167" s="54">
        <v>41725</v>
      </c>
      <c r="I167" s="55" t="s">
        <v>543</v>
      </c>
      <c r="J167" s="55" t="s">
        <v>535</v>
      </c>
      <c r="K167" s="55">
        <f>VLOOKUP(J167,'Validacion reclamo de equipaje'!L:M,2,0)</f>
        <v>50</v>
      </c>
      <c r="L167" s="55" t="str">
        <f>VLOOKUP(I167,'Validacion reclamo de equipaje'!H:I,2,0)</f>
        <v>Nacional</v>
      </c>
      <c r="M167" s="55" t="s">
        <v>522</v>
      </c>
    </row>
    <row r="168" spans="1:13" x14ac:dyDescent="0.25">
      <c r="A168">
        <v>2028</v>
      </c>
      <c r="B168" s="47" t="str">
        <f>VLOOKUP(Tabla6[[#This Row],['# Vuelo]],'Validacion reclamo de equipaje'!P:Q,2,0)</f>
        <v>MEXICO AEREO</v>
      </c>
      <c r="C168" s="48">
        <v>0.74791666666666667</v>
      </c>
      <c r="D168" s="48">
        <v>0.75</v>
      </c>
      <c r="E168" s="49">
        <f>'Reclamo de equipaje rediseñado'!$D168-'Reclamo de equipaje rediseñado'!$C168</f>
        <v>2.0833333333333259E-3</v>
      </c>
      <c r="F168" s="48">
        <v>0.75416666666666676</v>
      </c>
      <c r="G168" s="49">
        <f t="shared" si="2"/>
        <v>4.1666666666667629E-3</v>
      </c>
      <c r="H168" s="50">
        <v>41727</v>
      </c>
      <c r="I168" s="51" t="s">
        <v>543</v>
      </c>
      <c r="J168" s="51" t="s">
        <v>535</v>
      </c>
      <c r="K168" s="51">
        <f>VLOOKUP(J168,'Validacion reclamo de equipaje'!L:M,2,0)</f>
        <v>50</v>
      </c>
      <c r="L168" s="51" t="str">
        <f>VLOOKUP(I168,'Validacion reclamo de equipaje'!H:I,2,0)</f>
        <v>Nacional</v>
      </c>
      <c r="M168" s="51" t="s">
        <v>522</v>
      </c>
    </row>
    <row r="169" spans="1:13" x14ac:dyDescent="0.25">
      <c r="A169">
        <v>2028</v>
      </c>
      <c r="B169" s="47" t="str">
        <f>VLOOKUP(Tabla6[[#This Row],['# Vuelo]],'Validacion reclamo de equipaje'!P:Q,2,0)</f>
        <v>MEXICO AEREO</v>
      </c>
      <c r="C169" s="52">
        <v>0.75347222222222221</v>
      </c>
      <c r="D169" s="52">
        <v>0.76250000000000007</v>
      </c>
      <c r="E169" s="53">
        <f>'Reclamo de equipaje rediseñado'!$D169-'Reclamo de equipaje rediseñado'!$C169</f>
        <v>9.0277777777778567E-3</v>
      </c>
      <c r="F169" s="52">
        <v>0.76388888888888884</v>
      </c>
      <c r="G169" s="53">
        <f t="shared" si="2"/>
        <v>1.3888888888887729E-3</v>
      </c>
      <c r="H169" s="54">
        <v>41729</v>
      </c>
      <c r="I169" s="55" t="s">
        <v>543</v>
      </c>
      <c r="J169" s="55" t="s">
        <v>535</v>
      </c>
      <c r="K169" s="55">
        <f>VLOOKUP(J169,'Validacion reclamo de equipaje'!L:M,2,0)</f>
        <v>50</v>
      </c>
      <c r="L169" s="55" t="str">
        <f>VLOOKUP(I169,'Validacion reclamo de equipaje'!H:I,2,0)</f>
        <v>Nacional</v>
      </c>
      <c r="M169" s="55" t="s">
        <v>522</v>
      </c>
    </row>
    <row r="170" spans="1:13" x14ac:dyDescent="0.25">
      <c r="A170">
        <v>2028</v>
      </c>
      <c r="B170" s="47" t="str">
        <f>VLOOKUP(Tabla6[[#This Row],['# Vuelo]],'Validacion reclamo de equipaje'!P:Q,2,0)</f>
        <v>MEXICO AEREO</v>
      </c>
      <c r="C170" s="48">
        <v>0.75694444444444453</v>
      </c>
      <c r="D170" s="48">
        <v>0.7631944444444444</v>
      </c>
      <c r="E170" s="49">
        <f>'Reclamo de equipaje rediseñado'!$D170-'Reclamo de equipaje rediseñado'!$C170</f>
        <v>6.2499999999998668E-3</v>
      </c>
      <c r="F170" s="48">
        <v>0.76597222222222217</v>
      </c>
      <c r="G170" s="49">
        <f t="shared" si="2"/>
        <v>2.7777777777777679E-3</v>
      </c>
      <c r="H170" s="50">
        <v>41717</v>
      </c>
      <c r="I170" s="51" t="s">
        <v>543</v>
      </c>
      <c r="J170" s="51" t="s">
        <v>535</v>
      </c>
      <c r="K170" s="51">
        <f>VLOOKUP(J170,'Validacion reclamo de equipaje'!L:M,2,0)</f>
        <v>50</v>
      </c>
      <c r="L170" s="51" t="str">
        <f>VLOOKUP(I170,'Validacion reclamo de equipaje'!H:I,2,0)</f>
        <v>Nacional</v>
      </c>
      <c r="M170" s="51" t="s">
        <v>522</v>
      </c>
    </row>
    <row r="171" spans="1:13" x14ac:dyDescent="0.25">
      <c r="A171">
        <v>2027</v>
      </c>
      <c r="B171" s="47" t="str">
        <f>VLOOKUP(Tabla6[[#This Row],['# Vuelo]],'Validacion reclamo de equipaje'!P:Q,2,0)</f>
        <v>MEXICO AEREO</v>
      </c>
      <c r="C171" s="52">
        <v>0.83958333333333324</v>
      </c>
      <c r="D171" s="52">
        <v>0.84444444444444444</v>
      </c>
      <c r="E171" s="53">
        <f>'Reclamo de equipaje rediseñado'!$D171-'Reclamo de equipaje rediseñado'!$C171</f>
        <v>4.8611111111112049E-3</v>
      </c>
      <c r="F171" s="52">
        <v>0.84722222222222221</v>
      </c>
      <c r="G171" s="53">
        <f t="shared" si="2"/>
        <v>2.7777777777777679E-3</v>
      </c>
      <c r="H171" s="54">
        <v>41713</v>
      </c>
      <c r="I171" s="55" t="s">
        <v>544</v>
      </c>
      <c r="J171" s="55" t="s">
        <v>535</v>
      </c>
      <c r="K171" s="55">
        <f>VLOOKUP(J171,'Validacion reclamo de equipaje'!L:M,2,0)</f>
        <v>50</v>
      </c>
      <c r="L171" s="55" t="str">
        <f>VLOOKUP(I171,'Validacion reclamo de equipaje'!H:I,2,0)</f>
        <v>Nacional</v>
      </c>
      <c r="M171" s="55" t="s">
        <v>522</v>
      </c>
    </row>
    <row r="172" spans="1:13" x14ac:dyDescent="0.25">
      <c r="A172">
        <v>2027</v>
      </c>
      <c r="B172" s="47" t="str">
        <f>VLOOKUP(Tabla6[[#This Row],['# Vuelo]],'Validacion reclamo de equipaje'!P:Q,2,0)</f>
        <v>MEXICO AEREO</v>
      </c>
      <c r="C172" s="48">
        <v>0.84375</v>
      </c>
      <c r="D172" s="48">
        <v>0.84722222222222221</v>
      </c>
      <c r="E172" s="49">
        <f>'Reclamo de equipaje rediseñado'!$D172-'Reclamo de equipaje rediseñado'!$C172</f>
        <v>3.4722222222222099E-3</v>
      </c>
      <c r="F172" s="48">
        <v>0.85</v>
      </c>
      <c r="G172" s="49">
        <f t="shared" si="2"/>
        <v>2.7777777777777679E-3</v>
      </c>
      <c r="H172" s="50">
        <v>41715</v>
      </c>
      <c r="I172" s="51" t="s">
        <v>544</v>
      </c>
      <c r="J172" s="51" t="s">
        <v>535</v>
      </c>
      <c r="K172" s="51">
        <f>VLOOKUP(J172,'Validacion reclamo de equipaje'!L:M,2,0)</f>
        <v>50</v>
      </c>
      <c r="L172" s="51" t="str">
        <f>VLOOKUP(I172,'Validacion reclamo de equipaje'!H:I,2,0)</f>
        <v>Nacional</v>
      </c>
      <c r="M172" s="51" t="s">
        <v>522</v>
      </c>
    </row>
    <row r="173" spans="1:13" x14ac:dyDescent="0.25">
      <c r="A173">
        <v>2027</v>
      </c>
      <c r="B173" s="47" t="str">
        <f>VLOOKUP(Tabla6[[#This Row],['# Vuelo]],'Validacion reclamo de equipaje'!P:Q,2,0)</f>
        <v>MEXICO AEREO</v>
      </c>
      <c r="C173" s="52">
        <v>0.84375</v>
      </c>
      <c r="D173" s="52">
        <v>0.85763888888888884</v>
      </c>
      <c r="E173" s="53">
        <f>'Reclamo de equipaje rediseñado'!$D173-'Reclamo de equipaje rediseñado'!$C173</f>
        <v>1.388888888888884E-2</v>
      </c>
      <c r="F173" s="52">
        <v>0.8618055555555556</v>
      </c>
      <c r="G173" s="53">
        <f t="shared" si="2"/>
        <v>4.1666666666667629E-3</v>
      </c>
      <c r="H173" s="54">
        <v>41716</v>
      </c>
      <c r="I173" s="55" t="s">
        <v>544</v>
      </c>
      <c r="J173" s="55" t="s">
        <v>535</v>
      </c>
      <c r="K173" s="55">
        <f>VLOOKUP(J173,'Validacion reclamo de equipaje'!L:M,2,0)</f>
        <v>50</v>
      </c>
      <c r="L173" s="55" t="str">
        <f>VLOOKUP(I173,'Validacion reclamo de equipaje'!H:I,2,0)</f>
        <v>Nacional</v>
      </c>
      <c r="M173" s="55" t="s">
        <v>522</v>
      </c>
    </row>
    <row r="174" spans="1:13" x14ac:dyDescent="0.25">
      <c r="A174">
        <v>2027</v>
      </c>
      <c r="B174" s="47" t="str">
        <f>VLOOKUP(Tabla6[[#This Row],['# Vuelo]],'Validacion reclamo de equipaje'!P:Q,2,0)</f>
        <v>MEXICO AEREO</v>
      </c>
      <c r="C174" s="48">
        <v>0.85</v>
      </c>
      <c r="D174" s="48">
        <v>0.86111111111111116</v>
      </c>
      <c r="E174" s="49">
        <f>'Reclamo de equipaje rediseñado'!$D174-'Reclamo de equipaje rediseñado'!$C174</f>
        <v>1.1111111111111183E-2</v>
      </c>
      <c r="F174" s="48">
        <v>0.86805555555555547</v>
      </c>
      <c r="G174" s="49">
        <f t="shared" si="2"/>
        <v>6.9444444444443088E-3</v>
      </c>
      <c r="H174" s="50">
        <v>41719</v>
      </c>
      <c r="I174" s="51" t="s">
        <v>544</v>
      </c>
      <c r="J174" s="51" t="s">
        <v>535</v>
      </c>
      <c r="K174" s="51">
        <f>VLOOKUP(J174,'Validacion reclamo de equipaje'!L:M,2,0)</f>
        <v>50</v>
      </c>
      <c r="L174" s="51" t="str">
        <f>VLOOKUP(I174,'Validacion reclamo de equipaje'!H:I,2,0)</f>
        <v>Nacional</v>
      </c>
      <c r="M174" s="51" t="s">
        <v>522</v>
      </c>
    </row>
    <row r="175" spans="1:13" x14ac:dyDescent="0.25">
      <c r="A175">
        <v>2027</v>
      </c>
      <c r="B175" s="47" t="str">
        <f>VLOOKUP(Tabla6[[#This Row],['# Vuelo]],'Validacion reclamo de equipaje'!P:Q,2,0)</f>
        <v>MEXICO AEREO</v>
      </c>
      <c r="C175" s="52">
        <v>0.84236111111111101</v>
      </c>
      <c r="D175" s="52">
        <v>0.84930555555555554</v>
      </c>
      <c r="E175" s="53">
        <f>'Reclamo de equipaje rediseñado'!$D175-'Reclamo de equipaje rediseñado'!$C175</f>
        <v>6.9444444444445308E-3</v>
      </c>
      <c r="F175" s="52">
        <v>0.85763888888888884</v>
      </c>
      <c r="G175" s="53">
        <f t="shared" si="2"/>
        <v>8.3333333333333037E-3</v>
      </c>
      <c r="H175" s="54">
        <v>41721</v>
      </c>
      <c r="I175" s="55" t="s">
        <v>544</v>
      </c>
      <c r="J175" s="55" t="s">
        <v>535</v>
      </c>
      <c r="K175" s="55">
        <f>VLOOKUP(J175,'Validacion reclamo de equipaje'!L:M,2,0)</f>
        <v>50</v>
      </c>
      <c r="L175" s="55" t="str">
        <f>VLOOKUP(I175,'Validacion reclamo de equipaje'!H:I,2,0)</f>
        <v>Nacional</v>
      </c>
      <c r="M175" s="55" t="s">
        <v>522</v>
      </c>
    </row>
    <row r="176" spans="1:13" x14ac:dyDescent="0.25">
      <c r="A176">
        <v>2027</v>
      </c>
      <c r="B176" s="47" t="str">
        <f>VLOOKUP(Tabla6[[#This Row],['# Vuelo]],'Validacion reclamo de equipaje'!P:Q,2,0)</f>
        <v>MEXICO AEREO</v>
      </c>
      <c r="C176" s="48">
        <v>0.85416666666666663</v>
      </c>
      <c r="D176" s="48">
        <v>0.8618055555555556</v>
      </c>
      <c r="E176" s="49">
        <f>'Reclamo de equipaje rediseñado'!$D176-'Reclamo de equipaje rediseñado'!$C176</f>
        <v>7.6388888888889728E-3</v>
      </c>
      <c r="F176" s="48">
        <v>0.8666666666666667</v>
      </c>
      <c r="G176" s="49">
        <f t="shared" si="2"/>
        <v>4.8611111111110938E-3</v>
      </c>
      <c r="H176" s="50">
        <v>41721</v>
      </c>
      <c r="I176" s="51" t="s">
        <v>544</v>
      </c>
      <c r="J176" s="51" t="s">
        <v>535</v>
      </c>
      <c r="K176" s="51">
        <f>VLOOKUP(J176,'Validacion reclamo de equipaje'!L:M,2,0)</f>
        <v>50</v>
      </c>
      <c r="L176" s="51" t="str">
        <f>VLOOKUP(I176,'Validacion reclamo de equipaje'!H:I,2,0)</f>
        <v>Nacional</v>
      </c>
      <c r="M176" s="51" t="s">
        <v>522</v>
      </c>
    </row>
    <row r="177" spans="1:13" x14ac:dyDescent="0.25">
      <c r="A177">
        <v>2027</v>
      </c>
      <c r="B177" s="47" t="str">
        <f>VLOOKUP(Tabla6[[#This Row],['# Vuelo]],'Validacion reclamo de equipaje'!P:Q,2,0)</f>
        <v>MEXICO AEREO</v>
      </c>
      <c r="C177" s="52">
        <v>0.88124999999999998</v>
      </c>
      <c r="D177" s="52">
        <v>0.8833333333333333</v>
      </c>
      <c r="E177" s="53">
        <f>'Reclamo de equipaje rediseñado'!$D177-'Reclamo de equipaje rediseñado'!$C177</f>
        <v>2.0833333333333259E-3</v>
      </c>
      <c r="F177" s="52">
        <v>0.89166666666666661</v>
      </c>
      <c r="G177" s="53">
        <f t="shared" si="2"/>
        <v>8.3333333333333037E-3</v>
      </c>
      <c r="H177" s="54">
        <v>41723</v>
      </c>
      <c r="I177" s="55" t="s">
        <v>544</v>
      </c>
      <c r="J177" s="55" t="s">
        <v>535</v>
      </c>
      <c r="K177" s="55">
        <f>VLOOKUP(J177,'Validacion reclamo de equipaje'!L:M,2,0)</f>
        <v>50</v>
      </c>
      <c r="L177" s="55" t="str">
        <f>VLOOKUP(I177,'Validacion reclamo de equipaje'!H:I,2,0)</f>
        <v>Nacional</v>
      </c>
      <c r="M177" s="55" t="s">
        <v>522</v>
      </c>
    </row>
    <row r="178" spans="1:13" x14ac:dyDescent="0.25">
      <c r="A178">
        <v>2027</v>
      </c>
      <c r="B178" s="47" t="str">
        <f>VLOOKUP(Tabla6[[#This Row],['# Vuelo]],'Validacion reclamo de equipaje'!P:Q,2,0)</f>
        <v>MEXICO AEREO</v>
      </c>
      <c r="C178" s="48">
        <v>0.87361111111111101</v>
      </c>
      <c r="D178" s="48">
        <v>0.87847222222222221</v>
      </c>
      <c r="E178" s="49">
        <f>'Reclamo de equipaje rediseñado'!$D178-'Reclamo de equipaje rediseñado'!$C178</f>
        <v>4.8611111111112049E-3</v>
      </c>
      <c r="F178" s="48">
        <v>0.88263888888888886</v>
      </c>
      <c r="G178" s="49">
        <f t="shared" si="2"/>
        <v>4.1666666666666519E-3</v>
      </c>
      <c r="H178" s="50">
        <v>41724</v>
      </c>
      <c r="I178" s="51" t="s">
        <v>544</v>
      </c>
      <c r="J178" s="51" t="s">
        <v>535</v>
      </c>
      <c r="K178" s="51">
        <f>VLOOKUP(J178,'Validacion reclamo de equipaje'!L:M,2,0)</f>
        <v>50</v>
      </c>
      <c r="L178" s="51" t="str">
        <f>VLOOKUP(I178,'Validacion reclamo de equipaje'!H:I,2,0)</f>
        <v>Nacional</v>
      </c>
      <c r="M178" s="51" t="s">
        <v>522</v>
      </c>
    </row>
    <row r="179" spans="1:13" x14ac:dyDescent="0.25">
      <c r="A179">
        <v>2027</v>
      </c>
      <c r="B179" s="47" t="str">
        <f>VLOOKUP(Tabla6[[#This Row],['# Vuelo]],'Validacion reclamo de equipaje'!P:Q,2,0)</f>
        <v>MEXICO AEREO</v>
      </c>
      <c r="C179" s="52">
        <v>0.85277777777777775</v>
      </c>
      <c r="D179" s="52">
        <v>0.85625000000000007</v>
      </c>
      <c r="E179" s="53">
        <f>'Reclamo de equipaje rediseñado'!$D179-'Reclamo de equipaje rediseñado'!$C179</f>
        <v>3.4722222222223209E-3</v>
      </c>
      <c r="F179" s="52">
        <v>0.8569444444444444</v>
      </c>
      <c r="G179" s="53">
        <f t="shared" si="2"/>
        <v>6.9444444444433095E-4</v>
      </c>
      <c r="H179" s="54">
        <v>41724</v>
      </c>
      <c r="I179" s="55" t="s">
        <v>544</v>
      </c>
      <c r="J179" s="55" t="s">
        <v>535</v>
      </c>
      <c r="K179" s="55">
        <f>VLOOKUP(J179,'Validacion reclamo de equipaje'!L:M,2,0)</f>
        <v>50</v>
      </c>
      <c r="L179" s="55" t="str">
        <f>VLOOKUP(I179,'Validacion reclamo de equipaje'!H:I,2,0)</f>
        <v>Nacional</v>
      </c>
      <c r="M179" s="55" t="s">
        <v>522</v>
      </c>
    </row>
    <row r="180" spans="1:13" x14ac:dyDescent="0.25">
      <c r="A180">
        <v>2027</v>
      </c>
      <c r="B180" s="47" t="str">
        <f>VLOOKUP(Tabla6[[#This Row],['# Vuelo]],'Validacion reclamo de equipaje'!P:Q,2,0)</f>
        <v>MEXICO AEREO</v>
      </c>
      <c r="C180" s="48">
        <v>0.87916666666666676</v>
      </c>
      <c r="D180" s="48">
        <v>0.88680555555555562</v>
      </c>
      <c r="E180" s="49">
        <f>'Reclamo de equipaje rediseñado'!$D180-'Reclamo de equipaje rediseñado'!$C180</f>
        <v>7.6388888888888618E-3</v>
      </c>
      <c r="F180" s="48">
        <v>0.89027777777777783</v>
      </c>
      <c r="G180" s="49">
        <f t="shared" si="2"/>
        <v>3.4722222222222099E-3</v>
      </c>
      <c r="H180" s="50">
        <v>41725</v>
      </c>
      <c r="I180" s="51" t="s">
        <v>544</v>
      </c>
      <c r="J180" s="51" t="s">
        <v>535</v>
      </c>
      <c r="K180" s="51">
        <f>VLOOKUP(J180,'Validacion reclamo de equipaje'!L:M,2,0)</f>
        <v>50</v>
      </c>
      <c r="L180" s="51" t="str">
        <f>VLOOKUP(I180,'Validacion reclamo de equipaje'!H:I,2,0)</f>
        <v>Nacional</v>
      </c>
      <c r="M180" s="51" t="s">
        <v>522</v>
      </c>
    </row>
    <row r="181" spans="1:13" x14ac:dyDescent="0.25">
      <c r="A181">
        <v>2027</v>
      </c>
      <c r="B181" s="47" t="str">
        <f>VLOOKUP(Tabla6[[#This Row],['# Vuelo]],'Validacion reclamo de equipaje'!P:Q,2,0)</f>
        <v>MEXICO AEREO</v>
      </c>
      <c r="C181" s="52">
        <v>0.83333333333333337</v>
      </c>
      <c r="D181" s="52">
        <v>0.84027777777777779</v>
      </c>
      <c r="E181" s="53">
        <f>'Reclamo de equipaje rediseñado'!$D181-'Reclamo de equipaje rediseñado'!$C181</f>
        <v>6.9444444444444198E-3</v>
      </c>
      <c r="F181" s="52">
        <v>0.84166666666666667</v>
      </c>
      <c r="G181" s="53">
        <f t="shared" si="2"/>
        <v>1.388888888888884E-3</v>
      </c>
      <c r="H181" s="54">
        <v>41727</v>
      </c>
      <c r="I181" s="55" t="s">
        <v>544</v>
      </c>
      <c r="J181" s="55" t="s">
        <v>535</v>
      </c>
      <c r="K181" s="55">
        <f>VLOOKUP(J181,'Validacion reclamo de equipaje'!L:M,2,0)</f>
        <v>50</v>
      </c>
      <c r="L181" s="55" t="str">
        <f>VLOOKUP(I181,'Validacion reclamo de equipaje'!H:I,2,0)</f>
        <v>Nacional</v>
      </c>
      <c r="M181" s="55" t="s">
        <v>522</v>
      </c>
    </row>
    <row r="182" spans="1:13" x14ac:dyDescent="0.25">
      <c r="A182">
        <v>2027</v>
      </c>
      <c r="B182" s="47" t="str">
        <f>VLOOKUP(Tabla6[[#This Row],['# Vuelo]],'Validacion reclamo de equipaje'!P:Q,2,0)</f>
        <v>MEXICO AEREO</v>
      </c>
      <c r="C182" s="48">
        <v>0.8520833333333333</v>
      </c>
      <c r="D182" s="48">
        <v>0.85833333333333339</v>
      </c>
      <c r="E182" s="49">
        <f>'Reclamo de equipaje rediseñado'!$D182-'Reclamo de equipaje rediseñado'!$C182</f>
        <v>6.2500000000000888E-3</v>
      </c>
      <c r="F182" s="48">
        <v>0.8618055555555556</v>
      </c>
      <c r="G182" s="49">
        <f t="shared" si="2"/>
        <v>3.4722222222222099E-3</v>
      </c>
      <c r="H182" s="50">
        <v>41716</v>
      </c>
      <c r="I182" s="51" t="s">
        <v>544</v>
      </c>
      <c r="J182" s="51" t="s">
        <v>535</v>
      </c>
      <c r="K182" s="51">
        <f>VLOOKUP(J182,'Validacion reclamo de equipaje'!L:M,2,0)</f>
        <v>50</v>
      </c>
      <c r="L182" s="51" t="str">
        <f>VLOOKUP(I182,'Validacion reclamo de equipaje'!H:I,2,0)</f>
        <v>Nacional</v>
      </c>
      <c r="M182" s="51" t="s">
        <v>522</v>
      </c>
    </row>
    <row r="183" spans="1:13" x14ac:dyDescent="0.25">
      <c r="A183">
        <v>2015</v>
      </c>
      <c r="B183" s="47" t="str">
        <f>VLOOKUP(Tabla6[[#This Row],['# Vuelo]],'Validacion reclamo de equipaje'!P:Q,2,0)</f>
        <v>MEXICO AEREO</v>
      </c>
      <c r="C183" s="52">
        <v>0.84166666666666667</v>
      </c>
      <c r="D183" s="52">
        <v>0.84722222222222221</v>
      </c>
      <c r="E183" s="53">
        <f>'Reclamo de equipaje rediseñado'!$D183-'Reclamo de equipaje rediseñado'!$C183</f>
        <v>5.5555555555555358E-3</v>
      </c>
      <c r="F183" s="52">
        <v>0.8520833333333333</v>
      </c>
      <c r="G183" s="53">
        <f t="shared" si="2"/>
        <v>4.8611111111110938E-3</v>
      </c>
      <c r="H183" s="54">
        <v>41726</v>
      </c>
      <c r="I183" s="55" t="s">
        <v>551</v>
      </c>
      <c r="J183" s="55" t="s">
        <v>535</v>
      </c>
      <c r="K183" s="55">
        <f>VLOOKUP(J183,'Validacion reclamo de equipaje'!L:M,2,0)</f>
        <v>50</v>
      </c>
      <c r="L183" s="55" t="str">
        <f>VLOOKUP(I183,'Validacion reclamo de equipaje'!H:I,2,0)</f>
        <v>Nacional</v>
      </c>
      <c r="M183" s="55" t="s">
        <v>522</v>
      </c>
    </row>
    <row r="184" spans="1:13" x14ac:dyDescent="0.25">
      <c r="A184">
        <v>2015</v>
      </c>
      <c r="B184" s="47" t="str">
        <f>VLOOKUP(Tabla6[[#This Row],['# Vuelo]],'Validacion reclamo de equipaje'!P:Q,2,0)</f>
        <v>MEXICO AEREO</v>
      </c>
      <c r="C184" s="48">
        <v>0.44027777777777777</v>
      </c>
      <c r="D184" s="48">
        <v>0.44444444444444442</v>
      </c>
      <c r="E184" s="49">
        <f>'Reclamo de equipaje rediseñado'!$D184-'Reclamo de equipaje rediseñado'!$C184</f>
        <v>4.1666666666666519E-3</v>
      </c>
      <c r="F184" s="48">
        <v>0.45069444444444445</v>
      </c>
      <c r="G184" s="49">
        <f t="shared" si="2"/>
        <v>6.2500000000000333E-3</v>
      </c>
      <c r="H184" s="50">
        <v>41714</v>
      </c>
      <c r="I184" s="51" t="s">
        <v>551</v>
      </c>
      <c r="J184" s="51" t="s">
        <v>535</v>
      </c>
      <c r="K184" s="51">
        <f>VLOOKUP(J184,'Validacion reclamo de equipaje'!L:M,2,0)</f>
        <v>50</v>
      </c>
      <c r="L184" s="51" t="str">
        <f>VLOOKUP(I184,'Validacion reclamo de equipaje'!H:I,2,0)</f>
        <v>Nacional</v>
      </c>
      <c r="M184" s="51" t="s">
        <v>522</v>
      </c>
    </row>
    <row r="185" spans="1:13" x14ac:dyDescent="0.25">
      <c r="A185">
        <v>2015</v>
      </c>
      <c r="B185" s="47" t="str">
        <f>VLOOKUP(Tabla6[[#This Row],['# Vuelo]],'Validacion reclamo de equipaje'!P:Q,2,0)</f>
        <v>MEXICO AEREO</v>
      </c>
      <c r="C185" s="52">
        <v>0.43333333333333335</v>
      </c>
      <c r="D185" s="52">
        <v>0.43611111111111112</v>
      </c>
      <c r="E185" s="53">
        <f>'Reclamo de equipaje rediseñado'!$D185-'Reclamo de equipaje rediseñado'!$C185</f>
        <v>2.7777777777777679E-3</v>
      </c>
      <c r="F185" s="52">
        <v>0.4458333333333333</v>
      </c>
      <c r="G185" s="53">
        <f t="shared" si="2"/>
        <v>9.7222222222221877E-3</v>
      </c>
      <c r="H185" s="54">
        <v>41716</v>
      </c>
      <c r="I185" s="55" t="s">
        <v>551</v>
      </c>
      <c r="J185" s="55" t="s">
        <v>535</v>
      </c>
      <c r="K185" s="55">
        <f>VLOOKUP(J185,'Validacion reclamo de equipaje'!L:M,2,0)</f>
        <v>50</v>
      </c>
      <c r="L185" s="55" t="str">
        <f>VLOOKUP(I185,'Validacion reclamo de equipaje'!H:I,2,0)</f>
        <v>Nacional</v>
      </c>
      <c r="M185" s="55" t="s">
        <v>522</v>
      </c>
    </row>
    <row r="186" spans="1:13" x14ac:dyDescent="0.25">
      <c r="A186">
        <v>2015</v>
      </c>
      <c r="B186" s="47" t="str">
        <f>VLOOKUP(Tabla6[[#This Row],['# Vuelo]],'Validacion reclamo de equipaje'!P:Q,2,0)</f>
        <v>MEXICO AEREO</v>
      </c>
      <c r="C186" s="48">
        <v>0.44444444444444442</v>
      </c>
      <c r="D186" s="48">
        <v>0.44722222222222219</v>
      </c>
      <c r="E186" s="49">
        <f>'Reclamo de equipaje rediseñado'!$D186-'Reclamo de equipaje rediseñado'!$C186</f>
        <v>2.7777777777777679E-3</v>
      </c>
      <c r="F186" s="48">
        <v>0.45347222222222222</v>
      </c>
      <c r="G186" s="49">
        <f t="shared" si="2"/>
        <v>6.2500000000000333E-3</v>
      </c>
      <c r="H186" s="50">
        <v>41720</v>
      </c>
      <c r="I186" s="51" t="s">
        <v>551</v>
      </c>
      <c r="J186" s="51" t="s">
        <v>535</v>
      </c>
      <c r="K186" s="51">
        <f>VLOOKUP(J186,'Validacion reclamo de equipaje'!L:M,2,0)</f>
        <v>50</v>
      </c>
      <c r="L186" s="51" t="str">
        <f>VLOOKUP(I186,'Validacion reclamo de equipaje'!H:I,2,0)</f>
        <v>Nacional</v>
      </c>
      <c r="M186" s="51" t="s">
        <v>522</v>
      </c>
    </row>
    <row r="187" spans="1:13" x14ac:dyDescent="0.25">
      <c r="A187">
        <v>2015</v>
      </c>
      <c r="B187" s="47" t="str">
        <f>VLOOKUP(Tabla6[[#This Row],['# Vuelo]],'Validacion reclamo de equipaje'!P:Q,2,0)</f>
        <v>MEXICO AEREO</v>
      </c>
      <c r="C187" s="52">
        <v>0.43124999999999997</v>
      </c>
      <c r="D187" s="52">
        <v>0.43541666666666662</v>
      </c>
      <c r="E187" s="53">
        <f>'Reclamo de equipaje rediseñado'!$D187-'Reclamo de equipaje rediseñado'!$C187</f>
        <v>4.1666666666666519E-3</v>
      </c>
      <c r="F187" s="52">
        <v>0.44166666666666665</v>
      </c>
      <c r="G187" s="53">
        <f t="shared" si="2"/>
        <v>6.2500000000000333E-3</v>
      </c>
      <c r="H187" s="54">
        <v>41721</v>
      </c>
      <c r="I187" s="55" t="s">
        <v>551</v>
      </c>
      <c r="J187" s="55" t="s">
        <v>535</v>
      </c>
      <c r="K187" s="55">
        <f>VLOOKUP(J187,'Validacion reclamo de equipaje'!L:M,2,0)</f>
        <v>50</v>
      </c>
      <c r="L187" s="55" t="str">
        <f>VLOOKUP(I187,'Validacion reclamo de equipaje'!H:I,2,0)</f>
        <v>Nacional</v>
      </c>
      <c r="M187" s="55" t="s">
        <v>522</v>
      </c>
    </row>
    <row r="188" spans="1:13" x14ac:dyDescent="0.25">
      <c r="A188">
        <v>2015</v>
      </c>
      <c r="B188" s="47" t="str">
        <f>VLOOKUP(Tabla6[[#This Row],['# Vuelo]],'Validacion reclamo de equipaje'!P:Q,2,0)</f>
        <v>MEXICO AEREO</v>
      </c>
      <c r="C188" s="48">
        <v>0.44444444444444442</v>
      </c>
      <c r="D188" s="48">
        <v>0.4458333333333333</v>
      </c>
      <c r="E188" s="49">
        <f>'Reclamo de equipaje rediseñado'!$D188-'Reclamo de equipaje rediseñado'!$C188</f>
        <v>1.388888888888884E-3</v>
      </c>
      <c r="F188" s="48">
        <v>0.44791666666666669</v>
      </c>
      <c r="G188" s="49">
        <f t="shared" si="2"/>
        <v>2.0833333333333814E-3</v>
      </c>
      <c r="H188" s="50">
        <v>41722</v>
      </c>
      <c r="I188" s="51" t="s">
        <v>551</v>
      </c>
      <c r="J188" s="51" t="s">
        <v>535</v>
      </c>
      <c r="K188" s="51">
        <f>VLOOKUP(J188,'Validacion reclamo de equipaje'!L:M,2,0)</f>
        <v>50</v>
      </c>
      <c r="L188" s="51" t="str">
        <f>VLOOKUP(I188,'Validacion reclamo de equipaje'!H:I,2,0)</f>
        <v>Nacional</v>
      </c>
      <c r="M188" s="51" t="s">
        <v>522</v>
      </c>
    </row>
    <row r="189" spans="1:13" x14ac:dyDescent="0.25">
      <c r="A189">
        <v>2015</v>
      </c>
      <c r="B189" s="47" t="str">
        <f>VLOOKUP(Tabla6[[#This Row],['# Vuelo]],'Validacion reclamo de equipaje'!P:Q,2,0)</f>
        <v>MEXICO AEREO</v>
      </c>
      <c r="C189" s="52">
        <v>0.4375</v>
      </c>
      <c r="D189" s="52">
        <v>0.43888888888888888</v>
      </c>
      <c r="E189" s="53">
        <f>'Reclamo de equipaje rediseñado'!$D189-'Reclamo de equipaje rediseñado'!$C189</f>
        <v>1.388888888888884E-3</v>
      </c>
      <c r="F189" s="52">
        <v>0.44930555555555557</v>
      </c>
      <c r="G189" s="53">
        <f t="shared" si="2"/>
        <v>1.0416666666666685E-2</v>
      </c>
      <c r="H189" s="54">
        <v>41726</v>
      </c>
      <c r="I189" s="55" t="s">
        <v>551</v>
      </c>
      <c r="J189" s="55" t="s">
        <v>535</v>
      </c>
      <c r="K189" s="55">
        <f>VLOOKUP(J189,'Validacion reclamo de equipaje'!L:M,2,0)</f>
        <v>50</v>
      </c>
      <c r="L189" s="55" t="str">
        <f>VLOOKUP(I189,'Validacion reclamo de equipaje'!H:I,2,0)</f>
        <v>Nacional</v>
      </c>
      <c r="M189" s="55" t="s">
        <v>522</v>
      </c>
    </row>
    <row r="190" spans="1:13" x14ac:dyDescent="0.25">
      <c r="A190">
        <v>2015</v>
      </c>
      <c r="B190" s="47" t="str">
        <f>VLOOKUP(Tabla6[[#This Row],['# Vuelo]],'Validacion reclamo de equipaje'!P:Q,2,0)</f>
        <v>MEXICO AEREO</v>
      </c>
      <c r="C190" s="48">
        <v>0.4694444444444445</v>
      </c>
      <c r="D190" s="48">
        <v>0.47500000000000003</v>
      </c>
      <c r="E190" s="49">
        <f>'Reclamo de equipaje rediseñado'!$D190-'Reclamo de equipaje rediseñado'!$C190</f>
        <v>5.5555555555555358E-3</v>
      </c>
      <c r="F190" s="48">
        <v>0.48402777777777778</v>
      </c>
      <c r="G190" s="49">
        <f t="shared" si="2"/>
        <v>9.0277777777777457E-3</v>
      </c>
      <c r="H190" s="50">
        <v>41727</v>
      </c>
      <c r="I190" s="51" t="s">
        <v>551</v>
      </c>
      <c r="J190" s="51" t="s">
        <v>535</v>
      </c>
      <c r="K190" s="51">
        <f>VLOOKUP(J190,'Validacion reclamo de equipaje'!L:M,2,0)</f>
        <v>50</v>
      </c>
      <c r="L190" s="51" t="str">
        <f>VLOOKUP(I190,'Validacion reclamo de equipaje'!H:I,2,0)</f>
        <v>Nacional</v>
      </c>
      <c r="M190" s="51" t="s">
        <v>522</v>
      </c>
    </row>
    <row r="191" spans="1:13" x14ac:dyDescent="0.25">
      <c r="A191">
        <v>2015</v>
      </c>
      <c r="B191" s="47" t="str">
        <f>VLOOKUP(Tabla6[[#This Row],['# Vuelo]],'Validacion reclamo de equipaje'!P:Q,2,0)</f>
        <v>MEXICO AEREO</v>
      </c>
      <c r="C191" s="52">
        <v>0.43055555555555558</v>
      </c>
      <c r="D191" s="52">
        <v>0.43194444444444446</v>
      </c>
      <c r="E191" s="53">
        <f>'Reclamo de equipaje rediseñado'!$D191-'Reclamo de equipaje rediseñado'!$C191</f>
        <v>1.388888888888884E-3</v>
      </c>
      <c r="F191" s="52">
        <v>0.4368055555555555</v>
      </c>
      <c r="G191" s="53">
        <f t="shared" si="2"/>
        <v>4.8611111111110383E-3</v>
      </c>
      <c r="H191" s="54">
        <v>41729</v>
      </c>
      <c r="I191" s="55" t="s">
        <v>551</v>
      </c>
      <c r="J191" s="55" t="s">
        <v>535</v>
      </c>
      <c r="K191" s="55">
        <f>VLOOKUP(J191,'Validacion reclamo de equipaje'!L:M,2,0)</f>
        <v>50</v>
      </c>
      <c r="L191" s="55" t="str">
        <f>VLOOKUP(I191,'Validacion reclamo de equipaje'!H:I,2,0)</f>
        <v>Nacional</v>
      </c>
      <c r="M191" s="55" t="s">
        <v>522</v>
      </c>
    </row>
    <row r="192" spans="1:13" x14ac:dyDescent="0.25">
      <c r="A192">
        <v>2015</v>
      </c>
      <c r="B192" s="47" t="str">
        <f>VLOOKUP(Tabla6[[#This Row],['# Vuelo]],'Validacion reclamo de equipaje'!P:Q,2,0)</f>
        <v>MEXICO AEREO</v>
      </c>
      <c r="C192" s="48">
        <v>0.45902777777777781</v>
      </c>
      <c r="D192" s="48">
        <v>0.46249999999999997</v>
      </c>
      <c r="E192" s="49">
        <f>'Reclamo de equipaje rediseñado'!$D192-'Reclamo de equipaje rediseñado'!$C192</f>
        <v>3.4722222222221544E-3</v>
      </c>
      <c r="F192" s="48">
        <v>0.47013888888888888</v>
      </c>
      <c r="G192" s="49">
        <f t="shared" si="2"/>
        <v>7.6388888888889173E-3</v>
      </c>
      <c r="H192" s="50">
        <v>41717</v>
      </c>
      <c r="I192" s="51" t="s">
        <v>551</v>
      </c>
      <c r="J192" s="51" t="s">
        <v>535</v>
      </c>
      <c r="K192" s="51">
        <f>VLOOKUP(J192,'Validacion reclamo de equipaje'!L:M,2,0)</f>
        <v>50</v>
      </c>
      <c r="L192" s="51" t="str">
        <f>VLOOKUP(I192,'Validacion reclamo de equipaje'!H:I,2,0)</f>
        <v>Nacional</v>
      </c>
      <c r="M192" s="51" t="s">
        <v>522</v>
      </c>
    </row>
    <row r="193" spans="1:13" x14ac:dyDescent="0.25">
      <c r="A193">
        <v>2012</v>
      </c>
      <c r="B193" s="47" t="str">
        <f>VLOOKUP(Tabla6[[#This Row],['# Vuelo]],'Validacion reclamo de equipaje'!P:Q,2,0)</f>
        <v>MEXICO AEREO</v>
      </c>
      <c r="C193" s="52">
        <v>0.70138888888888884</v>
      </c>
      <c r="D193" s="52">
        <v>0.70277777777777783</v>
      </c>
      <c r="E193" s="53">
        <f>'Reclamo de equipaje rediseñado'!$D193-'Reclamo de equipaje rediseñado'!$C193</f>
        <v>1.388888888888995E-3</v>
      </c>
      <c r="F193" s="52">
        <v>0.70763888888888893</v>
      </c>
      <c r="G193" s="53">
        <f t="shared" si="2"/>
        <v>4.8611111111110938E-3</v>
      </c>
      <c r="H193" s="54">
        <v>41714</v>
      </c>
      <c r="I193" s="55" t="s">
        <v>544</v>
      </c>
      <c r="J193" s="55" t="s">
        <v>535</v>
      </c>
      <c r="K193" s="55">
        <f>VLOOKUP(J193,'Validacion reclamo de equipaje'!L:M,2,0)</f>
        <v>50</v>
      </c>
      <c r="L193" s="55" t="str">
        <f>VLOOKUP(I193,'Validacion reclamo de equipaje'!H:I,2,0)</f>
        <v>Nacional</v>
      </c>
      <c r="M193" s="55" t="s">
        <v>522</v>
      </c>
    </row>
    <row r="194" spans="1:13" x14ac:dyDescent="0.25">
      <c r="A194">
        <v>2012</v>
      </c>
      <c r="B194" s="47" t="str">
        <f>VLOOKUP(Tabla6[[#This Row],['# Vuelo]],'Validacion reclamo de equipaje'!P:Q,2,0)</f>
        <v>MEXICO AEREO</v>
      </c>
      <c r="C194" s="48">
        <v>0.72222222222222221</v>
      </c>
      <c r="D194" s="48">
        <v>0.72916666666666663</v>
      </c>
      <c r="E194" s="49">
        <f>'Reclamo de equipaje rediseñado'!$D194-'Reclamo de equipaje rediseñado'!$C194</f>
        <v>6.9444444444444198E-3</v>
      </c>
      <c r="F194" s="48">
        <v>0.73472222222222217</v>
      </c>
      <c r="G194" s="49">
        <f t="shared" si="2"/>
        <v>5.5555555555555358E-3</v>
      </c>
      <c r="H194" s="50">
        <v>41715</v>
      </c>
      <c r="I194" s="51" t="s">
        <v>544</v>
      </c>
      <c r="J194" s="51" t="s">
        <v>535</v>
      </c>
      <c r="K194" s="51">
        <f>VLOOKUP(J194,'Validacion reclamo de equipaje'!L:M,2,0)</f>
        <v>50</v>
      </c>
      <c r="L194" s="51" t="str">
        <f>VLOOKUP(I194,'Validacion reclamo de equipaje'!H:I,2,0)</f>
        <v>Nacional</v>
      </c>
      <c r="M194" s="51" t="s">
        <v>522</v>
      </c>
    </row>
    <row r="195" spans="1:13" x14ac:dyDescent="0.25">
      <c r="A195">
        <v>2012</v>
      </c>
      <c r="B195" s="47" t="str">
        <f>VLOOKUP(Tabla6[[#This Row],['# Vuelo]],'Validacion reclamo de equipaje'!P:Q,2,0)</f>
        <v>MEXICO AEREO</v>
      </c>
      <c r="C195" s="52">
        <v>0.69861111111111107</v>
      </c>
      <c r="D195" s="52">
        <v>0.7055555555555556</v>
      </c>
      <c r="E195" s="53">
        <f>'Reclamo de equipaje rediseñado'!$D195-'Reclamo de equipaje rediseñado'!$C195</f>
        <v>6.9444444444445308E-3</v>
      </c>
      <c r="F195" s="52">
        <v>0.71180555555555547</v>
      </c>
      <c r="G195" s="53">
        <f t="shared" ref="G195:G258" si="3">F195-D195</f>
        <v>6.2499999999998668E-3</v>
      </c>
      <c r="H195" s="54">
        <v>41717</v>
      </c>
      <c r="I195" s="55" t="s">
        <v>544</v>
      </c>
      <c r="J195" s="55" t="s">
        <v>535</v>
      </c>
      <c r="K195" s="55">
        <f>VLOOKUP(J195,'Validacion reclamo de equipaje'!L:M,2,0)</f>
        <v>50</v>
      </c>
      <c r="L195" s="55" t="str">
        <f>VLOOKUP(I195,'Validacion reclamo de equipaje'!H:I,2,0)</f>
        <v>Nacional</v>
      </c>
      <c r="M195" s="55" t="s">
        <v>522</v>
      </c>
    </row>
    <row r="196" spans="1:13" x14ac:dyDescent="0.25">
      <c r="A196">
        <v>2012</v>
      </c>
      <c r="B196" s="47" t="str">
        <f>VLOOKUP(Tabla6[[#This Row],['# Vuelo]],'Validacion reclamo de equipaje'!P:Q,2,0)</f>
        <v>MEXICO AEREO</v>
      </c>
      <c r="C196" s="48">
        <v>0.69791666666666663</v>
      </c>
      <c r="D196" s="48">
        <v>0.70208333333333339</v>
      </c>
      <c r="E196" s="49">
        <f>'Reclamo de equipaje rediseñado'!$D196-'Reclamo de equipaje rediseñado'!$C196</f>
        <v>4.1666666666667629E-3</v>
      </c>
      <c r="F196" s="48">
        <v>0.70763888888888893</v>
      </c>
      <c r="G196" s="49">
        <f t="shared" si="3"/>
        <v>5.5555555555555358E-3</v>
      </c>
      <c r="H196" s="50">
        <v>41718</v>
      </c>
      <c r="I196" s="51" t="s">
        <v>544</v>
      </c>
      <c r="J196" s="51" t="s">
        <v>535</v>
      </c>
      <c r="K196" s="51">
        <f>VLOOKUP(J196,'Validacion reclamo de equipaje'!L:M,2,0)</f>
        <v>50</v>
      </c>
      <c r="L196" s="51" t="str">
        <f>VLOOKUP(I196,'Validacion reclamo de equipaje'!H:I,2,0)</f>
        <v>Nacional</v>
      </c>
      <c r="M196" s="51" t="s">
        <v>522</v>
      </c>
    </row>
    <row r="197" spans="1:13" x14ac:dyDescent="0.25">
      <c r="A197">
        <v>2012</v>
      </c>
      <c r="B197" s="47" t="str">
        <f>VLOOKUP(Tabla6[[#This Row],['# Vuelo]],'Validacion reclamo de equipaje'!P:Q,2,0)</f>
        <v>MEXICO AEREO</v>
      </c>
      <c r="C197" s="52">
        <v>0.70486111111111116</v>
      </c>
      <c r="D197" s="52">
        <v>0.71388888888888891</v>
      </c>
      <c r="E197" s="53">
        <f>'Reclamo de equipaje rediseñado'!$D197-'Reclamo de equipaje rediseñado'!$C197</f>
        <v>9.0277777777777457E-3</v>
      </c>
      <c r="F197" s="52">
        <v>0.71875</v>
      </c>
      <c r="G197" s="53">
        <f t="shared" si="3"/>
        <v>4.8611111111110938E-3</v>
      </c>
      <c r="H197" s="54">
        <v>41720</v>
      </c>
      <c r="I197" s="55" t="s">
        <v>544</v>
      </c>
      <c r="J197" s="55" t="s">
        <v>535</v>
      </c>
      <c r="K197" s="55">
        <f>VLOOKUP(J197,'Validacion reclamo de equipaje'!L:M,2,0)</f>
        <v>50</v>
      </c>
      <c r="L197" s="55" t="str">
        <f>VLOOKUP(I197,'Validacion reclamo de equipaje'!H:I,2,0)</f>
        <v>Nacional</v>
      </c>
      <c r="M197" s="55" t="s">
        <v>522</v>
      </c>
    </row>
    <row r="198" spans="1:13" x14ac:dyDescent="0.25">
      <c r="A198">
        <v>2012</v>
      </c>
      <c r="B198" s="47" t="str">
        <f>VLOOKUP(Tabla6[[#This Row],['# Vuelo]],'Validacion reclamo de equipaje'!P:Q,2,0)</f>
        <v>MEXICO AEREO</v>
      </c>
      <c r="C198" s="48">
        <v>0.70624999999999993</v>
      </c>
      <c r="D198" s="48">
        <v>0.71319444444444446</v>
      </c>
      <c r="E198" s="49">
        <f>'Reclamo de equipaje rediseñado'!$D198-'Reclamo de equipaje rediseñado'!$C198</f>
        <v>6.9444444444445308E-3</v>
      </c>
      <c r="F198" s="48">
        <v>0.71527777777777779</v>
      </c>
      <c r="G198" s="49">
        <f t="shared" si="3"/>
        <v>2.0833333333333259E-3</v>
      </c>
      <c r="H198" s="50">
        <v>41721</v>
      </c>
      <c r="I198" s="51" t="s">
        <v>544</v>
      </c>
      <c r="J198" s="51" t="s">
        <v>535</v>
      </c>
      <c r="K198" s="51">
        <f>VLOOKUP(J198,'Validacion reclamo de equipaje'!L:M,2,0)</f>
        <v>50</v>
      </c>
      <c r="L198" s="51" t="str">
        <f>VLOOKUP(I198,'Validacion reclamo de equipaje'!H:I,2,0)</f>
        <v>Nacional</v>
      </c>
      <c r="M198" s="51" t="s">
        <v>522</v>
      </c>
    </row>
    <row r="199" spans="1:13" x14ac:dyDescent="0.25">
      <c r="A199">
        <v>2012</v>
      </c>
      <c r="B199" s="47" t="str">
        <f>VLOOKUP(Tabla6[[#This Row],['# Vuelo]],'Validacion reclamo de equipaje'!P:Q,2,0)</f>
        <v>MEXICO AEREO</v>
      </c>
      <c r="C199" s="52">
        <v>0.70208333333333339</v>
      </c>
      <c r="D199" s="52">
        <v>0.70416666666666661</v>
      </c>
      <c r="E199" s="53">
        <f>'Reclamo de equipaje rediseñado'!$D199-'Reclamo de equipaje rediseñado'!$C199</f>
        <v>2.0833333333332149E-3</v>
      </c>
      <c r="F199" s="52">
        <v>0.70763888888888893</v>
      </c>
      <c r="G199" s="53">
        <f t="shared" si="3"/>
        <v>3.4722222222223209E-3</v>
      </c>
      <c r="H199" s="54">
        <v>41722</v>
      </c>
      <c r="I199" s="55" t="s">
        <v>544</v>
      </c>
      <c r="J199" s="55" t="s">
        <v>535</v>
      </c>
      <c r="K199" s="55">
        <f>VLOOKUP(J199,'Validacion reclamo de equipaje'!L:M,2,0)</f>
        <v>50</v>
      </c>
      <c r="L199" s="55" t="str">
        <f>VLOOKUP(I199,'Validacion reclamo de equipaje'!H:I,2,0)</f>
        <v>Nacional</v>
      </c>
      <c r="M199" s="55" t="s">
        <v>522</v>
      </c>
    </row>
    <row r="200" spans="1:13" x14ac:dyDescent="0.25">
      <c r="A200">
        <v>2012</v>
      </c>
      <c r="B200" s="47" t="str">
        <f>VLOOKUP(Tabla6[[#This Row],['# Vuelo]],'Validacion reclamo de equipaje'!P:Q,2,0)</f>
        <v>MEXICO AEREO</v>
      </c>
      <c r="C200" s="48">
        <v>0.73125000000000007</v>
      </c>
      <c r="D200" s="48">
        <v>0.73958333333333337</v>
      </c>
      <c r="E200" s="49">
        <f>'Reclamo de equipaje rediseñado'!$D200-'Reclamo de equipaje rediseñado'!$C200</f>
        <v>8.3333333333333037E-3</v>
      </c>
      <c r="F200" s="48">
        <v>0.74513888888888891</v>
      </c>
      <c r="G200" s="49">
        <f t="shared" si="3"/>
        <v>5.5555555555555358E-3</v>
      </c>
      <c r="H200" s="50">
        <v>41725</v>
      </c>
      <c r="I200" s="51" t="s">
        <v>544</v>
      </c>
      <c r="J200" s="51" t="s">
        <v>535</v>
      </c>
      <c r="K200" s="51">
        <f>VLOOKUP(J200,'Validacion reclamo de equipaje'!L:M,2,0)</f>
        <v>50</v>
      </c>
      <c r="L200" s="51" t="str">
        <f>VLOOKUP(I200,'Validacion reclamo de equipaje'!H:I,2,0)</f>
        <v>Nacional</v>
      </c>
      <c r="M200" s="51" t="s">
        <v>522</v>
      </c>
    </row>
    <row r="201" spans="1:13" x14ac:dyDescent="0.25">
      <c r="A201">
        <v>2012</v>
      </c>
      <c r="B201" s="47" t="str">
        <f>VLOOKUP(Tabla6[[#This Row],['# Vuelo]],'Validacion reclamo de equipaje'!P:Q,2,0)</f>
        <v>MEXICO AEREO</v>
      </c>
      <c r="C201" s="52">
        <v>0.7284722222222223</v>
      </c>
      <c r="D201" s="52">
        <v>0.73333333333333339</v>
      </c>
      <c r="E201" s="53">
        <f>'Reclamo de equipaje rediseñado'!$D201-'Reclamo de equipaje rediseñado'!$C201</f>
        <v>4.8611111111110938E-3</v>
      </c>
      <c r="F201" s="52">
        <v>0.73541666666666661</v>
      </c>
      <c r="G201" s="53">
        <f t="shared" si="3"/>
        <v>2.0833333333332149E-3</v>
      </c>
      <c r="H201" s="54">
        <v>41725</v>
      </c>
      <c r="I201" s="55" t="s">
        <v>544</v>
      </c>
      <c r="J201" s="55" t="s">
        <v>535</v>
      </c>
      <c r="K201" s="55">
        <f>VLOOKUP(J201,'Validacion reclamo de equipaje'!L:M,2,0)</f>
        <v>50</v>
      </c>
      <c r="L201" s="55" t="str">
        <f>VLOOKUP(I201,'Validacion reclamo de equipaje'!H:I,2,0)</f>
        <v>Nacional</v>
      </c>
      <c r="M201" s="55" t="s">
        <v>522</v>
      </c>
    </row>
    <row r="202" spans="1:13" x14ac:dyDescent="0.25">
      <c r="A202">
        <v>2012</v>
      </c>
      <c r="B202" s="47" t="str">
        <f>VLOOKUP(Tabla6[[#This Row],['# Vuelo]],'Validacion reclamo de equipaje'!P:Q,2,0)</f>
        <v>MEXICO AEREO</v>
      </c>
      <c r="C202" s="48">
        <v>0.69374999999999998</v>
      </c>
      <c r="D202" s="48">
        <v>0.6958333333333333</v>
      </c>
      <c r="E202" s="49">
        <f>'Reclamo de equipaje rediseñado'!$D202-'Reclamo de equipaje rediseñado'!$C202</f>
        <v>2.0833333333333259E-3</v>
      </c>
      <c r="F202" s="48">
        <v>0.69930555555555562</v>
      </c>
      <c r="G202" s="49">
        <f t="shared" si="3"/>
        <v>3.4722222222223209E-3</v>
      </c>
      <c r="H202" s="50">
        <v>41729</v>
      </c>
      <c r="I202" s="51" t="s">
        <v>544</v>
      </c>
      <c r="J202" s="51" t="s">
        <v>535</v>
      </c>
      <c r="K202" s="51">
        <f>VLOOKUP(J202,'Validacion reclamo de equipaje'!L:M,2,0)</f>
        <v>50</v>
      </c>
      <c r="L202" s="51" t="str">
        <f>VLOOKUP(I202,'Validacion reclamo de equipaje'!H:I,2,0)</f>
        <v>Nacional</v>
      </c>
      <c r="M202" s="51" t="s">
        <v>522</v>
      </c>
    </row>
    <row r="203" spans="1:13" x14ac:dyDescent="0.25">
      <c r="A203">
        <v>2011</v>
      </c>
      <c r="B203" s="47" t="str">
        <f>VLOOKUP(Tabla6[[#This Row],['# Vuelo]],'Validacion reclamo de equipaje'!P:Q,2,0)</f>
        <v>MEXICO AEREO</v>
      </c>
      <c r="C203" s="52">
        <v>0.58124999999999993</v>
      </c>
      <c r="D203" s="52">
        <v>0.58680555555555558</v>
      </c>
      <c r="E203" s="53">
        <f>'Reclamo de equipaje rediseñado'!$D203-'Reclamo de equipaje rediseñado'!$C203</f>
        <v>5.5555555555556468E-3</v>
      </c>
      <c r="F203" s="52">
        <v>0.58958333333333335</v>
      </c>
      <c r="G203" s="53">
        <f t="shared" si="3"/>
        <v>2.7777777777777679E-3</v>
      </c>
      <c r="H203" s="54">
        <v>41715</v>
      </c>
      <c r="I203" s="55" t="s">
        <v>551</v>
      </c>
      <c r="J203" s="55" t="s">
        <v>535</v>
      </c>
      <c r="K203" s="55">
        <f>VLOOKUP(J203,'Validacion reclamo de equipaje'!L:M,2,0)</f>
        <v>50</v>
      </c>
      <c r="L203" s="55" t="str">
        <f>VLOOKUP(I203,'Validacion reclamo de equipaje'!H:I,2,0)</f>
        <v>Nacional</v>
      </c>
      <c r="M203" s="55" t="s">
        <v>522</v>
      </c>
    </row>
    <row r="204" spans="1:13" x14ac:dyDescent="0.25">
      <c r="A204">
        <v>2011</v>
      </c>
      <c r="B204" s="47" t="str">
        <f>VLOOKUP(Tabla6[[#This Row],['# Vuelo]],'Validacion reclamo de equipaje'!P:Q,2,0)</f>
        <v>MEXICO AEREO</v>
      </c>
      <c r="C204" s="48">
        <v>0.57916666666666672</v>
      </c>
      <c r="D204" s="48">
        <v>0.57986111111111105</v>
      </c>
      <c r="E204" s="49">
        <f>'Reclamo de equipaje rediseñado'!$D204-'Reclamo de equipaje rediseñado'!$C204</f>
        <v>6.9444444444433095E-4</v>
      </c>
      <c r="F204" s="48">
        <v>0.5854166666666667</v>
      </c>
      <c r="G204" s="49">
        <f t="shared" si="3"/>
        <v>5.5555555555556468E-3</v>
      </c>
      <c r="H204" s="50">
        <v>41716</v>
      </c>
      <c r="I204" s="51" t="s">
        <v>551</v>
      </c>
      <c r="J204" s="51" t="s">
        <v>535</v>
      </c>
      <c r="K204" s="51">
        <f>VLOOKUP(J204,'Validacion reclamo de equipaje'!L:M,2,0)</f>
        <v>50</v>
      </c>
      <c r="L204" s="51" t="str">
        <f>VLOOKUP(I204,'Validacion reclamo de equipaje'!H:I,2,0)</f>
        <v>Nacional</v>
      </c>
      <c r="M204" s="51" t="s">
        <v>522</v>
      </c>
    </row>
    <row r="205" spans="1:13" x14ac:dyDescent="0.25">
      <c r="A205">
        <v>2011</v>
      </c>
      <c r="B205" s="47" t="str">
        <f>VLOOKUP(Tabla6[[#This Row],['# Vuelo]],'Validacion reclamo de equipaje'!P:Q,2,0)</f>
        <v>MEXICO AEREO</v>
      </c>
      <c r="C205" s="52">
        <v>0.58888888888888891</v>
      </c>
      <c r="D205" s="52">
        <v>0.59791666666666665</v>
      </c>
      <c r="E205" s="53">
        <f>'Reclamo de equipaje rediseñado'!$D205-'Reclamo de equipaje rediseñado'!$C205</f>
        <v>9.0277777777777457E-3</v>
      </c>
      <c r="F205" s="52">
        <v>0.60416666666666663</v>
      </c>
      <c r="G205" s="53">
        <f t="shared" si="3"/>
        <v>6.2499999999999778E-3</v>
      </c>
      <c r="H205" s="54">
        <v>41717</v>
      </c>
      <c r="I205" s="55" t="s">
        <v>551</v>
      </c>
      <c r="J205" s="55" t="s">
        <v>535</v>
      </c>
      <c r="K205" s="55">
        <f>VLOOKUP(J205,'Validacion reclamo de equipaje'!L:M,2,0)</f>
        <v>50</v>
      </c>
      <c r="L205" s="55" t="str">
        <f>VLOOKUP(I205,'Validacion reclamo de equipaje'!H:I,2,0)</f>
        <v>Nacional</v>
      </c>
      <c r="M205" s="55" t="s">
        <v>522</v>
      </c>
    </row>
    <row r="206" spans="1:13" x14ac:dyDescent="0.25">
      <c r="A206">
        <v>2011</v>
      </c>
      <c r="B206" s="47" t="str">
        <f>VLOOKUP(Tabla6[[#This Row],['# Vuelo]],'Validacion reclamo de equipaje'!P:Q,2,0)</f>
        <v>MEXICO AEREO</v>
      </c>
      <c r="C206" s="48">
        <v>0.59166666666666667</v>
      </c>
      <c r="D206" s="48">
        <v>0.59583333333333333</v>
      </c>
      <c r="E206" s="49">
        <f>'Reclamo de equipaje rediseñado'!$D206-'Reclamo de equipaje rediseñado'!$C206</f>
        <v>4.1666666666666519E-3</v>
      </c>
      <c r="F206" s="48">
        <v>0.6020833333333333</v>
      </c>
      <c r="G206" s="49">
        <f t="shared" si="3"/>
        <v>6.2499999999999778E-3</v>
      </c>
      <c r="H206" s="50">
        <v>41718</v>
      </c>
      <c r="I206" s="51" t="s">
        <v>551</v>
      </c>
      <c r="J206" s="51" t="s">
        <v>535</v>
      </c>
      <c r="K206" s="51">
        <f>VLOOKUP(J206,'Validacion reclamo de equipaje'!L:M,2,0)</f>
        <v>50</v>
      </c>
      <c r="L206" s="51" t="str">
        <f>VLOOKUP(I206,'Validacion reclamo de equipaje'!H:I,2,0)</f>
        <v>Nacional</v>
      </c>
      <c r="M206" s="51" t="s">
        <v>522</v>
      </c>
    </row>
    <row r="207" spans="1:13" x14ac:dyDescent="0.25">
      <c r="A207">
        <v>2011</v>
      </c>
      <c r="B207" s="47" t="str">
        <f>VLOOKUP(Tabla6[[#This Row],['# Vuelo]],'Validacion reclamo de equipaje'!P:Q,2,0)</f>
        <v>MEXICO AEREO</v>
      </c>
      <c r="C207" s="52">
        <v>0.59027777777777779</v>
      </c>
      <c r="D207" s="52">
        <v>0.59722222222222221</v>
      </c>
      <c r="E207" s="53">
        <f>'Reclamo de equipaje rediseñado'!$D207-'Reclamo de equipaje rediseñado'!$C207</f>
        <v>6.9444444444444198E-3</v>
      </c>
      <c r="F207" s="52">
        <v>0.60277777777777775</v>
      </c>
      <c r="G207" s="53">
        <f t="shared" si="3"/>
        <v>5.5555555555555358E-3</v>
      </c>
      <c r="H207" s="54">
        <v>41720</v>
      </c>
      <c r="I207" s="55" t="s">
        <v>551</v>
      </c>
      <c r="J207" s="55" t="s">
        <v>535</v>
      </c>
      <c r="K207" s="55">
        <f>VLOOKUP(J207,'Validacion reclamo de equipaje'!L:M,2,0)</f>
        <v>50</v>
      </c>
      <c r="L207" s="55" t="str">
        <f>VLOOKUP(I207,'Validacion reclamo de equipaje'!H:I,2,0)</f>
        <v>Nacional</v>
      </c>
      <c r="M207" s="55" t="s">
        <v>522</v>
      </c>
    </row>
    <row r="208" spans="1:13" x14ac:dyDescent="0.25">
      <c r="A208">
        <v>2011</v>
      </c>
      <c r="B208" s="47" t="str">
        <f>VLOOKUP(Tabla6[[#This Row],['# Vuelo]],'Validacion reclamo de equipaje'!P:Q,2,0)</f>
        <v>MEXICO AEREO</v>
      </c>
      <c r="C208" s="48">
        <v>0.61527777777777781</v>
      </c>
      <c r="D208" s="48">
        <v>0.62986111111111109</v>
      </c>
      <c r="E208" s="49">
        <f>'Reclamo de equipaje rediseñado'!$D208-'Reclamo de equipaje rediseñado'!$C208</f>
        <v>1.4583333333333282E-2</v>
      </c>
      <c r="F208" s="48">
        <v>0.63541666666666663</v>
      </c>
      <c r="G208" s="49">
        <f t="shared" si="3"/>
        <v>5.5555555555555358E-3</v>
      </c>
      <c r="H208" s="50">
        <v>41722</v>
      </c>
      <c r="I208" s="51" t="s">
        <v>551</v>
      </c>
      <c r="J208" s="51" t="s">
        <v>535</v>
      </c>
      <c r="K208" s="51">
        <f>VLOOKUP(J208,'Validacion reclamo de equipaje'!L:M,2,0)</f>
        <v>50</v>
      </c>
      <c r="L208" s="51" t="str">
        <f>VLOOKUP(I208,'Validacion reclamo de equipaje'!H:I,2,0)</f>
        <v>Nacional</v>
      </c>
      <c r="M208" s="51" t="s">
        <v>522</v>
      </c>
    </row>
    <row r="209" spans="1:13" x14ac:dyDescent="0.25">
      <c r="A209">
        <v>2011</v>
      </c>
      <c r="B209" s="47" t="str">
        <f>VLOOKUP(Tabla6[[#This Row],['# Vuelo]],'Validacion reclamo de equipaje'!P:Q,2,0)</f>
        <v>MEXICO AEREO</v>
      </c>
      <c r="C209" s="52">
        <v>0.58124999999999993</v>
      </c>
      <c r="D209" s="52">
        <v>0.58333333333333337</v>
      </c>
      <c r="E209" s="53">
        <f>'Reclamo de equipaje rediseñado'!$D209-'Reclamo de equipaje rediseñado'!$C209</f>
        <v>2.083333333333437E-3</v>
      </c>
      <c r="F209" s="52">
        <v>0.59166666666666667</v>
      </c>
      <c r="G209" s="53">
        <f t="shared" si="3"/>
        <v>8.3333333333333037E-3</v>
      </c>
      <c r="H209" s="54">
        <v>41726</v>
      </c>
      <c r="I209" s="55" t="s">
        <v>551</v>
      </c>
      <c r="J209" s="55" t="s">
        <v>535</v>
      </c>
      <c r="K209" s="55">
        <f>VLOOKUP(J209,'Validacion reclamo de equipaje'!L:M,2,0)</f>
        <v>50</v>
      </c>
      <c r="L209" s="55" t="str">
        <f>VLOOKUP(I209,'Validacion reclamo de equipaje'!H:I,2,0)</f>
        <v>Nacional</v>
      </c>
      <c r="M209" s="55" t="s">
        <v>522</v>
      </c>
    </row>
    <row r="210" spans="1:13" x14ac:dyDescent="0.25">
      <c r="A210">
        <v>2011</v>
      </c>
      <c r="B210" s="47" t="str">
        <f>VLOOKUP(Tabla6[[#This Row],['# Vuelo]],'Validacion reclamo de equipaje'!P:Q,2,0)</f>
        <v>MEXICO AEREO</v>
      </c>
      <c r="C210" s="48">
        <v>0.5854166666666667</v>
      </c>
      <c r="D210" s="48">
        <v>0.59166666666666667</v>
      </c>
      <c r="E210" s="49">
        <f>'Reclamo de equipaje rediseñado'!$D210-'Reclamo de equipaje rediseñado'!$C210</f>
        <v>6.2499999999999778E-3</v>
      </c>
      <c r="F210" s="48">
        <v>0.59583333333333333</v>
      </c>
      <c r="G210" s="49">
        <f t="shared" si="3"/>
        <v>4.1666666666666519E-3</v>
      </c>
      <c r="H210" s="50">
        <v>41727</v>
      </c>
      <c r="I210" s="51" t="s">
        <v>551</v>
      </c>
      <c r="J210" s="51" t="s">
        <v>535</v>
      </c>
      <c r="K210" s="51">
        <f>VLOOKUP(J210,'Validacion reclamo de equipaje'!L:M,2,0)</f>
        <v>50</v>
      </c>
      <c r="L210" s="51" t="str">
        <f>VLOOKUP(I210,'Validacion reclamo de equipaje'!H:I,2,0)</f>
        <v>Nacional</v>
      </c>
      <c r="M210" s="51" t="s">
        <v>522</v>
      </c>
    </row>
    <row r="211" spans="1:13" x14ac:dyDescent="0.25">
      <c r="A211">
        <v>2011</v>
      </c>
      <c r="B211" s="47" t="str">
        <f>VLOOKUP(Tabla6[[#This Row],['# Vuelo]],'Validacion reclamo de equipaje'!P:Q,2,0)</f>
        <v>MEXICO AEREO</v>
      </c>
      <c r="C211" s="52">
        <v>0.58333333333333337</v>
      </c>
      <c r="D211" s="52">
        <v>0.58680555555555558</v>
      </c>
      <c r="E211" s="53">
        <f>'Reclamo de equipaje rediseñado'!$D211-'Reclamo de equipaje rediseñado'!$C211</f>
        <v>3.4722222222222099E-3</v>
      </c>
      <c r="F211" s="52">
        <v>0.58958333333333335</v>
      </c>
      <c r="G211" s="53">
        <f t="shared" si="3"/>
        <v>2.7777777777777679E-3</v>
      </c>
      <c r="H211" s="54">
        <v>41729</v>
      </c>
      <c r="I211" s="55" t="s">
        <v>551</v>
      </c>
      <c r="J211" s="55" t="s">
        <v>535</v>
      </c>
      <c r="K211" s="55">
        <f>VLOOKUP(J211,'Validacion reclamo de equipaje'!L:M,2,0)</f>
        <v>50</v>
      </c>
      <c r="L211" s="55" t="str">
        <f>VLOOKUP(I211,'Validacion reclamo de equipaje'!H:I,2,0)</f>
        <v>Nacional</v>
      </c>
      <c r="M211" s="55" t="s">
        <v>522</v>
      </c>
    </row>
    <row r="212" spans="1:13" x14ac:dyDescent="0.25">
      <c r="A212">
        <v>2010</v>
      </c>
      <c r="B212" s="47" t="str">
        <f>VLOOKUP(Tabla6[[#This Row],['# Vuelo]],'Validacion reclamo de equipaje'!P:Q,2,0)</f>
        <v>MEXICO AEREO</v>
      </c>
      <c r="C212" s="48">
        <v>0.63055555555555554</v>
      </c>
      <c r="D212" s="48">
        <v>0.63541666666666663</v>
      </c>
      <c r="E212" s="49">
        <f>'Reclamo de equipaje rediseñado'!$D212-'Reclamo de equipaje rediseñado'!$C212</f>
        <v>4.8611111111110938E-3</v>
      </c>
      <c r="F212" s="48">
        <v>0.64027777777777783</v>
      </c>
      <c r="G212" s="49">
        <f t="shared" si="3"/>
        <v>4.8611111111112049E-3</v>
      </c>
      <c r="H212" s="50">
        <v>41725</v>
      </c>
      <c r="I212" s="51" t="s">
        <v>553</v>
      </c>
      <c r="J212" s="51" t="s">
        <v>535</v>
      </c>
      <c r="K212" s="51">
        <f>VLOOKUP(J212,'Validacion reclamo de equipaje'!L:M,2,0)</f>
        <v>50</v>
      </c>
      <c r="L212" s="51" t="str">
        <f>VLOOKUP(I212,'Validacion reclamo de equipaje'!H:I,2,0)</f>
        <v>Nacional</v>
      </c>
      <c r="M212" s="51" t="s">
        <v>522</v>
      </c>
    </row>
    <row r="213" spans="1:13" x14ac:dyDescent="0.25">
      <c r="A213">
        <v>1114</v>
      </c>
      <c r="B213" s="47" t="str">
        <f>VLOOKUP(Tabla6[[#This Row],['# Vuelo]],'Validacion reclamo de equipaje'!P:Q,2,0)</f>
        <v>MEXICO AEREO</v>
      </c>
      <c r="C213" s="52">
        <v>0.8833333333333333</v>
      </c>
      <c r="D213" s="52">
        <v>0.88680555555555562</v>
      </c>
      <c r="E213" s="53">
        <f>'Reclamo de equipaje rediseñado'!$D213-'Reclamo de equipaje rediseñado'!$C213</f>
        <v>3.4722222222223209E-3</v>
      </c>
      <c r="F213" s="52">
        <v>0.8930555555555556</v>
      </c>
      <c r="G213" s="53">
        <f t="shared" si="3"/>
        <v>6.2499999999999778E-3</v>
      </c>
      <c r="H213" s="54">
        <v>41724</v>
      </c>
      <c r="I213" s="55" t="s">
        <v>536</v>
      </c>
      <c r="J213" s="55" t="s">
        <v>554</v>
      </c>
      <c r="K213" s="55">
        <f>VLOOKUP(J213,'Validacion reclamo de equipaje'!L:M,2,0)</f>
        <v>189</v>
      </c>
      <c r="L213" s="55" t="str">
        <f>VLOOKUP(I213,'Validacion reclamo de equipaje'!H:I,2,0)</f>
        <v>Nacional</v>
      </c>
      <c r="M213" s="55" t="s">
        <v>522</v>
      </c>
    </row>
    <row r="214" spans="1:13" x14ac:dyDescent="0.25">
      <c r="A214" t="s">
        <v>546</v>
      </c>
      <c r="B214" s="47" t="str">
        <f>VLOOKUP(Tabla6[[#This Row],['# Vuelo]],'Validacion reclamo de equipaje'!P:Q,2,0)</f>
        <v>MEXICO AEREO</v>
      </c>
      <c r="C214" s="48">
        <v>0.88611111111111107</v>
      </c>
      <c r="D214" s="48">
        <v>0.89097222222222217</v>
      </c>
      <c r="E214" s="49">
        <f>'Reclamo de equipaje rediseñado'!$D214-'Reclamo de equipaje rediseñado'!$C214</f>
        <v>4.8611111111110938E-3</v>
      </c>
      <c r="F214" s="48">
        <v>0.90069444444444446</v>
      </c>
      <c r="G214" s="49">
        <f t="shared" si="3"/>
        <v>9.7222222222222987E-3</v>
      </c>
      <c r="H214" s="50">
        <v>41721</v>
      </c>
      <c r="I214" s="51" t="s">
        <v>536</v>
      </c>
      <c r="J214" s="51" t="s">
        <v>540</v>
      </c>
      <c r="K214" s="51" t="e">
        <f>VLOOKUP(J214,'Validacion reclamo de equipaje'!L:M,2,0)</f>
        <v>#N/A</v>
      </c>
      <c r="L214" s="51" t="str">
        <f>VLOOKUP(I214,'Validacion reclamo de equipaje'!H:I,2,0)</f>
        <v>Nacional</v>
      </c>
      <c r="M214" s="51" t="s">
        <v>522</v>
      </c>
    </row>
    <row r="215" spans="1:13" x14ac:dyDescent="0.25">
      <c r="A215">
        <v>785</v>
      </c>
      <c r="B215" s="47" t="str">
        <f>VLOOKUP(Tabla6[[#This Row],['# Vuelo]],'Validacion reclamo de equipaje'!P:Q,2,0)</f>
        <v>MEXICO AEREO</v>
      </c>
      <c r="C215" s="52">
        <v>0.21597222222222223</v>
      </c>
      <c r="D215" s="52">
        <v>0.23263888888888887</v>
      </c>
      <c r="E215" s="53">
        <f>'Reclamo de equipaje rediseñado'!$D215-'Reclamo de equipaje rediseñado'!$C215</f>
        <v>1.6666666666666635E-2</v>
      </c>
      <c r="F215" s="52">
        <v>0.24930555555555556</v>
      </c>
      <c r="G215" s="53">
        <f t="shared" si="3"/>
        <v>1.6666666666666691E-2</v>
      </c>
      <c r="H215" s="54">
        <v>41713</v>
      </c>
      <c r="I215" s="55" t="s">
        <v>555</v>
      </c>
      <c r="J215" s="55" t="s">
        <v>554</v>
      </c>
      <c r="K215" s="55">
        <f>VLOOKUP(J215,'Validacion reclamo de equipaje'!L:M,2,0)</f>
        <v>189</v>
      </c>
      <c r="L215" s="55" t="str">
        <f>VLOOKUP(I215,'Validacion reclamo de equipaje'!H:I,2,0)</f>
        <v>Internacional</v>
      </c>
      <c r="M215" s="55" t="s">
        <v>522</v>
      </c>
    </row>
    <row r="216" spans="1:13" x14ac:dyDescent="0.25">
      <c r="A216">
        <v>785</v>
      </c>
      <c r="B216" s="47" t="str">
        <f>VLOOKUP(Tabla6[[#This Row],['# Vuelo]],'Validacion reclamo de equipaje'!P:Q,2,0)</f>
        <v>MEXICO AEREO</v>
      </c>
      <c r="C216" s="48">
        <v>0.21666666666666667</v>
      </c>
      <c r="D216" s="48">
        <v>0.22638888888888889</v>
      </c>
      <c r="E216" s="49">
        <f>'Reclamo de equipaje rediseñado'!$D216-'Reclamo de equipaje rediseñado'!$C216</f>
        <v>9.7222222222222154E-3</v>
      </c>
      <c r="F216" s="48">
        <v>0.24097222222222223</v>
      </c>
      <c r="G216" s="49">
        <f t="shared" si="3"/>
        <v>1.4583333333333337E-2</v>
      </c>
      <c r="H216" s="50">
        <v>41715</v>
      </c>
      <c r="I216" s="51" t="s">
        <v>555</v>
      </c>
      <c r="J216" s="51" t="s">
        <v>554</v>
      </c>
      <c r="K216" s="51">
        <f>VLOOKUP(J216,'Validacion reclamo de equipaje'!L:M,2,0)</f>
        <v>189</v>
      </c>
      <c r="L216" s="51" t="str">
        <f>VLOOKUP(I216,'Validacion reclamo de equipaje'!H:I,2,0)</f>
        <v>Internacional</v>
      </c>
      <c r="M216" s="51" t="s">
        <v>522</v>
      </c>
    </row>
    <row r="217" spans="1:13" x14ac:dyDescent="0.25">
      <c r="A217">
        <v>785</v>
      </c>
      <c r="B217" s="47" t="str">
        <f>VLOOKUP(Tabla6[[#This Row],['# Vuelo]],'Validacion reclamo de equipaje'!P:Q,2,0)</f>
        <v>MEXICO AEREO</v>
      </c>
      <c r="C217" s="52">
        <v>0.22430555555555556</v>
      </c>
      <c r="D217" s="52">
        <v>0.22569444444444445</v>
      </c>
      <c r="E217" s="53">
        <f>'Reclamo de equipaje rediseñado'!$D217-'Reclamo de equipaje rediseñado'!$C217</f>
        <v>1.388888888888884E-3</v>
      </c>
      <c r="F217" s="52">
        <v>0.25</v>
      </c>
      <c r="G217" s="53">
        <f t="shared" si="3"/>
        <v>2.4305555555555552E-2</v>
      </c>
      <c r="H217" s="54">
        <v>41716</v>
      </c>
      <c r="I217" s="55" t="s">
        <v>555</v>
      </c>
      <c r="J217" s="55" t="s">
        <v>554</v>
      </c>
      <c r="K217" s="55">
        <f>VLOOKUP(J217,'Validacion reclamo de equipaje'!L:M,2,0)</f>
        <v>189</v>
      </c>
      <c r="L217" s="55" t="str">
        <f>VLOOKUP(I217,'Validacion reclamo de equipaje'!H:I,2,0)</f>
        <v>Internacional</v>
      </c>
      <c r="M217" s="55" t="s">
        <v>522</v>
      </c>
    </row>
    <row r="218" spans="1:13" x14ac:dyDescent="0.25">
      <c r="A218">
        <v>785</v>
      </c>
      <c r="B218" s="47" t="str">
        <f>VLOOKUP(Tabla6[[#This Row],['# Vuelo]],'Validacion reclamo de equipaje'!P:Q,2,0)</f>
        <v>MEXICO AEREO</v>
      </c>
      <c r="C218" s="48">
        <v>0.16874999999999998</v>
      </c>
      <c r="D218" s="48">
        <v>0.21249999999999999</v>
      </c>
      <c r="E218" s="49">
        <f>'Reclamo de equipaje rediseñado'!$D218-'Reclamo de equipaje rediseñado'!$C218</f>
        <v>4.3750000000000011E-2</v>
      </c>
      <c r="F218" s="48">
        <v>0.23958333333333334</v>
      </c>
      <c r="G218" s="49">
        <f t="shared" si="3"/>
        <v>2.7083333333333348E-2</v>
      </c>
      <c r="H218" s="50">
        <v>41717</v>
      </c>
      <c r="I218" s="51" t="s">
        <v>555</v>
      </c>
      <c r="J218" s="51" t="s">
        <v>554</v>
      </c>
      <c r="K218" s="51">
        <f>VLOOKUP(J218,'Validacion reclamo de equipaje'!L:M,2,0)</f>
        <v>189</v>
      </c>
      <c r="L218" s="51" t="str">
        <f>VLOOKUP(I218,'Validacion reclamo de equipaje'!H:I,2,0)</f>
        <v>Internacional</v>
      </c>
      <c r="M218" s="51" t="s">
        <v>522</v>
      </c>
    </row>
    <row r="219" spans="1:13" x14ac:dyDescent="0.25">
      <c r="A219">
        <v>785</v>
      </c>
      <c r="B219" s="47" t="str">
        <f>VLOOKUP(Tabla6[[#This Row],['# Vuelo]],'Validacion reclamo de equipaje'!P:Q,2,0)</f>
        <v>MEXICO AEREO</v>
      </c>
      <c r="C219" s="52">
        <v>0.20694444444444446</v>
      </c>
      <c r="D219" s="52">
        <v>0.21388888888888891</v>
      </c>
      <c r="E219" s="53">
        <f>'Reclamo de equipaje rediseñado'!$D219-'Reclamo de equipaje rediseñado'!$C219</f>
        <v>6.9444444444444475E-3</v>
      </c>
      <c r="F219" s="52">
        <v>0.22430555555555556</v>
      </c>
      <c r="G219" s="53">
        <f t="shared" si="3"/>
        <v>1.0416666666666657E-2</v>
      </c>
      <c r="H219" s="54">
        <v>41719</v>
      </c>
      <c r="I219" s="55" t="s">
        <v>555</v>
      </c>
      <c r="J219" s="55" t="s">
        <v>554</v>
      </c>
      <c r="K219" s="55">
        <f>VLOOKUP(J219,'Validacion reclamo de equipaje'!L:M,2,0)</f>
        <v>189</v>
      </c>
      <c r="L219" s="55" t="str">
        <f>VLOOKUP(I219,'Validacion reclamo de equipaje'!H:I,2,0)</f>
        <v>Internacional</v>
      </c>
      <c r="M219" s="55" t="s">
        <v>522</v>
      </c>
    </row>
    <row r="220" spans="1:13" x14ac:dyDescent="0.25">
      <c r="A220">
        <v>785</v>
      </c>
      <c r="B220" s="47" t="str">
        <f>VLOOKUP(Tabla6[[#This Row],['# Vuelo]],'Validacion reclamo de equipaje'!P:Q,2,0)</f>
        <v>MEXICO AEREO</v>
      </c>
      <c r="C220" s="48">
        <v>0.20625000000000002</v>
      </c>
      <c r="D220" s="48">
        <v>0.21944444444444444</v>
      </c>
      <c r="E220" s="49">
        <f>'Reclamo de equipaje rediseñado'!$D220-'Reclamo de equipaje rediseñado'!$C220</f>
        <v>1.3194444444444425E-2</v>
      </c>
      <c r="F220" s="48">
        <v>0.25138888888888888</v>
      </c>
      <c r="G220" s="49">
        <f t="shared" si="3"/>
        <v>3.1944444444444442E-2</v>
      </c>
      <c r="H220" s="50">
        <v>41719</v>
      </c>
      <c r="I220" s="51" t="s">
        <v>555</v>
      </c>
      <c r="J220" s="51" t="s">
        <v>554</v>
      </c>
      <c r="K220" s="51">
        <f>VLOOKUP(J220,'Validacion reclamo de equipaje'!L:M,2,0)</f>
        <v>189</v>
      </c>
      <c r="L220" s="51" t="str">
        <f>VLOOKUP(I220,'Validacion reclamo de equipaje'!H:I,2,0)</f>
        <v>Internacional</v>
      </c>
      <c r="M220" s="51" t="s">
        <v>522</v>
      </c>
    </row>
    <row r="221" spans="1:13" x14ac:dyDescent="0.25">
      <c r="A221">
        <v>785</v>
      </c>
      <c r="B221" s="47" t="str">
        <f>VLOOKUP(Tabla6[[#This Row],['# Vuelo]],'Validacion reclamo de equipaje'!P:Q,2,0)</f>
        <v>MEXICO AEREO</v>
      </c>
      <c r="C221" s="52">
        <v>0.21111111111111111</v>
      </c>
      <c r="D221" s="52">
        <v>0.22361111111111109</v>
      </c>
      <c r="E221" s="53">
        <f>'Reclamo de equipaje rediseñado'!$D221-'Reclamo de equipaje rediseñado'!$C221</f>
        <v>1.2499999999999983E-2</v>
      </c>
      <c r="F221" s="52">
        <v>0.24583333333333335</v>
      </c>
      <c r="G221" s="53">
        <f t="shared" si="3"/>
        <v>2.2222222222222254E-2</v>
      </c>
      <c r="H221" s="54">
        <v>41721</v>
      </c>
      <c r="I221" s="55" t="s">
        <v>555</v>
      </c>
      <c r="J221" s="55" t="s">
        <v>554</v>
      </c>
      <c r="K221" s="55">
        <f>VLOOKUP(J221,'Validacion reclamo de equipaje'!L:M,2,0)</f>
        <v>189</v>
      </c>
      <c r="L221" s="55" t="str">
        <f>VLOOKUP(I221,'Validacion reclamo de equipaje'!H:I,2,0)</f>
        <v>Internacional</v>
      </c>
      <c r="M221" s="55" t="s">
        <v>522</v>
      </c>
    </row>
    <row r="222" spans="1:13" x14ac:dyDescent="0.25">
      <c r="A222">
        <v>785</v>
      </c>
      <c r="B222" s="47" t="str">
        <f>VLOOKUP(Tabla6[[#This Row],['# Vuelo]],'Validacion reclamo de equipaje'!P:Q,2,0)</f>
        <v>MEXICO AEREO</v>
      </c>
      <c r="C222" s="48">
        <v>0.20902777777777778</v>
      </c>
      <c r="D222" s="48">
        <v>0.21944444444444444</v>
      </c>
      <c r="E222" s="49">
        <f>'Reclamo de equipaje rediseñado'!$D222-'Reclamo de equipaje rediseñado'!$C222</f>
        <v>1.0416666666666657E-2</v>
      </c>
      <c r="F222" s="48">
        <v>0.24861111111111112</v>
      </c>
      <c r="G222" s="49">
        <f t="shared" si="3"/>
        <v>2.9166666666666674E-2</v>
      </c>
      <c r="H222" s="50">
        <v>41721</v>
      </c>
      <c r="I222" s="51" t="s">
        <v>555</v>
      </c>
      <c r="J222" s="51" t="s">
        <v>554</v>
      </c>
      <c r="K222" s="51">
        <f>VLOOKUP(J222,'Validacion reclamo de equipaje'!L:M,2,0)</f>
        <v>189</v>
      </c>
      <c r="L222" s="51" t="str">
        <f>VLOOKUP(I222,'Validacion reclamo de equipaje'!H:I,2,0)</f>
        <v>Internacional</v>
      </c>
      <c r="M222" s="51" t="s">
        <v>522</v>
      </c>
    </row>
    <row r="223" spans="1:13" x14ac:dyDescent="0.25">
      <c r="A223">
        <v>785</v>
      </c>
      <c r="B223" s="47" t="str">
        <f>VLOOKUP(Tabla6[[#This Row],['# Vuelo]],'Validacion reclamo de equipaje'!P:Q,2,0)</f>
        <v>MEXICO AEREO</v>
      </c>
      <c r="C223" s="52">
        <v>0.25416666666666665</v>
      </c>
      <c r="D223" s="52">
        <v>0.26319444444444445</v>
      </c>
      <c r="E223" s="53">
        <f>'Reclamo de equipaje rediseñado'!$D223-'Reclamo de equipaje rediseñado'!$C223</f>
        <v>9.0277777777778012E-3</v>
      </c>
      <c r="F223" s="52">
        <v>0.27499999999999997</v>
      </c>
      <c r="G223" s="53">
        <f t="shared" si="3"/>
        <v>1.1805555555555514E-2</v>
      </c>
      <c r="H223" s="54">
        <v>41723</v>
      </c>
      <c r="I223" s="55" t="s">
        <v>555</v>
      </c>
      <c r="J223" s="55" t="s">
        <v>554</v>
      </c>
      <c r="K223" s="55">
        <f>VLOOKUP(J223,'Validacion reclamo de equipaje'!L:M,2,0)</f>
        <v>189</v>
      </c>
      <c r="L223" s="55" t="str">
        <f>VLOOKUP(I223,'Validacion reclamo de equipaje'!H:I,2,0)</f>
        <v>Internacional</v>
      </c>
      <c r="M223" s="55" t="s">
        <v>522</v>
      </c>
    </row>
    <row r="224" spans="1:13" x14ac:dyDescent="0.25">
      <c r="A224">
        <v>785</v>
      </c>
      <c r="B224" s="47" t="str">
        <f>VLOOKUP(Tabla6[[#This Row],['# Vuelo]],'Validacion reclamo de equipaje'!P:Q,2,0)</f>
        <v>MEXICO AEREO</v>
      </c>
      <c r="C224" s="48">
        <v>0.19652777777777777</v>
      </c>
      <c r="D224" s="48">
        <v>0.20416666666666669</v>
      </c>
      <c r="E224" s="49">
        <f>'Reclamo de equipaje rediseñado'!$D224-'Reclamo de equipaje rediseñado'!$C224</f>
        <v>7.6388888888889173E-3</v>
      </c>
      <c r="F224" s="48">
        <v>0.23541666666666669</v>
      </c>
      <c r="G224" s="49">
        <f t="shared" si="3"/>
        <v>3.125E-2</v>
      </c>
      <c r="H224" s="50">
        <v>41724</v>
      </c>
      <c r="I224" s="51" t="s">
        <v>555</v>
      </c>
      <c r="J224" s="51" t="s">
        <v>554</v>
      </c>
      <c r="K224" s="51">
        <f>VLOOKUP(J224,'Validacion reclamo de equipaje'!L:M,2,0)</f>
        <v>189</v>
      </c>
      <c r="L224" s="51" t="str">
        <f>VLOOKUP(I224,'Validacion reclamo de equipaje'!H:I,2,0)</f>
        <v>Internacional</v>
      </c>
      <c r="M224" s="51" t="s">
        <v>522</v>
      </c>
    </row>
    <row r="225" spans="1:13" x14ac:dyDescent="0.25">
      <c r="A225">
        <v>785</v>
      </c>
      <c r="B225" s="47" t="str">
        <f>VLOOKUP(Tabla6[[#This Row],['# Vuelo]],'Validacion reclamo de equipaje'!P:Q,2,0)</f>
        <v>MEXICO AEREO</v>
      </c>
      <c r="C225" s="52">
        <v>0.2076388888888889</v>
      </c>
      <c r="D225" s="52">
        <v>0.22083333333333333</v>
      </c>
      <c r="E225" s="53">
        <f>'Reclamo de equipaje rediseñado'!$D225-'Reclamo de equipaje rediseñado'!$C225</f>
        <v>1.3194444444444425E-2</v>
      </c>
      <c r="F225" s="52">
        <v>0.25486111111111109</v>
      </c>
      <c r="G225" s="53">
        <f t="shared" si="3"/>
        <v>3.4027777777777768E-2</v>
      </c>
      <c r="H225" s="54">
        <v>41724</v>
      </c>
      <c r="I225" s="55" t="s">
        <v>555</v>
      </c>
      <c r="J225" s="55" t="s">
        <v>554</v>
      </c>
      <c r="K225" s="55">
        <f>VLOOKUP(J225,'Validacion reclamo de equipaje'!L:M,2,0)</f>
        <v>189</v>
      </c>
      <c r="L225" s="55" t="str">
        <f>VLOOKUP(I225,'Validacion reclamo de equipaje'!H:I,2,0)</f>
        <v>Internacional</v>
      </c>
      <c r="M225" s="55" t="s">
        <v>522</v>
      </c>
    </row>
    <row r="226" spans="1:13" x14ac:dyDescent="0.25">
      <c r="A226">
        <v>785</v>
      </c>
      <c r="B226" s="47" t="str">
        <f>VLOOKUP(Tabla6[[#This Row],['# Vuelo]],'Validacion reclamo de equipaje'!P:Q,2,0)</f>
        <v>MEXICO AEREO</v>
      </c>
      <c r="C226" s="48">
        <v>0.21458333333333335</v>
      </c>
      <c r="D226" s="48">
        <v>0.22569444444444445</v>
      </c>
      <c r="E226" s="49">
        <f>'Reclamo de equipaje rediseñado'!$D226-'Reclamo de equipaje rediseñado'!$C226</f>
        <v>1.1111111111111099E-2</v>
      </c>
      <c r="F226" s="48">
        <v>0.26250000000000001</v>
      </c>
      <c r="G226" s="49">
        <f t="shared" si="3"/>
        <v>3.6805555555555564E-2</v>
      </c>
      <c r="H226" s="50">
        <v>41725</v>
      </c>
      <c r="I226" s="51" t="s">
        <v>555</v>
      </c>
      <c r="J226" s="51" t="s">
        <v>554</v>
      </c>
      <c r="K226" s="51">
        <f>VLOOKUP(J226,'Validacion reclamo de equipaje'!L:M,2,0)</f>
        <v>189</v>
      </c>
      <c r="L226" s="51" t="str">
        <f>VLOOKUP(I226,'Validacion reclamo de equipaje'!H:I,2,0)</f>
        <v>Internacional</v>
      </c>
      <c r="M226" s="51" t="s">
        <v>522</v>
      </c>
    </row>
    <row r="227" spans="1:13" x14ac:dyDescent="0.25">
      <c r="A227">
        <v>785</v>
      </c>
      <c r="B227" s="47" t="str">
        <f>VLOOKUP(Tabla6[[#This Row],['# Vuelo]],'Validacion reclamo de equipaje'!P:Q,2,0)</f>
        <v>MEXICO AEREO</v>
      </c>
      <c r="C227" s="52">
        <v>0.19930555555555554</v>
      </c>
      <c r="D227" s="52">
        <v>0.21180555555555555</v>
      </c>
      <c r="E227" s="53">
        <f>'Reclamo de equipaje rediseñado'!$D227-'Reclamo de equipaje rediseñado'!$C227</f>
        <v>1.2500000000000011E-2</v>
      </c>
      <c r="F227" s="52">
        <v>0.23472222222222219</v>
      </c>
      <c r="G227" s="53">
        <f t="shared" si="3"/>
        <v>2.2916666666666641E-2</v>
      </c>
      <c r="H227" s="54">
        <v>41727</v>
      </c>
      <c r="I227" s="55" t="s">
        <v>555</v>
      </c>
      <c r="J227" s="55" t="s">
        <v>554</v>
      </c>
      <c r="K227" s="55">
        <f>VLOOKUP(J227,'Validacion reclamo de equipaje'!L:M,2,0)</f>
        <v>189</v>
      </c>
      <c r="L227" s="55" t="str">
        <f>VLOOKUP(I227,'Validacion reclamo de equipaje'!H:I,2,0)</f>
        <v>Internacional</v>
      </c>
      <c r="M227" s="55" t="s">
        <v>522</v>
      </c>
    </row>
    <row r="228" spans="1:13" x14ac:dyDescent="0.25">
      <c r="A228">
        <v>785</v>
      </c>
      <c r="B228" s="47" t="str">
        <f>VLOOKUP(Tabla6[[#This Row],['# Vuelo]],'Validacion reclamo de equipaje'!P:Q,2,0)</f>
        <v>MEXICO AEREO</v>
      </c>
      <c r="C228" s="48">
        <v>0.20625000000000002</v>
      </c>
      <c r="D228" s="48">
        <v>0.21666666666666667</v>
      </c>
      <c r="E228" s="49">
        <f>'Reclamo de equipaje rediseñado'!$D228-'Reclamo de equipaje rediseñado'!$C228</f>
        <v>1.0416666666666657E-2</v>
      </c>
      <c r="F228" s="48">
        <v>0.24861111111111112</v>
      </c>
      <c r="G228" s="49">
        <f t="shared" si="3"/>
        <v>3.1944444444444442E-2</v>
      </c>
      <c r="H228" s="50">
        <v>41728</v>
      </c>
      <c r="I228" s="51" t="s">
        <v>555</v>
      </c>
      <c r="J228" s="51" t="s">
        <v>554</v>
      </c>
      <c r="K228" s="51">
        <f>VLOOKUP(J228,'Validacion reclamo de equipaje'!L:M,2,0)</f>
        <v>189</v>
      </c>
      <c r="L228" s="51" t="str">
        <f>VLOOKUP(I228,'Validacion reclamo de equipaje'!H:I,2,0)</f>
        <v>Internacional</v>
      </c>
      <c r="M228" s="51" t="s">
        <v>522</v>
      </c>
    </row>
    <row r="229" spans="1:13" x14ac:dyDescent="0.25">
      <c r="A229">
        <v>783</v>
      </c>
      <c r="B229" s="47" t="str">
        <f>VLOOKUP(Tabla6[[#This Row],['# Vuelo]],'Validacion reclamo de equipaje'!P:Q,2,0)</f>
        <v>MEXICO AEREO</v>
      </c>
      <c r="C229" s="52">
        <v>0.6791666666666667</v>
      </c>
      <c r="D229" s="52">
        <v>0.68819444444444444</v>
      </c>
      <c r="E229" s="53">
        <f>'Reclamo de equipaje rediseñado'!$D229-'Reclamo de equipaje rediseñado'!$C229</f>
        <v>9.0277777777777457E-3</v>
      </c>
      <c r="F229" s="52">
        <v>0.70347222222222217</v>
      </c>
      <c r="G229" s="53">
        <f t="shared" si="3"/>
        <v>1.5277777777777724E-2</v>
      </c>
      <c r="H229" s="54">
        <v>41717</v>
      </c>
      <c r="I229" s="55" t="s">
        <v>555</v>
      </c>
      <c r="J229" s="55" t="s">
        <v>554</v>
      </c>
      <c r="K229" s="55">
        <f>VLOOKUP(J229,'Validacion reclamo de equipaje'!L:M,2,0)</f>
        <v>189</v>
      </c>
      <c r="L229" s="55" t="str">
        <f>VLOOKUP(I229,'Validacion reclamo de equipaje'!H:I,2,0)</f>
        <v>Internacional</v>
      </c>
      <c r="M229" s="55" t="s">
        <v>522</v>
      </c>
    </row>
    <row r="230" spans="1:13" x14ac:dyDescent="0.25">
      <c r="A230">
        <v>783</v>
      </c>
      <c r="B230" s="47" t="str">
        <f>VLOOKUP(Tabla6[[#This Row],['# Vuelo]],'Validacion reclamo de equipaje'!P:Q,2,0)</f>
        <v>MEXICO AEREO</v>
      </c>
      <c r="C230" s="48">
        <v>0.68333333333333324</v>
      </c>
      <c r="D230" s="48">
        <v>0.69444444444444453</v>
      </c>
      <c r="E230" s="49">
        <f>'Reclamo de equipaje rediseñado'!$D230-'Reclamo de equipaje rediseñado'!$C230</f>
        <v>1.1111111111111294E-2</v>
      </c>
      <c r="F230" s="48">
        <v>0.71527777777777779</v>
      </c>
      <c r="G230" s="49">
        <f t="shared" si="3"/>
        <v>2.0833333333333259E-2</v>
      </c>
      <c r="H230" s="50">
        <v>41718</v>
      </c>
      <c r="I230" s="51" t="s">
        <v>555</v>
      </c>
      <c r="J230" s="51" t="s">
        <v>554</v>
      </c>
      <c r="K230" s="51">
        <f>VLOOKUP(J230,'Validacion reclamo de equipaje'!L:M,2,0)</f>
        <v>189</v>
      </c>
      <c r="L230" s="51" t="str">
        <f>VLOOKUP(I230,'Validacion reclamo de equipaje'!H:I,2,0)</f>
        <v>Internacional</v>
      </c>
      <c r="M230" s="51" t="s">
        <v>522</v>
      </c>
    </row>
    <row r="231" spans="1:13" x14ac:dyDescent="0.25">
      <c r="A231">
        <v>783</v>
      </c>
      <c r="B231" s="47" t="str">
        <f>VLOOKUP(Tabla6[[#This Row],['# Vuelo]],'Validacion reclamo de equipaje'!P:Q,2,0)</f>
        <v>MEXICO AEREO</v>
      </c>
      <c r="C231" s="52">
        <v>0.68263888888888891</v>
      </c>
      <c r="D231" s="52">
        <v>0.69027777777777777</v>
      </c>
      <c r="E231" s="53">
        <f>'Reclamo de equipaje rediseñado'!$D231-'Reclamo de equipaje rediseñado'!$C231</f>
        <v>7.6388888888888618E-3</v>
      </c>
      <c r="F231" s="52">
        <v>0.70694444444444438</v>
      </c>
      <c r="G231" s="53">
        <f t="shared" si="3"/>
        <v>1.6666666666666607E-2</v>
      </c>
      <c r="H231" s="54">
        <v>41720</v>
      </c>
      <c r="I231" s="55" t="s">
        <v>555</v>
      </c>
      <c r="J231" s="55" t="s">
        <v>554</v>
      </c>
      <c r="K231" s="55">
        <f>VLOOKUP(J231,'Validacion reclamo de equipaje'!L:M,2,0)</f>
        <v>189</v>
      </c>
      <c r="L231" s="55" t="str">
        <f>VLOOKUP(I231,'Validacion reclamo de equipaje'!H:I,2,0)</f>
        <v>Internacional</v>
      </c>
      <c r="M231" s="55" t="s">
        <v>522</v>
      </c>
    </row>
    <row r="232" spans="1:13" x14ac:dyDescent="0.25">
      <c r="A232">
        <v>783</v>
      </c>
      <c r="B232" s="47" t="str">
        <f>VLOOKUP(Tabla6[[#This Row],['# Vuelo]],'Validacion reclamo de equipaje'!P:Q,2,0)</f>
        <v>MEXICO AEREO</v>
      </c>
      <c r="C232" s="48">
        <v>0.6791666666666667</v>
      </c>
      <c r="D232" s="48">
        <v>0.69791666666666663</v>
      </c>
      <c r="E232" s="49">
        <f>'Reclamo de equipaje rediseñado'!$D232-'Reclamo de equipaje rediseñado'!$C232</f>
        <v>1.8749999999999933E-2</v>
      </c>
      <c r="F232" s="48">
        <v>0.71180555555555547</v>
      </c>
      <c r="G232" s="49">
        <f t="shared" si="3"/>
        <v>1.388888888888884E-2</v>
      </c>
      <c r="H232" s="50">
        <v>41721</v>
      </c>
      <c r="I232" s="51" t="s">
        <v>555</v>
      </c>
      <c r="J232" s="51" t="s">
        <v>554</v>
      </c>
      <c r="K232" s="51">
        <f>VLOOKUP(J232,'Validacion reclamo de equipaje'!L:M,2,0)</f>
        <v>189</v>
      </c>
      <c r="L232" s="51" t="str">
        <f>VLOOKUP(I232,'Validacion reclamo de equipaje'!H:I,2,0)</f>
        <v>Internacional</v>
      </c>
      <c r="M232" s="51" t="s">
        <v>522</v>
      </c>
    </row>
    <row r="233" spans="1:13" x14ac:dyDescent="0.25">
      <c r="A233">
        <v>783</v>
      </c>
      <c r="B233" s="47" t="str">
        <f>VLOOKUP(Tabla6[[#This Row],['# Vuelo]],'Validacion reclamo de equipaje'!P:Q,2,0)</f>
        <v>MEXICO AEREO</v>
      </c>
      <c r="C233" s="52">
        <v>0.68958333333333333</v>
      </c>
      <c r="D233" s="52">
        <v>0.70000000000000007</v>
      </c>
      <c r="E233" s="53">
        <f>'Reclamo de equipaje rediseñado'!$D233-'Reclamo de equipaje rediseñado'!$C233</f>
        <v>1.0416666666666741E-2</v>
      </c>
      <c r="F233" s="52">
        <v>0.72152777777777777</v>
      </c>
      <c r="G233" s="53">
        <f t="shared" si="3"/>
        <v>2.1527777777777701E-2</v>
      </c>
      <c r="H233" s="54">
        <v>41722</v>
      </c>
      <c r="I233" s="55" t="s">
        <v>555</v>
      </c>
      <c r="J233" s="55" t="s">
        <v>554</v>
      </c>
      <c r="K233" s="55">
        <f>VLOOKUP(J233,'Validacion reclamo de equipaje'!L:M,2,0)</f>
        <v>189</v>
      </c>
      <c r="L233" s="55" t="str">
        <f>VLOOKUP(I233,'Validacion reclamo de equipaje'!H:I,2,0)</f>
        <v>Internacional</v>
      </c>
      <c r="M233" s="55" t="s">
        <v>522</v>
      </c>
    </row>
    <row r="234" spans="1:13" x14ac:dyDescent="0.25">
      <c r="A234">
        <v>783</v>
      </c>
      <c r="B234" s="47" t="str">
        <f>VLOOKUP(Tabla6[[#This Row],['# Vuelo]],'Validacion reclamo de equipaje'!P:Q,2,0)</f>
        <v>MEXICO AEREO</v>
      </c>
      <c r="C234" s="48">
        <v>0.68125000000000002</v>
      </c>
      <c r="D234" s="48">
        <v>0.69513888888888886</v>
      </c>
      <c r="E234" s="49">
        <f>'Reclamo de equipaje rediseñado'!$D234-'Reclamo de equipaje rediseñado'!$C234</f>
        <v>1.388888888888884E-2</v>
      </c>
      <c r="F234" s="48">
        <v>0.70972222222222225</v>
      </c>
      <c r="G234" s="49">
        <f t="shared" si="3"/>
        <v>1.4583333333333393E-2</v>
      </c>
      <c r="H234" s="50">
        <v>41723</v>
      </c>
      <c r="I234" s="51" t="s">
        <v>555</v>
      </c>
      <c r="J234" s="51" t="s">
        <v>554</v>
      </c>
      <c r="K234" s="51">
        <f>VLOOKUP(J234,'Validacion reclamo de equipaje'!L:M,2,0)</f>
        <v>189</v>
      </c>
      <c r="L234" s="51" t="str">
        <f>VLOOKUP(I234,'Validacion reclamo de equipaje'!H:I,2,0)</f>
        <v>Internacional</v>
      </c>
      <c r="M234" s="51" t="s">
        <v>522</v>
      </c>
    </row>
    <row r="235" spans="1:13" x14ac:dyDescent="0.25">
      <c r="A235">
        <v>783</v>
      </c>
      <c r="B235" s="47" t="str">
        <f>VLOOKUP(Tabla6[[#This Row],['# Vuelo]],'Validacion reclamo de equipaje'!P:Q,2,0)</f>
        <v>MEXICO AEREO</v>
      </c>
      <c r="C235" s="52">
        <v>0.66041666666666665</v>
      </c>
      <c r="D235" s="52">
        <v>0.67291666666666661</v>
      </c>
      <c r="E235" s="53">
        <f>'Reclamo de equipaje rediseñado'!$D235-'Reclamo de equipaje rediseñado'!$C235</f>
        <v>1.2499999999999956E-2</v>
      </c>
      <c r="F235" s="52">
        <v>0.69166666666666676</v>
      </c>
      <c r="G235" s="53">
        <f t="shared" si="3"/>
        <v>1.8750000000000155E-2</v>
      </c>
      <c r="H235" s="54">
        <v>41725</v>
      </c>
      <c r="I235" s="55" t="s">
        <v>555</v>
      </c>
      <c r="J235" s="55" t="s">
        <v>554</v>
      </c>
      <c r="K235" s="55">
        <f>VLOOKUP(J235,'Validacion reclamo de equipaje'!L:M,2,0)</f>
        <v>189</v>
      </c>
      <c r="L235" s="55" t="str">
        <f>VLOOKUP(I235,'Validacion reclamo de equipaje'!H:I,2,0)</f>
        <v>Internacional</v>
      </c>
      <c r="M235" s="55" t="s">
        <v>522</v>
      </c>
    </row>
    <row r="236" spans="1:13" x14ac:dyDescent="0.25">
      <c r="A236">
        <v>783</v>
      </c>
      <c r="B236" s="47" t="str">
        <f>VLOOKUP(Tabla6[[#This Row],['# Vuelo]],'Validacion reclamo de equipaje'!P:Q,2,0)</f>
        <v>MEXICO AEREO</v>
      </c>
      <c r="C236" s="48">
        <v>0.6743055555555556</v>
      </c>
      <c r="D236" s="48">
        <v>0.68472222222222223</v>
      </c>
      <c r="E236" s="49">
        <f>'Reclamo de equipaje rediseñado'!$D236-'Reclamo de equipaje rediseñado'!$C236</f>
        <v>1.041666666666663E-2</v>
      </c>
      <c r="F236" s="48">
        <v>0.72083333333333333</v>
      </c>
      <c r="G236" s="49">
        <f t="shared" si="3"/>
        <v>3.6111111111111094E-2</v>
      </c>
      <c r="H236" s="50">
        <v>41726</v>
      </c>
      <c r="I236" s="51" t="s">
        <v>555</v>
      </c>
      <c r="J236" s="51" t="s">
        <v>554</v>
      </c>
      <c r="K236" s="51">
        <f>VLOOKUP(J236,'Validacion reclamo de equipaje'!L:M,2,0)</f>
        <v>189</v>
      </c>
      <c r="L236" s="51" t="str">
        <f>VLOOKUP(I236,'Validacion reclamo de equipaje'!H:I,2,0)</f>
        <v>Internacional</v>
      </c>
      <c r="M236" s="51" t="s">
        <v>522</v>
      </c>
    </row>
    <row r="237" spans="1:13" x14ac:dyDescent="0.25">
      <c r="A237">
        <v>783</v>
      </c>
      <c r="B237" s="47" t="str">
        <f>VLOOKUP(Tabla6[[#This Row],['# Vuelo]],'Validacion reclamo de equipaje'!P:Q,2,0)</f>
        <v>MEXICO AEREO</v>
      </c>
      <c r="C237" s="52">
        <v>0.68194444444444446</v>
      </c>
      <c r="D237" s="52">
        <v>0.69305555555555554</v>
      </c>
      <c r="E237" s="53">
        <f>'Reclamo de equipaje rediseñado'!$D237-'Reclamo de equipaje rediseñado'!$C237</f>
        <v>1.1111111111111072E-2</v>
      </c>
      <c r="F237" s="52">
        <v>0.70694444444444438</v>
      </c>
      <c r="G237" s="53">
        <f t="shared" si="3"/>
        <v>1.388888888888884E-2</v>
      </c>
      <c r="H237" s="54">
        <v>41727</v>
      </c>
      <c r="I237" s="55" t="s">
        <v>555</v>
      </c>
      <c r="J237" s="55" t="s">
        <v>554</v>
      </c>
      <c r="K237" s="55">
        <f>VLOOKUP(J237,'Validacion reclamo de equipaje'!L:M,2,0)</f>
        <v>189</v>
      </c>
      <c r="L237" s="55" t="str">
        <f>VLOOKUP(I237,'Validacion reclamo de equipaje'!H:I,2,0)</f>
        <v>Internacional</v>
      </c>
      <c r="M237" s="55" t="s">
        <v>522</v>
      </c>
    </row>
    <row r="238" spans="1:13" x14ac:dyDescent="0.25">
      <c r="A238">
        <v>783</v>
      </c>
      <c r="B238" s="47" t="str">
        <f>VLOOKUP(Tabla6[[#This Row],['# Vuelo]],'Validacion reclamo de equipaje'!P:Q,2,0)</f>
        <v>MEXICO AEREO</v>
      </c>
      <c r="C238" s="48">
        <v>0.7090277777777777</v>
      </c>
      <c r="D238" s="48">
        <v>0.71736111111111101</v>
      </c>
      <c r="E238" s="49">
        <f>'Reclamo de equipaje rediseñado'!$D238-'Reclamo de equipaje rediseñado'!$C238</f>
        <v>8.3333333333333037E-3</v>
      </c>
      <c r="F238" s="48">
        <v>0.72291666666666676</v>
      </c>
      <c r="G238" s="49">
        <f t="shared" si="3"/>
        <v>5.5555555555557579E-3</v>
      </c>
      <c r="H238" s="50">
        <v>41728</v>
      </c>
      <c r="I238" s="51" t="s">
        <v>555</v>
      </c>
      <c r="J238" s="51" t="s">
        <v>554</v>
      </c>
      <c r="K238" s="51">
        <f>VLOOKUP(J238,'Validacion reclamo de equipaje'!L:M,2,0)</f>
        <v>189</v>
      </c>
      <c r="L238" s="51" t="str">
        <f>VLOOKUP(I238,'Validacion reclamo de equipaje'!H:I,2,0)</f>
        <v>Internacional</v>
      </c>
      <c r="M238" s="51" t="s">
        <v>522</v>
      </c>
    </row>
    <row r="239" spans="1:13" x14ac:dyDescent="0.25">
      <c r="A239">
        <v>783</v>
      </c>
      <c r="B239" s="47" t="str">
        <f>VLOOKUP(Tabla6[[#This Row],['# Vuelo]],'Validacion reclamo de equipaje'!P:Q,2,0)</f>
        <v>MEXICO AEREO</v>
      </c>
      <c r="C239" s="52">
        <v>0.66805555555555562</v>
      </c>
      <c r="D239" s="52">
        <v>0.67847222222222225</v>
      </c>
      <c r="E239" s="53">
        <f>'Reclamo de equipaje rediseñado'!$D239-'Reclamo de equipaje rediseñado'!$C239</f>
        <v>1.041666666666663E-2</v>
      </c>
      <c r="F239" s="52">
        <v>0.69236111111111109</v>
      </c>
      <c r="G239" s="53">
        <f t="shared" si="3"/>
        <v>1.388888888888884E-2</v>
      </c>
      <c r="H239" s="54">
        <v>41729</v>
      </c>
      <c r="I239" s="55" t="s">
        <v>555</v>
      </c>
      <c r="J239" s="55" t="s">
        <v>554</v>
      </c>
      <c r="K239" s="55">
        <f>VLOOKUP(J239,'Validacion reclamo de equipaje'!L:M,2,0)</f>
        <v>189</v>
      </c>
      <c r="L239" s="55" t="str">
        <f>VLOOKUP(I239,'Validacion reclamo de equipaje'!H:I,2,0)</f>
        <v>Internacional</v>
      </c>
      <c r="M239" s="55" t="s">
        <v>522</v>
      </c>
    </row>
    <row r="240" spans="1:13" x14ac:dyDescent="0.25">
      <c r="A240">
        <v>783</v>
      </c>
      <c r="B240" s="47" t="str">
        <f>VLOOKUP(Tabla6[[#This Row],['# Vuelo]],'Validacion reclamo de equipaje'!P:Q,2,0)</f>
        <v>MEXICO AEREO</v>
      </c>
      <c r="C240" s="48">
        <v>0.71388888888888891</v>
      </c>
      <c r="D240" s="48">
        <v>0.72499999999999998</v>
      </c>
      <c r="E240" s="49">
        <f>'Reclamo de equipaje rediseñado'!$D240-'Reclamo de equipaje rediseñado'!$C240</f>
        <v>1.1111111111111072E-2</v>
      </c>
      <c r="F240" s="48">
        <v>0.74444444444444446</v>
      </c>
      <c r="G240" s="49">
        <f t="shared" si="3"/>
        <v>1.9444444444444486E-2</v>
      </c>
      <c r="H240" s="50">
        <v>41714</v>
      </c>
      <c r="I240" s="51" t="s">
        <v>555</v>
      </c>
      <c r="J240" s="51" t="s">
        <v>554</v>
      </c>
      <c r="K240" s="51">
        <f>VLOOKUP(J240,'Validacion reclamo de equipaje'!L:M,2,0)</f>
        <v>189</v>
      </c>
      <c r="L240" s="51" t="str">
        <f>VLOOKUP(I240,'Validacion reclamo de equipaje'!H:I,2,0)</f>
        <v>Internacional</v>
      </c>
      <c r="M240" s="51" t="s">
        <v>522</v>
      </c>
    </row>
    <row r="241" spans="1:13" x14ac:dyDescent="0.25">
      <c r="A241">
        <v>781</v>
      </c>
      <c r="B241" s="47" t="str">
        <f>VLOOKUP(Tabla6[[#This Row],['# Vuelo]],'Validacion reclamo de equipaje'!P:Q,2,0)</f>
        <v>MEXICO AEREO</v>
      </c>
      <c r="C241" s="52">
        <v>0.21388888888888891</v>
      </c>
      <c r="D241" s="52">
        <v>0.21875</v>
      </c>
      <c r="E241" s="53">
        <f>'Reclamo de equipaje rediseñado'!$D241-'Reclamo de equipaje rediseñado'!$C241</f>
        <v>4.8611111111110938E-3</v>
      </c>
      <c r="F241" s="52">
        <v>0.24166666666666667</v>
      </c>
      <c r="G241" s="53">
        <f t="shared" si="3"/>
        <v>2.2916666666666669E-2</v>
      </c>
      <c r="H241" s="54">
        <v>41713</v>
      </c>
      <c r="I241" s="55" t="s">
        <v>556</v>
      </c>
      <c r="J241" s="55" t="s">
        <v>554</v>
      </c>
      <c r="K241" s="55">
        <f>VLOOKUP(J241,'Validacion reclamo de equipaje'!L:M,2,0)</f>
        <v>189</v>
      </c>
      <c r="L241" s="55" t="str">
        <f>VLOOKUP(I241,'Validacion reclamo de equipaje'!H:I,2,0)</f>
        <v>Internacional</v>
      </c>
      <c r="M241" s="55" t="s">
        <v>522</v>
      </c>
    </row>
    <row r="242" spans="1:13" x14ac:dyDescent="0.25">
      <c r="A242">
        <v>781</v>
      </c>
      <c r="B242" s="47" t="str">
        <f>VLOOKUP(Tabla6[[#This Row],['# Vuelo]],'Validacion reclamo de equipaje'!P:Q,2,0)</f>
        <v>MEXICO AEREO</v>
      </c>
      <c r="C242" s="48">
        <v>0.21805555555555556</v>
      </c>
      <c r="D242" s="48">
        <v>0.22916666666666666</v>
      </c>
      <c r="E242" s="49">
        <f>'Reclamo de equipaje rediseñado'!$D242-'Reclamo de equipaje rediseñado'!$C242</f>
        <v>1.1111111111111099E-2</v>
      </c>
      <c r="F242" s="48">
        <v>0.26458333333333334</v>
      </c>
      <c r="G242" s="49">
        <f t="shared" si="3"/>
        <v>3.541666666666668E-2</v>
      </c>
      <c r="H242" s="50">
        <v>41716</v>
      </c>
      <c r="I242" s="51" t="s">
        <v>556</v>
      </c>
      <c r="J242" s="51" t="s">
        <v>554</v>
      </c>
      <c r="K242" s="51">
        <f>VLOOKUP(J242,'Validacion reclamo de equipaje'!L:M,2,0)</f>
        <v>189</v>
      </c>
      <c r="L242" s="51" t="str">
        <f>VLOOKUP(I242,'Validacion reclamo de equipaje'!H:I,2,0)</f>
        <v>Internacional</v>
      </c>
      <c r="M242" s="51" t="s">
        <v>522</v>
      </c>
    </row>
    <row r="243" spans="1:13" x14ac:dyDescent="0.25">
      <c r="A243">
        <v>781</v>
      </c>
      <c r="B243" s="47" t="str">
        <f>VLOOKUP(Tabla6[[#This Row],['# Vuelo]],'Validacion reclamo de equipaje'!P:Q,2,0)</f>
        <v>MEXICO AEREO</v>
      </c>
      <c r="C243" s="52">
        <v>0.20694444444444446</v>
      </c>
      <c r="D243" s="52">
        <v>0.21180555555555555</v>
      </c>
      <c r="E243" s="53">
        <f>'Reclamo de equipaje rediseñado'!$D243-'Reclamo de equipaje rediseñado'!$C243</f>
        <v>4.8611111111110938E-3</v>
      </c>
      <c r="F243" s="52">
        <v>0.22152777777777777</v>
      </c>
      <c r="G243" s="53">
        <f t="shared" si="3"/>
        <v>9.7222222222222154E-3</v>
      </c>
      <c r="H243" s="54">
        <v>41719</v>
      </c>
      <c r="I243" s="55" t="s">
        <v>556</v>
      </c>
      <c r="J243" s="55" t="s">
        <v>554</v>
      </c>
      <c r="K243" s="55">
        <f>VLOOKUP(J243,'Validacion reclamo de equipaje'!L:M,2,0)</f>
        <v>189</v>
      </c>
      <c r="L243" s="55" t="str">
        <f>VLOOKUP(I243,'Validacion reclamo de equipaje'!H:I,2,0)</f>
        <v>Internacional</v>
      </c>
      <c r="M243" s="55" t="s">
        <v>522</v>
      </c>
    </row>
    <row r="244" spans="1:13" x14ac:dyDescent="0.25">
      <c r="A244">
        <v>781</v>
      </c>
      <c r="B244" s="47" t="str">
        <f>VLOOKUP(Tabla6[[#This Row],['# Vuelo]],'Validacion reclamo de equipaje'!P:Q,2,0)</f>
        <v>MEXICO AEREO</v>
      </c>
      <c r="C244" s="48">
        <v>0.19722222222222222</v>
      </c>
      <c r="D244" s="48">
        <v>0.20486111111111113</v>
      </c>
      <c r="E244" s="49">
        <f>'Reclamo de equipaje rediseñado'!$D244-'Reclamo de equipaje rediseñado'!$C244</f>
        <v>7.6388888888889173E-3</v>
      </c>
      <c r="F244" s="48">
        <v>0.24305555555555555</v>
      </c>
      <c r="G244" s="49">
        <f t="shared" si="3"/>
        <v>3.819444444444442E-2</v>
      </c>
      <c r="H244" s="50">
        <v>41719</v>
      </c>
      <c r="I244" s="51" t="s">
        <v>556</v>
      </c>
      <c r="J244" s="51" t="s">
        <v>554</v>
      </c>
      <c r="K244" s="51">
        <f>VLOOKUP(J244,'Validacion reclamo de equipaje'!L:M,2,0)</f>
        <v>189</v>
      </c>
      <c r="L244" s="51" t="str">
        <f>VLOOKUP(I244,'Validacion reclamo de equipaje'!H:I,2,0)</f>
        <v>Internacional</v>
      </c>
      <c r="M244" s="51" t="s">
        <v>522</v>
      </c>
    </row>
    <row r="245" spans="1:13" x14ac:dyDescent="0.25">
      <c r="A245">
        <v>781</v>
      </c>
      <c r="B245" s="47" t="str">
        <f>VLOOKUP(Tabla6[[#This Row],['# Vuelo]],'Validacion reclamo de equipaje'!P:Q,2,0)</f>
        <v>MEXICO AEREO</v>
      </c>
      <c r="C245" s="52">
        <v>0.18958333333333333</v>
      </c>
      <c r="D245" s="52">
        <v>0.20555555555555557</v>
      </c>
      <c r="E245" s="53">
        <f>'Reclamo de equipaje rediseñado'!$D245-'Reclamo de equipaje rediseñado'!$C245</f>
        <v>1.5972222222222249E-2</v>
      </c>
      <c r="F245" s="52">
        <v>0.23333333333333331</v>
      </c>
      <c r="G245" s="53">
        <f t="shared" si="3"/>
        <v>2.7777777777777735E-2</v>
      </c>
      <c r="H245" s="54">
        <v>41721</v>
      </c>
      <c r="I245" s="55" t="s">
        <v>556</v>
      </c>
      <c r="J245" s="55" t="s">
        <v>554</v>
      </c>
      <c r="K245" s="55">
        <f>VLOOKUP(J245,'Validacion reclamo de equipaje'!L:M,2,0)</f>
        <v>189</v>
      </c>
      <c r="L245" s="55" t="str">
        <f>VLOOKUP(I245,'Validacion reclamo de equipaje'!H:I,2,0)</f>
        <v>Internacional</v>
      </c>
      <c r="M245" s="55" t="s">
        <v>522</v>
      </c>
    </row>
    <row r="246" spans="1:13" x14ac:dyDescent="0.25">
      <c r="A246">
        <v>781</v>
      </c>
      <c r="B246" s="47" t="str">
        <f>VLOOKUP(Tabla6[[#This Row],['# Vuelo]],'Validacion reclamo de equipaje'!P:Q,2,0)</f>
        <v>MEXICO AEREO</v>
      </c>
      <c r="C246" s="48">
        <v>0.21458333333333335</v>
      </c>
      <c r="D246" s="48">
        <v>0.22222222222222221</v>
      </c>
      <c r="E246" s="49">
        <f>'Reclamo de equipaje rediseñado'!$D246-'Reclamo de equipaje rediseñado'!$C246</f>
        <v>7.6388888888888618E-3</v>
      </c>
      <c r="F246" s="48">
        <v>0.25208333333333333</v>
      </c>
      <c r="G246" s="49">
        <f t="shared" si="3"/>
        <v>2.9861111111111116E-2</v>
      </c>
      <c r="H246" s="50">
        <v>41721</v>
      </c>
      <c r="I246" s="51" t="s">
        <v>556</v>
      </c>
      <c r="J246" s="51" t="s">
        <v>554</v>
      </c>
      <c r="K246" s="51">
        <f>VLOOKUP(J246,'Validacion reclamo de equipaje'!L:M,2,0)</f>
        <v>189</v>
      </c>
      <c r="L246" s="51" t="str">
        <f>VLOOKUP(I246,'Validacion reclamo de equipaje'!H:I,2,0)</f>
        <v>Internacional</v>
      </c>
      <c r="M246" s="51" t="s">
        <v>522</v>
      </c>
    </row>
    <row r="247" spans="1:13" x14ac:dyDescent="0.25">
      <c r="A247">
        <v>781</v>
      </c>
      <c r="B247" s="47" t="str">
        <f>VLOOKUP(Tabla6[[#This Row],['# Vuelo]],'Validacion reclamo de equipaje'!P:Q,2,0)</f>
        <v>MEXICO AEREO</v>
      </c>
      <c r="C247" s="52">
        <v>0.20347222222222219</v>
      </c>
      <c r="D247" s="52">
        <v>0.21388888888888891</v>
      </c>
      <c r="E247" s="53">
        <f>'Reclamo de equipaje rediseñado'!$D247-'Reclamo de equipaje rediseñado'!$C247</f>
        <v>1.0416666666666713E-2</v>
      </c>
      <c r="F247" s="52">
        <v>0.24305555555555555</v>
      </c>
      <c r="G247" s="53">
        <f t="shared" si="3"/>
        <v>2.9166666666666646E-2</v>
      </c>
      <c r="H247" s="54">
        <v>41724</v>
      </c>
      <c r="I247" s="55" t="s">
        <v>556</v>
      </c>
      <c r="J247" s="55" t="s">
        <v>554</v>
      </c>
      <c r="K247" s="55">
        <f>VLOOKUP(J247,'Validacion reclamo de equipaje'!L:M,2,0)</f>
        <v>189</v>
      </c>
      <c r="L247" s="55" t="str">
        <f>VLOOKUP(I247,'Validacion reclamo de equipaje'!H:I,2,0)</f>
        <v>Internacional</v>
      </c>
      <c r="M247" s="55" t="s">
        <v>522</v>
      </c>
    </row>
    <row r="248" spans="1:13" x14ac:dyDescent="0.25">
      <c r="A248">
        <v>781</v>
      </c>
      <c r="B248" s="47" t="str">
        <f>VLOOKUP(Tabla6[[#This Row],['# Vuelo]],'Validacion reclamo de equipaje'!P:Q,2,0)</f>
        <v>MEXICO AEREO</v>
      </c>
      <c r="C248" s="48">
        <v>0.20277777777777781</v>
      </c>
      <c r="D248" s="48">
        <v>0.21388888888888891</v>
      </c>
      <c r="E248" s="49">
        <f>'Reclamo de equipaje rediseñado'!$D248-'Reclamo de equipaje rediseñado'!$C248</f>
        <v>1.1111111111111099E-2</v>
      </c>
      <c r="F248" s="48">
        <v>0.24861111111111112</v>
      </c>
      <c r="G248" s="49">
        <f t="shared" si="3"/>
        <v>3.472222222222221E-2</v>
      </c>
      <c r="H248" s="50">
        <v>41725</v>
      </c>
      <c r="I248" s="51" t="s">
        <v>556</v>
      </c>
      <c r="J248" s="51" t="s">
        <v>554</v>
      </c>
      <c r="K248" s="51">
        <f>VLOOKUP(J248,'Validacion reclamo de equipaje'!L:M,2,0)</f>
        <v>189</v>
      </c>
      <c r="L248" s="51" t="str">
        <f>VLOOKUP(I248,'Validacion reclamo de equipaje'!H:I,2,0)</f>
        <v>Internacional</v>
      </c>
      <c r="M248" s="51" t="s">
        <v>522</v>
      </c>
    </row>
    <row r="249" spans="1:13" x14ac:dyDescent="0.25">
      <c r="A249">
        <v>781</v>
      </c>
      <c r="B249" s="47" t="str">
        <f>VLOOKUP(Tabla6[[#This Row],['# Vuelo]],'Validacion reclamo de equipaje'!P:Q,2,0)</f>
        <v>MEXICO AEREO</v>
      </c>
      <c r="C249" s="52">
        <v>0.19236111111111112</v>
      </c>
      <c r="D249" s="52">
        <v>0.19791666666666666</v>
      </c>
      <c r="E249" s="53">
        <f>'Reclamo de equipaje rediseñado'!$D249-'Reclamo de equipaje rediseñado'!$C249</f>
        <v>5.5555555555555358E-3</v>
      </c>
      <c r="F249" s="52">
        <v>0.22638888888888889</v>
      </c>
      <c r="G249" s="53">
        <f t="shared" si="3"/>
        <v>2.8472222222222232E-2</v>
      </c>
      <c r="H249" s="54">
        <v>41727</v>
      </c>
      <c r="I249" s="55" t="s">
        <v>556</v>
      </c>
      <c r="J249" s="55" t="s">
        <v>554</v>
      </c>
      <c r="K249" s="55">
        <f>VLOOKUP(J249,'Validacion reclamo de equipaje'!L:M,2,0)</f>
        <v>189</v>
      </c>
      <c r="L249" s="55" t="str">
        <f>VLOOKUP(I249,'Validacion reclamo de equipaje'!H:I,2,0)</f>
        <v>Internacional</v>
      </c>
      <c r="M249" s="55" t="s">
        <v>522</v>
      </c>
    </row>
    <row r="250" spans="1:13" x14ac:dyDescent="0.25">
      <c r="A250">
        <v>781</v>
      </c>
      <c r="B250" s="47" t="str">
        <f>VLOOKUP(Tabla6[[#This Row],['# Vuelo]],'Validacion reclamo de equipaje'!P:Q,2,0)</f>
        <v>MEXICO AEREO</v>
      </c>
      <c r="C250" s="48">
        <v>0.21180555555555555</v>
      </c>
      <c r="D250" s="48">
        <v>0.22222222222222221</v>
      </c>
      <c r="E250" s="49">
        <f>'Reclamo de equipaje rediseñado'!$D250-'Reclamo de equipaje rediseñado'!$C250</f>
        <v>1.0416666666666657E-2</v>
      </c>
      <c r="F250" s="48">
        <v>0.24583333333333335</v>
      </c>
      <c r="G250" s="49">
        <f t="shared" si="3"/>
        <v>2.3611111111111138E-2</v>
      </c>
      <c r="H250" s="50">
        <v>41728</v>
      </c>
      <c r="I250" s="51" t="s">
        <v>556</v>
      </c>
      <c r="J250" s="51" t="s">
        <v>554</v>
      </c>
      <c r="K250" s="51">
        <f>VLOOKUP(J250,'Validacion reclamo de equipaje'!L:M,2,0)</f>
        <v>189</v>
      </c>
      <c r="L250" s="51" t="str">
        <f>VLOOKUP(I250,'Validacion reclamo de equipaje'!H:I,2,0)</f>
        <v>Internacional</v>
      </c>
      <c r="M250" s="51" t="s">
        <v>522</v>
      </c>
    </row>
    <row r="251" spans="1:13" x14ac:dyDescent="0.25">
      <c r="A251">
        <v>779</v>
      </c>
      <c r="B251" s="47" t="str">
        <f>VLOOKUP(Tabla6[[#This Row],['# Vuelo]],'Validacion reclamo de equipaje'!P:Q,2,0)</f>
        <v>MEXICO AEREO</v>
      </c>
      <c r="C251" s="52">
        <v>0.70208333333333339</v>
      </c>
      <c r="D251" s="52">
        <v>0.70416666666666661</v>
      </c>
      <c r="E251" s="53">
        <f>'Reclamo de equipaje rediseñado'!$D251-'Reclamo de equipaje rediseñado'!$C251</f>
        <v>2.0833333333332149E-3</v>
      </c>
      <c r="F251" s="52">
        <v>0.70624999999999993</v>
      </c>
      <c r="G251" s="53">
        <f t="shared" si="3"/>
        <v>2.0833333333333259E-3</v>
      </c>
      <c r="H251" s="54">
        <v>41714</v>
      </c>
      <c r="I251" s="55" t="s">
        <v>550</v>
      </c>
      <c r="J251" s="55" t="s">
        <v>554</v>
      </c>
      <c r="K251" s="55">
        <f>VLOOKUP(J251,'Validacion reclamo de equipaje'!L:M,2,0)</f>
        <v>189</v>
      </c>
      <c r="L251" s="55" t="str">
        <f>VLOOKUP(I251,'Validacion reclamo de equipaje'!H:I,2,0)</f>
        <v>Nacional</v>
      </c>
      <c r="M251" s="55" t="s">
        <v>522</v>
      </c>
    </row>
    <row r="252" spans="1:13" x14ac:dyDescent="0.25">
      <c r="A252">
        <v>779</v>
      </c>
      <c r="B252" s="47" t="str">
        <f>VLOOKUP(Tabla6[[#This Row],['# Vuelo]],'Validacion reclamo de equipaje'!P:Q,2,0)</f>
        <v>MEXICO AEREO</v>
      </c>
      <c r="C252" s="48">
        <v>0.71180555555555547</v>
      </c>
      <c r="D252" s="48">
        <v>0.71666666666666667</v>
      </c>
      <c r="E252" s="49">
        <f>'Reclamo de equipaje rediseñado'!$D252-'Reclamo de equipaje rediseñado'!$C252</f>
        <v>4.8611111111112049E-3</v>
      </c>
      <c r="F252" s="48">
        <v>0.72083333333333333</v>
      </c>
      <c r="G252" s="49">
        <f t="shared" si="3"/>
        <v>4.1666666666666519E-3</v>
      </c>
      <c r="H252" s="50">
        <v>41715</v>
      </c>
      <c r="I252" s="51" t="s">
        <v>550</v>
      </c>
      <c r="J252" s="51" t="s">
        <v>554</v>
      </c>
      <c r="K252" s="51">
        <f>VLOOKUP(J252,'Validacion reclamo de equipaje'!L:M,2,0)</f>
        <v>189</v>
      </c>
      <c r="L252" s="51" t="str">
        <f>VLOOKUP(I252,'Validacion reclamo de equipaje'!H:I,2,0)</f>
        <v>Nacional</v>
      </c>
      <c r="M252" s="51" t="s">
        <v>522</v>
      </c>
    </row>
    <row r="253" spans="1:13" x14ac:dyDescent="0.25">
      <c r="A253">
        <v>779</v>
      </c>
      <c r="B253" s="47" t="str">
        <f>VLOOKUP(Tabla6[[#This Row],['# Vuelo]],'Validacion reclamo de equipaje'!P:Q,2,0)</f>
        <v>MEXICO AEREO</v>
      </c>
      <c r="C253" s="52">
        <v>0.70416666666666661</v>
      </c>
      <c r="D253" s="52">
        <v>0.71319444444444446</v>
      </c>
      <c r="E253" s="53">
        <f>'Reclamo de equipaje rediseñado'!$D253-'Reclamo de equipaje rediseñado'!$C253</f>
        <v>9.0277777777778567E-3</v>
      </c>
      <c r="F253" s="52">
        <v>0.71875</v>
      </c>
      <c r="G253" s="53">
        <f t="shared" si="3"/>
        <v>5.5555555555555358E-3</v>
      </c>
      <c r="H253" s="54">
        <v>41716</v>
      </c>
      <c r="I253" s="55" t="s">
        <v>550</v>
      </c>
      <c r="J253" s="55" t="s">
        <v>554</v>
      </c>
      <c r="K253" s="55">
        <f>VLOOKUP(J253,'Validacion reclamo de equipaje'!L:M,2,0)</f>
        <v>189</v>
      </c>
      <c r="L253" s="55" t="str">
        <f>VLOOKUP(I253,'Validacion reclamo de equipaje'!H:I,2,0)</f>
        <v>Nacional</v>
      </c>
      <c r="M253" s="55" t="s">
        <v>522</v>
      </c>
    </row>
    <row r="254" spans="1:13" x14ac:dyDescent="0.25">
      <c r="A254">
        <v>779</v>
      </c>
      <c r="B254" s="47" t="str">
        <f>VLOOKUP(Tabla6[[#This Row],['# Vuelo]],'Validacion reclamo de equipaje'!P:Q,2,0)</f>
        <v>MEXICO AEREO</v>
      </c>
      <c r="C254" s="48">
        <v>0.71527777777777779</v>
      </c>
      <c r="D254" s="48">
        <v>0.72222222222222221</v>
      </c>
      <c r="E254" s="49">
        <f>'Reclamo de equipaje rediseñado'!$D254-'Reclamo de equipaje rediseñado'!$C254</f>
        <v>6.9444444444444198E-3</v>
      </c>
      <c r="F254" s="48">
        <v>0.72777777777777775</v>
      </c>
      <c r="G254" s="49">
        <f t="shared" si="3"/>
        <v>5.5555555555555358E-3</v>
      </c>
      <c r="H254" s="50">
        <v>41717</v>
      </c>
      <c r="I254" s="51" t="s">
        <v>550</v>
      </c>
      <c r="J254" s="51" t="s">
        <v>554</v>
      </c>
      <c r="K254" s="51">
        <f>VLOOKUP(J254,'Validacion reclamo de equipaje'!L:M,2,0)</f>
        <v>189</v>
      </c>
      <c r="L254" s="51" t="str">
        <f>VLOOKUP(I254,'Validacion reclamo de equipaje'!H:I,2,0)</f>
        <v>Nacional</v>
      </c>
      <c r="M254" s="51" t="s">
        <v>522</v>
      </c>
    </row>
    <row r="255" spans="1:13" x14ac:dyDescent="0.25">
      <c r="A255">
        <v>779</v>
      </c>
      <c r="B255" s="47" t="str">
        <f>VLOOKUP(Tabla6[[#This Row],['# Vuelo]],'Validacion reclamo de equipaje'!P:Q,2,0)</f>
        <v>MEXICO AEREO</v>
      </c>
      <c r="C255" s="52">
        <v>0.71805555555555556</v>
      </c>
      <c r="D255" s="52">
        <v>0.71875</v>
      </c>
      <c r="E255" s="53">
        <f>'Reclamo de equipaje rediseñado'!$D255-'Reclamo de equipaje rediseñado'!$C255</f>
        <v>6.9444444444444198E-4</v>
      </c>
      <c r="F255" s="52">
        <v>0.72361111111111109</v>
      </c>
      <c r="G255" s="53">
        <f t="shared" si="3"/>
        <v>4.8611111111110938E-3</v>
      </c>
      <c r="H255" s="54">
        <v>41718</v>
      </c>
      <c r="I255" s="55" t="s">
        <v>550</v>
      </c>
      <c r="J255" s="55" t="s">
        <v>554</v>
      </c>
      <c r="K255" s="55">
        <f>VLOOKUP(J255,'Validacion reclamo de equipaje'!L:M,2,0)</f>
        <v>189</v>
      </c>
      <c r="L255" s="55" t="str">
        <f>VLOOKUP(I255,'Validacion reclamo de equipaje'!H:I,2,0)</f>
        <v>Nacional</v>
      </c>
      <c r="M255" s="55" t="s">
        <v>522</v>
      </c>
    </row>
    <row r="256" spans="1:13" x14ac:dyDescent="0.25">
      <c r="A256">
        <v>779</v>
      </c>
      <c r="B256" s="47" t="str">
        <f>VLOOKUP(Tabla6[[#This Row],['# Vuelo]],'Validacion reclamo de equipaje'!P:Q,2,0)</f>
        <v>MEXICO AEREO</v>
      </c>
      <c r="C256" s="48">
        <v>0.70972222222222225</v>
      </c>
      <c r="D256" s="48">
        <v>0.71388888888888891</v>
      </c>
      <c r="E256" s="49">
        <f>'Reclamo de equipaje rediseñado'!$D256-'Reclamo de equipaje rediseñado'!$C256</f>
        <v>4.1666666666666519E-3</v>
      </c>
      <c r="F256" s="48">
        <v>0.72222222222222221</v>
      </c>
      <c r="G256" s="49">
        <f t="shared" si="3"/>
        <v>8.3333333333333037E-3</v>
      </c>
      <c r="H256" s="50">
        <v>41720</v>
      </c>
      <c r="I256" s="51" t="s">
        <v>550</v>
      </c>
      <c r="J256" s="51" t="s">
        <v>554</v>
      </c>
      <c r="K256" s="51">
        <f>VLOOKUP(J256,'Validacion reclamo de equipaje'!L:M,2,0)</f>
        <v>189</v>
      </c>
      <c r="L256" s="51" t="str">
        <f>VLOOKUP(I256,'Validacion reclamo de equipaje'!H:I,2,0)</f>
        <v>Nacional</v>
      </c>
      <c r="M256" s="51" t="s">
        <v>522</v>
      </c>
    </row>
    <row r="257" spans="1:13" x14ac:dyDescent="0.25">
      <c r="A257">
        <v>779</v>
      </c>
      <c r="B257" s="47" t="str">
        <f>VLOOKUP(Tabla6[[#This Row],['# Vuelo]],'Validacion reclamo de equipaje'!P:Q,2,0)</f>
        <v>MEXICO AEREO</v>
      </c>
      <c r="C257" s="52">
        <v>0.69305555555555554</v>
      </c>
      <c r="D257" s="52">
        <v>0.6972222222222223</v>
      </c>
      <c r="E257" s="53">
        <f>'Reclamo de equipaje rediseñado'!$D257-'Reclamo de equipaje rediseñado'!$C257</f>
        <v>4.1666666666667629E-3</v>
      </c>
      <c r="F257" s="52">
        <v>0.70138888888888884</v>
      </c>
      <c r="G257" s="53">
        <f t="shared" si="3"/>
        <v>4.1666666666665408E-3</v>
      </c>
      <c r="H257" s="54">
        <v>41721</v>
      </c>
      <c r="I257" s="55" t="s">
        <v>550</v>
      </c>
      <c r="J257" s="55" t="s">
        <v>554</v>
      </c>
      <c r="K257" s="55">
        <f>VLOOKUP(J257,'Validacion reclamo de equipaje'!L:M,2,0)</f>
        <v>189</v>
      </c>
      <c r="L257" s="55" t="str">
        <f>VLOOKUP(I257,'Validacion reclamo de equipaje'!H:I,2,0)</f>
        <v>Nacional</v>
      </c>
      <c r="M257" s="55" t="s">
        <v>522</v>
      </c>
    </row>
    <row r="258" spans="1:13" x14ac:dyDescent="0.25">
      <c r="A258">
        <v>779</v>
      </c>
      <c r="B258" s="47" t="str">
        <f>VLOOKUP(Tabla6[[#This Row],['# Vuelo]],'Validacion reclamo de equipaje'!P:Q,2,0)</f>
        <v>MEXICO AEREO</v>
      </c>
      <c r="C258" s="48">
        <v>0.70486111111111116</v>
      </c>
      <c r="D258" s="48">
        <v>0.71180555555555547</v>
      </c>
      <c r="E258" s="49">
        <f>'Reclamo de equipaje rediseñado'!$D258-'Reclamo de equipaje rediseñado'!$C258</f>
        <v>6.9444444444443088E-3</v>
      </c>
      <c r="F258" s="48">
        <v>0.71250000000000002</v>
      </c>
      <c r="G258" s="49">
        <f t="shared" si="3"/>
        <v>6.94444444444553E-4</v>
      </c>
      <c r="H258" s="50">
        <v>41722</v>
      </c>
      <c r="I258" s="51" t="s">
        <v>550</v>
      </c>
      <c r="J258" s="51" t="s">
        <v>554</v>
      </c>
      <c r="K258" s="51">
        <f>VLOOKUP(J258,'Validacion reclamo de equipaje'!L:M,2,0)</f>
        <v>189</v>
      </c>
      <c r="L258" s="51" t="str">
        <f>VLOOKUP(I258,'Validacion reclamo de equipaje'!H:I,2,0)</f>
        <v>Nacional</v>
      </c>
      <c r="M258" s="51" t="s">
        <v>522</v>
      </c>
    </row>
    <row r="259" spans="1:13" x14ac:dyDescent="0.25">
      <c r="A259">
        <v>779</v>
      </c>
      <c r="B259" s="47" t="str">
        <f>VLOOKUP(Tabla6[[#This Row],['# Vuelo]],'Validacion reclamo de equipaje'!P:Q,2,0)</f>
        <v>MEXICO AEREO</v>
      </c>
      <c r="C259" s="52">
        <v>0.70486111111111116</v>
      </c>
      <c r="D259" s="52">
        <v>0.71527777777777779</v>
      </c>
      <c r="E259" s="53">
        <f>'Reclamo de equipaje rediseñado'!$D259-'Reclamo de equipaje rediseñado'!$C259</f>
        <v>1.041666666666663E-2</v>
      </c>
      <c r="F259" s="52">
        <v>0.72152777777777777</v>
      </c>
      <c r="G259" s="53">
        <f t="shared" ref="G259:G322" si="4">F259-D259</f>
        <v>6.2499999999999778E-3</v>
      </c>
      <c r="H259" s="54">
        <v>41725</v>
      </c>
      <c r="I259" s="55" t="s">
        <v>550</v>
      </c>
      <c r="J259" s="55" t="s">
        <v>554</v>
      </c>
      <c r="K259" s="55">
        <f>VLOOKUP(J259,'Validacion reclamo de equipaje'!L:M,2,0)</f>
        <v>189</v>
      </c>
      <c r="L259" s="55" t="str">
        <f>VLOOKUP(I259,'Validacion reclamo de equipaje'!H:I,2,0)</f>
        <v>Nacional</v>
      </c>
      <c r="M259" s="55" t="s">
        <v>522</v>
      </c>
    </row>
    <row r="260" spans="1:13" x14ac:dyDescent="0.25">
      <c r="A260">
        <v>779</v>
      </c>
      <c r="B260" s="47" t="str">
        <f>VLOOKUP(Tabla6[[#This Row],['# Vuelo]],'Validacion reclamo de equipaje'!P:Q,2,0)</f>
        <v>MEXICO AEREO</v>
      </c>
      <c r="C260" s="48">
        <v>0.69930555555555562</v>
      </c>
      <c r="D260" s="48">
        <v>0.7104166666666667</v>
      </c>
      <c r="E260" s="49">
        <f>'Reclamo de equipaje rediseñado'!$D260-'Reclamo de equipaje rediseñado'!$C260</f>
        <v>1.1111111111111072E-2</v>
      </c>
      <c r="F260" s="48">
        <v>0.71180555555555547</v>
      </c>
      <c r="G260" s="49">
        <f t="shared" si="4"/>
        <v>1.3888888888887729E-3</v>
      </c>
      <c r="H260" s="50">
        <v>41725</v>
      </c>
      <c r="I260" s="51" t="s">
        <v>550</v>
      </c>
      <c r="J260" s="51" t="s">
        <v>554</v>
      </c>
      <c r="K260" s="51">
        <f>VLOOKUP(J260,'Validacion reclamo de equipaje'!L:M,2,0)</f>
        <v>189</v>
      </c>
      <c r="L260" s="51" t="str">
        <f>VLOOKUP(I260,'Validacion reclamo de equipaje'!H:I,2,0)</f>
        <v>Nacional</v>
      </c>
      <c r="M260" s="51" t="s">
        <v>522</v>
      </c>
    </row>
    <row r="261" spans="1:13" x14ac:dyDescent="0.25">
      <c r="A261">
        <v>779</v>
      </c>
      <c r="B261" s="47" t="str">
        <f>VLOOKUP(Tabla6[[#This Row],['# Vuelo]],'Validacion reclamo de equipaje'!P:Q,2,0)</f>
        <v>MEXICO AEREO</v>
      </c>
      <c r="C261" s="52">
        <v>0.72430555555555554</v>
      </c>
      <c r="D261" s="52">
        <v>0.73402777777777783</v>
      </c>
      <c r="E261" s="53">
        <f>'Reclamo de equipaje rediseñado'!$D261-'Reclamo de equipaje rediseñado'!$C261</f>
        <v>9.7222222222222987E-3</v>
      </c>
      <c r="F261" s="52">
        <v>0.73958333333333337</v>
      </c>
      <c r="G261" s="53">
        <f t="shared" si="4"/>
        <v>5.5555555555555358E-3</v>
      </c>
      <c r="H261" s="54">
        <v>41726</v>
      </c>
      <c r="I261" s="55" t="s">
        <v>550</v>
      </c>
      <c r="J261" s="55" t="s">
        <v>554</v>
      </c>
      <c r="K261" s="55">
        <f>VLOOKUP(J261,'Validacion reclamo de equipaje'!L:M,2,0)</f>
        <v>189</v>
      </c>
      <c r="L261" s="55" t="str">
        <f>VLOOKUP(I261,'Validacion reclamo de equipaje'!H:I,2,0)</f>
        <v>Nacional</v>
      </c>
      <c r="M261" s="55" t="s">
        <v>522</v>
      </c>
    </row>
    <row r="262" spans="1:13" x14ac:dyDescent="0.25">
      <c r="A262">
        <v>779</v>
      </c>
      <c r="B262" s="47" t="str">
        <f>VLOOKUP(Tabla6[[#This Row],['# Vuelo]],'Validacion reclamo de equipaje'!P:Q,2,0)</f>
        <v>MEXICO AEREO</v>
      </c>
      <c r="C262" s="48">
        <v>0.69861111111111107</v>
      </c>
      <c r="D262" s="48">
        <v>0.7090277777777777</v>
      </c>
      <c r="E262" s="49">
        <f>'Reclamo de equipaje rediseñado'!$D262-'Reclamo de equipaje rediseñado'!$C262</f>
        <v>1.041666666666663E-2</v>
      </c>
      <c r="F262" s="48">
        <v>0.7104166666666667</v>
      </c>
      <c r="G262" s="49">
        <f t="shared" si="4"/>
        <v>1.388888888888995E-3</v>
      </c>
      <c r="H262" s="50">
        <v>41727</v>
      </c>
      <c r="I262" s="51" t="s">
        <v>550</v>
      </c>
      <c r="J262" s="51" t="s">
        <v>554</v>
      </c>
      <c r="K262" s="51">
        <f>VLOOKUP(J262,'Validacion reclamo de equipaje'!L:M,2,0)</f>
        <v>189</v>
      </c>
      <c r="L262" s="51" t="str">
        <f>VLOOKUP(I262,'Validacion reclamo de equipaje'!H:I,2,0)</f>
        <v>Nacional</v>
      </c>
      <c r="M262" s="51" t="s">
        <v>522</v>
      </c>
    </row>
    <row r="263" spans="1:13" x14ac:dyDescent="0.25">
      <c r="A263">
        <v>775</v>
      </c>
      <c r="B263" s="47" t="str">
        <f>VLOOKUP(Tabla6[[#This Row],['# Vuelo]],'Validacion reclamo de equipaje'!P:Q,2,0)</f>
        <v>MEXICO AEREO</v>
      </c>
      <c r="C263" s="52">
        <v>0.21805555555555556</v>
      </c>
      <c r="D263" s="52">
        <v>0.22847222222222222</v>
      </c>
      <c r="E263" s="53">
        <f>'Reclamo de equipaje rediseñado'!$D263-'Reclamo de equipaje rediseñado'!$C263</f>
        <v>1.0416666666666657E-2</v>
      </c>
      <c r="F263" s="52">
        <v>0.24097222222222223</v>
      </c>
      <c r="G263" s="53">
        <f t="shared" si="4"/>
        <v>1.2500000000000011E-2</v>
      </c>
      <c r="H263" s="54">
        <v>41713</v>
      </c>
      <c r="I263" s="55" t="s">
        <v>549</v>
      </c>
      <c r="J263" s="55" t="s">
        <v>554</v>
      </c>
      <c r="K263" s="55">
        <f>VLOOKUP(J263,'Validacion reclamo de equipaje'!L:M,2,0)</f>
        <v>189</v>
      </c>
      <c r="L263" s="55" t="str">
        <f>VLOOKUP(I263,'Validacion reclamo de equipaje'!H:I,2,0)</f>
        <v>Nacional</v>
      </c>
      <c r="M263" s="55" t="s">
        <v>522</v>
      </c>
    </row>
    <row r="264" spans="1:13" x14ac:dyDescent="0.25">
      <c r="A264">
        <v>775</v>
      </c>
      <c r="B264" s="47" t="str">
        <f>VLOOKUP(Tabla6[[#This Row],['# Vuelo]],'Validacion reclamo de equipaje'!P:Q,2,0)</f>
        <v>MEXICO AEREO</v>
      </c>
      <c r="C264" s="48">
        <v>0.21319444444444444</v>
      </c>
      <c r="D264" s="48">
        <v>0.22152777777777777</v>
      </c>
      <c r="E264" s="49">
        <f>'Reclamo de equipaje rediseñado'!$D264-'Reclamo de equipaje rediseñado'!$C264</f>
        <v>8.3333333333333315E-3</v>
      </c>
      <c r="F264" s="48">
        <v>0.23333333333333331</v>
      </c>
      <c r="G264" s="49">
        <f t="shared" si="4"/>
        <v>1.1805555555555541E-2</v>
      </c>
      <c r="H264" s="50">
        <v>41715</v>
      </c>
      <c r="I264" s="51" t="s">
        <v>549</v>
      </c>
      <c r="J264" s="51" t="s">
        <v>554</v>
      </c>
      <c r="K264" s="51">
        <f>VLOOKUP(J264,'Validacion reclamo de equipaje'!L:M,2,0)</f>
        <v>189</v>
      </c>
      <c r="L264" s="51" t="str">
        <f>VLOOKUP(I264,'Validacion reclamo de equipaje'!H:I,2,0)</f>
        <v>Nacional</v>
      </c>
      <c r="M264" s="51" t="s">
        <v>522</v>
      </c>
    </row>
    <row r="265" spans="1:13" x14ac:dyDescent="0.25">
      <c r="A265">
        <v>775</v>
      </c>
      <c r="B265" s="47" t="str">
        <f>VLOOKUP(Tabla6[[#This Row],['# Vuelo]],'Validacion reclamo de equipaje'!P:Q,2,0)</f>
        <v>MEXICO AEREO</v>
      </c>
      <c r="C265" s="52">
        <v>0.22013888888888888</v>
      </c>
      <c r="D265" s="52">
        <v>0.22916666666666666</v>
      </c>
      <c r="E265" s="53">
        <f>'Reclamo de equipaje rediseñado'!$D265-'Reclamo de equipaje rediseñado'!$C265</f>
        <v>9.0277777777777735E-3</v>
      </c>
      <c r="F265" s="52">
        <v>0.24583333333333335</v>
      </c>
      <c r="G265" s="53">
        <f t="shared" si="4"/>
        <v>1.6666666666666691E-2</v>
      </c>
      <c r="H265" s="54">
        <v>41719</v>
      </c>
      <c r="I265" s="55" t="s">
        <v>549</v>
      </c>
      <c r="J265" s="55" t="s">
        <v>554</v>
      </c>
      <c r="K265" s="55">
        <f>VLOOKUP(J265,'Validacion reclamo de equipaje'!L:M,2,0)</f>
        <v>189</v>
      </c>
      <c r="L265" s="55" t="str">
        <f>VLOOKUP(I265,'Validacion reclamo de equipaje'!H:I,2,0)</f>
        <v>Nacional</v>
      </c>
      <c r="M265" s="55" t="s">
        <v>522</v>
      </c>
    </row>
    <row r="266" spans="1:13" x14ac:dyDescent="0.25">
      <c r="A266">
        <v>775</v>
      </c>
      <c r="B266" s="47" t="str">
        <f>VLOOKUP(Tabla6[[#This Row],['# Vuelo]],'Validacion reclamo de equipaje'!P:Q,2,0)</f>
        <v>MEXICO AEREO</v>
      </c>
      <c r="C266" s="48">
        <v>0.21527777777777779</v>
      </c>
      <c r="D266" s="48">
        <v>0.21875</v>
      </c>
      <c r="E266" s="49">
        <f>'Reclamo de equipaje rediseñado'!$D266-'Reclamo de equipaje rediseñado'!$C266</f>
        <v>3.4722222222222099E-3</v>
      </c>
      <c r="F266" s="48">
        <v>0.23541666666666669</v>
      </c>
      <c r="G266" s="49">
        <f t="shared" si="4"/>
        <v>1.6666666666666691E-2</v>
      </c>
      <c r="H266" s="50">
        <v>41721</v>
      </c>
      <c r="I266" s="51" t="s">
        <v>549</v>
      </c>
      <c r="J266" s="51" t="s">
        <v>554</v>
      </c>
      <c r="K266" s="51">
        <f>VLOOKUP(J266,'Validacion reclamo de equipaje'!L:M,2,0)</f>
        <v>189</v>
      </c>
      <c r="L266" s="51" t="str">
        <f>VLOOKUP(I266,'Validacion reclamo de equipaje'!H:I,2,0)</f>
        <v>Nacional</v>
      </c>
      <c r="M266" s="51" t="s">
        <v>522</v>
      </c>
    </row>
    <row r="267" spans="1:13" x14ac:dyDescent="0.25">
      <c r="A267">
        <v>775</v>
      </c>
      <c r="B267" s="47" t="str">
        <f>VLOOKUP(Tabla6[[#This Row],['# Vuelo]],'Validacion reclamo de equipaje'!P:Q,2,0)</f>
        <v>MEXICO AEREO</v>
      </c>
      <c r="C267" s="52">
        <v>0.20625000000000002</v>
      </c>
      <c r="D267" s="52">
        <v>0.21597222222222223</v>
      </c>
      <c r="E267" s="53">
        <f>'Reclamo de equipaje rediseñado'!$D267-'Reclamo de equipaje rediseñado'!$C267</f>
        <v>9.7222222222222154E-3</v>
      </c>
      <c r="F267" s="52">
        <v>0.22916666666666666</v>
      </c>
      <c r="G267" s="53">
        <f t="shared" si="4"/>
        <v>1.3194444444444425E-2</v>
      </c>
      <c r="H267" s="54">
        <v>41722</v>
      </c>
      <c r="I267" s="55" t="s">
        <v>549</v>
      </c>
      <c r="J267" s="55" t="s">
        <v>554</v>
      </c>
      <c r="K267" s="55">
        <f>VLOOKUP(J267,'Validacion reclamo de equipaje'!L:M,2,0)</f>
        <v>189</v>
      </c>
      <c r="L267" s="55" t="str">
        <f>VLOOKUP(I267,'Validacion reclamo de equipaje'!H:I,2,0)</f>
        <v>Nacional</v>
      </c>
      <c r="M267" s="55" t="s">
        <v>522</v>
      </c>
    </row>
    <row r="268" spans="1:13" x14ac:dyDescent="0.25">
      <c r="A268">
        <v>775</v>
      </c>
      <c r="B268" s="47" t="str">
        <f>VLOOKUP(Tabla6[[#This Row],['# Vuelo]],'Validacion reclamo de equipaje'!P:Q,2,0)</f>
        <v>MEXICO AEREO</v>
      </c>
      <c r="C268" s="48">
        <v>0.21527777777777779</v>
      </c>
      <c r="D268" s="48">
        <v>0.22222222222222221</v>
      </c>
      <c r="E268" s="49">
        <f>'Reclamo de equipaje rediseñado'!$D268-'Reclamo de equipaje rediseñado'!$C268</f>
        <v>6.9444444444444198E-3</v>
      </c>
      <c r="F268" s="48">
        <v>0.22916666666666666</v>
      </c>
      <c r="G268" s="49">
        <f t="shared" si="4"/>
        <v>6.9444444444444475E-3</v>
      </c>
      <c r="H268" s="50">
        <v>41723</v>
      </c>
      <c r="I268" s="51" t="s">
        <v>549</v>
      </c>
      <c r="J268" s="51" t="s">
        <v>554</v>
      </c>
      <c r="K268" s="51">
        <f>VLOOKUP(J268,'Validacion reclamo de equipaje'!L:M,2,0)</f>
        <v>189</v>
      </c>
      <c r="L268" s="51" t="str">
        <f>VLOOKUP(I268,'Validacion reclamo de equipaje'!H:I,2,0)</f>
        <v>Nacional</v>
      </c>
      <c r="M268" s="51" t="s">
        <v>522</v>
      </c>
    </row>
    <row r="269" spans="1:13" x14ac:dyDescent="0.25">
      <c r="A269">
        <v>775</v>
      </c>
      <c r="B269" s="47" t="str">
        <f>VLOOKUP(Tabla6[[#This Row],['# Vuelo]],'Validacion reclamo de equipaje'!P:Q,2,0)</f>
        <v>MEXICO AEREO</v>
      </c>
      <c r="C269" s="52">
        <v>0.22222222222222221</v>
      </c>
      <c r="D269" s="52">
        <v>0.23611111111111113</v>
      </c>
      <c r="E269" s="53">
        <f>'Reclamo de equipaje rediseñado'!$D269-'Reclamo de equipaje rediseñado'!$C269</f>
        <v>1.3888888888888923E-2</v>
      </c>
      <c r="F269" s="52">
        <v>0.24583333333333335</v>
      </c>
      <c r="G269" s="53">
        <f t="shared" si="4"/>
        <v>9.7222222222222154E-3</v>
      </c>
      <c r="H269" s="54">
        <v>41724</v>
      </c>
      <c r="I269" s="55" t="s">
        <v>549</v>
      </c>
      <c r="J269" s="55" t="s">
        <v>554</v>
      </c>
      <c r="K269" s="55">
        <f>VLOOKUP(J269,'Validacion reclamo de equipaje'!L:M,2,0)</f>
        <v>189</v>
      </c>
      <c r="L269" s="55" t="str">
        <f>VLOOKUP(I269,'Validacion reclamo de equipaje'!H:I,2,0)</f>
        <v>Nacional</v>
      </c>
      <c r="M269" s="55" t="s">
        <v>522</v>
      </c>
    </row>
    <row r="270" spans="1:13" x14ac:dyDescent="0.25">
      <c r="A270">
        <v>775</v>
      </c>
      <c r="B270" s="47" t="str">
        <f>VLOOKUP(Tabla6[[#This Row],['# Vuelo]],'Validacion reclamo de equipaje'!P:Q,2,0)</f>
        <v>MEXICO AEREO</v>
      </c>
      <c r="C270" s="48">
        <v>0.22222222222222221</v>
      </c>
      <c r="D270" s="48">
        <v>0.22500000000000001</v>
      </c>
      <c r="E270" s="49">
        <f>'Reclamo de equipaje rediseñado'!$D270-'Reclamo de equipaje rediseñado'!$C270</f>
        <v>2.7777777777777957E-3</v>
      </c>
      <c r="F270" s="48">
        <v>0.23611111111111113</v>
      </c>
      <c r="G270" s="49">
        <f t="shared" si="4"/>
        <v>1.1111111111111127E-2</v>
      </c>
      <c r="H270" s="50">
        <v>41725</v>
      </c>
      <c r="I270" s="51" t="s">
        <v>549</v>
      </c>
      <c r="J270" s="51" t="s">
        <v>554</v>
      </c>
      <c r="K270" s="51">
        <f>VLOOKUP(J270,'Validacion reclamo de equipaje'!L:M,2,0)</f>
        <v>189</v>
      </c>
      <c r="L270" s="51" t="str">
        <f>VLOOKUP(I270,'Validacion reclamo de equipaje'!H:I,2,0)</f>
        <v>Nacional</v>
      </c>
      <c r="M270" s="51" t="s">
        <v>522</v>
      </c>
    </row>
    <row r="271" spans="1:13" x14ac:dyDescent="0.25">
      <c r="A271">
        <v>775</v>
      </c>
      <c r="B271" s="47" t="str">
        <f>VLOOKUP(Tabla6[[#This Row],['# Vuelo]],'Validacion reclamo de equipaje'!P:Q,2,0)</f>
        <v>MEXICO AEREO</v>
      </c>
      <c r="C271" s="52">
        <v>0.21249999999999999</v>
      </c>
      <c r="D271" s="52">
        <v>0.21805555555555556</v>
      </c>
      <c r="E271" s="53">
        <f>'Reclamo de equipaje rediseñado'!$D271-'Reclamo de equipaje rediseñado'!$C271</f>
        <v>5.5555555555555636E-3</v>
      </c>
      <c r="F271" s="52">
        <v>0.23472222222222219</v>
      </c>
      <c r="G271" s="53">
        <f t="shared" si="4"/>
        <v>1.6666666666666635E-2</v>
      </c>
      <c r="H271" s="54">
        <v>41726</v>
      </c>
      <c r="I271" s="55" t="s">
        <v>549</v>
      </c>
      <c r="J271" s="55" t="s">
        <v>554</v>
      </c>
      <c r="K271" s="55">
        <f>VLOOKUP(J271,'Validacion reclamo de equipaje'!L:M,2,0)</f>
        <v>189</v>
      </c>
      <c r="L271" s="55" t="str">
        <f>VLOOKUP(I271,'Validacion reclamo de equipaje'!H:I,2,0)</f>
        <v>Nacional</v>
      </c>
      <c r="M271" s="55" t="s">
        <v>522</v>
      </c>
    </row>
    <row r="272" spans="1:13" x14ac:dyDescent="0.25">
      <c r="A272">
        <v>775</v>
      </c>
      <c r="B272" s="47" t="str">
        <f>VLOOKUP(Tabla6[[#This Row],['# Vuelo]],'Validacion reclamo de equipaje'!P:Q,2,0)</f>
        <v>MEXICO AEREO</v>
      </c>
      <c r="C272" s="48">
        <v>0.22222222222222221</v>
      </c>
      <c r="D272" s="48">
        <v>0.23750000000000002</v>
      </c>
      <c r="E272" s="49">
        <f>'Reclamo de equipaje rediseñado'!$D272-'Reclamo de equipaje rediseñado'!$C272</f>
        <v>1.5277777777777807E-2</v>
      </c>
      <c r="F272" s="48">
        <v>0.24305555555555555</v>
      </c>
      <c r="G272" s="49">
        <f t="shared" si="4"/>
        <v>5.5555555555555358E-3</v>
      </c>
      <c r="H272" s="50">
        <v>41727</v>
      </c>
      <c r="I272" s="51" t="s">
        <v>549</v>
      </c>
      <c r="J272" s="51" t="s">
        <v>554</v>
      </c>
      <c r="K272" s="51">
        <f>VLOOKUP(J272,'Validacion reclamo de equipaje'!L:M,2,0)</f>
        <v>189</v>
      </c>
      <c r="L272" s="51" t="str">
        <f>VLOOKUP(I272,'Validacion reclamo de equipaje'!H:I,2,0)</f>
        <v>Nacional</v>
      </c>
      <c r="M272" s="51" t="s">
        <v>522</v>
      </c>
    </row>
    <row r="273" spans="1:13" x14ac:dyDescent="0.25">
      <c r="A273">
        <v>775</v>
      </c>
      <c r="B273" s="47" t="str">
        <f>VLOOKUP(Tabla6[[#This Row],['# Vuelo]],'Validacion reclamo de equipaje'!P:Q,2,0)</f>
        <v>MEXICO AEREO</v>
      </c>
      <c r="C273" s="52">
        <v>0.71180555555555547</v>
      </c>
      <c r="D273" s="52">
        <v>0.71875</v>
      </c>
      <c r="E273" s="53">
        <f>'Reclamo de equipaje rediseñado'!$D273-'Reclamo de equipaje rediseñado'!$C273</f>
        <v>6.9444444444445308E-3</v>
      </c>
      <c r="F273" s="52">
        <v>0.72222222222222221</v>
      </c>
      <c r="G273" s="53">
        <f t="shared" si="4"/>
        <v>3.4722222222222099E-3</v>
      </c>
      <c r="H273" s="54">
        <v>41729</v>
      </c>
      <c r="I273" s="55" t="s">
        <v>549</v>
      </c>
      <c r="J273" s="55" t="s">
        <v>554</v>
      </c>
      <c r="K273" s="55">
        <f>VLOOKUP(J273,'Validacion reclamo de equipaje'!L:M,2,0)</f>
        <v>189</v>
      </c>
      <c r="L273" s="55" t="str">
        <f>VLOOKUP(I273,'Validacion reclamo de equipaje'!H:I,2,0)</f>
        <v>Nacional</v>
      </c>
      <c r="M273" s="55" t="s">
        <v>522</v>
      </c>
    </row>
    <row r="274" spans="1:13" x14ac:dyDescent="0.25">
      <c r="A274">
        <v>773</v>
      </c>
      <c r="B274" s="47" t="str">
        <f>VLOOKUP(Tabla6[[#This Row],['# Vuelo]],'Validacion reclamo de equipaje'!P:Q,2,0)</f>
        <v>MEXICO AEREO</v>
      </c>
      <c r="C274" s="48">
        <v>0.8652777777777777</v>
      </c>
      <c r="D274" s="48">
        <v>0.87152777777777779</v>
      </c>
      <c r="E274" s="49">
        <f>'Reclamo de equipaje rediseñado'!$D274-'Reclamo de equipaje rediseñado'!$C274</f>
        <v>6.2500000000000888E-3</v>
      </c>
      <c r="F274" s="48">
        <v>0.88194444444444453</v>
      </c>
      <c r="G274" s="49">
        <f t="shared" si="4"/>
        <v>1.0416666666666741E-2</v>
      </c>
      <c r="H274" s="50">
        <v>41713</v>
      </c>
      <c r="I274" s="51" t="s">
        <v>549</v>
      </c>
      <c r="J274" s="51" t="s">
        <v>554</v>
      </c>
      <c r="K274" s="51">
        <f>VLOOKUP(J274,'Validacion reclamo de equipaje'!L:M,2,0)</f>
        <v>189</v>
      </c>
      <c r="L274" s="51" t="str">
        <f>VLOOKUP(I274,'Validacion reclamo de equipaje'!H:I,2,0)</f>
        <v>Nacional</v>
      </c>
      <c r="M274" s="51" t="s">
        <v>522</v>
      </c>
    </row>
    <row r="275" spans="1:13" x14ac:dyDescent="0.25">
      <c r="A275">
        <v>773</v>
      </c>
      <c r="B275" s="47" t="str">
        <f>VLOOKUP(Tabla6[[#This Row],['# Vuelo]],'Validacion reclamo de equipaje'!P:Q,2,0)</f>
        <v>MEXICO AEREO</v>
      </c>
      <c r="C275" s="52">
        <v>0.86875000000000002</v>
      </c>
      <c r="D275" s="52">
        <v>0.87569444444444444</v>
      </c>
      <c r="E275" s="53">
        <f>'Reclamo de equipaje rediseñado'!$D275-'Reclamo de equipaje rediseñado'!$C275</f>
        <v>6.9444444444444198E-3</v>
      </c>
      <c r="F275" s="52">
        <v>0.88541666666666663</v>
      </c>
      <c r="G275" s="53">
        <f t="shared" si="4"/>
        <v>9.7222222222221877E-3</v>
      </c>
      <c r="H275" s="54">
        <v>41715</v>
      </c>
      <c r="I275" s="55" t="s">
        <v>549</v>
      </c>
      <c r="J275" s="55" t="s">
        <v>554</v>
      </c>
      <c r="K275" s="55">
        <f>VLOOKUP(J275,'Validacion reclamo de equipaje'!L:M,2,0)</f>
        <v>189</v>
      </c>
      <c r="L275" s="55" t="str">
        <f>VLOOKUP(I275,'Validacion reclamo de equipaje'!H:I,2,0)</f>
        <v>Nacional</v>
      </c>
      <c r="M275" s="55" t="s">
        <v>522</v>
      </c>
    </row>
    <row r="276" spans="1:13" x14ac:dyDescent="0.25">
      <c r="A276">
        <v>773</v>
      </c>
      <c r="B276" s="47" t="str">
        <f>VLOOKUP(Tabla6[[#This Row],['# Vuelo]],'Validacion reclamo de equipaje'!P:Q,2,0)</f>
        <v>MEXICO AEREO</v>
      </c>
      <c r="C276" s="48">
        <v>0.86944444444444446</v>
      </c>
      <c r="D276" s="48">
        <v>0.87986111111111109</v>
      </c>
      <c r="E276" s="49">
        <f>'Reclamo de equipaje rediseñado'!$D276-'Reclamo de equipaje rediseñado'!$C276</f>
        <v>1.041666666666663E-2</v>
      </c>
      <c r="F276" s="48">
        <v>0.88888888888888884</v>
      </c>
      <c r="G276" s="49">
        <f t="shared" si="4"/>
        <v>9.0277777777777457E-3</v>
      </c>
      <c r="H276" s="50">
        <v>41716</v>
      </c>
      <c r="I276" s="51" t="s">
        <v>549</v>
      </c>
      <c r="J276" s="51" t="s">
        <v>554</v>
      </c>
      <c r="K276" s="51">
        <f>VLOOKUP(J276,'Validacion reclamo de equipaje'!L:M,2,0)</f>
        <v>189</v>
      </c>
      <c r="L276" s="51" t="str">
        <f>VLOOKUP(I276,'Validacion reclamo de equipaje'!H:I,2,0)</f>
        <v>Nacional</v>
      </c>
      <c r="M276" s="51" t="s">
        <v>522</v>
      </c>
    </row>
    <row r="277" spans="1:13" x14ac:dyDescent="0.25">
      <c r="A277">
        <v>773</v>
      </c>
      <c r="B277" s="47" t="str">
        <f>VLOOKUP(Tabla6[[#This Row],['# Vuelo]],'Validacion reclamo de equipaje'!P:Q,2,0)</f>
        <v>MEXICO AEREO</v>
      </c>
      <c r="C277" s="52">
        <v>0.87291666666666667</v>
      </c>
      <c r="D277" s="52">
        <v>0.88263888888888886</v>
      </c>
      <c r="E277" s="53">
        <f>'Reclamo de equipaje rediseñado'!$D277-'Reclamo de equipaje rediseñado'!$C277</f>
        <v>9.7222222222221877E-3</v>
      </c>
      <c r="F277" s="52">
        <v>0.9375</v>
      </c>
      <c r="G277" s="53">
        <f t="shared" si="4"/>
        <v>5.4861111111111138E-2</v>
      </c>
      <c r="H277" s="54">
        <v>41719</v>
      </c>
      <c r="I277" s="55" t="s">
        <v>549</v>
      </c>
      <c r="J277" s="55" t="s">
        <v>554</v>
      </c>
      <c r="K277" s="55">
        <f>VLOOKUP(J277,'Validacion reclamo de equipaje'!L:M,2,0)</f>
        <v>189</v>
      </c>
      <c r="L277" s="55" t="str">
        <f>VLOOKUP(I277,'Validacion reclamo de equipaje'!H:I,2,0)</f>
        <v>Nacional</v>
      </c>
      <c r="M277" s="55" t="s">
        <v>522</v>
      </c>
    </row>
    <row r="278" spans="1:13" x14ac:dyDescent="0.25">
      <c r="A278">
        <v>773</v>
      </c>
      <c r="B278" s="47" t="str">
        <f>VLOOKUP(Tabla6[[#This Row],['# Vuelo]],'Validacion reclamo de equipaje'!P:Q,2,0)</f>
        <v>MEXICO AEREO</v>
      </c>
      <c r="C278" s="48">
        <v>0.87361111111111101</v>
      </c>
      <c r="D278" s="48">
        <v>0.88124999999999998</v>
      </c>
      <c r="E278" s="49">
        <f>'Reclamo de equipaje rediseñado'!$D278-'Reclamo de equipaje rediseñado'!$C278</f>
        <v>7.6388888888889728E-3</v>
      </c>
      <c r="F278" s="48">
        <v>0.89097222222222217</v>
      </c>
      <c r="G278" s="49">
        <f t="shared" si="4"/>
        <v>9.7222222222221877E-3</v>
      </c>
      <c r="H278" s="50">
        <v>41721</v>
      </c>
      <c r="I278" s="51" t="s">
        <v>549</v>
      </c>
      <c r="J278" s="51" t="s">
        <v>554</v>
      </c>
      <c r="K278" s="51">
        <f>VLOOKUP(J278,'Validacion reclamo de equipaje'!L:M,2,0)</f>
        <v>189</v>
      </c>
      <c r="L278" s="51" t="str">
        <f>VLOOKUP(I278,'Validacion reclamo de equipaje'!H:I,2,0)</f>
        <v>Nacional</v>
      </c>
      <c r="M278" s="51" t="s">
        <v>522</v>
      </c>
    </row>
    <row r="279" spans="1:13" x14ac:dyDescent="0.25">
      <c r="A279">
        <v>773</v>
      </c>
      <c r="B279" s="47" t="str">
        <f>VLOOKUP(Tabla6[[#This Row],['# Vuelo]],'Validacion reclamo de equipaje'!P:Q,2,0)</f>
        <v>MEXICO AEREO</v>
      </c>
      <c r="C279" s="52">
        <v>0.87847222222222221</v>
      </c>
      <c r="D279" s="52">
        <v>0.88263888888888886</v>
      </c>
      <c r="E279" s="53">
        <f>'Reclamo de equipaje rediseñado'!$D279-'Reclamo de equipaje rediseñado'!$C279</f>
        <v>4.1666666666666519E-3</v>
      </c>
      <c r="F279" s="52">
        <v>0.89374999999999993</v>
      </c>
      <c r="G279" s="53">
        <f t="shared" si="4"/>
        <v>1.1111111111111072E-2</v>
      </c>
      <c r="H279" s="54">
        <v>41721</v>
      </c>
      <c r="I279" s="55" t="s">
        <v>549</v>
      </c>
      <c r="J279" s="55" t="s">
        <v>554</v>
      </c>
      <c r="K279" s="55">
        <f>VLOOKUP(J279,'Validacion reclamo de equipaje'!L:M,2,0)</f>
        <v>189</v>
      </c>
      <c r="L279" s="55" t="str">
        <f>VLOOKUP(I279,'Validacion reclamo de equipaje'!H:I,2,0)</f>
        <v>Nacional</v>
      </c>
      <c r="M279" s="55" t="s">
        <v>522</v>
      </c>
    </row>
    <row r="280" spans="1:13" x14ac:dyDescent="0.25">
      <c r="A280">
        <v>773</v>
      </c>
      <c r="B280" s="47" t="str">
        <f>VLOOKUP(Tabla6[[#This Row],['# Vuelo]],'Validacion reclamo de equipaje'!P:Q,2,0)</f>
        <v>MEXICO AEREO</v>
      </c>
      <c r="C280" s="48">
        <v>0.87708333333333333</v>
      </c>
      <c r="D280" s="48">
        <v>0.88402777777777775</v>
      </c>
      <c r="E280" s="49">
        <f>'Reclamo de equipaje rediseñado'!$D280-'Reclamo de equipaje rediseñado'!$C280</f>
        <v>6.9444444444444198E-3</v>
      </c>
      <c r="F280" s="48">
        <v>0.89166666666666661</v>
      </c>
      <c r="G280" s="49">
        <f t="shared" si="4"/>
        <v>7.6388888888888618E-3</v>
      </c>
      <c r="H280" s="50">
        <v>41723</v>
      </c>
      <c r="I280" s="51" t="s">
        <v>549</v>
      </c>
      <c r="J280" s="51" t="s">
        <v>554</v>
      </c>
      <c r="K280" s="51">
        <f>VLOOKUP(J280,'Validacion reclamo de equipaje'!L:M,2,0)</f>
        <v>189</v>
      </c>
      <c r="L280" s="51" t="str">
        <f>VLOOKUP(I280,'Validacion reclamo de equipaje'!H:I,2,0)</f>
        <v>Nacional</v>
      </c>
      <c r="M280" s="51" t="s">
        <v>522</v>
      </c>
    </row>
    <row r="281" spans="1:13" x14ac:dyDescent="0.25">
      <c r="A281">
        <v>773</v>
      </c>
      <c r="B281" s="47" t="str">
        <f>VLOOKUP(Tabla6[[#This Row],['# Vuelo]],'Validacion reclamo de equipaje'!P:Q,2,0)</f>
        <v>MEXICO AEREO</v>
      </c>
      <c r="C281" s="52">
        <v>0.86597222222222225</v>
      </c>
      <c r="D281" s="52">
        <v>0.86875000000000002</v>
      </c>
      <c r="E281" s="53">
        <f>'Reclamo de equipaje rediseñado'!$D281-'Reclamo de equipaje rediseñado'!$C281</f>
        <v>2.7777777777777679E-3</v>
      </c>
      <c r="F281" s="52">
        <v>0.875</v>
      </c>
      <c r="G281" s="53">
        <f t="shared" si="4"/>
        <v>6.2499999999999778E-3</v>
      </c>
      <c r="H281" s="54">
        <v>41724</v>
      </c>
      <c r="I281" s="55" t="s">
        <v>549</v>
      </c>
      <c r="J281" s="55" t="s">
        <v>554</v>
      </c>
      <c r="K281" s="55">
        <f>VLOOKUP(J281,'Validacion reclamo de equipaje'!L:M,2,0)</f>
        <v>189</v>
      </c>
      <c r="L281" s="55" t="str">
        <f>VLOOKUP(I281,'Validacion reclamo de equipaje'!H:I,2,0)</f>
        <v>Nacional</v>
      </c>
      <c r="M281" s="55" t="s">
        <v>522</v>
      </c>
    </row>
    <row r="282" spans="1:13" x14ac:dyDescent="0.25">
      <c r="A282">
        <v>773</v>
      </c>
      <c r="B282" s="47" t="str">
        <f>VLOOKUP(Tabla6[[#This Row],['# Vuelo]],'Validacion reclamo de equipaje'!P:Q,2,0)</f>
        <v>MEXICO AEREO</v>
      </c>
      <c r="C282" s="48">
        <v>0.87430555555555556</v>
      </c>
      <c r="D282" s="48">
        <v>0.87569444444444444</v>
      </c>
      <c r="E282" s="49">
        <f>'Reclamo de equipaje rediseñado'!$D282-'Reclamo de equipaje rediseñado'!$C282</f>
        <v>1.388888888888884E-3</v>
      </c>
      <c r="F282" s="48">
        <v>0.8833333333333333</v>
      </c>
      <c r="G282" s="49">
        <f t="shared" si="4"/>
        <v>7.6388888888888618E-3</v>
      </c>
      <c r="H282" s="50">
        <v>41724</v>
      </c>
      <c r="I282" s="51" t="s">
        <v>549</v>
      </c>
      <c r="J282" s="51" t="s">
        <v>554</v>
      </c>
      <c r="K282" s="51">
        <f>VLOOKUP(J282,'Validacion reclamo de equipaje'!L:M,2,0)</f>
        <v>189</v>
      </c>
      <c r="L282" s="51" t="str">
        <f>VLOOKUP(I282,'Validacion reclamo de equipaje'!H:I,2,0)</f>
        <v>Nacional</v>
      </c>
      <c r="M282" s="51" t="s">
        <v>522</v>
      </c>
    </row>
    <row r="283" spans="1:13" x14ac:dyDescent="0.25">
      <c r="A283">
        <v>773</v>
      </c>
      <c r="B283" s="47" t="str">
        <f>VLOOKUP(Tabla6[[#This Row],['# Vuelo]],'Validacion reclamo de equipaje'!P:Q,2,0)</f>
        <v>MEXICO AEREO</v>
      </c>
      <c r="C283" s="52">
        <v>0.85833333333333339</v>
      </c>
      <c r="D283" s="52">
        <v>0.88055555555555554</v>
      </c>
      <c r="E283" s="53">
        <f>'Reclamo de equipaje rediseñado'!$D283-'Reclamo de equipaje rediseñado'!$C283</f>
        <v>2.2222222222222143E-2</v>
      </c>
      <c r="F283" s="52">
        <v>0.89166666666666661</v>
      </c>
      <c r="G283" s="53">
        <f t="shared" si="4"/>
        <v>1.1111111111111072E-2</v>
      </c>
      <c r="H283" s="54">
        <v>41725</v>
      </c>
      <c r="I283" s="55" t="s">
        <v>549</v>
      </c>
      <c r="J283" s="55" t="s">
        <v>554</v>
      </c>
      <c r="K283" s="55">
        <f>VLOOKUP(J283,'Validacion reclamo de equipaje'!L:M,2,0)</f>
        <v>189</v>
      </c>
      <c r="L283" s="55" t="str">
        <f>VLOOKUP(I283,'Validacion reclamo de equipaje'!H:I,2,0)</f>
        <v>Nacional</v>
      </c>
      <c r="M283" s="55" t="s">
        <v>522</v>
      </c>
    </row>
    <row r="284" spans="1:13" x14ac:dyDescent="0.25">
      <c r="A284">
        <v>773</v>
      </c>
      <c r="B284" s="47" t="str">
        <f>VLOOKUP(Tabla6[[#This Row],['# Vuelo]],'Validacion reclamo de equipaje'!P:Q,2,0)</f>
        <v>MEXICO AEREO</v>
      </c>
      <c r="C284" s="48">
        <v>0.875</v>
      </c>
      <c r="D284" s="48">
        <v>0.88402777777777775</v>
      </c>
      <c r="E284" s="49">
        <f>'Reclamo de equipaje rediseñado'!$D284-'Reclamo de equipaje rediseñado'!$C284</f>
        <v>9.0277777777777457E-3</v>
      </c>
      <c r="F284" s="48">
        <v>0.89097222222222217</v>
      </c>
      <c r="G284" s="49">
        <f t="shared" si="4"/>
        <v>6.9444444444444198E-3</v>
      </c>
      <c r="H284" s="50">
        <v>41726</v>
      </c>
      <c r="I284" s="51" t="s">
        <v>549</v>
      </c>
      <c r="J284" s="51" t="s">
        <v>554</v>
      </c>
      <c r="K284" s="51">
        <f>VLOOKUP(J284,'Validacion reclamo de equipaje'!L:M,2,0)</f>
        <v>189</v>
      </c>
      <c r="L284" s="51" t="str">
        <f>VLOOKUP(I284,'Validacion reclamo de equipaje'!H:I,2,0)</f>
        <v>Nacional</v>
      </c>
      <c r="M284" s="51" t="s">
        <v>522</v>
      </c>
    </row>
    <row r="285" spans="1:13" x14ac:dyDescent="0.25">
      <c r="A285">
        <v>773</v>
      </c>
      <c r="B285" s="47" t="str">
        <f>VLOOKUP(Tabla6[[#This Row],['# Vuelo]],'Validacion reclamo de equipaje'!P:Q,2,0)</f>
        <v>MEXICO AEREO</v>
      </c>
      <c r="C285" s="52">
        <v>0.86805555555555547</v>
      </c>
      <c r="D285" s="52">
        <v>0.875</v>
      </c>
      <c r="E285" s="53">
        <f>'Reclamo de equipaje rediseñado'!$D285-'Reclamo de equipaje rediseñado'!$C285</f>
        <v>6.9444444444445308E-3</v>
      </c>
      <c r="F285" s="52">
        <v>0.88541666666666663</v>
      </c>
      <c r="G285" s="53">
        <f t="shared" si="4"/>
        <v>1.041666666666663E-2</v>
      </c>
      <c r="H285" s="54">
        <v>41727</v>
      </c>
      <c r="I285" s="55" t="s">
        <v>549</v>
      </c>
      <c r="J285" s="55" t="s">
        <v>554</v>
      </c>
      <c r="K285" s="55">
        <f>VLOOKUP(J285,'Validacion reclamo de equipaje'!L:M,2,0)</f>
        <v>189</v>
      </c>
      <c r="L285" s="55" t="str">
        <f>VLOOKUP(I285,'Validacion reclamo de equipaje'!H:I,2,0)</f>
        <v>Nacional</v>
      </c>
      <c r="M285" s="55" t="s">
        <v>522</v>
      </c>
    </row>
    <row r="286" spans="1:13" x14ac:dyDescent="0.25">
      <c r="A286">
        <v>771</v>
      </c>
      <c r="B286" s="47" t="str">
        <f>VLOOKUP(Tabla6[[#This Row],['# Vuelo]],'Validacion reclamo de equipaje'!P:Q,2,0)</f>
        <v>MEXICO AEREO</v>
      </c>
      <c r="C286" s="48">
        <v>0.56041666666666667</v>
      </c>
      <c r="D286" s="48">
        <v>0.5625</v>
      </c>
      <c r="E286" s="49">
        <f>'Reclamo de equipaje rediseñado'!$D286-'Reclamo de equipaje rediseñado'!$C286</f>
        <v>2.0833333333333259E-3</v>
      </c>
      <c r="F286" s="48">
        <v>0.57708333333333328</v>
      </c>
      <c r="G286" s="49">
        <f t="shared" si="4"/>
        <v>1.4583333333333282E-2</v>
      </c>
      <c r="H286" s="50">
        <v>41714</v>
      </c>
      <c r="I286" s="51" t="s">
        <v>549</v>
      </c>
      <c r="J286" s="51" t="s">
        <v>554</v>
      </c>
      <c r="K286" s="51">
        <f>VLOOKUP(J286,'Validacion reclamo de equipaje'!L:M,2,0)</f>
        <v>189</v>
      </c>
      <c r="L286" s="51" t="str">
        <f>VLOOKUP(I286,'Validacion reclamo de equipaje'!H:I,2,0)</f>
        <v>Nacional</v>
      </c>
      <c r="M286" s="51" t="s">
        <v>522</v>
      </c>
    </row>
    <row r="287" spans="1:13" x14ac:dyDescent="0.25">
      <c r="A287">
        <v>771</v>
      </c>
      <c r="B287" s="47" t="str">
        <f>VLOOKUP(Tabla6[[#This Row],['# Vuelo]],'Validacion reclamo de equipaje'!P:Q,2,0)</f>
        <v>MEXICO AEREO</v>
      </c>
      <c r="C287" s="52">
        <v>0.55069444444444449</v>
      </c>
      <c r="D287" s="52">
        <v>0.55833333333333335</v>
      </c>
      <c r="E287" s="53">
        <f>'Reclamo de equipaje rediseñado'!$D287-'Reclamo de equipaje rediseñado'!$C287</f>
        <v>7.6388888888888618E-3</v>
      </c>
      <c r="F287" s="52">
        <v>0.56736111111111109</v>
      </c>
      <c r="G287" s="53">
        <f t="shared" si="4"/>
        <v>9.0277777777777457E-3</v>
      </c>
      <c r="H287" s="54">
        <v>41715</v>
      </c>
      <c r="I287" s="55" t="s">
        <v>549</v>
      </c>
      <c r="J287" s="55" t="s">
        <v>554</v>
      </c>
      <c r="K287" s="55">
        <f>VLOOKUP(J287,'Validacion reclamo de equipaje'!L:M,2,0)</f>
        <v>189</v>
      </c>
      <c r="L287" s="55" t="str">
        <f>VLOOKUP(I287,'Validacion reclamo de equipaje'!H:I,2,0)</f>
        <v>Nacional</v>
      </c>
      <c r="M287" s="55" t="s">
        <v>522</v>
      </c>
    </row>
    <row r="288" spans="1:13" x14ac:dyDescent="0.25">
      <c r="A288">
        <v>771</v>
      </c>
      <c r="B288" s="47" t="str">
        <f>VLOOKUP(Tabla6[[#This Row],['# Vuelo]],'Validacion reclamo de equipaje'!P:Q,2,0)</f>
        <v>MEXICO AEREO</v>
      </c>
      <c r="C288" s="48">
        <v>0.56527777777777777</v>
      </c>
      <c r="D288" s="48">
        <v>0.57430555555555551</v>
      </c>
      <c r="E288" s="49">
        <f>'Reclamo de equipaje rediseñado'!$D288-'Reclamo de equipaje rediseñado'!$C288</f>
        <v>9.0277777777777457E-3</v>
      </c>
      <c r="F288" s="48">
        <v>0.58333333333333337</v>
      </c>
      <c r="G288" s="49">
        <f t="shared" si="4"/>
        <v>9.0277777777778567E-3</v>
      </c>
      <c r="H288" s="50">
        <v>41716</v>
      </c>
      <c r="I288" s="51" t="s">
        <v>549</v>
      </c>
      <c r="J288" s="51" t="s">
        <v>554</v>
      </c>
      <c r="K288" s="51">
        <f>VLOOKUP(J288,'Validacion reclamo de equipaje'!L:M,2,0)</f>
        <v>189</v>
      </c>
      <c r="L288" s="51" t="str">
        <f>VLOOKUP(I288,'Validacion reclamo de equipaje'!H:I,2,0)</f>
        <v>Nacional</v>
      </c>
      <c r="M288" s="51" t="s">
        <v>522</v>
      </c>
    </row>
    <row r="289" spans="1:13" x14ac:dyDescent="0.25">
      <c r="A289">
        <v>771</v>
      </c>
      <c r="B289" s="47" t="str">
        <f>VLOOKUP(Tabla6[[#This Row],['# Vuelo]],'Validacion reclamo de equipaje'!P:Q,2,0)</f>
        <v>MEXICO AEREO</v>
      </c>
      <c r="C289" s="52">
        <v>0.55763888888888891</v>
      </c>
      <c r="D289" s="52">
        <v>0.56458333333333333</v>
      </c>
      <c r="E289" s="53">
        <f>'Reclamo de equipaje rediseñado'!$D289-'Reclamo de equipaje rediseñado'!$C289</f>
        <v>6.9444444444444198E-3</v>
      </c>
      <c r="F289" s="52">
        <v>0.57013888888888886</v>
      </c>
      <c r="G289" s="53">
        <f t="shared" si="4"/>
        <v>5.5555555555555358E-3</v>
      </c>
      <c r="H289" s="54">
        <v>41717</v>
      </c>
      <c r="I289" s="55" t="s">
        <v>549</v>
      </c>
      <c r="J289" s="55" t="s">
        <v>554</v>
      </c>
      <c r="K289" s="55">
        <f>VLOOKUP(J289,'Validacion reclamo de equipaje'!L:M,2,0)</f>
        <v>189</v>
      </c>
      <c r="L289" s="55" t="str">
        <f>VLOOKUP(I289,'Validacion reclamo de equipaje'!H:I,2,0)</f>
        <v>Nacional</v>
      </c>
      <c r="M289" s="55" t="s">
        <v>522</v>
      </c>
    </row>
    <row r="290" spans="1:13" x14ac:dyDescent="0.25">
      <c r="A290">
        <v>771</v>
      </c>
      <c r="B290" s="47" t="str">
        <f>VLOOKUP(Tabla6[[#This Row],['# Vuelo]],'Validacion reclamo de equipaje'!P:Q,2,0)</f>
        <v>MEXICO AEREO</v>
      </c>
      <c r="C290" s="48">
        <v>0.56180555555555556</v>
      </c>
      <c r="D290" s="48">
        <v>0.56805555555555554</v>
      </c>
      <c r="E290" s="49">
        <f>'Reclamo de equipaje rediseñado'!$D290-'Reclamo de equipaje rediseñado'!$C290</f>
        <v>6.2499999999999778E-3</v>
      </c>
      <c r="F290" s="48">
        <v>0.57916666666666672</v>
      </c>
      <c r="G290" s="49">
        <f t="shared" si="4"/>
        <v>1.1111111111111183E-2</v>
      </c>
      <c r="H290" s="50">
        <v>41718</v>
      </c>
      <c r="I290" s="51" t="s">
        <v>549</v>
      </c>
      <c r="J290" s="51" t="s">
        <v>554</v>
      </c>
      <c r="K290" s="51">
        <f>VLOOKUP(J290,'Validacion reclamo de equipaje'!L:M,2,0)</f>
        <v>189</v>
      </c>
      <c r="L290" s="51" t="str">
        <f>VLOOKUP(I290,'Validacion reclamo de equipaje'!H:I,2,0)</f>
        <v>Nacional</v>
      </c>
      <c r="M290" s="51" t="s">
        <v>522</v>
      </c>
    </row>
    <row r="291" spans="1:13" x14ac:dyDescent="0.25">
      <c r="A291">
        <v>771</v>
      </c>
      <c r="B291" s="47" t="str">
        <f>VLOOKUP(Tabla6[[#This Row],['# Vuelo]],'Validacion reclamo de equipaje'!P:Q,2,0)</f>
        <v>MEXICO AEREO</v>
      </c>
      <c r="C291" s="52">
        <v>0.55694444444444446</v>
      </c>
      <c r="D291" s="52">
        <v>0.57291666666666663</v>
      </c>
      <c r="E291" s="53">
        <f>'Reclamo de equipaje rediseñado'!$D291-'Reclamo de equipaje rediseñado'!$C291</f>
        <v>1.5972222222222165E-2</v>
      </c>
      <c r="F291" s="52">
        <v>0.57361111111111118</v>
      </c>
      <c r="G291" s="53">
        <f t="shared" si="4"/>
        <v>6.94444444444553E-4</v>
      </c>
      <c r="H291" s="54">
        <v>41720</v>
      </c>
      <c r="I291" s="55" t="s">
        <v>549</v>
      </c>
      <c r="J291" s="55" t="s">
        <v>554</v>
      </c>
      <c r="K291" s="55">
        <f>VLOOKUP(J291,'Validacion reclamo de equipaje'!L:M,2,0)</f>
        <v>189</v>
      </c>
      <c r="L291" s="55" t="str">
        <f>VLOOKUP(I291,'Validacion reclamo de equipaje'!H:I,2,0)</f>
        <v>Nacional</v>
      </c>
      <c r="M291" s="55" t="s">
        <v>522</v>
      </c>
    </row>
    <row r="292" spans="1:13" x14ac:dyDescent="0.25">
      <c r="A292">
        <v>771</v>
      </c>
      <c r="B292" s="47" t="str">
        <f>VLOOKUP(Tabla6[[#This Row],['# Vuelo]],'Validacion reclamo de equipaje'!P:Q,2,0)</f>
        <v>MEXICO AEREO</v>
      </c>
      <c r="C292" s="48">
        <v>0.55625000000000002</v>
      </c>
      <c r="D292" s="48">
        <v>0.56041666666666667</v>
      </c>
      <c r="E292" s="49">
        <f>'Reclamo de equipaje rediseñado'!$D292-'Reclamo de equipaje rediseñado'!$C292</f>
        <v>4.1666666666666519E-3</v>
      </c>
      <c r="F292" s="48">
        <v>0.57152777777777775</v>
      </c>
      <c r="G292" s="49">
        <f t="shared" si="4"/>
        <v>1.1111111111111072E-2</v>
      </c>
      <c r="H292" s="50">
        <v>41721</v>
      </c>
      <c r="I292" s="51" t="s">
        <v>549</v>
      </c>
      <c r="J292" s="51" t="s">
        <v>554</v>
      </c>
      <c r="K292" s="51">
        <f>VLOOKUP(J292,'Validacion reclamo de equipaje'!L:M,2,0)</f>
        <v>189</v>
      </c>
      <c r="L292" s="51" t="str">
        <f>VLOOKUP(I292,'Validacion reclamo de equipaje'!H:I,2,0)</f>
        <v>Nacional</v>
      </c>
      <c r="M292" s="51" t="s">
        <v>522</v>
      </c>
    </row>
    <row r="293" spans="1:13" x14ac:dyDescent="0.25">
      <c r="A293">
        <v>771</v>
      </c>
      <c r="B293" s="47" t="str">
        <f>VLOOKUP(Tabla6[[#This Row],['# Vuelo]],'Validacion reclamo de equipaje'!P:Q,2,0)</f>
        <v>MEXICO AEREO</v>
      </c>
      <c r="C293" s="52">
        <v>0.55902777777777779</v>
      </c>
      <c r="D293" s="52">
        <v>0.56458333333333333</v>
      </c>
      <c r="E293" s="53">
        <f>'Reclamo de equipaje rediseñado'!$D293-'Reclamo de equipaje rediseñado'!$C293</f>
        <v>5.5555555555555358E-3</v>
      </c>
      <c r="F293" s="52">
        <v>0.5708333333333333</v>
      </c>
      <c r="G293" s="53">
        <f t="shared" si="4"/>
        <v>6.2499999999999778E-3</v>
      </c>
      <c r="H293" s="54">
        <v>41722</v>
      </c>
      <c r="I293" s="55" t="s">
        <v>549</v>
      </c>
      <c r="J293" s="55" t="s">
        <v>554</v>
      </c>
      <c r="K293" s="55">
        <f>VLOOKUP(J293,'Validacion reclamo de equipaje'!L:M,2,0)</f>
        <v>189</v>
      </c>
      <c r="L293" s="55" t="str">
        <f>VLOOKUP(I293,'Validacion reclamo de equipaje'!H:I,2,0)</f>
        <v>Nacional</v>
      </c>
      <c r="M293" s="55" t="s">
        <v>522</v>
      </c>
    </row>
    <row r="294" spans="1:13" x14ac:dyDescent="0.25">
      <c r="A294">
        <v>771</v>
      </c>
      <c r="B294" s="47" t="str">
        <f>VLOOKUP(Tabla6[[#This Row],['# Vuelo]],'Validacion reclamo de equipaje'!P:Q,2,0)</f>
        <v>MEXICO AEREO</v>
      </c>
      <c r="C294" s="48">
        <v>0.55763888888888891</v>
      </c>
      <c r="D294" s="48">
        <v>0.56805555555555554</v>
      </c>
      <c r="E294" s="49">
        <f>'Reclamo de equipaje rediseñado'!$D294-'Reclamo de equipaje rediseñado'!$C294</f>
        <v>1.041666666666663E-2</v>
      </c>
      <c r="F294" s="48">
        <v>0.57708333333333328</v>
      </c>
      <c r="G294" s="49">
        <f t="shared" si="4"/>
        <v>9.0277777777777457E-3</v>
      </c>
      <c r="H294" s="50">
        <v>41725</v>
      </c>
      <c r="I294" s="51" t="s">
        <v>549</v>
      </c>
      <c r="J294" s="51" t="s">
        <v>554</v>
      </c>
      <c r="K294" s="51">
        <f>VLOOKUP(J294,'Validacion reclamo de equipaje'!L:M,2,0)</f>
        <v>189</v>
      </c>
      <c r="L294" s="51" t="str">
        <f>VLOOKUP(I294,'Validacion reclamo de equipaje'!H:I,2,0)</f>
        <v>Nacional</v>
      </c>
      <c r="M294" s="51" t="s">
        <v>522</v>
      </c>
    </row>
    <row r="295" spans="1:13" x14ac:dyDescent="0.25">
      <c r="A295">
        <v>771</v>
      </c>
      <c r="B295" s="47" t="str">
        <f>VLOOKUP(Tabla6[[#This Row],['# Vuelo]],'Validacion reclamo de equipaje'!P:Q,2,0)</f>
        <v>MEXICO AEREO</v>
      </c>
      <c r="C295" s="52">
        <v>0.56180555555555556</v>
      </c>
      <c r="D295" s="52">
        <v>0.57013888888888886</v>
      </c>
      <c r="E295" s="53">
        <f>'Reclamo de equipaje rediseñado'!$D295-'Reclamo de equipaje rediseñado'!$C295</f>
        <v>8.3333333333333037E-3</v>
      </c>
      <c r="F295" s="52">
        <v>0.57986111111111105</v>
      </c>
      <c r="G295" s="53">
        <f t="shared" si="4"/>
        <v>9.7222222222221877E-3</v>
      </c>
      <c r="H295" s="54">
        <v>41725</v>
      </c>
      <c r="I295" s="55" t="s">
        <v>549</v>
      </c>
      <c r="J295" s="55" t="s">
        <v>554</v>
      </c>
      <c r="K295" s="55">
        <f>VLOOKUP(J295,'Validacion reclamo de equipaje'!L:M,2,0)</f>
        <v>189</v>
      </c>
      <c r="L295" s="55" t="str">
        <f>VLOOKUP(I295,'Validacion reclamo de equipaje'!H:I,2,0)</f>
        <v>Nacional</v>
      </c>
      <c r="M295" s="55" t="s">
        <v>522</v>
      </c>
    </row>
    <row r="296" spans="1:13" x14ac:dyDescent="0.25">
      <c r="A296">
        <v>771</v>
      </c>
      <c r="B296" s="47" t="str">
        <f>VLOOKUP(Tabla6[[#This Row],['# Vuelo]],'Validacion reclamo de equipaje'!P:Q,2,0)</f>
        <v>MEXICO AEREO</v>
      </c>
      <c r="C296" s="48">
        <v>0.55555555555555558</v>
      </c>
      <c r="D296" s="48">
        <v>0.56666666666666665</v>
      </c>
      <c r="E296" s="49">
        <f>'Reclamo de equipaje rediseñado'!$D296-'Reclamo de equipaje rediseñado'!$C296</f>
        <v>1.1111111111111072E-2</v>
      </c>
      <c r="F296" s="48">
        <v>0.57222222222222219</v>
      </c>
      <c r="G296" s="49">
        <f t="shared" si="4"/>
        <v>5.5555555555555358E-3</v>
      </c>
      <c r="H296" s="50">
        <v>41726</v>
      </c>
      <c r="I296" s="51" t="s">
        <v>549</v>
      </c>
      <c r="J296" s="51" t="s">
        <v>554</v>
      </c>
      <c r="K296" s="51">
        <f>VLOOKUP(J296,'Validacion reclamo de equipaje'!L:M,2,0)</f>
        <v>189</v>
      </c>
      <c r="L296" s="51" t="str">
        <f>VLOOKUP(I296,'Validacion reclamo de equipaje'!H:I,2,0)</f>
        <v>Nacional</v>
      </c>
      <c r="M296" s="51" t="s">
        <v>522</v>
      </c>
    </row>
    <row r="297" spans="1:13" x14ac:dyDescent="0.25">
      <c r="A297">
        <v>771</v>
      </c>
      <c r="B297" s="47" t="str">
        <f>VLOOKUP(Tabla6[[#This Row],['# Vuelo]],'Validacion reclamo de equipaje'!P:Q,2,0)</f>
        <v>MEXICO AEREO</v>
      </c>
      <c r="C297" s="52">
        <v>0.56180555555555556</v>
      </c>
      <c r="D297" s="52">
        <v>0.56388888888888888</v>
      </c>
      <c r="E297" s="53">
        <f>'Reclamo de equipaje rediseñado'!$D297-'Reclamo de equipaje rediseñado'!$C297</f>
        <v>2.0833333333333259E-3</v>
      </c>
      <c r="F297" s="52">
        <v>0.58194444444444449</v>
      </c>
      <c r="G297" s="53">
        <f t="shared" si="4"/>
        <v>1.8055555555555602E-2</v>
      </c>
      <c r="H297" s="54">
        <v>41727</v>
      </c>
      <c r="I297" s="55" t="s">
        <v>549</v>
      </c>
      <c r="J297" s="55" t="s">
        <v>554</v>
      </c>
      <c r="K297" s="55">
        <f>VLOOKUP(J297,'Validacion reclamo de equipaje'!L:M,2,0)</f>
        <v>189</v>
      </c>
      <c r="L297" s="55" t="str">
        <f>VLOOKUP(I297,'Validacion reclamo de equipaje'!H:I,2,0)</f>
        <v>Nacional</v>
      </c>
      <c r="M297" s="55" t="s">
        <v>522</v>
      </c>
    </row>
    <row r="298" spans="1:13" x14ac:dyDescent="0.25">
      <c r="A298">
        <v>771</v>
      </c>
      <c r="B298" s="47" t="str">
        <f>VLOOKUP(Tabla6[[#This Row],['# Vuelo]],'Validacion reclamo de equipaje'!P:Q,2,0)</f>
        <v>MEXICO AEREO</v>
      </c>
      <c r="C298" s="48">
        <v>0.57222222222222219</v>
      </c>
      <c r="D298" s="48">
        <v>0.58194444444444449</v>
      </c>
      <c r="E298" s="49">
        <f>'Reclamo de equipaje rediseñado'!$D298-'Reclamo de equipaje rediseñado'!$C298</f>
        <v>9.7222222222222987E-3</v>
      </c>
      <c r="F298" s="48">
        <v>0.58888888888888891</v>
      </c>
      <c r="G298" s="49">
        <f t="shared" si="4"/>
        <v>6.9444444444444198E-3</v>
      </c>
      <c r="H298" s="50">
        <v>41729</v>
      </c>
      <c r="I298" s="51" t="s">
        <v>549</v>
      </c>
      <c r="J298" s="51" t="s">
        <v>554</v>
      </c>
      <c r="K298" s="51">
        <f>VLOOKUP(J298,'Validacion reclamo de equipaje'!L:M,2,0)</f>
        <v>189</v>
      </c>
      <c r="L298" s="51" t="str">
        <f>VLOOKUP(I298,'Validacion reclamo de equipaje'!H:I,2,0)</f>
        <v>Nacional</v>
      </c>
      <c r="M298" s="51" t="s">
        <v>522</v>
      </c>
    </row>
    <row r="299" spans="1:13" x14ac:dyDescent="0.25">
      <c r="A299">
        <v>771</v>
      </c>
      <c r="B299" s="47" t="str">
        <f>VLOOKUP(Tabla6[[#This Row],['# Vuelo]],'Validacion reclamo de equipaje'!P:Q,2,0)</f>
        <v>MEXICO AEREO</v>
      </c>
      <c r="C299" s="52">
        <v>0.48402777777777778</v>
      </c>
      <c r="D299" s="52">
        <v>0.49305555555555558</v>
      </c>
      <c r="E299" s="53">
        <f>'Reclamo de equipaje rediseñado'!$D299-'Reclamo de equipaje rediseñado'!$C299</f>
        <v>9.0277777777778012E-3</v>
      </c>
      <c r="F299" s="52">
        <v>0.50555555555555554</v>
      </c>
      <c r="G299" s="53">
        <f t="shared" si="4"/>
        <v>1.2499999999999956E-2</v>
      </c>
      <c r="H299" s="54">
        <v>41718</v>
      </c>
      <c r="I299" s="55" t="s">
        <v>549</v>
      </c>
      <c r="J299" s="55" t="s">
        <v>554</v>
      </c>
      <c r="K299" s="55">
        <f>VLOOKUP(J299,'Validacion reclamo de equipaje'!L:M,2,0)</f>
        <v>189</v>
      </c>
      <c r="L299" s="55" t="str">
        <f>VLOOKUP(I299,'Validacion reclamo de equipaje'!H:I,2,0)</f>
        <v>Nacional</v>
      </c>
      <c r="M299" s="55" t="s">
        <v>522</v>
      </c>
    </row>
    <row r="300" spans="1:13" x14ac:dyDescent="0.25">
      <c r="A300">
        <v>663</v>
      </c>
      <c r="B300" s="47" t="str">
        <f>VLOOKUP(Tabla6[[#This Row],['# Vuelo]],'Validacion reclamo de equipaje'!P:Q,2,0)</f>
        <v>MEXICO AEREO</v>
      </c>
      <c r="C300" s="48">
        <v>0.97083333333333333</v>
      </c>
      <c r="D300" s="48">
        <v>0.97916666666666663</v>
      </c>
      <c r="E300" s="49">
        <f>'Reclamo de equipaje rediseñado'!$D300-'Reclamo de equipaje rediseñado'!$C300</f>
        <v>8.3333333333333037E-3</v>
      </c>
      <c r="F300" s="48">
        <v>0.98472222222222217</v>
      </c>
      <c r="G300" s="49">
        <f t="shared" si="4"/>
        <v>5.5555555555555358E-3</v>
      </c>
      <c r="H300" s="50">
        <v>41722</v>
      </c>
      <c r="I300" s="51" t="s">
        <v>558</v>
      </c>
      <c r="J300" s="51" t="s">
        <v>554</v>
      </c>
      <c r="K300" s="51">
        <f>VLOOKUP(J300,'Validacion reclamo de equipaje'!L:M,2,0)</f>
        <v>189</v>
      </c>
      <c r="L300" s="51" t="str">
        <f>VLOOKUP(I300,'Validacion reclamo de equipaje'!H:I,2,0)</f>
        <v>Internacional</v>
      </c>
      <c r="M300" s="51" t="s">
        <v>522</v>
      </c>
    </row>
    <row r="301" spans="1:13" x14ac:dyDescent="0.25">
      <c r="A301">
        <v>663</v>
      </c>
      <c r="B301" s="47" t="str">
        <f>VLOOKUP(Tabla6[[#This Row],['# Vuelo]],'Validacion reclamo de equipaje'!P:Q,2,0)</f>
        <v>MEXICO AEREO</v>
      </c>
      <c r="C301" s="52">
        <v>0.96666666666666667</v>
      </c>
      <c r="D301" s="52">
        <v>0.98611111111111116</v>
      </c>
      <c r="E301" s="53">
        <f>'Reclamo de equipaje rediseñado'!$D301-'Reclamo de equipaje rediseñado'!$C301</f>
        <v>1.9444444444444486E-2</v>
      </c>
      <c r="F301" s="52">
        <v>0.99305555555555547</v>
      </c>
      <c r="G301" s="53">
        <f t="shared" si="4"/>
        <v>6.9444444444443088E-3</v>
      </c>
      <c r="H301" s="54">
        <v>41721</v>
      </c>
      <c r="I301" s="55" t="s">
        <v>558</v>
      </c>
      <c r="J301" s="55" t="s">
        <v>554</v>
      </c>
      <c r="K301" s="55">
        <f>VLOOKUP(J301,'Validacion reclamo de equipaje'!L:M,2,0)</f>
        <v>189</v>
      </c>
      <c r="L301" s="55" t="str">
        <f>VLOOKUP(I301,'Validacion reclamo de equipaje'!H:I,2,0)</f>
        <v>Internacional</v>
      </c>
      <c r="M301" s="55" t="s">
        <v>522</v>
      </c>
    </row>
    <row r="302" spans="1:13" x14ac:dyDescent="0.25">
      <c r="A302">
        <v>663</v>
      </c>
      <c r="B302" s="47" t="str">
        <f>VLOOKUP(Tabla6[[#This Row],['# Vuelo]],'Validacion reclamo de equipaje'!P:Q,2,0)</f>
        <v>MEXICO AEREO</v>
      </c>
      <c r="C302" s="48">
        <v>0.84166666666666667</v>
      </c>
      <c r="D302" s="48">
        <v>0.84722222222222221</v>
      </c>
      <c r="E302" s="49">
        <f>'Reclamo de equipaje rediseñado'!$D302-'Reclamo de equipaje rediseñado'!$C302</f>
        <v>5.5555555555555358E-3</v>
      </c>
      <c r="F302" s="48">
        <v>0.86736111111111114</v>
      </c>
      <c r="G302" s="49">
        <f t="shared" si="4"/>
        <v>2.0138888888888928E-2</v>
      </c>
      <c r="H302" s="50">
        <v>41713</v>
      </c>
      <c r="I302" s="51" t="s">
        <v>558</v>
      </c>
      <c r="J302" s="51" t="s">
        <v>554</v>
      </c>
      <c r="K302" s="51">
        <f>VLOOKUP(J302,'Validacion reclamo de equipaje'!L:M,2,0)</f>
        <v>189</v>
      </c>
      <c r="L302" s="51" t="str">
        <f>VLOOKUP(I302,'Validacion reclamo de equipaje'!H:I,2,0)</f>
        <v>Internacional</v>
      </c>
      <c r="M302" s="51" t="s">
        <v>522</v>
      </c>
    </row>
    <row r="303" spans="1:13" x14ac:dyDescent="0.25">
      <c r="A303">
        <v>663</v>
      </c>
      <c r="B303" s="47" t="str">
        <f>VLOOKUP(Tabla6[[#This Row],['# Vuelo]],'Validacion reclamo de equipaje'!P:Q,2,0)</f>
        <v>MEXICO AEREO</v>
      </c>
      <c r="C303" s="52">
        <v>0.85555555555555562</v>
      </c>
      <c r="D303" s="52">
        <v>0.8652777777777777</v>
      </c>
      <c r="E303" s="53">
        <f>'Reclamo de equipaje rediseñado'!$D303-'Reclamo de equipaje rediseñado'!$C303</f>
        <v>9.7222222222220767E-3</v>
      </c>
      <c r="F303" s="52">
        <v>0.90277777777777779</v>
      </c>
      <c r="G303" s="53">
        <f t="shared" si="4"/>
        <v>3.7500000000000089E-2</v>
      </c>
      <c r="H303" s="54">
        <v>41719</v>
      </c>
      <c r="I303" s="55" t="s">
        <v>558</v>
      </c>
      <c r="J303" s="55" t="s">
        <v>554</v>
      </c>
      <c r="K303" s="55">
        <f>VLOOKUP(J303,'Validacion reclamo de equipaje'!L:M,2,0)</f>
        <v>189</v>
      </c>
      <c r="L303" s="55" t="str">
        <f>VLOOKUP(I303,'Validacion reclamo de equipaje'!H:I,2,0)</f>
        <v>Internacional</v>
      </c>
      <c r="M303" s="55" t="s">
        <v>522</v>
      </c>
    </row>
    <row r="304" spans="1:13" x14ac:dyDescent="0.25">
      <c r="A304">
        <v>663</v>
      </c>
      <c r="B304" s="47" t="str">
        <f>VLOOKUP(Tabla6[[#This Row],['# Vuelo]],'Validacion reclamo de equipaje'!P:Q,2,0)</f>
        <v>MEXICO AEREO</v>
      </c>
      <c r="C304" s="48">
        <v>0.84791666666666676</v>
      </c>
      <c r="D304" s="48">
        <v>0.8520833333333333</v>
      </c>
      <c r="E304" s="49">
        <f>'Reclamo de equipaje rediseñado'!$D304-'Reclamo de equipaje rediseñado'!$C304</f>
        <v>4.1666666666665408E-3</v>
      </c>
      <c r="F304" s="48">
        <v>0.8833333333333333</v>
      </c>
      <c r="G304" s="49">
        <f t="shared" si="4"/>
        <v>3.125E-2</v>
      </c>
      <c r="H304" s="50">
        <v>41721</v>
      </c>
      <c r="I304" s="51" t="s">
        <v>558</v>
      </c>
      <c r="J304" s="51" t="s">
        <v>554</v>
      </c>
      <c r="K304" s="51">
        <f>VLOOKUP(J304,'Validacion reclamo de equipaje'!L:M,2,0)</f>
        <v>189</v>
      </c>
      <c r="L304" s="51" t="str">
        <f>VLOOKUP(I304,'Validacion reclamo de equipaje'!H:I,2,0)</f>
        <v>Internacional</v>
      </c>
      <c r="M304" s="51" t="s">
        <v>522</v>
      </c>
    </row>
    <row r="305" spans="1:13" x14ac:dyDescent="0.25">
      <c r="A305">
        <v>663</v>
      </c>
      <c r="B305" s="47" t="str">
        <f>VLOOKUP(Tabla6[[#This Row],['# Vuelo]],'Validacion reclamo de equipaje'!P:Q,2,0)</f>
        <v>MEXICO AEREO</v>
      </c>
      <c r="C305" s="52">
        <v>0.84861111111111109</v>
      </c>
      <c r="D305" s="52">
        <v>0.86805555555555547</v>
      </c>
      <c r="E305" s="53">
        <f>'Reclamo de equipaje rediseñado'!$D305-'Reclamo de equipaje rediseñado'!$C305</f>
        <v>1.9444444444444375E-2</v>
      </c>
      <c r="F305" s="52">
        <v>0.89027777777777783</v>
      </c>
      <c r="G305" s="53">
        <f t="shared" si="4"/>
        <v>2.2222222222222365E-2</v>
      </c>
      <c r="H305" s="54">
        <v>41721</v>
      </c>
      <c r="I305" s="55" t="s">
        <v>558</v>
      </c>
      <c r="J305" s="55" t="s">
        <v>554</v>
      </c>
      <c r="K305" s="55">
        <f>VLOOKUP(J305,'Validacion reclamo de equipaje'!L:M,2,0)</f>
        <v>189</v>
      </c>
      <c r="L305" s="55" t="str">
        <f>VLOOKUP(I305,'Validacion reclamo de equipaje'!H:I,2,0)</f>
        <v>Internacional</v>
      </c>
      <c r="M305" s="55" t="s">
        <v>522</v>
      </c>
    </row>
    <row r="306" spans="1:13" x14ac:dyDescent="0.25">
      <c r="A306">
        <v>663</v>
      </c>
      <c r="B306" s="47" t="str">
        <f>VLOOKUP(Tabla6[[#This Row],['# Vuelo]],'Validacion reclamo de equipaje'!P:Q,2,0)</f>
        <v>MEXICO AEREO</v>
      </c>
      <c r="C306" s="48">
        <v>0.84722222222222221</v>
      </c>
      <c r="D306" s="48">
        <v>0.85833333333333339</v>
      </c>
      <c r="E306" s="49">
        <f>'Reclamo de equipaje rediseñado'!$D306-'Reclamo de equipaje rediseñado'!$C306</f>
        <v>1.1111111111111183E-2</v>
      </c>
      <c r="F306" s="48">
        <v>0.88402777777777775</v>
      </c>
      <c r="G306" s="49">
        <f t="shared" si="4"/>
        <v>2.5694444444444353E-2</v>
      </c>
      <c r="H306" s="50">
        <v>41725</v>
      </c>
      <c r="I306" s="51" t="s">
        <v>558</v>
      </c>
      <c r="J306" s="51" t="s">
        <v>554</v>
      </c>
      <c r="K306" s="51">
        <f>VLOOKUP(J306,'Validacion reclamo de equipaje'!L:M,2,0)</f>
        <v>189</v>
      </c>
      <c r="L306" s="51" t="str">
        <f>VLOOKUP(I306,'Validacion reclamo de equipaje'!H:I,2,0)</f>
        <v>Internacional</v>
      </c>
      <c r="M306" s="51" t="s">
        <v>522</v>
      </c>
    </row>
    <row r="307" spans="1:13" x14ac:dyDescent="0.25">
      <c r="A307">
        <v>663</v>
      </c>
      <c r="B307" s="47" t="str">
        <f>VLOOKUP(Tabla6[[#This Row],['# Vuelo]],'Validacion reclamo de equipaje'!P:Q,2,0)</f>
        <v>MEXICO AEREO</v>
      </c>
      <c r="C307" s="52">
        <v>0.86458333333333337</v>
      </c>
      <c r="D307" s="52">
        <v>0.86805555555555547</v>
      </c>
      <c r="E307" s="53">
        <f>'Reclamo de equipaje rediseñado'!$D307-'Reclamo de equipaje rediseñado'!$C307</f>
        <v>3.4722222222220989E-3</v>
      </c>
      <c r="F307" s="52">
        <v>0.8881944444444444</v>
      </c>
      <c r="G307" s="53">
        <f t="shared" si="4"/>
        <v>2.0138888888888928E-2</v>
      </c>
      <c r="H307" s="54">
        <v>41727</v>
      </c>
      <c r="I307" s="55" t="s">
        <v>558</v>
      </c>
      <c r="J307" s="55" t="s">
        <v>554</v>
      </c>
      <c r="K307" s="55">
        <f>VLOOKUP(J307,'Validacion reclamo de equipaje'!L:M,2,0)</f>
        <v>189</v>
      </c>
      <c r="L307" s="55" t="str">
        <f>VLOOKUP(I307,'Validacion reclamo de equipaje'!H:I,2,0)</f>
        <v>Internacional</v>
      </c>
      <c r="M307" s="55" t="s">
        <v>522</v>
      </c>
    </row>
    <row r="308" spans="1:13" x14ac:dyDescent="0.25">
      <c r="A308">
        <v>663</v>
      </c>
      <c r="B308" s="47" t="str">
        <f>VLOOKUP(Tabla6[[#This Row],['# Vuelo]],'Validacion reclamo de equipaje'!P:Q,2,0)</f>
        <v>MEXICO AEREO</v>
      </c>
      <c r="C308" s="48">
        <v>0.84444444444444444</v>
      </c>
      <c r="D308" s="48">
        <v>0.85277777777777775</v>
      </c>
      <c r="E308" s="49">
        <f>'Reclamo de equipaje rediseñado'!$D308-'Reclamo de equipaje rediseñado'!$C308</f>
        <v>8.3333333333333037E-3</v>
      </c>
      <c r="F308" s="48">
        <v>0.87013888888888891</v>
      </c>
      <c r="G308" s="49">
        <f t="shared" si="4"/>
        <v>1.736111111111116E-2</v>
      </c>
      <c r="H308" s="50">
        <v>41728</v>
      </c>
      <c r="I308" s="51" t="s">
        <v>558</v>
      </c>
      <c r="J308" s="51" t="s">
        <v>554</v>
      </c>
      <c r="K308" s="51">
        <f>VLOOKUP(J308,'Validacion reclamo de equipaje'!L:M,2,0)</f>
        <v>189</v>
      </c>
      <c r="L308" s="51" t="str">
        <f>VLOOKUP(I308,'Validacion reclamo de equipaje'!H:I,2,0)</f>
        <v>Internacional</v>
      </c>
      <c r="M308" s="51" t="s">
        <v>522</v>
      </c>
    </row>
    <row r="309" spans="1:13" x14ac:dyDescent="0.25">
      <c r="A309">
        <v>661</v>
      </c>
      <c r="B309" s="47" t="str">
        <f>VLOOKUP(Tabla6[[#This Row],['# Vuelo]],'Validacion reclamo de equipaje'!P:Q,2,0)</f>
        <v>MEXICO AEREO</v>
      </c>
      <c r="C309" s="52">
        <v>0.25972222222222224</v>
      </c>
      <c r="D309" s="52">
        <v>0.27638888888888885</v>
      </c>
      <c r="E309" s="53">
        <f>'Reclamo de equipaje rediseñado'!$D309-'Reclamo de equipaje rediseñado'!$C309</f>
        <v>1.6666666666666607E-2</v>
      </c>
      <c r="F309" s="52">
        <v>0.30208333333333331</v>
      </c>
      <c r="G309" s="53">
        <f t="shared" si="4"/>
        <v>2.5694444444444464E-2</v>
      </c>
      <c r="H309" s="54">
        <v>41713</v>
      </c>
      <c r="I309" s="55" t="s">
        <v>559</v>
      </c>
      <c r="J309" s="55" t="s">
        <v>554</v>
      </c>
      <c r="K309" s="55">
        <f>VLOOKUP(J309,'Validacion reclamo de equipaje'!L:M,2,0)</f>
        <v>189</v>
      </c>
      <c r="L309" s="55" t="str">
        <f>VLOOKUP(I309,'Validacion reclamo de equipaje'!H:I,2,0)</f>
        <v>Internacional</v>
      </c>
      <c r="M309" s="55" t="s">
        <v>522</v>
      </c>
    </row>
    <row r="310" spans="1:13" x14ac:dyDescent="0.25">
      <c r="A310">
        <v>661</v>
      </c>
      <c r="B310" s="47" t="str">
        <f>VLOOKUP(Tabla6[[#This Row],['# Vuelo]],'Validacion reclamo de equipaje'!P:Q,2,0)</f>
        <v>MEXICO AEREO</v>
      </c>
      <c r="C310" s="48">
        <v>0.25833333333333336</v>
      </c>
      <c r="D310" s="48">
        <v>0.26944444444444443</v>
      </c>
      <c r="E310" s="49">
        <f>'Reclamo de equipaje rediseñado'!$D310-'Reclamo de equipaje rediseñado'!$C310</f>
        <v>1.1111111111111072E-2</v>
      </c>
      <c r="F310" s="48">
        <v>0.28125</v>
      </c>
      <c r="G310" s="49">
        <f t="shared" si="4"/>
        <v>1.1805555555555569E-2</v>
      </c>
      <c r="H310" s="50">
        <v>41715</v>
      </c>
      <c r="I310" s="51" t="s">
        <v>559</v>
      </c>
      <c r="J310" s="51" t="s">
        <v>554</v>
      </c>
      <c r="K310" s="51">
        <f>VLOOKUP(J310,'Validacion reclamo de equipaje'!L:M,2,0)</f>
        <v>189</v>
      </c>
      <c r="L310" s="51" t="str">
        <f>VLOOKUP(I310,'Validacion reclamo de equipaje'!H:I,2,0)</f>
        <v>Internacional</v>
      </c>
      <c r="M310" s="51" t="s">
        <v>522</v>
      </c>
    </row>
    <row r="311" spans="1:13" x14ac:dyDescent="0.25">
      <c r="A311">
        <v>661</v>
      </c>
      <c r="B311" s="47" t="str">
        <f>VLOOKUP(Tabla6[[#This Row],['# Vuelo]],'Validacion reclamo de equipaje'!P:Q,2,0)</f>
        <v>MEXICO AEREO</v>
      </c>
      <c r="C311" s="52">
        <v>0.26597222222222222</v>
      </c>
      <c r="D311" s="52">
        <v>0.27708333333333335</v>
      </c>
      <c r="E311" s="53">
        <f>'Reclamo de equipaje rediseñado'!$D311-'Reclamo de equipaje rediseñado'!$C311</f>
        <v>1.1111111111111127E-2</v>
      </c>
      <c r="F311" s="52">
        <v>0.27986111111111112</v>
      </c>
      <c r="G311" s="53">
        <f t="shared" si="4"/>
        <v>2.7777777777777679E-3</v>
      </c>
      <c r="H311" s="54">
        <v>41716</v>
      </c>
      <c r="I311" s="55" t="s">
        <v>559</v>
      </c>
      <c r="J311" s="55" t="s">
        <v>554</v>
      </c>
      <c r="K311" s="55">
        <f>VLOOKUP(J311,'Validacion reclamo de equipaje'!L:M,2,0)</f>
        <v>189</v>
      </c>
      <c r="L311" s="55" t="str">
        <f>VLOOKUP(I311,'Validacion reclamo de equipaje'!H:I,2,0)</f>
        <v>Internacional</v>
      </c>
      <c r="M311" s="55" t="s">
        <v>522</v>
      </c>
    </row>
    <row r="312" spans="1:13" x14ac:dyDescent="0.25">
      <c r="A312">
        <v>661</v>
      </c>
      <c r="B312" s="47" t="str">
        <f>VLOOKUP(Tabla6[[#This Row],['# Vuelo]],'Validacion reclamo de equipaje'!P:Q,2,0)</f>
        <v>MEXICO AEREO</v>
      </c>
      <c r="C312" s="48">
        <v>0.26874999999999999</v>
      </c>
      <c r="D312" s="48">
        <v>0.27916666666666667</v>
      </c>
      <c r="E312" s="49">
        <f>'Reclamo de equipaje rediseñado'!$D312-'Reclamo de equipaje rediseñado'!$C312</f>
        <v>1.0416666666666685E-2</v>
      </c>
      <c r="F312" s="48">
        <v>0.30069444444444443</v>
      </c>
      <c r="G312" s="49">
        <f t="shared" si="4"/>
        <v>2.1527777777777757E-2</v>
      </c>
      <c r="H312" s="50">
        <v>41717</v>
      </c>
      <c r="I312" s="51" t="s">
        <v>559</v>
      </c>
      <c r="J312" s="51" t="s">
        <v>554</v>
      </c>
      <c r="K312" s="51">
        <f>VLOOKUP(J312,'Validacion reclamo de equipaje'!L:M,2,0)</f>
        <v>189</v>
      </c>
      <c r="L312" s="51" t="str">
        <f>VLOOKUP(I312,'Validacion reclamo de equipaje'!H:I,2,0)</f>
        <v>Internacional</v>
      </c>
      <c r="M312" s="51" t="s">
        <v>522</v>
      </c>
    </row>
    <row r="313" spans="1:13" x14ac:dyDescent="0.25">
      <c r="A313">
        <v>661</v>
      </c>
      <c r="B313" s="47" t="str">
        <f>VLOOKUP(Tabla6[[#This Row],['# Vuelo]],'Validacion reclamo de equipaje'!P:Q,2,0)</f>
        <v>MEXICO AEREO</v>
      </c>
      <c r="C313" s="52">
        <v>0.25347222222222221</v>
      </c>
      <c r="D313" s="52">
        <v>0.26250000000000001</v>
      </c>
      <c r="E313" s="53">
        <f>'Reclamo de equipaje rediseñado'!$D313-'Reclamo de equipaje rediseñado'!$C313</f>
        <v>9.0277777777778012E-3</v>
      </c>
      <c r="F313" s="52">
        <v>0.27708333333333335</v>
      </c>
      <c r="G313" s="53">
        <f t="shared" si="4"/>
        <v>1.4583333333333337E-2</v>
      </c>
      <c r="H313" s="54">
        <v>41719</v>
      </c>
      <c r="I313" s="55" t="s">
        <v>559</v>
      </c>
      <c r="J313" s="55" t="s">
        <v>554</v>
      </c>
      <c r="K313" s="55">
        <f>VLOOKUP(J313,'Validacion reclamo de equipaje'!L:M,2,0)</f>
        <v>189</v>
      </c>
      <c r="L313" s="55" t="str">
        <f>VLOOKUP(I313,'Validacion reclamo de equipaje'!H:I,2,0)</f>
        <v>Internacional</v>
      </c>
      <c r="M313" s="55" t="s">
        <v>522</v>
      </c>
    </row>
    <row r="314" spans="1:13" x14ac:dyDescent="0.25">
      <c r="A314">
        <v>661</v>
      </c>
      <c r="B314" s="47" t="str">
        <f>VLOOKUP(Tabla6[[#This Row],['# Vuelo]],'Validacion reclamo de equipaje'!P:Q,2,0)</f>
        <v>MEXICO AEREO</v>
      </c>
      <c r="C314" s="48">
        <v>0.25694444444444448</v>
      </c>
      <c r="D314" s="48">
        <v>0.26041666666666669</v>
      </c>
      <c r="E314" s="49">
        <f>'Reclamo de equipaje rediseñado'!$D314-'Reclamo de equipaje rediseñado'!$C314</f>
        <v>3.4722222222222099E-3</v>
      </c>
      <c r="F314" s="48">
        <v>0.28819444444444448</v>
      </c>
      <c r="G314" s="49">
        <f t="shared" si="4"/>
        <v>2.777777777777779E-2</v>
      </c>
      <c r="H314" s="50">
        <v>41719</v>
      </c>
      <c r="I314" s="51" t="s">
        <v>559</v>
      </c>
      <c r="J314" s="51" t="s">
        <v>554</v>
      </c>
      <c r="K314" s="51">
        <f>VLOOKUP(J314,'Validacion reclamo de equipaje'!L:M,2,0)</f>
        <v>189</v>
      </c>
      <c r="L314" s="51" t="str">
        <f>VLOOKUP(I314,'Validacion reclamo de equipaje'!H:I,2,0)</f>
        <v>Internacional</v>
      </c>
      <c r="M314" s="51" t="s">
        <v>522</v>
      </c>
    </row>
    <row r="315" spans="1:13" x14ac:dyDescent="0.25">
      <c r="A315">
        <v>661</v>
      </c>
      <c r="B315" s="47" t="str">
        <f>VLOOKUP(Tabla6[[#This Row],['# Vuelo]],'Validacion reclamo de equipaje'!P:Q,2,0)</f>
        <v>MEXICO AEREO</v>
      </c>
      <c r="C315" s="52">
        <v>0.26666666666666666</v>
      </c>
      <c r="D315" s="52">
        <v>0.27361111111111108</v>
      </c>
      <c r="E315" s="53">
        <f>'Reclamo de equipaje rediseñado'!$D315-'Reclamo de equipaje rediseñado'!$C315</f>
        <v>6.9444444444444198E-3</v>
      </c>
      <c r="F315" s="52">
        <v>0.29236111111111113</v>
      </c>
      <c r="G315" s="53">
        <f t="shared" si="4"/>
        <v>1.8750000000000044E-2</v>
      </c>
      <c r="H315" s="54">
        <v>41721</v>
      </c>
      <c r="I315" s="55" t="s">
        <v>559</v>
      </c>
      <c r="J315" s="55" t="s">
        <v>554</v>
      </c>
      <c r="K315" s="55">
        <f>VLOOKUP(J315,'Validacion reclamo de equipaje'!L:M,2,0)</f>
        <v>189</v>
      </c>
      <c r="L315" s="55" t="str">
        <f>VLOOKUP(I315,'Validacion reclamo de equipaje'!H:I,2,0)</f>
        <v>Internacional</v>
      </c>
      <c r="M315" s="55" t="s">
        <v>522</v>
      </c>
    </row>
    <row r="316" spans="1:13" x14ac:dyDescent="0.25">
      <c r="A316">
        <v>661</v>
      </c>
      <c r="B316" s="47" t="str">
        <f>VLOOKUP(Tabla6[[#This Row],['# Vuelo]],'Validacion reclamo de equipaje'!P:Q,2,0)</f>
        <v>MEXICO AEREO</v>
      </c>
      <c r="C316" s="48">
        <v>0.28263888888888888</v>
      </c>
      <c r="D316" s="48">
        <v>0.29097222222222224</v>
      </c>
      <c r="E316" s="49">
        <f>'Reclamo de equipaje rediseñado'!$D316-'Reclamo de equipaje rediseñado'!$C316</f>
        <v>8.3333333333333592E-3</v>
      </c>
      <c r="F316" s="48">
        <v>0.30486111111111108</v>
      </c>
      <c r="G316" s="49">
        <f t="shared" si="4"/>
        <v>1.388888888888884E-2</v>
      </c>
      <c r="H316" s="50">
        <v>41722</v>
      </c>
      <c r="I316" s="51" t="s">
        <v>559</v>
      </c>
      <c r="J316" s="51" t="s">
        <v>554</v>
      </c>
      <c r="K316" s="51">
        <f>VLOOKUP(J316,'Validacion reclamo de equipaje'!L:M,2,0)</f>
        <v>189</v>
      </c>
      <c r="L316" s="51" t="str">
        <f>VLOOKUP(I316,'Validacion reclamo de equipaje'!H:I,2,0)</f>
        <v>Internacional</v>
      </c>
      <c r="M316" s="51" t="s">
        <v>522</v>
      </c>
    </row>
    <row r="317" spans="1:13" x14ac:dyDescent="0.25">
      <c r="A317">
        <v>661</v>
      </c>
      <c r="B317" s="47" t="str">
        <f>VLOOKUP(Tabla6[[#This Row],['# Vuelo]],'Validacion reclamo de equipaje'!P:Q,2,0)</f>
        <v>MEXICO AEREO</v>
      </c>
      <c r="C317" s="52">
        <v>0.27777777777777779</v>
      </c>
      <c r="D317" s="52">
        <v>0.28472222222222221</v>
      </c>
      <c r="E317" s="53">
        <f>'Reclamo de equipaje rediseñado'!$D317-'Reclamo de equipaje rediseñado'!$C317</f>
        <v>6.9444444444444198E-3</v>
      </c>
      <c r="F317" s="52">
        <v>0.3</v>
      </c>
      <c r="G317" s="53">
        <f t="shared" si="4"/>
        <v>1.5277777777777779E-2</v>
      </c>
      <c r="H317" s="54">
        <v>41723</v>
      </c>
      <c r="I317" s="55" t="s">
        <v>559</v>
      </c>
      <c r="J317" s="55" t="s">
        <v>554</v>
      </c>
      <c r="K317" s="55">
        <f>VLOOKUP(J317,'Validacion reclamo de equipaje'!L:M,2,0)</f>
        <v>189</v>
      </c>
      <c r="L317" s="55" t="str">
        <f>VLOOKUP(I317,'Validacion reclamo de equipaje'!H:I,2,0)</f>
        <v>Internacional</v>
      </c>
      <c r="M317" s="55" t="s">
        <v>522</v>
      </c>
    </row>
    <row r="318" spans="1:13" x14ac:dyDescent="0.25">
      <c r="A318">
        <v>661</v>
      </c>
      <c r="B318" s="47" t="str">
        <f>VLOOKUP(Tabla6[[#This Row],['# Vuelo]],'Validacion reclamo de equipaje'!P:Q,2,0)</f>
        <v>MEXICO AEREO</v>
      </c>
      <c r="C318" s="48">
        <v>0.26041666666666669</v>
      </c>
      <c r="D318" s="48">
        <v>0.2673611111111111</v>
      </c>
      <c r="E318" s="49">
        <f>'Reclamo de equipaje rediseñado'!$D318-'Reclamo de equipaje rediseñado'!$C318</f>
        <v>6.9444444444444198E-3</v>
      </c>
      <c r="F318" s="48">
        <v>0.28055555555555556</v>
      </c>
      <c r="G318" s="49">
        <f t="shared" si="4"/>
        <v>1.3194444444444453E-2</v>
      </c>
      <c r="H318" s="50">
        <v>41724</v>
      </c>
      <c r="I318" s="51" t="s">
        <v>559</v>
      </c>
      <c r="J318" s="51" t="s">
        <v>554</v>
      </c>
      <c r="K318" s="51">
        <f>VLOOKUP(J318,'Validacion reclamo de equipaje'!L:M,2,0)</f>
        <v>189</v>
      </c>
      <c r="L318" s="51" t="str">
        <f>VLOOKUP(I318,'Validacion reclamo de equipaje'!H:I,2,0)</f>
        <v>Internacional</v>
      </c>
      <c r="M318" s="51" t="s">
        <v>522</v>
      </c>
    </row>
    <row r="319" spans="1:13" x14ac:dyDescent="0.25">
      <c r="A319">
        <v>661</v>
      </c>
      <c r="B319" s="47" t="str">
        <f>VLOOKUP(Tabla6[[#This Row],['# Vuelo]],'Validacion reclamo de equipaje'!P:Q,2,0)</f>
        <v>MEXICO AEREO</v>
      </c>
      <c r="C319" s="52">
        <v>0.25347222222222221</v>
      </c>
      <c r="D319" s="52">
        <v>0.26250000000000001</v>
      </c>
      <c r="E319" s="53">
        <f>'Reclamo de equipaje rediseñado'!$D319-'Reclamo de equipaje rediseñado'!$C319</f>
        <v>9.0277777777778012E-3</v>
      </c>
      <c r="F319" s="52">
        <v>0.28125</v>
      </c>
      <c r="G319" s="53">
        <f t="shared" si="4"/>
        <v>1.8749999999999989E-2</v>
      </c>
      <c r="H319" s="54">
        <v>41724</v>
      </c>
      <c r="I319" s="55" t="s">
        <v>559</v>
      </c>
      <c r="J319" s="55" t="s">
        <v>554</v>
      </c>
      <c r="K319" s="55">
        <f>VLOOKUP(J319,'Validacion reclamo de equipaje'!L:M,2,0)</f>
        <v>189</v>
      </c>
      <c r="L319" s="55" t="str">
        <f>VLOOKUP(I319,'Validacion reclamo de equipaje'!H:I,2,0)</f>
        <v>Internacional</v>
      </c>
      <c r="M319" s="55" t="s">
        <v>522</v>
      </c>
    </row>
    <row r="320" spans="1:13" x14ac:dyDescent="0.25">
      <c r="A320">
        <v>661</v>
      </c>
      <c r="B320" s="47" t="str">
        <f>VLOOKUP(Tabla6[[#This Row],['# Vuelo]],'Validacion reclamo de equipaje'!P:Q,2,0)</f>
        <v>MEXICO AEREO</v>
      </c>
      <c r="C320" s="48">
        <v>0.24374999999999999</v>
      </c>
      <c r="D320" s="48">
        <v>0.25347222222222221</v>
      </c>
      <c r="E320" s="49">
        <f>'Reclamo de equipaje rediseñado'!$D320-'Reclamo de equipaje rediseñado'!$C320</f>
        <v>9.7222222222222154E-3</v>
      </c>
      <c r="F320" s="48">
        <v>0.28194444444444444</v>
      </c>
      <c r="G320" s="49">
        <f t="shared" si="4"/>
        <v>2.8472222222222232E-2</v>
      </c>
      <c r="H320" s="50">
        <v>41727</v>
      </c>
      <c r="I320" s="51" t="s">
        <v>559</v>
      </c>
      <c r="J320" s="51" t="s">
        <v>554</v>
      </c>
      <c r="K320" s="51">
        <f>VLOOKUP(J320,'Validacion reclamo de equipaje'!L:M,2,0)</f>
        <v>189</v>
      </c>
      <c r="L320" s="51" t="str">
        <f>VLOOKUP(I320,'Validacion reclamo de equipaje'!H:I,2,0)</f>
        <v>Internacional</v>
      </c>
      <c r="M320" s="51" t="s">
        <v>522</v>
      </c>
    </row>
    <row r="321" spans="1:13" x14ac:dyDescent="0.25">
      <c r="A321">
        <v>585</v>
      </c>
      <c r="B321" s="47" t="str">
        <f>VLOOKUP(Tabla6[[#This Row],['# Vuelo]],'Validacion reclamo de equipaje'!P:Q,2,0)</f>
        <v>MEXICO AEREO</v>
      </c>
      <c r="C321" s="52">
        <v>0.87916666666666676</v>
      </c>
      <c r="D321" s="52">
        <v>0.8881944444444444</v>
      </c>
      <c r="E321" s="53">
        <f>'Reclamo de equipaje rediseñado'!$D321-'Reclamo de equipaje rediseñado'!$C321</f>
        <v>9.0277777777776347E-3</v>
      </c>
      <c r="F321" s="52">
        <v>0.8979166666666667</v>
      </c>
      <c r="G321" s="53">
        <f t="shared" si="4"/>
        <v>9.7222222222222987E-3</v>
      </c>
      <c r="H321" s="54">
        <v>41719</v>
      </c>
      <c r="I321" s="55" t="s">
        <v>561</v>
      </c>
      <c r="J321" s="55" t="s">
        <v>560</v>
      </c>
      <c r="K321" s="55">
        <f>VLOOKUP(J321,'Validacion reclamo de equipaje'!L:M,2,0)</f>
        <v>126</v>
      </c>
      <c r="L321" s="55" t="str">
        <f>VLOOKUP(I321,'Validacion reclamo de equipaje'!H:I,2,0)</f>
        <v>Nacional</v>
      </c>
      <c r="M321" s="55" t="s">
        <v>522</v>
      </c>
    </row>
    <row r="322" spans="1:13" x14ac:dyDescent="0.25">
      <c r="A322">
        <v>466</v>
      </c>
      <c r="B322" s="47" t="str">
        <f>VLOOKUP(Tabla6[[#This Row],['# Vuelo]],'Validacion reclamo de equipaje'!P:Q,2,0)</f>
        <v>MEXICO AEREO</v>
      </c>
      <c r="C322" s="48">
        <v>0.88541666666666663</v>
      </c>
      <c r="D322" s="48">
        <v>0.8965277777777777</v>
      </c>
      <c r="E322" s="49">
        <f>'Reclamo de equipaje rediseñado'!$D322-'Reclamo de equipaje rediseñado'!$C322</f>
        <v>1.1111111111111072E-2</v>
      </c>
      <c r="F322" s="48">
        <v>0.90069444444444446</v>
      </c>
      <c r="G322" s="49">
        <f t="shared" si="4"/>
        <v>4.1666666666667629E-3</v>
      </c>
      <c r="H322" s="50">
        <v>41715</v>
      </c>
      <c r="I322" s="51" t="s">
        <v>536</v>
      </c>
      <c r="J322" s="51" t="s">
        <v>560</v>
      </c>
      <c r="K322" s="51">
        <f>VLOOKUP(J322,'Validacion reclamo de equipaje'!L:M,2,0)</f>
        <v>126</v>
      </c>
      <c r="L322" s="51" t="str">
        <f>VLOOKUP(I322,'Validacion reclamo de equipaje'!H:I,2,0)</f>
        <v>Nacional</v>
      </c>
      <c r="M322" s="51" t="s">
        <v>522</v>
      </c>
    </row>
    <row r="323" spans="1:13" x14ac:dyDescent="0.25">
      <c r="A323">
        <v>466</v>
      </c>
      <c r="B323" s="47" t="str">
        <f>VLOOKUP(Tabla6[[#This Row],['# Vuelo]],'Validacion reclamo de equipaje'!P:Q,2,0)</f>
        <v>MEXICO AEREO</v>
      </c>
      <c r="C323" s="52">
        <v>0.79999999999999993</v>
      </c>
      <c r="D323" s="52">
        <v>0.80902777777777779</v>
      </c>
      <c r="E323" s="53">
        <f>'Reclamo de equipaje rediseñado'!$D323-'Reclamo de equipaje rediseñado'!$C323</f>
        <v>9.0277777777778567E-3</v>
      </c>
      <c r="F323" s="52">
        <v>0.8125</v>
      </c>
      <c r="G323" s="53">
        <f t="shared" ref="G323:G386" si="5">F323-D323</f>
        <v>3.4722222222222099E-3</v>
      </c>
      <c r="H323" s="54">
        <v>41716</v>
      </c>
      <c r="I323" s="55" t="s">
        <v>536</v>
      </c>
      <c r="J323" s="55" t="s">
        <v>560</v>
      </c>
      <c r="K323" s="55">
        <f>VLOOKUP(J323,'Validacion reclamo de equipaje'!L:M,2,0)</f>
        <v>126</v>
      </c>
      <c r="L323" s="55" t="str">
        <f>VLOOKUP(I323,'Validacion reclamo de equipaje'!H:I,2,0)</f>
        <v>Nacional</v>
      </c>
      <c r="M323" s="55" t="s">
        <v>522</v>
      </c>
    </row>
    <row r="324" spans="1:13" x14ac:dyDescent="0.25">
      <c r="A324">
        <v>466</v>
      </c>
      <c r="B324" s="47" t="str">
        <f>VLOOKUP(Tabla6[[#This Row],['# Vuelo]],'Validacion reclamo de equipaje'!P:Q,2,0)</f>
        <v>MEXICO AEREO</v>
      </c>
      <c r="C324" s="48">
        <v>0.84027777777777779</v>
      </c>
      <c r="D324" s="48">
        <v>0.85625000000000007</v>
      </c>
      <c r="E324" s="49">
        <f>'Reclamo de equipaje rediseñado'!$D324-'Reclamo de equipaje rediseñado'!$C324</f>
        <v>1.5972222222222276E-2</v>
      </c>
      <c r="F324" s="48">
        <v>0.85972222222222217</v>
      </c>
      <c r="G324" s="49">
        <f t="shared" si="5"/>
        <v>3.4722222222220989E-3</v>
      </c>
      <c r="H324" s="50">
        <v>41719</v>
      </c>
      <c r="I324" s="51" t="s">
        <v>536</v>
      </c>
      <c r="J324" s="51" t="s">
        <v>560</v>
      </c>
      <c r="K324" s="51">
        <f>VLOOKUP(J324,'Validacion reclamo de equipaje'!L:M,2,0)</f>
        <v>126</v>
      </c>
      <c r="L324" s="51" t="str">
        <f>VLOOKUP(I324,'Validacion reclamo de equipaje'!H:I,2,0)</f>
        <v>Nacional</v>
      </c>
      <c r="M324" s="51" t="s">
        <v>522</v>
      </c>
    </row>
    <row r="325" spans="1:13" x14ac:dyDescent="0.25">
      <c r="A325">
        <v>466</v>
      </c>
      <c r="B325" s="47" t="str">
        <f>VLOOKUP(Tabla6[[#This Row],['# Vuelo]],'Validacion reclamo de equipaje'!P:Q,2,0)</f>
        <v>MEXICO AEREO</v>
      </c>
      <c r="C325" s="52">
        <v>0.88888888888888884</v>
      </c>
      <c r="D325" s="52">
        <v>0.8965277777777777</v>
      </c>
      <c r="E325" s="53">
        <f>'Reclamo de equipaje rediseñado'!$D325-'Reclamo de equipaje rediseñado'!$C325</f>
        <v>7.6388888888888618E-3</v>
      </c>
      <c r="F325" s="52">
        <v>0.90277777777777779</v>
      </c>
      <c r="G325" s="53">
        <f t="shared" si="5"/>
        <v>6.2500000000000888E-3</v>
      </c>
      <c r="H325" s="54">
        <v>41723</v>
      </c>
      <c r="I325" s="55" t="s">
        <v>536</v>
      </c>
      <c r="J325" s="55" t="s">
        <v>560</v>
      </c>
      <c r="K325" s="55">
        <f>VLOOKUP(J325,'Validacion reclamo de equipaje'!L:M,2,0)</f>
        <v>126</v>
      </c>
      <c r="L325" s="55" t="str">
        <f>VLOOKUP(I325,'Validacion reclamo de equipaje'!H:I,2,0)</f>
        <v>Nacional</v>
      </c>
      <c r="M325" s="55" t="s">
        <v>522</v>
      </c>
    </row>
    <row r="326" spans="1:13" x14ac:dyDescent="0.25">
      <c r="A326">
        <v>466</v>
      </c>
      <c r="B326" s="47" t="str">
        <f>VLOOKUP(Tabla6[[#This Row],['# Vuelo]],'Validacion reclamo de equipaje'!P:Q,2,0)</f>
        <v>MEXICO AEREO</v>
      </c>
      <c r="C326" s="48">
        <v>0.9</v>
      </c>
      <c r="D326" s="48">
        <v>0.90069444444444446</v>
      </c>
      <c r="E326" s="49">
        <f>'Reclamo de equipaje rediseñado'!$D326-'Reclamo de equipaje rediseñado'!$C326</f>
        <v>6.9444444444444198E-4</v>
      </c>
      <c r="F326" s="48">
        <v>0.91666666666666663</v>
      </c>
      <c r="G326" s="49">
        <f t="shared" si="5"/>
        <v>1.5972222222222165E-2</v>
      </c>
      <c r="H326" s="50">
        <v>41724</v>
      </c>
      <c r="I326" s="51" t="s">
        <v>536</v>
      </c>
      <c r="J326" s="51" t="s">
        <v>560</v>
      </c>
      <c r="K326" s="51">
        <f>VLOOKUP(J326,'Validacion reclamo de equipaje'!L:M,2,0)</f>
        <v>126</v>
      </c>
      <c r="L326" s="51" t="str">
        <f>VLOOKUP(I326,'Validacion reclamo de equipaje'!H:I,2,0)</f>
        <v>Nacional</v>
      </c>
      <c r="M326" s="51" t="s">
        <v>522</v>
      </c>
    </row>
    <row r="327" spans="1:13" x14ac:dyDescent="0.25">
      <c r="A327">
        <v>466</v>
      </c>
      <c r="B327" s="47" t="str">
        <f>VLOOKUP(Tabla6[[#This Row],['# Vuelo]],'Validacion reclamo de equipaje'!P:Q,2,0)</f>
        <v>MEXICO AEREO</v>
      </c>
      <c r="C327" s="52">
        <v>0.88888888888888884</v>
      </c>
      <c r="D327" s="52">
        <v>0.89166666666666661</v>
      </c>
      <c r="E327" s="53">
        <f>'Reclamo de equipaje rediseñado'!$D327-'Reclamo de equipaje rediseñado'!$C327</f>
        <v>2.7777777777777679E-3</v>
      </c>
      <c r="F327" s="52">
        <v>0.8979166666666667</v>
      </c>
      <c r="G327" s="53">
        <f t="shared" si="5"/>
        <v>6.2500000000000888E-3</v>
      </c>
      <c r="H327" s="54">
        <v>41724</v>
      </c>
      <c r="I327" s="55" t="s">
        <v>536</v>
      </c>
      <c r="J327" s="55" t="s">
        <v>560</v>
      </c>
      <c r="K327" s="55">
        <f>VLOOKUP(J327,'Validacion reclamo de equipaje'!L:M,2,0)</f>
        <v>126</v>
      </c>
      <c r="L327" s="55" t="str">
        <f>VLOOKUP(I327,'Validacion reclamo de equipaje'!H:I,2,0)</f>
        <v>Nacional</v>
      </c>
      <c r="M327" s="55" t="s">
        <v>522</v>
      </c>
    </row>
    <row r="328" spans="1:13" x14ac:dyDescent="0.25">
      <c r="A328">
        <v>466</v>
      </c>
      <c r="B328" s="47" t="str">
        <f>VLOOKUP(Tabla6[[#This Row],['# Vuelo]],'Validacion reclamo de equipaje'!P:Q,2,0)</f>
        <v>MEXICO AEREO</v>
      </c>
      <c r="C328" s="48">
        <v>0.89583333333333337</v>
      </c>
      <c r="D328" s="48">
        <v>0.90486111111111101</v>
      </c>
      <c r="E328" s="49">
        <f>'Reclamo de equipaje rediseñado'!$D328-'Reclamo de equipaje rediseñado'!$C328</f>
        <v>9.0277777777776347E-3</v>
      </c>
      <c r="F328" s="48">
        <v>0.91666666666666663</v>
      </c>
      <c r="G328" s="49">
        <f t="shared" si="5"/>
        <v>1.1805555555555625E-2</v>
      </c>
      <c r="H328" s="50">
        <v>41725</v>
      </c>
      <c r="I328" s="51" t="s">
        <v>536</v>
      </c>
      <c r="J328" s="51" t="s">
        <v>560</v>
      </c>
      <c r="K328" s="51">
        <f>VLOOKUP(J328,'Validacion reclamo de equipaje'!L:M,2,0)</f>
        <v>126</v>
      </c>
      <c r="L328" s="51" t="str">
        <f>VLOOKUP(I328,'Validacion reclamo de equipaje'!H:I,2,0)</f>
        <v>Nacional</v>
      </c>
      <c r="M328" s="51" t="s">
        <v>522</v>
      </c>
    </row>
    <row r="329" spans="1:13" x14ac:dyDescent="0.25">
      <c r="A329">
        <v>466</v>
      </c>
      <c r="B329" s="47" t="str">
        <f>VLOOKUP(Tabla6[[#This Row],['# Vuelo]],'Validacion reclamo de equipaje'!P:Q,2,0)</f>
        <v>MEXICO AEREO</v>
      </c>
      <c r="C329" s="52">
        <v>0.8881944444444444</v>
      </c>
      <c r="D329" s="52">
        <v>0.8965277777777777</v>
      </c>
      <c r="E329" s="53">
        <f>'Reclamo de equipaje rediseñado'!$D329-'Reclamo de equipaje rediseñado'!$C329</f>
        <v>8.3333333333333037E-3</v>
      </c>
      <c r="F329" s="52">
        <v>0.90555555555555556</v>
      </c>
      <c r="G329" s="53">
        <f t="shared" si="5"/>
        <v>9.0277777777778567E-3</v>
      </c>
      <c r="H329" s="54">
        <v>41726</v>
      </c>
      <c r="I329" s="55" t="s">
        <v>536</v>
      </c>
      <c r="J329" s="55" t="s">
        <v>560</v>
      </c>
      <c r="K329" s="55">
        <f>VLOOKUP(J329,'Validacion reclamo de equipaje'!L:M,2,0)</f>
        <v>126</v>
      </c>
      <c r="L329" s="55" t="str">
        <f>VLOOKUP(I329,'Validacion reclamo de equipaje'!H:I,2,0)</f>
        <v>Nacional</v>
      </c>
      <c r="M329" s="55" t="s">
        <v>522</v>
      </c>
    </row>
    <row r="330" spans="1:13" x14ac:dyDescent="0.25">
      <c r="A330">
        <v>466</v>
      </c>
      <c r="B330" s="47" t="str">
        <f>VLOOKUP(Tabla6[[#This Row],['# Vuelo]],'Validacion reclamo de equipaje'!P:Q,2,0)</f>
        <v>MEXICO AEREO</v>
      </c>
      <c r="C330" s="48">
        <v>0.84375</v>
      </c>
      <c r="D330" s="48">
        <v>0.85</v>
      </c>
      <c r="E330" s="49">
        <f>'Reclamo de equipaje rediseñado'!$D330-'Reclamo de equipaje rediseñado'!$C330</f>
        <v>6.2499999999999778E-3</v>
      </c>
      <c r="F330" s="48">
        <v>0.8569444444444444</v>
      </c>
      <c r="G330" s="49">
        <f t="shared" si="5"/>
        <v>6.9444444444444198E-3</v>
      </c>
      <c r="H330" s="50">
        <v>41719</v>
      </c>
      <c r="I330" s="51" t="s">
        <v>536</v>
      </c>
      <c r="J330" s="51" t="s">
        <v>560</v>
      </c>
      <c r="K330" s="51">
        <f>VLOOKUP(J330,'Validacion reclamo de equipaje'!L:M,2,0)</f>
        <v>126</v>
      </c>
      <c r="L330" s="51" t="str">
        <f>VLOOKUP(I330,'Validacion reclamo de equipaje'!H:I,2,0)</f>
        <v>Nacional</v>
      </c>
      <c r="M330" s="51" t="s">
        <v>522</v>
      </c>
    </row>
    <row r="331" spans="1:13" x14ac:dyDescent="0.25">
      <c r="A331">
        <v>286</v>
      </c>
      <c r="B331" s="47" t="str">
        <f>VLOOKUP(Tabla6[[#This Row],['# Vuelo]],'Validacion reclamo de equipaje'!P:Q,2,0)</f>
        <v>MEXICO AEREO</v>
      </c>
      <c r="C331" s="52">
        <v>0.59305555555555556</v>
      </c>
      <c r="D331" s="52">
        <v>0.60416666666666663</v>
      </c>
      <c r="E331" s="53">
        <f>'Reclamo de equipaje rediseñado'!$D331-'Reclamo de equipaje rediseñado'!$C331</f>
        <v>1.1111111111111072E-2</v>
      </c>
      <c r="F331" s="52">
        <v>0.6069444444444444</v>
      </c>
      <c r="G331" s="53">
        <f t="shared" si="5"/>
        <v>2.7777777777777679E-3</v>
      </c>
      <c r="H331" s="54">
        <v>41714</v>
      </c>
      <c r="I331" s="55" t="s">
        <v>536</v>
      </c>
      <c r="J331" s="55" t="s">
        <v>560</v>
      </c>
      <c r="K331" s="55">
        <f>VLOOKUP(J331,'Validacion reclamo de equipaje'!L:M,2,0)</f>
        <v>126</v>
      </c>
      <c r="L331" s="55" t="str">
        <f>VLOOKUP(I331,'Validacion reclamo de equipaje'!H:I,2,0)</f>
        <v>Nacional</v>
      </c>
      <c r="M331" s="55" t="s">
        <v>522</v>
      </c>
    </row>
    <row r="332" spans="1:13" x14ac:dyDescent="0.25">
      <c r="A332">
        <v>286</v>
      </c>
      <c r="B332" s="47" t="str">
        <f>VLOOKUP(Tabla6[[#This Row],['# Vuelo]],'Validacion reclamo de equipaje'!P:Q,2,0)</f>
        <v>MEXICO AEREO</v>
      </c>
      <c r="C332" s="48">
        <v>0.59722222222222221</v>
      </c>
      <c r="D332" s="48">
        <v>0.60347222222222219</v>
      </c>
      <c r="E332" s="49">
        <f>'Reclamo de equipaje rediseñado'!$D332-'Reclamo de equipaje rediseñado'!$C332</f>
        <v>6.2499999999999778E-3</v>
      </c>
      <c r="F332" s="48">
        <v>0.61111111111111105</v>
      </c>
      <c r="G332" s="49">
        <f t="shared" si="5"/>
        <v>7.6388888888888618E-3</v>
      </c>
      <c r="H332" s="50">
        <v>41715</v>
      </c>
      <c r="I332" s="51" t="s">
        <v>536</v>
      </c>
      <c r="J332" s="51" t="s">
        <v>560</v>
      </c>
      <c r="K332" s="51">
        <f>VLOOKUP(J332,'Validacion reclamo de equipaje'!L:M,2,0)</f>
        <v>126</v>
      </c>
      <c r="L332" s="51" t="str">
        <f>VLOOKUP(I332,'Validacion reclamo de equipaje'!H:I,2,0)</f>
        <v>Nacional</v>
      </c>
      <c r="M332" s="51" t="s">
        <v>522</v>
      </c>
    </row>
    <row r="333" spans="1:13" x14ac:dyDescent="0.25">
      <c r="A333">
        <v>286</v>
      </c>
      <c r="B333" s="47" t="str">
        <f>VLOOKUP(Tabla6[[#This Row],['# Vuelo]],'Validacion reclamo de equipaje'!P:Q,2,0)</f>
        <v>MEXICO AEREO</v>
      </c>
      <c r="C333" s="52">
        <v>0.63750000000000007</v>
      </c>
      <c r="D333" s="52">
        <v>0.6430555555555556</v>
      </c>
      <c r="E333" s="53">
        <f>'Reclamo de equipaje rediseñado'!$D333-'Reclamo de equipaje rediseñado'!$C333</f>
        <v>5.5555555555555358E-3</v>
      </c>
      <c r="F333" s="52">
        <v>0.64652777777777781</v>
      </c>
      <c r="G333" s="53">
        <f t="shared" si="5"/>
        <v>3.4722222222222099E-3</v>
      </c>
      <c r="H333" s="54">
        <v>41716</v>
      </c>
      <c r="I333" s="55" t="s">
        <v>536</v>
      </c>
      <c r="J333" s="55" t="s">
        <v>560</v>
      </c>
      <c r="K333" s="55">
        <f>VLOOKUP(J333,'Validacion reclamo de equipaje'!L:M,2,0)</f>
        <v>126</v>
      </c>
      <c r="L333" s="55" t="str">
        <f>VLOOKUP(I333,'Validacion reclamo de equipaje'!H:I,2,0)</f>
        <v>Nacional</v>
      </c>
      <c r="M333" s="55" t="s">
        <v>522</v>
      </c>
    </row>
    <row r="334" spans="1:13" x14ac:dyDescent="0.25">
      <c r="A334">
        <v>286</v>
      </c>
      <c r="B334" s="47" t="str">
        <f>VLOOKUP(Tabla6[[#This Row],['# Vuelo]],'Validacion reclamo de equipaje'!P:Q,2,0)</f>
        <v>MEXICO AEREO</v>
      </c>
      <c r="C334" s="48">
        <v>0.61111111111111105</v>
      </c>
      <c r="D334" s="48">
        <v>0.61527777777777781</v>
      </c>
      <c r="E334" s="49">
        <f>'Reclamo de equipaje rediseñado'!$D334-'Reclamo de equipaje rediseñado'!$C334</f>
        <v>4.1666666666667629E-3</v>
      </c>
      <c r="F334" s="48">
        <v>0.62222222222222223</v>
      </c>
      <c r="G334" s="49">
        <f t="shared" si="5"/>
        <v>6.9444444444444198E-3</v>
      </c>
      <c r="H334" s="50">
        <v>41717</v>
      </c>
      <c r="I334" s="51" t="s">
        <v>536</v>
      </c>
      <c r="J334" s="51" t="s">
        <v>560</v>
      </c>
      <c r="K334" s="51">
        <f>VLOOKUP(J334,'Validacion reclamo de equipaje'!L:M,2,0)</f>
        <v>126</v>
      </c>
      <c r="L334" s="51" t="str">
        <f>VLOOKUP(I334,'Validacion reclamo de equipaje'!H:I,2,0)</f>
        <v>Nacional</v>
      </c>
      <c r="M334" s="51" t="s">
        <v>522</v>
      </c>
    </row>
    <row r="335" spans="1:13" x14ac:dyDescent="0.25">
      <c r="A335">
        <v>286</v>
      </c>
      <c r="B335" s="47" t="str">
        <f>VLOOKUP(Tabla6[[#This Row],['# Vuelo]],'Validacion reclamo de equipaje'!P:Q,2,0)</f>
        <v>MEXICO AEREO</v>
      </c>
      <c r="C335" s="52">
        <v>0.58472222222222225</v>
      </c>
      <c r="D335" s="52">
        <v>0.59236111111111112</v>
      </c>
      <c r="E335" s="53">
        <f>'Reclamo de equipaje rediseñado'!$D335-'Reclamo de equipaje rediseñado'!$C335</f>
        <v>7.6388888888888618E-3</v>
      </c>
      <c r="F335" s="52">
        <v>0.59583333333333333</v>
      </c>
      <c r="G335" s="53">
        <f t="shared" si="5"/>
        <v>3.4722222222222099E-3</v>
      </c>
      <c r="H335" s="54">
        <v>41721</v>
      </c>
      <c r="I335" s="55" t="s">
        <v>536</v>
      </c>
      <c r="J335" s="55" t="s">
        <v>560</v>
      </c>
      <c r="K335" s="55">
        <f>VLOOKUP(J335,'Validacion reclamo de equipaje'!L:M,2,0)</f>
        <v>126</v>
      </c>
      <c r="L335" s="55" t="str">
        <f>VLOOKUP(I335,'Validacion reclamo de equipaje'!H:I,2,0)</f>
        <v>Nacional</v>
      </c>
      <c r="M335" s="55" t="s">
        <v>522</v>
      </c>
    </row>
    <row r="336" spans="1:13" x14ac:dyDescent="0.25">
      <c r="A336">
        <v>286</v>
      </c>
      <c r="B336" s="47" t="str">
        <f>VLOOKUP(Tabla6[[#This Row],['# Vuelo]],'Validacion reclamo de equipaje'!P:Q,2,0)</f>
        <v>MEXICO AEREO</v>
      </c>
      <c r="C336" s="48">
        <v>0.58472222222222225</v>
      </c>
      <c r="D336" s="48">
        <v>0.59236111111111112</v>
      </c>
      <c r="E336" s="49">
        <f>'Reclamo de equipaje rediseñado'!$D336-'Reclamo de equipaje rediseñado'!$C336</f>
        <v>7.6388888888888618E-3</v>
      </c>
      <c r="F336" s="48">
        <v>0.59583333333333333</v>
      </c>
      <c r="G336" s="49">
        <f t="shared" si="5"/>
        <v>3.4722222222222099E-3</v>
      </c>
      <c r="H336" s="50">
        <v>41721</v>
      </c>
      <c r="I336" s="51" t="s">
        <v>536</v>
      </c>
      <c r="J336" s="51" t="s">
        <v>560</v>
      </c>
      <c r="K336" s="51">
        <f>VLOOKUP(J336,'Validacion reclamo de equipaje'!L:M,2,0)</f>
        <v>126</v>
      </c>
      <c r="L336" s="51" t="str">
        <f>VLOOKUP(I336,'Validacion reclamo de equipaje'!H:I,2,0)</f>
        <v>Nacional</v>
      </c>
      <c r="M336" s="51" t="s">
        <v>522</v>
      </c>
    </row>
    <row r="337" spans="1:13" x14ac:dyDescent="0.25">
      <c r="A337">
        <v>286</v>
      </c>
      <c r="B337" s="47" t="str">
        <f>VLOOKUP(Tabla6[[#This Row],['# Vuelo]],'Validacion reclamo de equipaje'!P:Q,2,0)</f>
        <v>MEXICO AEREO</v>
      </c>
      <c r="C337" s="52">
        <v>0.62847222222222221</v>
      </c>
      <c r="D337" s="52">
        <v>0.63055555555555554</v>
      </c>
      <c r="E337" s="53">
        <f>'Reclamo de equipaje rediseñado'!$D337-'Reclamo de equipaje rediseñado'!$C337</f>
        <v>2.0833333333333259E-3</v>
      </c>
      <c r="F337" s="52">
        <v>0.63750000000000007</v>
      </c>
      <c r="G337" s="53">
        <f t="shared" si="5"/>
        <v>6.9444444444445308E-3</v>
      </c>
      <c r="H337" s="54">
        <v>41722</v>
      </c>
      <c r="I337" s="55" t="s">
        <v>536</v>
      </c>
      <c r="J337" s="55" t="s">
        <v>560</v>
      </c>
      <c r="K337" s="55">
        <f>VLOOKUP(J337,'Validacion reclamo de equipaje'!L:M,2,0)</f>
        <v>126</v>
      </c>
      <c r="L337" s="55" t="str">
        <f>VLOOKUP(I337,'Validacion reclamo de equipaje'!H:I,2,0)</f>
        <v>Nacional</v>
      </c>
      <c r="M337" s="55" t="s">
        <v>522</v>
      </c>
    </row>
    <row r="338" spans="1:13" x14ac:dyDescent="0.25">
      <c r="A338">
        <v>286</v>
      </c>
      <c r="B338" s="47" t="str">
        <f>VLOOKUP(Tabla6[[#This Row],['# Vuelo]],'Validacion reclamo de equipaje'!P:Q,2,0)</f>
        <v>MEXICO AEREO</v>
      </c>
      <c r="C338" s="48">
        <v>0.58680555555555558</v>
      </c>
      <c r="D338" s="48">
        <v>0.59305555555555556</v>
      </c>
      <c r="E338" s="49">
        <f>'Reclamo de equipaje rediseñado'!$D338-'Reclamo de equipaje rediseñado'!$C338</f>
        <v>6.2499999999999778E-3</v>
      </c>
      <c r="F338" s="48">
        <v>0.60138888888888886</v>
      </c>
      <c r="G338" s="49">
        <f t="shared" si="5"/>
        <v>8.3333333333333037E-3</v>
      </c>
      <c r="H338" s="50">
        <v>41725</v>
      </c>
      <c r="I338" s="51" t="s">
        <v>536</v>
      </c>
      <c r="J338" s="51" t="s">
        <v>560</v>
      </c>
      <c r="K338" s="51">
        <f>VLOOKUP(J338,'Validacion reclamo de equipaje'!L:M,2,0)</f>
        <v>126</v>
      </c>
      <c r="L338" s="51" t="str">
        <f>VLOOKUP(I338,'Validacion reclamo de equipaje'!H:I,2,0)</f>
        <v>Nacional</v>
      </c>
      <c r="M338" s="51" t="s">
        <v>522</v>
      </c>
    </row>
    <row r="339" spans="1:13" x14ac:dyDescent="0.25">
      <c r="A339">
        <v>286</v>
      </c>
      <c r="B339" s="47" t="str">
        <f>VLOOKUP(Tabla6[[#This Row],['# Vuelo]],'Validacion reclamo de equipaje'!P:Q,2,0)</f>
        <v>MEXICO AEREO</v>
      </c>
      <c r="C339" s="52">
        <v>0.58472222222222225</v>
      </c>
      <c r="D339" s="52">
        <v>0.59097222222222223</v>
      </c>
      <c r="E339" s="53">
        <f>'Reclamo de equipaje rediseñado'!$D339-'Reclamo de equipaje rediseñado'!$C339</f>
        <v>6.2499999999999778E-3</v>
      </c>
      <c r="F339" s="52">
        <v>0.59583333333333333</v>
      </c>
      <c r="G339" s="53">
        <f t="shared" si="5"/>
        <v>4.8611111111110938E-3</v>
      </c>
      <c r="H339" s="54">
        <v>41725</v>
      </c>
      <c r="I339" s="55" t="s">
        <v>536</v>
      </c>
      <c r="J339" s="55" t="s">
        <v>560</v>
      </c>
      <c r="K339" s="55">
        <f>VLOOKUP(J339,'Validacion reclamo de equipaje'!L:M,2,0)</f>
        <v>126</v>
      </c>
      <c r="L339" s="55" t="str">
        <f>VLOOKUP(I339,'Validacion reclamo de equipaje'!H:I,2,0)</f>
        <v>Nacional</v>
      </c>
      <c r="M339" s="55" t="s">
        <v>522</v>
      </c>
    </row>
    <row r="340" spans="1:13" x14ac:dyDescent="0.25">
      <c r="A340">
        <v>286</v>
      </c>
      <c r="B340" s="47" t="str">
        <f>VLOOKUP(Tabla6[[#This Row],['# Vuelo]],'Validacion reclamo de equipaje'!P:Q,2,0)</f>
        <v>MEXICO AEREO</v>
      </c>
      <c r="C340" s="48">
        <v>0.60486111111111118</v>
      </c>
      <c r="D340" s="48">
        <v>0.60833333333333328</v>
      </c>
      <c r="E340" s="49">
        <f>'Reclamo de equipaje rediseñado'!$D340-'Reclamo de equipaje rediseñado'!$C340</f>
        <v>3.4722222222220989E-3</v>
      </c>
      <c r="F340" s="48">
        <v>0.61527777777777781</v>
      </c>
      <c r="G340" s="49">
        <f t="shared" si="5"/>
        <v>6.9444444444445308E-3</v>
      </c>
      <c r="H340" s="50">
        <v>41726</v>
      </c>
      <c r="I340" s="51" t="s">
        <v>536</v>
      </c>
      <c r="J340" s="51" t="s">
        <v>560</v>
      </c>
      <c r="K340" s="51">
        <f>VLOOKUP(J340,'Validacion reclamo de equipaje'!L:M,2,0)</f>
        <v>126</v>
      </c>
      <c r="L340" s="51" t="str">
        <f>VLOOKUP(I340,'Validacion reclamo de equipaje'!H:I,2,0)</f>
        <v>Nacional</v>
      </c>
      <c r="M340" s="51" t="s">
        <v>522</v>
      </c>
    </row>
    <row r="341" spans="1:13" x14ac:dyDescent="0.25">
      <c r="A341">
        <v>286</v>
      </c>
      <c r="B341" s="47" t="str">
        <f>VLOOKUP(Tabla6[[#This Row],['# Vuelo]],'Validacion reclamo de equipaje'!P:Q,2,0)</f>
        <v>MEXICO AEREO</v>
      </c>
      <c r="C341" s="52">
        <v>0.59375</v>
      </c>
      <c r="D341" s="52">
        <v>0.59652777777777777</v>
      </c>
      <c r="E341" s="53">
        <f>'Reclamo de equipaje rediseñado'!$D341-'Reclamo de equipaje rediseñado'!$C341</f>
        <v>2.7777777777777679E-3</v>
      </c>
      <c r="F341" s="52">
        <v>0.60416666666666663</v>
      </c>
      <c r="G341" s="53">
        <f t="shared" si="5"/>
        <v>7.6388888888888618E-3</v>
      </c>
      <c r="H341" s="54">
        <v>41729</v>
      </c>
      <c r="I341" s="55" t="s">
        <v>536</v>
      </c>
      <c r="J341" s="55" t="s">
        <v>560</v>
      </c>
      <c r="K341" s="55">
        <f>VLOOKUP(J341,'Validacion reclamo de equipaje'!L:M,2,0)</f>
        <v>126</v>
      </c>
      <c r="L341" s="55" t="str">
        <f>VLOOKUP(I341,'Validacion reclamo de equipaje'!H:I,2,0)</f>
        <v>Nacional</v>
      </c>
      <c r="M341" s="55" t="s">
        <v>522</v>
      </c>
    </row>
    <row r="342" spans="1:13" x14ac:dyDescent="0.25">
      <c r="A342">
        <v>286</v>
      </c>
      <c r="B342" s="47" t="str">
        <f>VLOOKUP(Tabla6[[#This Row],['# Vuelo]],'Validacion reclamo de equipaje'!P:Q,2,0)</f>
        <v>MEXICO AEREO</v>
      </c>
      <c r="C342" s="48">
        <v>0.61111111111111105</v>
      </c>
      <c r="D342" s="48">
        <v>0.61944444444444446</v>
      </c>
      <c r="E342" s="49">
        <f>'Reclamo de equipaje rediseñado'!$D342-'Reclamo de equipaje rediseñado'!$C342</f>
        <v>8.3333333333334147E-3</v>
      </c>
      <c r="F342" s="48">
        <v>0.63263888888888886</v>
      </c>
      <c r="G342" s="49">
        <f t="shared" si="5"/>
        <v>1.3194444444444398E-2</v>
      </c>
      <c r="H342" s="50">
        <v>41718</v>
      </c>
      <c r="I342" s="51" t="s">
        <v>536</v>
      </c>
      <c r="J342" s="51" t="s">
        <v>560</v>
      </c>
      <c r="K342" s="51">
        <f>VLOOKUP(J342,'Validacion reclamo de equipaje'!L:M,2,0)</f>
        <v>126</v>
      </c>
      <c r="L342" s="51" t="str">
        <f>VLOOKUP(I342,'Validacion reclamo de equipaje'!H:I,2,0)</f>
        <v>Nacional</v>
      </c>
      <c r="M342" s="51" t="s">
        <v>522</v>
      </c>
    </row>
    <row r="343" spans="1:13" x14ac:dyDescent="0.25">
      <c r="A343">
        <v>276</v>
      </c>
      <c r="B343" s="47" t="str">
        <f>VLOOKUP(Tabla6[[#This Row],['# Vuelo]],'Validacion reclamo de equipaje'!P:Q,2,0)</f>
        <v>MEXICO AEREO</v>
      </c>
      <c r="C343" s="52">
        <v>0.37916666666666665</v>
      </c>
      <c r="D343" s="52">
        <v>0.3840277777777778</v>
      </c>
      <c r="E343" s="53">
        <f>'Reclamo de equipaje rediseñado'!$D343-'Reclamo de equipaje rediseñado'!$C343</f>
        <v>4.8611111111111494E-3</v>
      </c>
      <c r="F343" s="52">
        <v>0.39166666666666666</v>
      </c>
      <c r="G343" s="53">
        <f t="shared" si="5"/>
        <v>7.6388888888888618E-3</v>
      </c>
      <c r="H343" s="54">
        <v>41714</v>
      </c>
      <c r="I343" s="55" t="s">
        <v>536</v>
      </c>
      <c r="J343" s="55" t="s">
        <v>560</v>
      </c>
      <c r="K343" s="55">
        <f>VLOOKUP(J343,'Validacion reclamo de equipaje'!L:M,2,0)</f>
        <v>126</v>
      </c>
      <c r="L343" s="55" t="str">
        <f>VLOOKUP(I343,'Validacion reclamo de equipaje'!H:I,2,0)</f>
        <v>Nacional</v>
      </c>
      <c r="M343" s="55" t="s">
        <v>522</v>
      </c>
    </row>
    <row r="344" spans="1:13" x14ac:dyDescent="0.25">
      <c r="A344">
        <v>276</v>
      </c>
      <c r="B344" s="47" t="str">
        <f>VLOOKUP(Tabla6[[#This Row],['# Vuelo]],'Validacion reclamo de equipaje'!P:Q,2,0)</f>
        <v>MEXICO AEREO</v>
      </c>
      <c r="C344" s="48">
        <v>0.38541666666666669</v>
      </c>
      <c r="D344" s="48">
        <v>0.39305555555555555</v>
      </c>
      <c r="E344" s="49">
        <f>'Reclamo de equipaje rediseñado'!$D344-'Reclamo de equipaje rediseñado'!$C344</f>
        <v>7.6388888888888618E-3</v>
      </c>
      <c r="F344" s="48">
        <v>0.40416666666666662</v>
      </c>
      <c r="G344" s="49">
        <f t="shared" si="5"/>
        <v>1.1111111111111072E-2</v>
      </c>
      <c r="H344" s="50">
        <v>41715</v>
      </c>
      <c r="I344" s="51" t="s">
        <v>536</v>
      </c>
      <c r="J344" s="51" t="s">
        <v>560</v>
      </c>
      <c r="K344" s="51">
        <f>VLOOKUP(J344,'Validacion reclamo de equipaje'!L:M,2,0)</f>
        <v>126</v>
      </c>
      <c r="L344" s="51" t="str">
        <f>VLOOKUP(I344,'Validacion reclamo de equipaje'!H:I,2,0)</f>
        <v>Nacional</v>
      </c>
      <c r="M344" s="51" t="s">
        <v>522</v>
      </c>
    </row>
    <row r="345" spans="1:13" x14ac:dyDescent="0.25">
      <c r="A345">
        <v>276</v>
      </c>
      <c r="B345" s="47" t="str">
        <f>VLOOKUP(Tabla6[[#This Row],['# Vuelo]],'Validacion reclamo de equipaje'!P:Q,2,0)</f>
        <v>MEXICO AEREO</v>
      </c>
      <c r="C345" s="52">
        <v>0.38611111111111113</v>
      </c>
      <c r="D345" s="52">
        <v>0.38958333333333334</v>
      </c>
      <c r="E345" s="53">
        <f>'Reclamo de equipaje rediseñado'!$D345-'Reclamo de equipaje rediseñado'!$C345</f>
        <v>3.4722222222222099E-3</v>
      </c>
      <c r="F345" s="52">
        <v>0.39861111111111108</v>
      </c>
      <c r="G345" s="53">
        <f t="shared" si="5"/>
        <v>9.0277777777777457E-3</v>
      </c>
      <c r="H345" s="54">
        <v>41716</v>
      </c>
      <c r="I345" s="55" t="s">
        <v>536</v>
      </c>
      <c r="J345" s="55" t="s">
        <v>560</v>
      </c>
      <c r="K345" s="55">
        <f>VLOOKUP(J345,'Validacion reclamo de equipaje'!L:M,2,0)</f>
        <v>126</v>
      </c>
      <c r="L345" s="55" t="str">
        <f>VLOOKUP(I345,'Validacion reclamo de equipaje'!H:I,2,0)</f>
        <v>Nacional</v>
      </c>
      <c r="M345" s="55" t="s">
        <v>522</v>
      </c>
    </row>
    <row r="346" spans="1:13" x14ac:dyDescent="0.25">
      <c r="A346">
        <v>276</v>
      </c>
      <c r="B346" s="47" t="str">
        <f>VLOOKUP(Tabla6[[#This Row],['# Vuelo]],'Validacion reclamo de equipaje'!P:Q,2,0)</f>
        <v>MEXICO AEREO</v>
      </c>
      <c r="C346" s="48">
        <v>0.39166666666666666</v>
      </c>
      <c r="D346" s="48">
        <v>0.39861111111111108</v>
      </c>
      <c r="E346" s="49">
        <f>'Reclamo de equipaje rediseñado'!$D346-'Reclamo de equipaje rediseñado'!$C346</f>
        <v>6.9444444444444198E-3</v>
      </c>
      <c r="F346" s="48">
        <v>0.40347222222222223</v>
      </c>
      <c r="G346" s="49">
        <f t="shared" si="5"/>
        <v>4.8611111111111494E-3</v>
      </c>
      <c r="H346" s="50">
        <v>41717</v>
      </c>
      <c r="I346" s="51" t="s">
        <v>536</v>
      </c>
      <c r="J346" s="51" t="s">
        <v>560</v>
      </c>
      <c r="K346" s="51">
        <f>VLOOKUP(J346,'Validacion reclamo de equipaje'!L:M,2,0)</f>
        <v>126</v>
      </c>
      <c r="L346" s="51" t="str">
        <f>VLOOKUP(I346,'Validacion reclamo de equipaje'!H:I,2,0)</f>
        <v>Nacional</v>
      </c>
      <c r="M346" s="51" t="s">
        <v>522</v>
      </c>
    </row>
    <row r="347" spans="1:13" x14ac:dyDescent="0.25">
      <c r="A347">
        <v>276</v>
      </c>
      <c r="B347" s="47" t="str">
        <f>VLOOKUP(Tabla6[[#This Row],['# Vuelo]],'Validacion reclamo de equipaje'!P:Q,2,0)</f>
        <v>MEXICO AEREO</v>
      </c>
      <c r="C347" s="52">
        <v>0.38055555555555554</v>
      </c>
      <c r="D347" s="52">
        <v>0.38680555555555557</v>
      </c>
      <c r="E347" s="53">
        <f>'Reclamo de equipaje rediseñado'!$D347-'Reclamo de equipaje rediseñado'!$C347</f>
        <v>6.2500000000000333E-3</v>
      </c>
      <c r="F347" s="52">
        <v>0.39444444444444443</v>
      </c>
      <c r="G347" s="53">
        <f t="shared" si="5"/>
        <v>7.6388888888888618E-3</v>
      </c>
      <c r="H347" s="54">
        <v>41718</v>
      </c>
      <c r="I347" s="55" t="s">
        <v>536</v>
      </c>
      <c r="J347" s="55" t="s">
        <v>560</v>
      </c>
      <c r="K347" s="55">
        <f>VLOOKUP(J347,'Validacion reclamo de equipaje'!L:M,2,0)</f>
        <v>126</v>
      </c>
      <c r="L347" s="55" t="str">
        <f>VLOOKUP(I347,'Validacion reclamo de equipaje'!H:I,2,0)</f>
        <v>Nacional</v>
      </c>
      <c r="M347" s="55" t="s">
        <v>522</v>
      </c>
    </row>
    <row r="348" spans="1:13" x14ac:dyDescent="0.25">
      <c r="A348">
        <v>276</v>
      </c>
      <c r="B348" s="47" t="str">
        <f>VLOOKUP(Tabla6[[#This Row],['# Vuelo]],'Validacion reclamo de equipaje'!P:Q,2,0)</f>
        <v>MEXICO AEREO</v>
      </c>
      <c r="C348" s="48">
        <v>0.3888888888888889</v>
      </c>
      <c r="D348" s="48">
        <v>0.39652777777777781</v>
      </c>
      <c r="E348" s="49">
        <f>'Reclamo de equipaje rediseñado'!$D348-'Reclamo de equipaje rediseñado'!$C348</f>
        <v>7.6388888888889173E-3</v>
      </c>
      <c r="F348" s="48">
        <v>0.40347222222222223</v>
      </c>
      <c r="G348" s="49">
        <f t="shared" si="5"/>
        <v>6.9444444444444198E-3</v>
      </c>
      <c r="H348" s="50">
        <v>41720</v>
      </c>
      <c r="I348" s="51" t="s">
        <v>536</v>
      </c>
      <c r="J348" s="51" t="s">
        <v>560</v>
      </c>
      <c r="K348" s="51">
        <f>VLOOKUP(J348,'Validacion reclamo de equipaje'!L:M,2,0)</f>
        <v>126</v>
      </c>
      <c r="L348" s="51" t="str">
        <f>VLOOKUP(I348,'Validacion reclamo de equipaje'!H:I,2,0)</f>
        <v>Nacional</v>
      </c>
      <c r="M348" s="51" t="s">
        <v>522</v>
      </c>
    </row>
    <row r="349" spans="1:13" x14ac:dyDescent="0.25">
      <c r="A349">
        <v>276</v>
      </c>
      <c r="B349" s="47" t="str">
        <f>VLOOKUP(Tabla6[[#This Row],['# Vuelo]],'Validacion reclamo de equipaje'!P:Q,2,0)</f>
        <v>MEXICO AEREO</v>
      </c>
      <c r="C349" s="52">
        <v>0.3840277777777778</v>
      </c>
      <c r="D349" s="52">
        <v>0.38750000000000001</v>
      </c>
      <c r="E349" s="53">
        <f>'Reclamo de equipaje rediseñado'!$D349-'Reclamo de equipaje rediseñado'!$C349</f>
        <v>3.4722222222222099E-3</v>
      </c>
      <c r="F349" s="52">
        <v>0.39999999999999997</v>
      </c>
      <c r="G349" s="53">
        <f t="shared" si="5"/>
        <v>1.2499999999999956E-2</v>
      </c>
      <c r="H349" s="54">
        <v>41721</v>
      </c>
      <c r="I349" s="55" t="s">
        <v>536</v>
      </c>
      <c r="J349" s="55" t="s">
        <v>560</v>
      </c>
      <c r="K349" s="55">
        <f>VLOOKUP(J349,'Validacion reclamo de equipaje'!L:M,2,0)</f>
        <v>126</v>
      </c>
      <c r="L349" s="55" t="str">
        <f>VLOOKUP(I349,'Validacion reclamo de equipaje'!H:I,2,0)</f>
        <v>Nacional</v>
      </c>
      <c r="M349" s="55" t="s">
        <v>522</v>
      </c>
    </row>
    <row r="350" spans="1:13" x14ac:dyDescent="0.25">
      <c r="A350">
        <v>276</v>
      </c>
      <c r="B350" s="47" t="str">
        <f>VLOOKUP(Tabla6[[#This Row],['# Vuelo]],'Validacion reclamo de equipaje'!P:Q,2,0)</f>
        <v>MEXICO AEREO</v>
      </c>
      <c r="C350" s="48">
        <v>0.37847222222222227</v>
      </c>
      <c r="D350" s="48">
        <v>0.3840277777777778</v>
      </c>
      <c r="E350" s="49">
        <f>'Reclamo de equipaje rediseñado'!$D350-'Reclamo de equipaje rediseñado'!$C350</f>
        <v>5.5555555555555358E-3</v>
      </c>
      <c r="F350" s="48">
        <v>0.38958333333333334</v>
      </c>
      <c r="G350" s="49">
        <f t="shared" si="5"/>
        <v>5.5555555555555358E-3</v>
      </c>
      <c r="H350" s="50">
        <v>41722</v>
      </c>
      <c r="I350" s="51" t="s">
        <v>536</v>
      </c>
      <c r="J350" s="51" t="s">
        <v>560</v>
      </c>
      <c r="K350" s="51">
        <f>VLOOKUP(J350,'Validacion reclamo de equipaje'!L:M,2,0)</f>
        <v>126</v>
      </c>
      <c r="L350" s="51" t="str">
        <f>VLOOKUP(I350,'Validacion reclamo de equipaje'!H:I,2,0)</f>
        <v>Nacional</v>
      </c>
      <c r="M350" s="51" t="s">
        <v>522</v>
      </c>
    </row>
    <row r="351" spans="1:13" x14ac:dyDescent="0.25">
      <c r="A351">
        <v>276</v>
      </c>
      <c r="B351" s="47" t="str">
        <f>VLOOKUP(Tabla6[[#This Row],['# Vuelo]],'Validacion reclamo de equipaje'!P:Q,2,0)</f>
        <v>MEXICO AEREO</v>
      </c>
      <c r="C351" s="52">
        <v>0.37638888888888888</v>
      </c>
      <c r="D351" s="52">
        <v>0.38472222222222219</v>
      </c>
      <c r="E351" s="53">
        <f>'Reclamo de equipaje rediseñado'!$D351-'Reclamo de equipaje rediseñado'!$C351</f>
        <v>8.3333333333333037E-3</v>
      </c>
      <c r="F351" s="52">
        <v>0.39027777777777778</v>
      </c>
      <c r="G351" s="53">
        <f t="shared" si="5"/>
        <v>5.5555555555555913E-3</v>
      </c>
      <c r="H351" s="54">
        <v>41725</v>
      </c>
      <c r="I351" s="55" t="s">
        <v>536</v>
      </c>
      <c r="J351" s="55" t="s">
        <v>560</v>
      </c>
      <c r="K351" s="55">
        <f>VLOOKUP(J351,'Validacion reclamo de equipaje'!L:M,2,0)</f>
        <v>126</v>
      </c>
      <c r="L351" s="55" t="str">
        <f>VLOOKUP(I351,'Validacion reclamo de equipaje'!H:I,2,0)</f>
        <v>Nacional</v>
      </c>
      <c r="M351" s="55" t="s">
        <v>522</v>
      </c>
    </row>
    <row r="352" spans="1:13" x14ac:dyDescent="0.25">
      <c r="A352">
        <v>276</v>
      </c>
      <c r="B352" s="47" t="str">
        <f>VLOOKUP(Tabla6[[#This Row],['# Vuelo]],'Validacion reclamo de equipaje'!P:Q,2,0)</f>
        <v>MEXICO AEREO</v>
      </c>
      <c r="C352" s="48">
        <v>0.38055555555555554</v>
      </c>
      <c r="D352" s="48">
        <v>0.38611111111111113</v>
      </c>
      <c r="E352" s="49">
        <f>'Reclamo de equipaje rediseñado'!$D352-'Reclamo de equipaje rediseñado'!$C352</f>
        <v>5.5555555555555913E-3</v>
      </c>
      <c r="F352" s="48">
        <v>0.3923611111111111</v>
      </c>
      <c r="G352" s="49">
        <f t="shared" si="5"/>
        <v>6.2499999999999778E-3</v>
      </c>
      <c r="H352" s="50">
        <v>41725</v>
      </c>
      <c r="I352" s="51" t="s">
        <v>536</v>
      </c>
      <c r="J352" s="51" t="s">
        <v>560</v>
      </c>
      <c r="K352" s="51">
        <f>VLOOKUP(J352,'Validacion reclamo de equipaje'!L:M,2,0)</f>
        <v>126</v>
      </c>
      <c r="L352" s="51" t="str">
        <f>VLOOKUP(I352,'Validacion reclamo de equipaje'!H:I,2,0)</f>
        <v>Nacional</v>
      </c>
      <c r="M352" s="51" t="s">
        <v>522</v>
      </c>
    </row>
    <row r="353" spans="1:13" x14ac:dyDescent="0.25">
      <c r="A353">
        <v>276</v>
      </c>
      <c r="B353" s="47" t="str">
        <f>VLOOKUP(Tabla6[[#This Row],['# Vuelo]],'Validacion reclamo de equipaje'!P:Q,2,0)</f>
        <v>MEXICO AEREO</v>
      </c>
      <c r="C353" s="52">
        <v>0.38055555555555554</v>
      </c>
      <c r="D353" s="52">
        <v>0.38611111111111113</v>
      </c>
      <c r="E353" s="53">
        <f>'Reclamo de equipaje rediseñado'!$D353-'Reclamo de equipaje rediseñado'!$C353</f>
        <v>5.5555555555555913E-3</v>
      </c>
      <c r="F353" s="52">
        <v>0.39444444444444443</v>
      </c>
      <c r="G353" s="53">
        <f t="shared" si="5"/>
        <v>8.3333333333333037E-3</v>
      </c>
      <c r="H353" s="54">
        <v>41726</v>
      </c>
      <c r="I353" s="55" t="s">
        <v>536</v>
      </c>
      <c r="J353" s="55" t="s">
        <v>560</v>
      </c>
      <c r="K353" s="55">
        <f>VLOOKUP(J353,'Validacion reclamo de equipaje'!L:M,2,0)</f>
        <v>126</v>
      </c>
      <c r="L353" s="55" t="str">
        <f>VLOOKUP(I353,'Validacion reclamo de equipaje'!H:I,2,0)</f>
        <v>Nacional</v>
      </c>
      <c r="M353" s="55" t="s">
        <v>522</v>
      </c>
    </row>
    <row r="354" spans="1:13" x14ac:dyDescent="0.25">
      <c r="A354">
        <v>276</v>
      </c>
      <c r="B354" s="47" t="str">
        <f>VLOOKUP(Tabla6[[#This Row],['# Vuelo]],'Validacion reclamo de equipaje'!P:Q,2,0)</f>
        <v>MEXICO AEREO</v>
      </c>
      <c r="C354" s="48">
        <v>0.3888888888888889</v>
      </c>
      <c r="D354" s="48">
        <v>0.39305555555555555</v>
      </c>
      <c r="E354" s="49">
        <f>'Reclamo de equipaje rediseñado'!$D354-'Reclamo de equipaje rediseñado'!$C354</f>
        <v>4.1666666666666519E-3</v>
      </c>
      <c r="F354" s="48">
        <v>0.40138888888888885</v>
      </c>
      <c r="G354" s="49">
        <f t="shared" si="5"/>
        <v>8.3333333333333037E-3</v>
      </c>
      <c r="H354" s="50">
        <v>41729</v>
      </c>
      <c r="I354" s="51" t="s">
        <v>536</v>
      </c>
      <c r="J354" s="51" t="s">
        <v>560</v>
      </c>
      <c r="K354" s="51">
        <f>VLOOKUP(J354,'Validacion reclamo de equipaje'!L:M,2,0)</f>
        <v>126</v>
      </c>
      <c r="L354" s="51" t="str">
        <f>VLOOKUP(I354,'Validacion reclamo de equipaje'!H:I,2,0)</f>
        <v>Nacional</v>
      </c>
      <c r="M354" s="51" t="s">
        <v>522</v>
      </c>
    </row>
    <row r="355" spans="1:13" x14ac:dyDescent="0.25">
      <c r="A355">
        <v>254</v>
      </c>
      <c r="B355" s="47" t="str">
        <f>VLOOKUP(Tabla6[[#This Row],['# Vuelo]],'Validacion reclamo de equipaje'!P:Q,2,0)</f>
        <v>MEXICO AEREO</v>
      </c>
      <c r="C355" s="52">
        <v>0.74930555555555556</v>
      </c>
      <c r="D355" s="52">
        <v>0.75694444444444453</v>
      </c>
      <c r="E355" s="53">
        <f>'Reclamo de equipaje rediseñado'!$D355-'Reclamo de equipaje rediseñado'!$C355</f>
        <v>7.6388888888889728E-3</v>
      </c>
      <c r="F355" s="52">
        <v>0.76041666666666663</v>
      </c>
      <c r="G355" s="53">
        <f t="shared" si="5"/>
        <v>3.4722222222220989E-3</v>
      </c>
      <c r="H355" s="54">
        <v>41716</v>
      </c>
      <c r="I355" s="55" t="s">
        <v>536</v>
      </c>
      <c r="J355" s="55" t="s">
        <v>535</v>
      </c>
      <c r="K355" s="55">
        <f>VLOOKUP(J355,'Validacion reclamo de equipaje'!L:M,2,0)</f>
        <v>50</v>
      </c>
      <c r="L355" s="55" t="str">
        <f>VLOOKUP(I355,'Validacion reclamo de equipaje'!H:I,2,0)</f>
        <v>Nacional</v>
      </c>
      <c r="M355" s="55" t="s">
        <v>522</v>
      </c>
    </row>
    <row r="356" spans="1:13" x14ac:dyDescent="0.25">
      <c r="A356">
        <v>254</v>
      </c>
      <c r="B356" s="47" t="str">
        <f>VLOOKUP(Tabla6[[#This Row],['# Vuelo]],'Validacion reclamo de equipaje'!P:Q,2,0)</f>
        <v>MEXICO AEREO</v>
      </c>
      <c r="C356" s="48">
        <v>0.74722222222222223</v>
      </c>
      <c r="D356" s="48">
        <v>0.75277777777777777</v>
      </c>
      <c r="E356" s="49">
        <f>'Reclamo de equipaje rediseñado'!$D356-'Reclamo de equipaje rediseñado'!$C356</f>
        <v>5.5555555555555358E-3</v>
      </c>
      <c r="F356" s="48">
        <v>0.7583333333333333</v>
      </c>
      <c r="G356" s="49">
        <f t="shared" si="5"/>
        <v>5.5555555555555358E-3</v>
      </c>
      <c r="H356" s="50">
        <v>41718</v>
      </c>
      <c r="I356" s="51" t="s">
        <v>536</v>
      </c>
      <c r="J356" s="51" t="s">
        <v>535</v>
      </c>
      <c r="K356" s="51">
        <f>VLOOKUP(J356,'Validacion reclamo de equipaje'!L:M,2,0)</f>
        <v>50</v>
      </c>
      <c r="L356" s="51" t="str">
        <f>VLOOKUP(I356,'Validacion reclamo de equipaje'!H:I,2,0)</f>
        <v>Nacional</v>
      </c>
      <c r="M356" s="51" t="s">
        <v>522</v>
      </c>
    </row>
    <row r="357" spans="1:13" x14ac:dyDescent="0.25">
      <c r="A357">
        <v>254</v>
      </c>
      <c r="B357" s="47" t="str">
        <f>VLOOKUP(Tabla6[[#This Row],['# Vuelo]],'Validacion reclamo de equipaje'!P:Q,2,0)</f>
        <v>MEXICO AEREO</v>
      </c>
      <c r="C357" s="52">
        <v>0.74305555555555547</v>
      </c>
      <c r="D357" s="52">
        <v>0.74652777777777779</v>
      </c>
      <c r="E357" s="53">
        <f>'Reclamo de equipaje rediseñado'!$D357-'Reclamo de equipaje rediseñado'!$C357</f>
        <v>3.4722222222223209E-3</v>
      </c>
      <c r="F357" s="52">
        <v>0.75</v>
      </c>
      <c r="G357" s="53">
        <f t="shared" si="5"/>
        <v>3.4722222222222099E-3</v>
      </c>
      <c r="H357" s="54">
        <v>41720</v>
      </c>
      <c r="I357" s="55" t="s">
        <v>536</v>
      </c>
      <c r="J357" s="55" t="s">
        <v>535</v>
      </c>
      <c r="K357" s="55">
        <f>VLOOKUP(J357,'Validacion reclamo de equipaje'!L:M,2,0)</f>
        <v>50</v>
      </c>
      <c r="L357" s="55" t="str">
        <f>VLOOKUP(I357,'Validacion reclamo de equipaje'!H:I,2,0)</f>
        <v>Nacional</v>
      </c>
      <c r="M357" s="55" t="s">
        <v>522</v>
      </c>
    </row>
    <row r="358" spans="1:13" x14ac:dyDescent="0.25">
      <c r="A358">
        <v>254</v>
      </c>
      <c r="B358" s="47" t="str">
        <f>VLOOKUP(Tabla6[[#This Row],['# Vuelo]],'Validacion reclamo de equipaje'!P:Q,2,0)</f>
        <v>MEXICO AEREO</v>
      </c>
      <c r="C358" s="48">
        <v>0.74652777777777779</v>
      </c>
      <c r="D358" s="48">
        <v>0.75208333333333333</v>
      </c>
      <c r="E358" s="49">
        <f>'Reclamo de equipaje rediseñado'!$D358-'Reclamo de equipaje rediseñado'!$C358</f>
        <v>5.5555555555555358E-3</v>
      </c>
      <c r="F358" s="48">
        <v>0.75624999999999998</v>
      </c>
      <c r="G358" s="49">
        <f t="shared" si="5"/>
        <v>4.1666666666666519E-3</v>
      </c>
      <c r="H358" s="50">
        <v>41721</v>
      </c>
      <c r="I358" s="51" t="s">
        <v>536</v>
      </c>
      <c r="J358" s="51" t="s">
        <v>535</v>
      </c>
      <c r="K358" s="51">
        <f>VLOOKUP(J358,'Validacion reclamo de equipaje'!L:M,2,0)</f>
        <v>50</v>
      </c>
      <c r="L358" s="51" t="str">
        <f>VLOOKUP(I358,'Validacion reclamo de equipaje'!H:I,2,0)</f>
        <v>Nacional</v>
      </c>
      <c r="M358" s="51" t="s">
        <v>522</v>
      </c>
    </row>
    <row r="359" spans="1:13" x14ac:dyDescent="0.25">
      <c r="A359">
        <v>254</v>
      </c>
      <c r="B359" s="47" t="str">
        <f>VLOOKUP(Tabla6[[#This Row],['# Vuelo]],'Validacion reclamo de equipaje'!P:Q,2,0)</f>
        <v>MEXICO AEREO</v>
      </c>
      <c r="C359" s="52">
        <v>0.77916666666666667</v>
      </c>
      <c r="D359" s="52">
        <v>0.78888888888888886</v>
      </c>
      <c r="E359" s="53">
        <f>'Reclamo de equipaje rediseñado'!$D359-'Reclamo de equipaje rediseñado'!$C359</f>
        <v>9.7222222222221877E-3</v>
      </c>
      <c r="F359" s="52">
        <v>0.80069444444444438</v>
      </c>
      <c r="G359" s="53">
        <f t="shared" si="5"/>
        <v>1.1805555555555514E-2</v>
      </c>
      <c r="H359" s="54">
        <v>41725</v>
      </c>
      <c r="I359" s="55" t="s">
        <v>536</v>
      </c>
      <c r="J359" s="55" t="s">
        <v>535</v>
      </c>
      <c r="K359" s="55">
        <f>VLOOKUP(J359,'Validacion reclamo de equipaje'!L:M,2,0)</f>
        <v>50</v>
      </c>
      <c r="L359" s="55" t="str">
        <f>VLOOKUP(I359,'Validacion reclamo de equipaje'!H:I,2,0)</f>
        <v>Nacional</v>
      </c>
      <c r="M359" s="55" t="s">
        <v>522</v>
      </c>
    </row>
    <row r="360" spans="1:13" x14ac:dyDescent="0.25">
      <c r="A360">
        <v>254</v>
      </c>
      <c r="B360" s="47" t="str">
        <f>VLOOKUP(Tabla6[[#This Row],['# Vuelo]],'Validacion reclamo de equipaje'!P:Q,2,0)</f>
        <v>MEXICO AEREO</v>
      </c>
      <c r="C360" s="48">
        <v>0.74652777777777779</v>
      </c>
      <c r="D360" s="48">
        <v>0.75486111111111109</v>
      </c>
      <c r="E360" s="49">
        <f>'Reclamo de equipaje rediseñado'!$D360-'Reclamo de equipaje rediseñado'!$C360</f>
        <v>8.3333333333333037E-3</v>
      </c>
      <c r="F360" s="48">
        <v>0.75694444444444453</v>
      </c>
      <c r="G360" s="49">
        <f t="shared" si="5"/>
        <v>2.083333333333437E-3</v>
      </c>
      <c r="H360" s="50">
        <v>41725</v>
      </c>
      <c r="I360" s="51" t="s">
        <v>536</v>
      </c>
      <c r="J360" s="51" t="s">
        <v>535</v>
      </c>
      <c r="K360" s="51">
        <f>VLOOKUP(J360,'Validacion reclamo de equipaje'!L:M,2,0)</f>
        <v>50</v>
      </c>
      <c r="L360" s="51" t="str">
        <f>VLOOKUP(I360,'Validacion reclamo de equipaje'!H:I,2,0)</f>
        <v>Nacional</v>
      </c>
      <c r="M360" s="51" t="s">
        <v>522</v>
      </c>
    </row>
    <row r="361" spans="1:13" x14ac:dyDescent="0.25">
      <c r="A361">
        <v>254</v>
      </c>
      <c r="B361" s="47" t="str">
        <f>VLOOKUP(Tabla6[[#This Row],['# Vuelo]],'Validacion reclamo de equipaje'!P:Q,2,0)</f>
        <v>MEXICO AEREO</v>
      </c>
      <c r="C361" s="52">
        <v>0.73472222222222217</v>
      </c>
      <c r="D361" s="52">
        <v>0.7402777777777777</v>
      </c>
      <c r="E361" s="53">
        <f>'Reclamo de equipaje rediseñado'!$D361-'Reclamo de equipaje rediseñado'!$C361</f>
        <v>5.5555555555555358E-3</v>
      </c>
      <c r="F361" s="52">
        <v>0.74236111111111114</v>
      </c>
      <c r="G361" s="53">
        <f t="shared" si="5"/>
        <v>2.083333333333437E-3</v>
      </c>
      <c r="H361" s="54">
        <v>41726</v>
      </c>
      <c r="I361" s="55" t="s">
        <v>536</v>
      </c>
      <c r="J361" s="55" t="s">
        <v>535</v>
      </c>
      <c r="K361" s="55">
        <f>VLOOKUP(J361,'Validacion reclamo de equipaje'!L:M,2,0)</f>
        <v>50</v>
      </c>
      <c r="L361" s="55" t="str">
        <f>VLOOKUP(I361,'Validacion reclamo de equipaje'!H:I,2,0)</f>
        <v>Nacional</v>
      </c>
      <c r="M361" s="55" t="s">
        <v>522</v>
      </c>
    </row>
    <row r="362" spans="1:13" x14ac:dyDescent="0.25">
      <c r="A362">
        <v>254</v>
      </c>
      <c r="B362" s="47" t="str">
        <f>VLOOKUP(Tabla6[[#This Row],['# Vuelo]],'Validacion reclamo de equipaje'!P:Q,2,0)</f>
        <v>MEXICO AEREO</v>
      </c>
      <c r="C362" s="48">
        <v>0.73472222222222217</v>
      </c>
      <c r="D362" s="48">
        <v>0.74444444444444446</v>
      </c>
      <c r="E362" s="49">
        <f>'Reclamo de equipaje rediseñado'!$D362-'Reclamo de equipaje rediseñado'!$C362</f>
        <v>9.7222222222222987E-3</v>
      </c>
      <c r="F362" s="48">
        <v>0.75</v>
      </c>
      <c r="G362" s="49">
        <f t="shared" si="5"/>
        <v>5.5555555555555358E-3</v>
      </c>
      <c r="H362" s="50">
        <v>41727</v>
      </c>
      <c r="I362" s="51" t="s">
        <v>536</v>
      </c>
      <c r="J362" s="51" t="s">
        <v>535</v>
      </c>
      <c r="K362" s="51">
        <f>VLOOKUP(J362,'Validacion reclamo de equipaje'!L:M,2,0)</f>
        <v>50</v>
      </c>
      <c r="L362" s="51" t="str">
        <f>VLOOKUP(I362,'Validacion reclamo de equipaje'!H:I,2,0)</f>
        <v>Nacional</v>
      </c>
      <c r="M362" s="51" t="s">
        <v>522</v>
      </c>
    </row>
    <row r="363" spans="1:13" x14ac:dyDescent="0.25">
      <c r="A363">
        <v>254</v>
      </c>
      <c r="B363" s="47" t="str">
        <f>VLOOKUP(Tabla6[[#This Row],['# Vuelo]],'Validacion reclamo de equipaje'!P:Q,2,0)</f>
        <v>MEXICO AEREO</v>
      </c>
      <c r="C363" s="52">
        <v>0.73958333333333337</v>
      </c>
      <c r="D363" s="52">
        <v>0.74583333333333324</v>
      </c>
      <c r="E363" s="53">
        <f>'Reclamo de equipaje rediseñado'!$D363-'Reclamo de equipaje rediseñado'!$C363</f>
        <v>6.2499999999998668E-3</v>
      </c>
      <c r="F363" s="52">
        <v>0.74930555555555556</v>
      </c>
      <c r="G363" s="53">
        <f t="shared" si="5"/>
        <v>3.4722222222223209E-3</v>
      </c>
      <c r="H363" s="54">
        <v>41729</v>
      </c>
      <c r="I363" s="55" t="s">
        <v>536</v>
      </c>
      <c r="J363" s="55" t="s">
        <v>535</v>
      </c>
      <c r="K363" s="55">
        <f>VLOOKUP(J363,'Validacion reclamo de equipaje'!L:M,2,0)</f>
        <v>50</v>
      </c>
      <c r="L363" s="55" t="str">
        <f>VLOOKUP(I363,'Validacion reclamo de equipaje'!H:I,2,0)</f>
        <v>Nacional</v>
      </c>
      <c r="M363" s="55" t="s">
        <v>522</v>
      </c>
    </row>
    <row r="364" spans="1:13" x14ac:dyDescent="0.25">
      <c r="A364">
        <v>254</v>
      </c>
      <c r="B364" s="47" t="str">
        <f>VLOOKUP(Tabla6[[#This Row],['# Vuelo]],'Validacion reclamo de equipaje'!P:Q,2,0)</f>
        <v>MEXICO AEREO</v>
      </c>
      <c r="C364" s="48">
        <v>0.73958333333333337</v>
      </c>
      <c r="D364" s="48">
        <v>0.74583333333333324</v>
      </c>
      <c r="E364" s="49">
        <f>'Reclamo de equipaje rediseñado'!$D364-'Reclamo de equipaje rediseñado'!$C364</f>
        <v>6.2499999999998668E-3</v>
      </c>
      <c r="F364" s="48">
        <v>0.74861111111111101</v>
      </c>
      <c r="G364" s="49">
        <f t="shared" si="5"/>
        <v>2.7777777777777679E-3</v>
      </c>
      <c r="H364" s="50">
        <v>41717</v>
      </c>
      <c r="I364" s="51" t="s">
        <v>536</v>
      </c>
      <c r="J364" s="51" t="s">
        <v>535</v>
      </c>
      <c r="K364" s="51">
        <f>VLOOKUP(J364,'Validacion reclamo de equipaje'!L:M,2,0)</f>
        <v>50</v>
      </c>
      <c r="L364" s="51" t="str">
        <f>VLOOKUP(I364,'Validacion reclamo de equipaje'!H:I,2,0)</f>
        <v>Nacional</v>
      </c>
      <c r="M364" s="51" t="s">
        <v>522</v>
      </c>
    </row>
    <row r="365" spans="1:13" x14ac:dyDescent="0.25">
      <c r="A365">
        <v>252</v>
      </c>
      <c r="B365" s="47" t="str">
        <f>VLOOKUP(Tabla6[[#This Row],['# Vuelo]],'Validacion reclamo de equipaje'!P:Q,2,0)</f>
        <v>MEXICO AEREO</v>
      </c>
      <c r="C365" s="52">
        <v>0.72152777777777777</v>
      </c>
      <c r="D365" s="52">
        <v>0.72499999999999998</v>
      </c>
      <c r="E365" s="53">
        <f>'Reclamo de equipaje rediseñado'!$D365-'Reclamo de equipaje rediseñado'!$C365</f>
        <v>3.4722222222222099E-3</v>
      </c>
      <c r="F365" s="52">
        <v>0.72916666666666663</v>
      </c>
      <c r="G365" s="53">
        <f t="shared" si="5"/>
        <v>4.1666666666666519E-3</v>
      </c>
      <c r="H365" s="54">
        <v>41714</v>
      </c>
      <c r="I365" s="55" t="s">
        <v>536</v>
      </c>
      <c r="J365" s="55" t="s">
        <v>560</v>
      </c>
      <c r="K365" s="55">
        <f>VLOOKUP(J365,'Validacion reclamo de equipaje'!L:M,2,0)</f>
        <v>126</v>
      </c>
      <c r="L365" s="55" t="str">
        <f>VLOOKUP(I365,'Validacion reclamo de equipaje'!H:I,2,0)</f>
        <v>Nacional</v>
      </c>
      <c r="M365" s="55" t="s">
        <v>522</v>
      </c>
    </row>
    <row r="366" spans="1:13" x14ac:dyDescent="0.25">
      <c r="A366">
        <v>252</v>
      </c>
      <c r="B366" s="47" t="str">
        <f>VLOOKUP(Tabla6[[#This Row],['# Vuelo]],'Validacion reclamo de equipaje'!P:Q,2,0)</f>
        <v>MEXICO AEREO</v>
      </c>
      <c r="C366" s="48">
        <v>0.74305555555555547</v>
      </c>
      <c r="D366" s="48">
        <v>0.74930555555555556</v>
      </c>
      <c r="E366" s="49">
        <f>'Reclamo de equipaje rediseñado'!$D366-'Reclamo de equipaje rediseñado'!$C366</f>
        <v>6.2500000000000888E-3</v>
      </c>
      <c r="F366" s="48">
        <v>0.75694444444444453</v>
      </c>
      <c r="G366" s="49">
        <f t="shared" si="5"/>
        <v>7.6388888888889728E-3</v>
      </c>
      <c r="H366" s="50">
        <v>41715</v>
      </c>
      <c r="I366" s="51" t="s">
        <v>536</v>
      </c>
      <c r="J366" s="51" t="s">
        <v>560</v>
      </c>
      <c r="K366" s="51">
        <f>VLOOKUP(J366,'Validacion reclamo de equipaje'!L:M,2,0)</f>
        <v>126</v>
      </c>
      <c r="L366" s="51" t="str">
        <f>VLOOKUP(I366,'Validacion reclamo de equipaje'!H:I,2,0)</f>
        <v>Nacional</v>
      </c>
      <c r="M366" s="51" t="s">
        <v>522</v>
      </c>
    </row>
    <row r="367" spans="1:13" x14ac:dyDescent="0.25">
      <c r="A367">
        <v>252</v>
      </c>
      <c r="B367" s="47" t="str">
        <f>VLOOKUP(Tabla6[[#This Row],['# Vuelo]],'Validacion reclamo de equipaje'!P:Q,2,0)</f>
        <v>MEXICO AEREO</v>
      </c>
      <c r="C367" s="52">
        <v>0.72013888888888899</v>
      </c>
      <c r="D367" s="52">
        <v>0.72222222222222221</v>
      </c>
      <c r="E367" s="53">
        <f>'Reclamo de equipaje rediseñado'!$D367-'Reclamo de equipaje rediseñado'!$C367</f>
        <v>2.0833333333332149E-3</v>
      </c>
      <c r="F367" s="52">
        <v>0.73125000000000007</v>
      </c>
      <c r="G367" s="53">
        <f t="shared" si="5"/>
        <v>9.0277777777778567E-3</v>
      </c>
      <c r="H367" s="54">
        <v>41716</v>
      </c>
      <c r="I367" s="55" t="s">
        <v>536</v>
      </c>
      <c r="J367" s="55" t="s">
        <v>560</v>
      </c>
      <c r="K367" s="55">
        <f>VLOOKUP(J367,'Validacion reclamo de equipaje'!L:M,2,0)</f>
        <v>126</v>
      </c>
      <c r="L367" s="55" t="str">
        <f>VLOOKUP(I367,'Validacion reclamo de equipaje'!H:I,2,0)</f>
        <v>Nacional</v>
      </c>
      <c r="M367" s="55" t="s">
        <v>522</v>
      </c>
    </row>
    <row r="368" spans="1:13" x14ac:dyDescent="0.25">
      <c r="A368">
        <v>252</v>
      </c>
      <c r="B368" s="47" t="str">
        <f>VLOOKUP(Tabla6[[#This Row],['# Vuelo]],'Validacion reclamo de equipaje'!P:Q,2,0)</f>
        <v>MEXICO AEREO</v>
      </c>
      <c r="C368" s="48">
        <v>0.71805555555555556</v>
      </c>
      <c r="D368" s="48">
        <v>0.72152777777777777</v>
      </c>
      <c r="E368" s="49">
        <f>'Reclamo de equipaje rediseñado'!$D368-'Reclamo de equipaje rediseñado'!$C368</f>
        <v>3.4722222222222099E-3</v>
      </c>
      <c r="F368" s="48">
        <v>0.72638888888888886</v>
      </c>
      <c r="G368" s="49">
        <f t="shared" si="5"/>
        <v>4.8611111111110938E-3</v>
      </c>
      <c r="H368" s="50">
        <v>41722</v>
      </c>
      <c r="I368" s="51" t="s">
        <v>536</v>
      </c>
      <c r="J368" s="51" t="s">
        <v>560</v>
      </c>
      <c r="K368" s="51">
        <f>VLOOKUP(J368,'Validacion reclamo de equipaje'!L:M,2,0)</f>
        <v>126</v>
      </c>
      <c r="L368" s="51" t="str">
        <f>VLOOKUP(I368,'Validacion reclamo de equipaje'!H:I,2,0)</f>
        <v>Nacional</v>
      </c>
      <c r="M368" s="51" t="s">
        <v>522</v>
      </c>
    </row>
    <row r="369" spans="1:13" x14ac:dyDescent="0.25">
      <c r="A369">
        <v>252</v>
      </c>
      <c r="B369" s="47" t="str">
        <f>VLOOKUP(Tabla6[[#This Row],['# Vuelo]],'Validacion reclamo de equipaje'!P:Q,2,0)</f>
        <v>MEXICO AEREO</v>
      </c>
      <c r="C369" s="52">
        <v>0.74583333333333324</v>
      </c>
      <c r="D369" s="52">
        <v>0.75624999999999998</v>
      </c>
      <c r="E369" s="53">
        <f>'Reclamo de equipaje rediseñado'!$D369-'Reclamo de equipaje rediseñado'!$C369</f>
        <v>1.0416666666666741E-2</v>
      </c>
      <c r="F369" s="52">
        <v>0.76250000000000007</v>
      </c>
      <c r="G369" s="53">
        <f t="shared" si="5"/>
        <v>6.2500000000000888E-3</v>
      </c>
      <c r="H369" s="54">
        <v>41725</v>
      </c>
      <c r="I369" s="55" t="s">
        <v>536</v>
      </c>
      <c r="J369" s="55" t="s">
        <v>560</v>
      </c>
      <c r="K369" s="55">
        <f>VLOOKUP(J369,'Validacion reclamo de equipaje'!L:M,2,0)</f>
        <v>126</v>
      </c>
      <c r="L369" s="55" t="str">
        <f>VLOOKUP(I369,'Validacion reclamo de equipaje'!H:I,2,0)</f>
        <v>Nacional</v>
      </c>
      <c r="M369" s="55" t="s">
        <v>522</v>
      </c>
    </row>
    <row r="370" spans="1:13" x14ac:dyDescent="0.25">
      <c r="A370">
        <v>252</v>
      </c>
      <c r="B370" s="47" t="str">
        <f>VLOOKUP(Tabla6[[#This Row],['# Vuelo]],'Validacion reclamo de equipaje'!P:Q,2,0)</f>
        <v>MEXICO AEREO</v>
      </c>
      <c r="C370" s="48">
        <v>0.72013888888888899</v>
      </c>
      <c r="D370" s="48">
        <v>0.7270833333333333</v>
      </c>
      <c r="E370" s="49">
        <f>'Reclamo de equipaje rediseñado'!$D370-'Reclamo de equipaje rediseñado'!$C370</f>
        <v>6.9444444444443088E-3</v>
      </c>
      <c r="F370" s="48">
        <v>0.73958333333333337</v>
      </c>
      <c r="G370" s="49">
        <f t="shared" si="5"/>
        <v>1.2500000000000067E-2</v>
      </c>
      <c r="H370" s="50">
        <v>41726</v>
      </c>
      <c r="I370" s="51" t="s">
        <v>536</v>
      </c>
      <c r="J370" s="51" t="s">
        <v>560</v>
      </c>
      <c r="K370" s="51">
        <f>VLOOKUP(J370,'Validacion reclamo de equipaje'!L:M,2,0)</f>
        <v>126</v>
      </c>
      <c r="L370" s="51" t="str">
        <f>VLOOKUP(I370,'Validacion reclamo de equipaje'!H:I,2,0)</f>
        <v>Nacional</v>
      </c>
      <c r="M370" s="51" t="s">
        <v>522</v>
      </c>
    </row>
    <row r="371" spans="1:13" x14ac:dyDescent="0.25">
      <c r="A371">
        <v>252</v>
      </c>
      <c r="B371" s="47" t="str">
        <f>VLOOKUP(Tabla6[[#This Row],['# Vuelo]],'Validacion reclamo de equipaje'!P:Q,2,0)</f>
        <v>MEXICO AEREO</v>
      </c>
      <c r="C371" s="52">
        <v>0.72569444444444453</v>
      </c>
      <c r="D371" s="52">
        <v>0.72916666666666663</v>
      </c>
      <c r="E371" s="53">
        <f>'Reclamo de equipaje rediseñado'!$D371-'Reclamo de equipaje rediseñado'!$C371</f>
        <v>3.4722222222220989E-3</v>
      </c>
      <c r="F371" s="52">
        <v>0.73263888888888884</v>
      </c>
      <c r="G371" s="53">
        <f t="shared" si="5"/>
        <v>3.4722222222222099E-3</v>
      </c>
      <c r="H371" s="54">
        <v>41729</v>
      </c>
      <c r="I371" s="55" t="s">
        <v>536</v>
      </c>
      <c r="J371" s="55" t="s">
        <v>560</v>
      </c>
      <c r="K371" s="55">
        <f>VLOOKUP(J371,'Validacion reclamo de equipaje'!L:M,2,0)</f>
        <v>126</v>
      </c>
      <c r="L371" s="55" t="str">
        <f>VLOOKUP(I371,'Validacion reclamo de equipaje'!H:I,2,0)</f>
        <v>Nacional</v>
      </c>
      <c r="M371" s="55" t="s">
        <v>522</v>
      </c>
    </row>
    <row r="372" spans="1:13" x14ac:dyDescent="0.25">
      <c r="A372">
        <v>228</v>
      </c>
      <c r="B372" s="47" t="str">
        <f>VLOOKUP(Tabla6[[#This Row],['# Vuelo]],'Validacion reclamo de equipaje'!P:Q,2,0)</f>
        <v>MEXICO AEREO</v>
      </c>
      <c r="C372" s="48">
        <v>0.68611111111111101</v>
      </c>
      <c r="D372" s="48">
        <v>0.69444444444444453</v>
      </c>
      <c r="E372" s="49">
        <f>'Reclamo de equipaje rediseñado'!$D372-'Reclamo de equipaje rediseñado'!$C372</f>
        <v>8.3333333333335258E-3</v>
      </c>
      <c r="F372" s="48">
        <v>0.70416666666666661</v>
      </c>
      <c r="G372" s="49">
        <f t="shared" si="5"/>
        <v>9.7222222222220767E-3</v>
      </c>
      <c r="H372" s="50">
        <v>41715</v>
      </c>
      <c r="I372" s="51" t="s">
        <v>536</v>
      </c>
      <c r="J372" s="51" t="s">
        <v>560</v>
      </c>
      <c r="K372" s="51">
        <f>VLOOKUP(J372,'Validacion reclamo de equipaje'!L:M,2,0)</f>
        <v>126</v>
      </c>
      <c r="L372" s="51" t="str">
        <f>VLOOKUP(I372,'Validacion reclamo de equipaje'!H:I,2,0)</f>
        <v>Nacional</v>
      </c>
      <c r="M372" s="51" t="s">
        <v>522</v>
      </c>
    </row>
    <row r="373" spans="1:13" x14ac:dyDescent="0.25">
      <c r="A373">
        <v>228</v>
      </c>
      <c r="B373" s="47" t="str">
        <f>VLOOKUP(Tabla6[[#This Row],['# Vuelo]],'Validacion reclamo de equipaje'!P:Q,2,0)</f>
        <v>MEXICO AEREO</v>
      </c>
      <c r="C373" s="52">
        <v>0.67083333333333339</v>
      </c>
      <c r="D373" s="52">
        <v>0.67708333333333337</v>
      </c>
      <c r="E373" s="53">
        <f>'Reclamo de equipaje rediseñado'!$D373-'Reclamo de equipaje rediseñado'!$C373</f>
        <v>6.2499999999999778E-3</v>
      </c>
      <c r="F373" s="52">
        <v>0.68125000000000002</v>
      </c>
      <c r="G373" s="53">
        <f t="shared" si="5"/>
        <v>4.1666666666666519E-3</v>
      </c>
      <c r="H373" s="54">
        <v>41717</v>
      </c>
      <c r="I373" s="55" t="s">
        <v>536</v>
      </c>
      <c r="J373" s="55" t="s">
        <v>560</v>
      </c>
      <c r="K373" s="55">
        <f>VLOOKUP(J373,'Validacion reclamo de equipaje'!L:M,2,0)</f>
        <v>126</v>
      </c>
      <c r="L373" s="55" t="str">
        <f>VLOOKUP(I373,'Validacion reclamo de equipaje'!H:I,2,0)</f>
        <v>Nacional</v>
      </c>
      <c r="M373" s="55" t="s">
        <v>522</v>
      </c>
    </row>
    <row r="374" spans="1:13" x14ac:dyDescent="0.25">
      <c r="A374">
        <v>228</v>
      </c>
      <c r="B374" s="47" t="str">
        <f>VLOOKUP(Tabla6[[#This Row],['# Vuelo]],'Validacion reclamo de equipaje'!P:Q,2,0)</f>
        <v>MEXICO AEREO</v>
      </c>
      <c r="C374" s="48">
        <v>0.67847222222222225</v>
      </c>
      <c r="D374" s="48">
        <v>0.68194444444444446</v>
      </c>
      <c r="E374" s="49">
        <f>'Reclamo de equipaje rediseñado'!$D374-'Reclamo de equipaje rediseñado'!$C374</f>
        <v>3.4722222222222099E-3</v>
      </c>
      <c r="F374" s="48">
        <v>0.6875</v>
      </c>
      <c r="G374" s="49">
        <f t="shared" si="5"/>
        <v>5.5555555555555358E-3</v>
      </c>
      <c r="H374" s="50">
        <v>41718</v>
      </c>
      <c r="I374" s="51" t="s">
        <v>536</v>
      </c>
      <c r="J374" s="51" t="s">
        <v>560</v>
      </c>
      <c r="K374" s="51">
        <f>VLOOKUP(J374,'Validacion reclamo de equipaje'!L:M,2,0)</f>
        <v>126</v>
      </c>
      <c r="L374" s="51" t="str">
        <f>VLOOKUP(I374,'Validacion reclamo de equipaje'!H:I,2,0)</f>
        <v>Nacional</v>
      </c>
      <c r="M374" s="51" t="s">
        <v>522</v>
      </c>
    </row>
    <row r="375" spans="1:13" x14ac:dyDescent="0.25">
      <c r="A375">
        <v>228</v>
      </c>
      <c r="B375" s="47" t="str">
        <f>VLOOKUP(Tabla6[[#This Row],['# Vuelo]],'Validacion reclamo de equipaje'!P:Q,2,0)</f>
        <v>MEXICO AEREO</v>
      </c>
      <c r="C375" s="52">
        <v>0.68611111111111101</v>
      </c>
      <c r="D375" s="52">
        <v>0.69513888888888886</v>
      </c>
      <c r="E375" s="53">
        <f>'Reclamo de equipaje rediseñado'!$D375-'Reclamo de equipaje rediseñado'!$C375</f>
        <v>9.0277777777778567E-3</v>
      </c>
      <c r="F375" s="52">
        <v>0.70000000000000007</v>
      </c>
      <c r="G375" s="53">
        <f t="shared" si="5"/>
        <v>4.8611111111112049E-3</v>
      </c>
      <c r="H375" s="54">
        <v>41720</v>
      </c>
      <c r="I375" s="55" t="s">
        <v>536</v>
      </c>
      <c r="J375" s="55" t="s">
        <v>560</v>
      </c>
      <c r="K375" s="55">
        <f>VLOOKUP(J375,'Validacion reclamo de equipaje'!L:M,2,0)</f>
        <v>126</v>
      </c>
      <c r="L375" s="55" t="str">
        <f>VLOOKUP(I375,'Validacion reclamo de equipaje'!H:I,2,0)</f>
        <v>Nacional</v>
      </c>
      <c r="M375" s="55" t="s">
        <v>522</v>
      </c>
    </row>
    <row r="376" spans="1:13" x14ac:dyDescent="0.25">
      <c r="A376">
        <v>228</v>
      </c>
      <c r="B376" s="47" t="str">
        <f>VLOOKUP(Tabla6[[#This Row],['# Vuelo]],'Validacion reclamo de equipaje'!P:Q,2,0)</f>
        <v>MEXICO AEREO</v>
      </c>
      <c r="C376" s="48">
        <v>0.69444444444444453</v>
      </c>
      <c r="D376" s="48">
        <v>0.69652777777777775</v>
      </c>
      <c r="E376" s="49">
        <f>'Reclamo de equipaje rediseñado'!$D376-'Reclamo de equipaje rediseñado'!$C376</f>
        <v>2.0833333333332149E-3</v>
      </c>
      <c r="F376" s="48">
        <v>0.7006944444444444</v>
      </c>
      <c r="G376" s="49">
        <f t="shared" si="5"/>
        <v>4.1666666666666519E-3</v>
      </c>
      <c r="H376" s="50">
        <v>41722</v>
      </c>
      <c r="I376" s="51" t="s">
        <v>536</v>
      </c>
      <c r="J376" s="51" t="s">
        <v>560</v>
      </c>
      <c r="K376" s="51">
        <f>VLOOKUP(J376,'Validacion reclamo de equipaje'!L:M,2,0)</f>
        <v>126</v>
      </c>
      <c r="L376" s="51" t="str">
        <f>VLOOKUP(I376,'Validacion reclamo de equipaje'!H:I,2,0)</f>
        <v>Nacional</v>
      </c>
      <c r="M376" s="51" t="s">
        <v>522</v>
      </c>
    </row>
    <row r="377" spans="1:13" x14ac:dyDescent="0.25">
      <c r="A377">
        <v>228</v>
      </c>
      <c r="B377" s="47" t="str">
        <f>VLOOKUP(Tabla6[[#This Row],['# Vuelo]],'Validacion reclamo de equipaje'!P:Q,2,0)</f>
        <v>MEXICO AEREO</v>
      </c>
      <c r="C377" s="52">
        <v>0.67361111111111116</v>
      </c>
      <c r="D377" s="52">
        <v>0.67986111111111114</v>
      </c>
      <c r="E377" s="53">
        <f>'Reclamo de equipaje rediseñado'!$D377-'Reclamo de equipaje rediseñado'!$C377</f>
        <v>6.2499999999999778E-3</v>
      </c>
      <c r="F377" s="52">
        <v>0.68541666666666667</v>
      </c>
      <c r="G377" s="53">
        <f t="shared" si="5"/>
        <v>5.5555555555555358E-3</v>
      </c>
      <c r="H377" s="54">
        <v>41725</v>
      </c>
      <c r="I377" s="55" t="s">
        <v>536</v>
      </c>
      <c r="J377" s="55" t="s">
        <v>560</v>
      </c>
      <c r="K377" s="55">
        <f>VLOOKUP(J377,'Validacion reclamo de equipaje'!L:M,2,0)</f>
        <v>126</v>
      </c>
      <c r="L377" s="55" t="str">
        <f>VLOOKUP(I377,'Validacion reclamo de equipaje'!H:I,2,0)</f>
        <v>Nacional</v>
      </c>
      <c r="M377" s="55" t="s">
        <v>522</v>
      </c>
    </row>
    <row r="378" spans="1:13" x14ac:dyDescent="0.25">
      <c r="A378">
        <v>228</v>
      </c>
      <c r="B378" s="47" t="str">
        <f>VLOOKUP(Tabla6[[#This Row],['# Vuelo]],'Validacion reclamo de equipaje'!P:Q,2,0)</f>
        <v>MEXICO AEREO</v>
      </c>
      <c r="C378" s="48">
        <v>0.70763888888888893</v>
      </c>
      <c r="D378" s="48">
        <v>0.71597222222222223</v>
      </c>
      <c r="E378" s="49">
        <f>'Reclamo de equipaje rediseñado'!$D378-'Reclamo de equipaje rediseñado'!$C378</f>
        <v>8.3333333333333037E-3</v>
      </c>
      <c r="F378" s="48">
        <v>0.72152777777777777</v>
      </c>
      <c r="G378" s="49">
        <f t="shared" si="5"/>
        <v>5.5555555555555358E-3</v>
      </c>
      <c r="H378" s="50">
        <v>41725</v>
      </c>
      <c r="I378" s="51" t="s">
        <v>536</v>
      </c>
      <c r="J378" s="51" t="s">
        <v>560</v>
      </c>
      <c r="K378" s="51">
        <f>VLOOKUP(J378,'Validacion reclamo de equipaje'!L:M,2,0)</f>
        <v>126</v>
      </c>
      <c r="L378" s="51" t="str">
        <f>VLOOKUP(I378,'Validacion reclamo de equipaje'!H:I,2,0)</f>
        <v>Nacional</v>
      </c>
      <c r="M378" s="51" t="s">
        <v>522</v>
      </c>
    </row>
    <row r="379" spans="1:13" x14ac:dyDescent="0.25">
      <c r="A379">
        <v>228</v>
      </c>
      <c r="B379" s="47" t="str">
        <f>VLOOKUP(Tabla6[[#This Row],['# Vuelo]],'Validacion reclamo de equipaje'!P:Q,2,0)</f>
        <v>MEXICO AEREO</v>
      </c>
      <c r="C379" s="52">
        <v>0.68611111111111101</v>
      </c>
      <c r="D379" s="52">
        <v>0.69374999999999998</v>
      </c>
      <c r="E379" s="53">
        <f>'Reclamo de equipaje rediseñado'!$D379-'Reclamo de equipaje rediseñado'!$C379</f>
        <v>7.6388888888889728E-3</v>
      </c>
      <c r="F379" s="52">
        <v>0.7006944444444444</v>
      </c>
      <c r="G379" s="53">
        <f t="shared" si="5"/>
        <v>6.9444444444444198E-3</v>
      </c>
      <c r="H379" s="54">
        <v>41726</v>
      </c>
      <c r="I379" s="55" t="s">
        <v>536</v>
      </c>
      <c r="J379" s="55" t="s">
        <v>560</v>
      </c>
      <c r="K379" s="55">
        <f>VLOOKUP(J379,'Validacion reclamo de equipaje'!L:M,2,0)</f>
        <v>126</v>
      </c>
      <c r="L379" s="55" t="str">
        <f>VLOOKUP(I379,'Validacion reclamo de equipaje'!H:I,2,0)</f>
        <v>Nacional</v>
      </c>
      <c r="M379" s="55" t="s">
        <v>522</v>
      </c>
    </row>
    <row r="380" spans="1:13" x14ac:dyDescent="0.25">
      <c r="A380">
        <v>228</v>
      </c>
      <c r="B380" s="47" t="str">
        <f>VLOOKUP(Tabla6[[#This Row],['# Vuelo]],'Validacion reclamo de equipaje'!P:Q,2,0)</f>
        <v>MEXICO AEREO</v>
      </c>
      <c r="C380" s="48">
        <v>0.68541666666666667</v>
      </c>
      <c r="D380" s="48">
        <v>0.6875</v>
      </c>
      <c r="E380" s="49">
        <f>'Reclamo de equipaje rediseñado'!$D380-'Reclamo de equipaje rediseñado'!$C380</f>
        <v>2.0833333333333259E-3</v>
      </c>
      <c r="F380" s="48">
        <v>0.69791666666666663</v>
      </c>
      <c r="G380" s="49">
        <f t="shared" si="5"/>
        <v>1.041666666666663E-2</v>
      </c>
      <c r="H380" s="50">
        <v>41727</v>
      </c>
      <c r="I380" s="51" t="s">
        <v>536</v>
      </c>
      <c r="J380" s="51" t="s">
        <v>560</v>
      </c>
      <c r="K380" s="51">
        <f>VLOOKUP(J380,'Validacion reclamo de equipaje'!L:M,2,0)</f>
        <v>126</v>
      </c>
      <c r="L380" s="51" t="str">
        <f>VLOOKUP(I380,'Validacion reclamo de equipaje'!H:I,2,0)</f>
        <v>Nacional</v>
      </c>
      <c r="M380" s="51" t="s">
        <v>522</v>
      </c>
    </row>
    <row r="381" spans="1:13" x14ac:dyDescent="0.25">
      <c r="A381">
        <v>228</v>
      </c>
      <c r="B381" s="47" t="str">
        <f>VLOOKUP(Tabla6[[#This Row],['# Vuelo]],'Validacion reclamo de equipaje'!P:Q,2,0)</f>
        <v>MEXICO AEREO</v>
      </c>
      <c r="C381" s="52">
        <v>0.68055555555555547</v>
      </c>
      <c r="D381" s="52">
        <v>0.69097222222222221</v>
      </c>
      <c r="E381" s="53">
        <f>'Reclamo de equipaje rediseñado'!$D381-'Reclamo de equipaje rediseñado'!$C381</f>
        <v>1.0416666666666741E-2</v>
      </c>
      <c r="F381" s="52">
        <v>0.69791666666666663</v>
      </c>
      <c r="G381" s="53">
        <f t="shared" si="5"/>
        <v>6.9444444444444198E-3</v>
      </c>
      <c r="H381" s="54">
        <v>41729</v>
      </c>
      <c r="I381" s="55" t="s">
        <v>536</v>
      </c>
      <c r="J381" s="55" t="s">
        <v>560</v>
      </c>
      <c r="K381" s="55">
        <f>VLOOKUP(J381,'Validacion reclamo de equipaje'!L:M,2,0)</f>
        <v>126</v>
      </c>
      <c r="L381" s="55" t="str">
        <f>VLOOKUP(I381,'Validacion reclamo de equipaje'!H:I,2,0)</f>
        <v>Nacional</v>
      </c>
      <c r="M381" s="55" t="s">
        <v>522</v>
      </c>
    </row>
    <row r="382" spans="1:13" x14ac:dyDescent="0.25">
      <c r="A382">
        <v>228</v>
      </c>
      <c r="B382" s="47" t="str">
        <f>VLOOKUP(Tabla6[[#This Row],['# Vuelo]],'Validacion reclamo de equipaje'!P:Q,2,0)</f>
        <v>MEXICO AEREO</v>
      </c>
      <c r="C382" s="48">
        <v>0.69166666666666676</v>
      </c>
      <c r="D382" s="48">
        <v>0.6972222222222223</v>
      </c>
      <c r="E382" s="49">
        <f>'Reclamo de equipaje rediseñado'!$D382-'Reclamo de equipaje rediseñado'!$C382</f>
        <v>5.5555555555555358E-3</v>
      </c>
      <c r="F382" s="48">
        <v>0.70486111111111116</v>
      </c>
      <c r="G382" s="49">
        <f t="shared" si="5"/>
        <v>7.6388888888888618E-3</v>
      </c>
      <c r="H382" s="50">
        <v>41716</v>
      </c>
      <c r="I382" s="51" t="s">
        <v>536</v>
      </c>
      <c r="J382" s="51" t="s">
        <v>560</v>
      </c>
      <c r="K382" s="51">
        <f>VLOOKUP(J382,'Validacion reclamo de equipaje'!L:M,2,0)</f>
        <v>126</v>
      </c>
      <c r="L382" s="51" t="str">
        <f>VLOOKUP(I382,'Validacion reclamo de equipaje'!H:I,2,0)</f>
        <v>Nacional</v>
      </c>
      <c r="M382" s="51" t="s">
        <v>522</v>
      </c>
    </row>
    <row r="383" spans="1:13" x14ac:dyDescent="0.25">
      <c r="A383">
        <v>225</v>
      </c>
      <c r="B383" s="47" t="str">
        <f>VLOOKUP(Tabla6[[#This Row],['# Vuelo]],'Validacion reclamo de equipaje'!P:Q,2,0)</f>
        <v>MEXICO AEREO</v>
      </c>
      <c r="C383" s="52">
        <v>0.71875</v>
      </c>
      <c r="D383" s="52">
        <v>0.72777777777777775</v>
      </c>
      <c r="E383" s="53">
        <f>'Reclamo de equipaje rediseñado'!$D383-'Reclamo de equipaje rediseñado'!$C383</f>
        <v>9.0277777777777457E-3</v>
      </c>
      <c r="F383" s="52">
        <v>0.73541666666666661</v>
      </c>
      <c r="G383" s="53">
        <f t="shared" si="5"/>
        <v>7.6388888888888618E-3</v>
      </c>
      <c r="H383" s="54">
        <v>41718</v>
      </c>
      <c r="I383" s="55" t="s">
        <v>536</v>
      </c>
      <c r="J383" s="55" t="s">
        <v>540</v>
      </c>
      <c r="K383" s="55" t="e">
        <f>VLOOKUP(J383,'Validacion reclamo de equipaje'!L:M,2,0)</f>
        <v>#N/A</v>
      </c>
      <c r="L383" s="55" t="str">
        <f>VLOOKUP(I383,'Validacion reclamo de equipaje'!H:I,2,0)</f>
        <v>Nacional</v>
      </c>
      <c r="M383" s="55" t="s">
        <v>522</v>
      </c>
    </row>
    <row r="384" spans="1:13" x14ac:dyDescent="0.25">
      <c r="A384">
        <v>224</v>
      </c>
      <c r="B384" s="47" t="str">
        <f>VLOOKUP(Tabla6[[#This Row],['# Vuelo]],'Validacion reclamo de equipaje'!P:Q,2,0)</f>
        <v>MEXICO AEREO</v>
      </c>
      <c r="C384" s="48">
        <v>0.76666666666666661</v>
      </c>
      <c r="D384" s="48">
        <v>0.7715277777777777</v>
      </c>
      <c r="E384" s="49">
        <f>'Reclamo de equipaje rediseñado'!$D384-'Reclamo de equipaje rediseñado'!$C384</f>
        <v>4.8611111111110938E-3</v>
      </c>
      <c r="F384" s="48">
        <v>0.77569444444444446</v>
      </c>
      <c r="G384" s="49">
        <f t="shared" si="5"/>
        <v>4.1666666666667629E-3</v>
      </c>
      <c r="H384" s="50">
        <v>41714</v>
      </c>
      <c r="I384" s="51" t="s">
        <v>536</v>
      </c>
      <c r="J384" s="51" t="s">
        <v>560</v>
      </c>
      <c r="K384" s="51">
        <f>VLOOKUP(J384,'Validacion reclamo de equipaje'!L:M,2,0)</f>
        <v>126</v>
      </c>
      <c r="L384" s="51" t="str">
        <f>VLOOKUP(I384,'Validacion reclamo de equipaje'!H:I,2,0)</f>
        <v>Nacional</v>
      </c>
      <c r="M384" s="51" t="s">
        <v>522</v>
      </c>
    </row>
    <row r="385" spans="1:13" x14ac:dyDescent="0.25">
      <c r="A385">
        <v>224</v>
      </c>
      <c r="B385" s="47" t="str">
        <f>VLOOKUP(Tabla6[[#This Row],['# Vuelo]],'Validacion reclamo de equipaje'!P:Q,2,0)</f>
        <v>MEXICO AEREO</v>
      </c>
      <c r="C385" s="52">
        <v>0.77222222222222225</v>
      </c>
      <c r="D385" s="52">
        <v>0.78125</v>
      </c>
      <c r="E385" s="53">
        <f>'Reclamo de equipaje rediseñado'!$D385-'Reclamo de equipaje rediseñado'!$C385</f>
        <v>9.0277777777777457E-3</v>
      </c>
      <c r="F385" s="52">
        <v>0.78402777777777777</v>
      </c>
      <c r="G385" s="53">
        <f t="shared" si="5"/>
        <v>2.7777777777777679E-3</v>
      </c>
      <c r="H385" s="54">
        <v>41716</v>
      </c>
      <c r="I385" s="55" t="s">
        <v>536</v>
      </c>
      <c r="J385" s="55" t="s">
        <v>560</v>
      </c>
      <c r="K385" s="55">
        <f>VLOOKUP(J385,'Validacion reclamo de equipaje'!L:M,2,0)</f>
        <v>126</v>
      </c>
      <c r="L385" s="55" t="str">
        <f>VLOOKUP(I385,'Validacion reclamo de equipaje'!H:I,2,0)</f>
        <v>Nacional</v>
      </c>
      <c r="M385" s="55" t="s">
        <v>522</v>
      </c>
    </row>
    <row r="386" spans="1:13" x14ac:dyDescent="0.25">
      <c r="A386">
        <v>224</v>
      </c>
      <c r="B386" s="47" t="str">
        <f>VLOOKUP(Tabla6[[#This Row],['# Vuelo]],'Validacion reclamo de equipaje'!P:Q,2,0)</f>
        <v>MEXICO AEREO</v>
      </c>
      <c r="C386" s="48">
        <v>0.7909722222222223</v>
      </c>
      <c r="D386" s="48">
        <v>0.79652777777777783</v>
      </c>
      <c r="E386" s="49">
        <f>'Reclamo de equipaje rediseñado'!$D386-'Reclamo de equipaje rediseñado'!$C386</f>
        <v>5.5555555555555358E-3</v>
      </c>
      <c r="F386" s="48">
        <v>0.80555555555555547</v>
      </c>
      <c r="G386" s="49">
        <f t="shared" si="5"/>
        <v>9.0277777777776347E-3</v>
      </c>
      <c r="H386" s="50">
        <v>41717</v>
      </c>
      <c r="I386" s="51" t="s">
        <v>536</v>
      </c>
      <c r="J386" s="51" t="s">
        <v>560</v>
      </c>
      <c r="K386" s="51">
        <f>VLOOKUP(J386,'Validacion reclamo de equipaje'!L:M,2,0)</f>
        <v>126</v>
      </c>
      <c r="L386" s="51" t="str">
        <f>VLOOKUP(I386,'Validacion reclamo de equipaje'!H:I,2,0)</f>
        <v>Nacional</v>
      </c>
      <c r="M386" s="51" t="s">
        <v>522</v>
      </c>
    </row>
    <row r="387" spans="1:13" x14ac:dyDescent="0.25">
      <c r="A387">
        <v>224</v>
      </c>
      <c r="B387" s="47" t="str">
        <f>VLOOKUP(Tabla6[[#This Row],['# Vuelo]],'Validacion reclamo de equipaje'!P:Q,2,0)</f>
        <v>MEXICO AEREO</v>
      </c>
      <c r="C387" s="52">
        <v>0.75486111111111109</v>
      </c>
      <c r="D387" s="52">
        <v>0.7597222222222223</v>
      </c>
      <c r="E387" s="53">
        <f>'Reclamo de equipaje rediseñado'!$D387-'Reclamo de equipaje rediseñado'!$C387</f>
        <v>4.8611111111112049E-3</v>
      </c>
      <c r="F387" s="52">
        <v>0.77013888888888893</v>
      </c>
      <c r="G387" s="53">
        <f t="shared" ref="G387:G450" si="6">F387-D387</f>
        <v>1.041666666666663E-2</v>
      </c>
      <c r="H387" s="54">
        <v>41721</v>
      </c>
      <c r="I387" s="55" t="s">
        <v>536</v>
      </c>
      <c r="J387" s="55" t="s">
        <v>560</v>
      </c>
      <c r="K387" s="55">
        <f>VLOOKUP(J387,'Validacion reclamo de equipaje'!L:M,2,0)</f>
        <v>126</v>
      </c>
      <c r="L387" s="55" t="str">
        <f>VLOOKUP(I387,'Validacion reclamo de equipaje'!H:I,2,0)</f>
        <v>Nacional</v>
      </c>
      <c r="M387" s="55" t="s">
        <v>522</v>
      </c>
    </row>
    <row r="388" spans="1:13" x14ac:dyDescent="0.25">
      <c r="A388">
        <v>224</v>
      </c>
      <c r="B388" s="47" t="str">
        <f>VLOOKUP(Tabla6[[#This Row],['# Vuelo]],'Validacion reclamo de equipaje'!P:Q,2,0)</f>
        <v>MEXICO AEREO</v>
      </c>
      <c r="C388" s="48">
        <v>0.77638888888888891</v>
      </c>
      <c r="D388" s="48">
        <v>0.78680555555555554</v>
      </c>
      <c r="E388" s="49">
        <f>'Reclamo de equipaje rediseñado'!$D388-'Reclamo de equipaje rediseñado'!$C388</f>
        <v>1.041666666666663E-2</v>
      </c>
      <c r="F388" s="48">
        <v>0.79791666666666661</v>
      </c>
      <c r="G388" s="49">
        <f t="shared" si="6"/>
        <v>1.1111111111111072E-2</v>
      </c>
      <c r="H388" s="50">
        <v>41725</v>
      </c>
      <c r="I388" s="51" t="s">
        <v>536</v>
      </c>
      <c r="J388" s="51" t="s">
        <v>560</v>
      </c>
      <c r="K388" s="51">
        <f>VLOOKUP(J388,'Validacion reclamo de equipaje'!L:M,2,0)</f>
        <v>126</v>
      </c>
      <c r="L388" s="51" t="str">
        <f>VLOOKUP(I388,'Validacion reclamo de equipaje'!H:I,2,0)</f>
        <v>Nacional</v>
      </c>
      <c r="M388" s="51" t="s">
        <v>522</v>
      </c>
    </row>
    <row r="389" spans="1:13" x14ac:dyDescent="0.25">
      <c r="A389">
        <v>224</v>
      </c>
      <c r="B389" s="47" t="str">
        <f>VLOOKUP(Tabla6[[#This Row],['# Vuelo]],'Validacion reclamo de equipaje'!P:Q,2,0)</f>
        <v>MEXICO AEREO</v>
      </c>
      <c r="C389" s="52">
        <v>0.7631944444444444</v>
      </c>
      <c r="D389" s="52">
        <v>0.76944444444444438</v>
      </c>
      <c r="E389" s="53">
        <f>'Reclamo de equipaje rediseñado'!$D389-'Reclamo de equipaje rediseñado'!$C389</f>
        <v>6.2499999999999778E-3</v>
      </c>
      <c r="F389" s="52">
        <v>0.77916666666666667</v>
      </c>
      <c r="G389" s="53">
        <f t="shared" si="6"/>
        <v>9.7222222222222987E-3</v>
      </c>
      <c r="H389" s="54">
        <v>41726</v>
      </c>
      <c r="I389" s="55" t="s">
        <v>536</v>
      </c>
      <c r="J389" s="55" t="s">
        <v>560</v>
      </c>
      <c r="K389" s="55">
        <f>VLOOKUP(J389,'Validacion reclamo de equipaje'!L:M,2,0)</f>
        <v>126</v>
      </c>
      <c r="L389" s="55" t="str">
        <f>VLOOKUP(I389,'Validacion reclamo de equipaje'!H:I,2,0)</f>
        <v>Nacional</v>
      </c>
      <c r="M389" s="55" t="s">
        <v>522</v>
      </c>
    </row>
    <row r="390" spans="1:13" x14ac:dyDescent="0.25">
      <c r="A390">
        <v>215</v>
      </c>
      <c r="B390" s="47" t="str">
        <f>VLOOKUP(Tabla6[[#This Row],['# Vuelo]],'Validacion reclamo de equipaje'!P:Q,2,0)</f>
        <v>MEXICO AEREO</v>
      </c>
      <c r="C390" s="48">
        <v>0.54375000000000007</v>
      </c>
      <c r="D390" s="48">
        <v>0.5493055555555556</v>
      </c>
      <c r="E390" s="49">
        <f>'Reclamo de equipaje rediseñado'!$D390-'Reclamo de equipaje rediseñado'!$C390</f>
        <v>5.5555555555555358E-3</v>
      </c>
      <c r="F390" s="48">
        <v>0.55486111111111114</v>
      </c>
      <c r="G390" s="49">
        <f t="shared" si="6"/>
        <v>5.5555555555555358E-3</v>
      </c>
      <c r="H390" s="50">
        <v>41725</v>
      </c>
      <c r="I390" s="51" t="s">
        <v>536</v>
      </c>
      <c r="J390" s="51" t="s">
        <v>540</v>
      </c>
      <c r="K390" s="51" t="e">
        <f>VLOOKUP(J390,'Validacion reclamo de equipaje'!L:M,2,0)</f>
        <v>#N/A</v>
      </c>
      <c r="L390" s="51" t="str">
        <f>VLOOKUP(I390,'Validacion reclamo de equipaje'!H:I,2,0)</f>
        <v>Nacional</v>
      </c>
      <c r="M390" s="51" t="s">
        <v>522</v>
      </c>
    </row>
    <row r="391" spans="1:13" x14ac:dyDescent="0.25">
      <c r="A391">
        <v>214</v>
      </c>
      <c r="B391" s="47" t="str">
        <f>VLOOKUP(Tabla6[[#This Row],['# Vuelo]],'Validacion reclamo de equipaje'!P:Q,2,0)</f>
        <v>MEXICO AEREO</v>
      </c>
      <c r="C391" s="52">
        <v>0.65625</v>
      </c>
      <c r="D391" s="52">
        <v>0.66388888888888886</v>
      </c>
      <c r="E391" s="53">
        <f>'Reclamo de equipaje rediseñado'!$D391-'Reclamo de equipaje rediseñado'!$C391</f>
        <v>7.6388888888888618E-3</v>
      </c>
      <c r="F391" s="52">
        <v>0.66875000000000007</v>
      </c>
      <c r="G391" s="53">
        <f t="shared" si="6"/>
        <v>4.8611111111112049E-3</v>
      </c>
      <c r="H391" s="54">
        <v>41714</v>
      </c>
      <c r="I391" s="55" t="s">
        <v>536</v>
      </c>
      <c r="J391" s="55" t="s">
        <v>535</v>
      </c>
      <c r="K391" s="55">
        <f>VLOOKUP(J391,'Validacion reclamo de equipaje'!L:M,2,0)</f>
        <v>50</v>
      </c>
      <c r="L391" s="55" t="str">
        <f>VLOOKUP(I391,'Validacion reclamo de equipaje'!H:I,2,0)</f>
        <v>Nacional</v>
      </c>
      <c r="M391" s="55" t="s">
        <v>522</v>
      </c>
    </row>
    <row r="392" spans="1:13" x14ac:dyDescent="0.25">
      <c r="A392">
        <v>214</v>
      </c>
      <c r="B392" s="47" t="str">
        <f>VLOOKUP(Tabla6[[#This Row],['# Vuelo]],'Validacion reclamo de equipaje'!P:Q,2,0)</f>
        <v>MEXICO AEREO</v>
      </c>
      <c r="C392" s="48">
        <v>0.69236111111111109</v>
      </c>
      <c r="D392" s="48">
        <v>0.69652777777777775</v>
      </c>
      <c r="E392" s="49">
        <f>'Reclamo de equipaje rediseñado'!$D392-'Reclamo de equipaje rediseñado'!$C392</f>
        <v>4.1666666666666519E-3</v>
      </c>
      <c r="F392" s="48">
        <v>0.70138888888888884</v>
      </c>
      <c r="G392" s="49">
        <f t="shared" si="6"/>
        <v>4.8611111111110938E-3</v>
      </c>
      <c r="H392" s="50">
        <v>41717</v>
      </c>
      <c r="I392" s="51" t="s">
        <v>536</v>
      </c>
      <c r="J392" s="51" t="s">
        <v>535</v>
      </c>
      <c r="K392" s="51">
        <f>VLOOKUP(J392,'Validacion reclamo de equipaje'!L:M,2,0)</f>
        <v>50</v>
      </c>
      <c r="L392" s="51" t="str">
        <f>VLOOKUP(I392,'Validacion reclamo de equipaje'!H:I,2,0)</f>
        <v>Nacional</v>
      </c>
      <c r="M392" s="51" t="s">
        <v>522</v>
      </c>
    </row>
    <row r="393" spans="1:13" x14ac:dyDescent="0.25">
      <c r="A393">
        <v>214</v>
      </c>
      <c r="B393" s="47" t="str">
        <f>VLOOKUP(Tabla6[[#This Row],['# Vuelo]],'Validacion reclamo de equipaje'!P:Q,2,0)</f>
        <v>MEXICO AEREO</v>
      </c>
      <c r="C393" s="52">
        <v>0.67708333333333337</v>
      </c>
      <c r="D393" s="52">
        <v>0.68263888888888891</v>
      </c>
      <c r="E393" s="53">
        <f>'Reclamo de equipaje rediseñado'!$D393-'Reclamo de equipaje rediseñado'!$C393</f>
        <v>5.5555555555555358E-3</v>
      </c>
      <c r="F393" s="52">
        <v>0.68888888888888899</v>
      </c>
      <c r="G393" s="53">
        <f t="shared" si="6"/>
        <v>6.2500000000000888E-3</v>
      </c>
      <c r="H393" s="54">
        <v>41720</v>
      </c>
      <c r="I393" s="55" t="s">
        <v>536</v>
      </c>
      <c r="J393" s="55" t="s">
        <v>535</v>
      </c>
      <c r="K393" s="55">
        <f>VLOOKUP(J393,'Validacion reclamo de equipaje'!L:M,2,0)</f>
        <v>50</v>
      </c>
      <c r="L393" s="55" t="str">
        <f>VLOOKUP(I393,'Validacion reclamo de equipaje'!H:I,2,0)</f>
        <v>Nacional</v>
      </c>
      <c r="M393" s="55" t="s">
        <v>522</v>
      </c>
    </row>
    <row r="394" spans="1:13" x14ac:dyDescent="0.25">
      <c r="A394">
        <v>214</v>
      </c>
      <c r="B394" s="47" t="str">
        <f>VLOOKUP(Tabla6[[#This Row],['# Vuelo]],'Validacion reclamo de equipaje'!P:Q,2,0)</f>
        <v>MEXICO AEREO</v>
      </c>
      <c r="C394" s="48">
        <v>0.64513888888888882</v>
      </c>
      <c r="D394" s="48">
        <v>0.6479166666666667</v>
      </c>
      <c r="E394" s="49">
        <f>'Reclamo de equipaje rediseñado'!$D394-'Reclamo de equipaje rediseñado'!$C394</f>
        <v>2.7777777777778789E-3</v>
      </c>
      <c r="F394" s="48">
        <v>0.65069444444444446</v>
      </c>
      <c r="G394" s="49">
        <f t="shared" si="6"/>
        <v>2.7777777777777679E-3</v>
      </c>
      <c r="H394" s="50">
        <v>41721</v>
      </c>
      <c r="I394" s="51" t="s">
        <v>536</v>
      </c>
      <c r="J394" s="51" t="s">
        <v>535</v>
      </c>
      <c r="K394" s="51">
        <f>VLOOKUP(J394,'Validacion reclamo de equipaje'!L:M,2,0)</f>
        <v>50</v>
      </c>
      <c r="L394" s="51" t="str">
        <f>VLOOKUP(I394,'Validacion reclamo de equipaje'!H:I,2,0)</f>
        <v>Nacional</v>
      </c>
      <c r="M394" s="51" t="s">
        <v>522</v>
      </c>
    </row>
    <row r="395" spans="1:13" x14ac:dyDescent="0.25">
      <c r="A395">
        <v>214</v>
      </c>
      <c r="B395" s="47" t="str">
        <f>VLOOKUP(Tabla6[[#This Row],['# Vuelo]],'Validacion reclamo de equipaje'!P:Q,2,0)</f>
        <v>MEXICO AEREO</v>
      </c>
      <c r="C395" s="52">
        <v>0.64583333333333337</v>
      </c>
      <c r="D395" s="52">
        <v>0.66388888888888886</v>
      </c>
      <c r="E395" s="53">
        <f>'Reclamo de equipaje rediseñado'!$D395-'Reclamo de equipaje rediseñado'!$C395</f>
        <v>1.8055555555555491E-2</v>
      </c>
      <c r="F395" s="52">
        <v>0.66875000000000007</v>
      </c>
      <c r="G395" s="53">
        <f t="shared" si="6"/>
        <v>4.8611111111112049E-3</v>
      </c>
      <c r="H395" s="54">
        <v>41722</v>
      </c>
      <c r="I395" s="55" t="s">
        <v>536</v>
      </c>
      <c r="J395" s="55" t="s">
        <v>535</v>
      </c>
      <c r="K395" s="55">
        <f>VLOOKUP(J395,'Validacion reclamo de equipaje'!L:M,2,0)</f>
        <v>50</v>
      </c>
      <c r="L395" s="55" t="str">
        <f>VLOOKUP(I395,'Validacion reclamo de equipaje'!H:I,2,0)</f>
        <v>Nacional</v>
      </c>
      <c r="M395" s="55" t="s">
        <v>522</v>
      </c>
    </row>
    <row r="396" spans="1:13" x14ac:dyDescent="0.25">
      <c r="A396">
        <v>214</v>
      </c>
      <c r="B396" s="47" t="str">
        <f>VLOOKUP(Tabla6[[#This Row],['# Vuelo]],'Validacion reclamo de equipaje'!P:Q,2,0)</f>
        <v>MEXICO AEREO</v>
      </c>
      <c r="C396" s="48">
        <v>0.77569444444444446</v>
      </c>
      <c r="D396" s="48">
        <v>0.78680555555555554</v>
      </c>
      <c r="E396" s="49">
        <f>'Reclamo de equipaje rediseñado'!$D396-'Reclamo de equipaje rediseñado'!$C396</f>
        <v>1.1111111111111072E-2</v>
      </c>
      <c r="F396" s="48">
        <v>0.79791666666666661</v>
      </c>
      <c r="G396" s="49">
        <f t="shared" si="6"/>
        <v>1.1111111111111072E-2</v>
      </c>
      <c r="H396" s="50">
        <v>41725</v>
      </c>
      <c r="I396" s="51" t="s">
        <v>536</v>
      </c>
      <c r="J396" s="51" t="s">
        <v>535</v>
      </c>
      <c r="K396" s="51">
        <f>VLOOKUP(J396,'Validacion reclamo de equipaje'!L:M,2,0)</f>
        <v>50</v>
      </c>
      <c r="L396" s="51" t="str">
        <f>VLOOKUP(I396,'Validacion reclamo de equipaje'!H:I,2,0)</f>
        <v>Nacional</v>
      </c>
      <c r="M396" s="51" t="s">
        <v>522</v>
      </c>
    </row>
    <row r="397" spans="1:13" x14ac:dyDescent="0.25">
      <c r="A397">
        <v>214</v>
      </c>
      <c r="B397" s="47" t="str">
        <f>VLOOKUP(Tabla6[[#This Row],['# Vuelo]],'Validacion reclamo de equipaje'!P:Q,2,0)</f>
        <v>MEXICO AEREO</v>
      </c>
      <c r="C397" s="52">
        <v>0.65694444444444444</v>
      </c>
      <c r="D397" s="52">
        <v>0.6645833333333333</v>
      </c>
      <c r="E397" s="53">
        <f>'Reclamo de equipaje rediseñado'!$D397-'Reclamo de equipaje rediseñado'!$C397</f>
        <v>7.6388888888888618E-3</v>
      </c>
      <c r="F397" s="52">
        <v>0.66805555555555562</v>
      </c>
      <c r="G397" s="53">
        <f t="shared" si="6"/>
        <v>3.4722222222223209E-3</v>
      </c>
      <c r="H397" s="54">
        <v>41725</v>
      </c>
      <c r="I397" s="55" t="s">
        <v>536</v>
      </c>
      <c r="J397" s="55" t="s">
        <v>535</v>
      </c>
      <c r="K397" s="55">
        <f>VLOOKUP(J397,'Validacion reclamo de equipaje'!L:M,2,0)</f>
        <v>50</v>
      </c>
      <c r="L397" s="55" t="str">
        <f>VLOOKUP(I397,'Validacion reclamo de equipaje'!H:I,2,0)</f>
        <v>Nacional</v>
      </c>
      <c r="M397" s="55" t="s">
        <v>522</v>
      </c>
    </row>
    <row r="398" spans="1:13" x14ac:dyDescent="0.25">
      <c r="A398">
        <v>214</v>
      </c>
      <c r="B398" s="47" t="str">
        <f>VLOOKUP(Tabla6[[#This Row],['# Vuelo]],'Validacion reclamo de equipaje'!P:Q,2,0)</f>
        <v>MEXICO AEREO</v>
      </c>
      <c r="C398" s="48">
        <v>0.65694444444444444</v>
      </c>
      <c r="D398" s="48">
        <v>0.66388888888888886</v>
      </c>
      <c r="E398" s="49">
        <f>'Reclamo de equipaje rediseñado'!$D398-'Reclamo de equipaje rediseñado'!$C398</f>
        <v>6.9444444444444198E-3</v>
      </c>
      <c r="F398" s="48">
        <v>0.66666666666666663</v>
      </c>
      <c r="G398" s="49">
        <f t="shared" si="6"/>
        <v>2.7777777777777679E-3</v>
      </c>
      <c r="H398" s="50">
        <v>41726</v>
      </c>
      <c r="I398" s="51" t="s">
        <v>536</v>
      </c>
      <c r="J398" s="51" t="s">
        <v>535</v>
      </c>
      <c r="K398" s="51">
        <f>VLOOKUP(J398,'Validacion reclamo de equipaje'!L:M,2,0)</f>
        <v>50</v>
      </c>
      <c r="L398" s="51" t="str">
        <f>VLOOKUP(I398,'Validacion reclamo de equipaje'!H:I,2,0)</f>
        <v>Nacional</v>
      </c>
      <c r="M398" s="51" t="s">
        <v>522</v>
      </c>
    </row>
    <row r="399" spans="1:13" x14ac:dyDescent="0.25">
      <c r="A399">
        <v>214</v>
      </c>
      <c r="B399" s="47" t="str">
        <f>VLOOKUP(Tabla6[[#This Row],['# Vuelo]],'Validacion reclamo de equipaje'!P:Q,2,0)</f>
        <v>MEXICO AEREO</v>
      </c>
      <c r="C399" s="52">
        <v>0.6381944444444444</v>
      </c>
      <c r="D399" s="52">
        <v>0.65</v>
      </c>
      <c r="E399" s="53">
        <f>'Reclamo de equipaje rediseñado'!$D399-'Reclamo de equipaje rediseñado'!$C399</f>
        <v>1.1805555555555625E-2</v>
      </c>
      <c r="F399" s="52">
        <v>0.65833333333333333</v>
      </c>
      <c r="G399" s="53">
        <f t="shared" si="6"/>
        <v>8.3333333333333037E-3</v>
      </c>
      <c r="H399" s="54">
        <v>41727</v>
      </c>
      <c r="I399" s="55" t="s">
        <v>536</v>
      </c>
      <c r="J399" s="55" t="s">
        <v>535</v>
      </c>
      <c r="K399" s="55">
        <f>VLOOKUP(J399,'Validacion reclamo de equipaje'!L:M,2,0)</f>
        <v>50</v>
      </c>
      <c r="L399" s="55" t="str">
        <f>VLOOKUP(I399,'Validacion reclamo de equipaje'!H:I,2,0)</f>
        <v>Nacional</v>
      </c>
      <c r="M399" s="55" t="s">
        <v>522</v>
      </c>
    </row>
    <row r="400" spans="1:13" x14ac:dyDescent="0.25">
      <c r="A400">
        <v>214</v>
      </c>
      <c r="B400" s="47" t="str">
        <f>VLOOKUP(Tabla6[[#This Row],['# Vuelo]],'Validacion reclamo de equipaje'!P:Q,2,0)</f>
        <v>MEXICO AEREO</v>
      </c>
      <c r="C400" s="48">
        <v>0.66319444444444442</v>
      </c>
      <c r="D400" s="48">
        <v>0.66666666666666663</v>
      </c>
      <c r="E400" s="49">
        <f>'Reclamo de equipaje rediseñado'!$D400-'Reclamo de equipaje rediseñado'!$C400</f>
        <v>3.4722222222222099E-3</v>
      </c>
      <c r="F400" s="48">
        <v>0.67013888888888884</v>
      </c>
      <c r="G400" s="49">
        <f t="shared" si="6"/>
        <v>3.4722222222222099E-3</v>
      </c>
      <c r="H400" s="50">
        <v>41729</v>
      </c>
      <c r="I400" s="51" t="s">
        <v>536</v>
      </c>
      <c r="J400" s="51" t="s">
        <v>535</v>
      </c>
      <c r="K400" s="51">
        <f>VLOOKUP(J400,'Validacion reclamo de equipaje'!L:M,2,0)</f>
        <v>50</v>
      </c>
      <c r="L400" s="51" t="str">
        <f>VLOOKUP(I400,'Validacion reclamo de equipaje'!H:I,2,0)</f>
        <v>Nacional</v>
      </c>
      <c r="M400" s="51" t="s">
        <v>522</v>
      </c>
    </row>
    <row r="401" spans="1:13" x14ac:dyDescent="0.25">
      <c r="A401">
        <v>214</v>
      </c>
      <c r="B401" s="47" t="str">
        <f>VLOOKUP(Tabla6[[#This Row],['# Vuelo]],'Validacion reclamo de equipaje'!P:Q,2,0)</f>
        <v>MEXICO AEREO</v>
      </c>
      <c r="C401" s="52">
        <v>0.62430555555555556</v>
      </c>
      <c r="D401" s="52">
        <v>0.62916666666666665</v>
      </c>
      <c r="E401" s="53">
        <f>'Reclamo de equipaje rediseñado'!$D401-'Reclamo de equipaje rediseñado'!$C401</f>
        <v>4.8611111111110938E-3</v>
      </c>
      <c r="F401" s="52">
        <v>0.64236111111111105</v>
      </c>
      <c r="G401" s="53">
        <f t="shared" si="6"/>
        <v>1.3194444444444398E-2</v>
      </c>
      <c r="H401" s="54">
        <v>41725</v>
      </c>
      <c r="I401" s="55" t="s">
        <v>536</v>
      </c>
      <c r="J401" s="55" t="s">
        <v>535</v>
      </c>
      <c r="K401" s="55">
        <f>VLOOKUP(J401,'Validacion reclamo de equipaje'!L:M,2,0)</f>
        <v>50</v>
      </c>
      <c r="L401" s="55" t="str">
        <f>VLOOKUP(I401,'Validacion reclamo de equipaje'!H:I,2,0)</f>
        <v>Nacional</v>
      </c>
      <c r="M401" s="55" t="s">
        <v>522</v>
      </c>
    </row>
    <row r="402" spans="1:13" x14ac:dyDescent="0.25">
      <c r="A402">
        <v>186</v>
      </c>
      <c r="B402" s="47" t="str">
        <f>VLOOKUP(Tabla6[[#This Row],['# Vuelo]],'Validacion reclamo de equipaje'!P:Q,2,0)</f>
        <v>MEXICO AEREO</v>
      </c>
      <c r="C402" s="48">
        <v>0.96527777777777779</v>
      </c>
      <c r="D402" s="48">
        <v>0.97152777777777777</v>
      </c>
      <c r="E402" s="49">
        <f>'Reclamo de equipaje rediseñado'!$D402-'Reclamo de equipaje rediseñado'!$C402</f>
        <v>6.2499999999999778E-3</v>
      </c>
      <c r="F402" s="48">
        <v>0.98472222222222217</v>
      </c>
      <c r="G402" s="49">
        <f t="shared" si="6"/>
        <v>1.3194444444444398E-2</v>
      </c>
      <c r="H402" s="50">
        <v>41715</v>
      </c>
      <c r="I402" s="51" t="s">
        <v>536</v>
      </c>
      <c r="J402" s="51" t="s">
        <v>560</v>
      </c>
      <c r="K402" s="51">
        <f>VLOOKUP(J402,'Validacion reclamo de equipaje'!L:M,2,0)</f>
        <v>126</v>
      </c>
      <c r="L402" s="51" t="str">
        <f>VLOOKUP(I402,'Validacion reclamo de equipaje'!H:I,2,0)</f>
        <v>Nacional</v>
      </c>
      <c r="M402" s="51" t="s">
        <v>522</v>
      </c>
    </row>
    <row r="403" spans="1:13" x14ac:dyDescent="0.25">
      <c r="A403">
        <v>186</v>
      </c>
      <c r="B403" s="47" t="str">
        <f>VLOOKUP(Tabla6[[#This Row],['# Vuelo]],'Validacion reclamo de equipaje'!P:Q,2,0)</f>
        <v>MEXICO AEREO</v>
      </c>
      <c r="C403" s="52">
        <v>0.95763888888888893</v>
      </c>
      <c r="D403" s="52">
        <v>0.9604166666666667</v>
      </c>
      <c r="E403" s="53">
        <f>'Reclamo de equipaje rediseñado'!$D403-'Reclamo de equipaje rediseñado'!$C403</f>
        <v>2.7777777777777679E-3</v>
      </c>
      <c r="F403" s="52">
        <v>0.96458333333333324</v>
      </c>
      <c r="G403" s="53">
        <f t="shared" si="6"/>
        <v>4.1666666666665408E-3</v>
      </c>
      <c r="H403" s="54">
        <v>41716</v>
      </c>
      <c r="I403" s="55" t="s">
        <v>536</v>
      </c>
      <c r="J403" s="55" t="s">
        <v>560</v>
      </c>
      <c r="K403" s="55">
        <f>VLOOKUP(J403,'Validacion reclamo de equipaje'!L:M,2,0)</f>
        <v>126</v>
      </c>
      <c r="L403" s="55" t="str">
        <f>VLOOKUP(I403,'Validacion reclamo de equipaje'!H:I,2,0)</f>
        <v>Nacional</v>
      </c>
      <c r="M403" s="55" t="s">
        <v>522</v>
      </c>
    </row>
    <row r="404" spans="1:13" x14ac:dyDescent="0.25">
      <c r="A404">
        <v>186</v>
      </c>
      <c r="B404" s="47" t="str">
        <f>VLOOKUP(Tabla6[[#This Row],['# Vuelo]],'Validacion reclamo de equipaje'!P:Q,2,0)</f>
        <v>MEXICO AEREO</v>
      </c>
      <c r="C404" s="48">
        <v>0.96944444444444444</v>
      </c>
      <c r="D404" s="48">
        <v>0.97430555555555554</v>
      </c>
      <c r="E404" s="49">
        <f>'Reclamo de equipaje rediseñado'!$D404-'Reclamo de equipaje rediseñado'!$C404</f>
        <v>4.8611111111110938E-3</v>
      </c>
      <c r="F404" s="48">
        <v>0.98333333333333339</v>
      </c>
      <c r="G404" s="49">
        <f t="shared" si="6"/>
        <v>9.0277777777778567E-3</v>
      </c>
      <c r="H404" s="50">
        <v>41721</v>
      </c>
      <c r="I404" s="51" t="s">
        <v>536</v>
      </c>
      <c r="J404" s="51" t="s">
        <v>560</v>
      </c>
      <c r="K404" s="51">
        <f>VLOOKUP(J404,'Validacion reclamo de equipaje'!L:M,2,0)</f>
        <v>126</v>
      </c>
      <c r="L404" s="51" t="str">
        <f>VLOOKUP(I404,'Validacion reclamo de equipaje'!H:I,2,0)</f>
        <v>Nacional</v>
      </c>
      <c r="M404" s="51" t="s">
        <v>522</v>
      </c>
    </row>
    <row r="405" spans="1:13" x14ac:dyDescent="0.25">
      <c r="A405">
        <v>186</v>
      </c>
      <c r="B405" s="47" t="str">
        <f>VLOOKUP(Tabla6[[#This Row],['# Vuelo]],'Validacion reclamo de equipaje'!P:Q,2,0)</f>
        <v>MEXICO AEREO</v>
      </c>
      <c r="C405" s="52">
        <v>0.99305555555555547</v>
      </c>
      <c r="D405" s="52">
        <v>1.0173611111111112</v>
      </c>
      <c r="E405" s="53">
        <f>'Reclamo de equipaje rediseñado'!$D405-'Reclamo de equipaje rediseñado'!$C405</f>
        <v>2.4305555555555691E-2</v>
      </c>
      <c r="F405" s="52">
        <v>1.0208333333333333</v>
      </c>
      <c r="G405" s="53">
        <f t="shared" si="6"/>
        <v>3.4722222222220989E-3</v>
      </c>
      <c r="H405" s="54">
        <v>41721</v>
      </c>
      <c r="I405" s="55" t="s">
        <v>536</v>
      </c>
      <c r="J405" s="55" t="s">
        <v>560</v>
      </c>
      <c r="K405" s="55">
        <f>VLOOKUP(J405,'Validacion reclamo de equipaje'!L:M,2,0)</f>
        <v>126</v>
      </c>
      <c r="L405" s="55" t="str">
        <f>VLOOKUP(I405,'Validacion reclamo de equipaje'!H:I,2,0)</f>
        <v>Nacional</v>
      </c>
      <c r="M405" s="55" t="s">
        <v>522</v>
      </c>
    </row>
    <row r="406" spans="1:13" x14ac:dyDescent="0.25">
      <c r="A406">
        <v>186</v>
      </c>
      <c r="B406" s="47" t="str">
        <f>VLOOKUP(Tabla6[[#This Row],['# Vuelo]],'Validacion reclamo de equipaje'!P:Q,2,0)</f>
        <v>MEXICO AEREO</v>
      </c>
      <c r="C406" s="48">
        <v>1.0020833333333334</v>
      </c>
      <c r="D406" s="48">
        <v>1.0069444444444444</v>
      </c>
      <c r="E406" s="49">
        <f>'Reclamo de equipaje rediseñado'!$D406-'Reclamo de equipaje rediseñado'!$C406</f>
        <v>4.8611111111109828E-3</v>
      </c>
      <c r="F406" s="48">
        <v>1.0145833333333334</v>
      </c>
      <c r="G406" s="49">
        <f t="shared" si="6"/>
        <v>7.6388888888889728E-3</v>
      </c>
      <c r="H406" s="50">
        <v>41723</v>
      </c>
      <c r="I406" s="51" t="s">
        <v>536</v>
      </c>
      <c r="J406" s="51" t="s">
        <v>560</v>
      </c>
      <c r="K406" s="51">
        <f>VLOOKUP(J406,'Validacion reclamo de equipaje'!L:M,2,0)</f>
        <v>126</v>
      </c>
      <c r="L406" s="51" t="str">
        <f>VLOOKUP(I406,'Validacion reclamo de equipaje'!H:I,2,0)</f>
        <v>Nacional</v>
      </c>
      <c r="M406" s="51" t="s">
        <v>522</v>
      </c>
    </row>
    <row r="407" spans="1:13" x14ac:dyDescent="0.25">
      <c r="A407">
        <v>186</v>
      </c>
      <c r="B407" s="47" t="str">
        <f>VLOOKUP(Tabla6[[#This Row],['# Vuelo]],'Validacion reclamo de equipaje'!P:Q,2,0)</f>
        <v>MEXICO AEREO</v>
      </c>
      <c r="C407" s="52">
        <v>0.96250000000000002</v>
      </c>
      <c r="D407" s="52">
        <v>0.96736111111111101</v>
      </c>
      <c r="E407" s="53">
        <f>'Reclamo de equipaje rediseñado'!$D407-'Reclamo de equipaje rediseñado'!$C407</f>
        <v>4.8611111111109828E-3</v>
      </c>
      <c r="F407" s="52">
        <v>0.97569444444444453</v>
      </c>
      <c r="G407" s="53">
        <f t="shared" si="6"/>
        <v>8.3333333333335258E-3</v>
      </c>
      <c r="H407" s="54">
        <v>41724</v>
      </c>
      <c r="I407" s="55" t="s">
        <v>536</v>
      </c>
      <c r="J407" s="55" t="s">
        <v>560</v>
      </c>
      <c r="K407" s="55">
        <f>VLOOKUP(J407,'Validacion reclamo de equipaje'!L:M,2,0)</f>
        <v>126</v>
      </c>
      <c r="L407" s="55" t="str">
        <f>VLOOKUP(I407,'Validacion reclamo de equipaje'!H:I,2,0)</f>
        <v>Nacional</v>
      </c>
      <c r="M407" s="55" t="s">
        <v>522</v>
      </c>
    </row>
    <row r="408" spans="1:13" x14ac:dyDescent="0.25">
      <c r="A408">
        <v>186</v>
      </c>
      <c r="B408" s="47" t="str">
        <f>VLOOKUP(Tabla6[[#This Row],['# Vuelo]],'Validacion reclamo de equipaje'!P:Q,2,0)</f>
        <v>MEXICO AEREO</v>
      </c>
      <c r="C408" s="48">
        <v>0.95833333333333337</v>
      </c>
      <c r="D408" s="48">
        <v>0.96319444444444446</v>
      </c>
      <c r="E408" s="49">
        <f>'Reclamo de equipaje rediseñado'!$D408-'Reclamo de equipaje rediseñado'!$C408</f>
        <v>4.8611111111110938E-3</v>
      </c>
      <c r="F408" s="48">
        <v>0.97083333333333333</v>
      </c>
      <c r="G408" s="49">
        <f t="shared" si="6"/>
        <v>7.6388888888888618E-3</v>
      </c>
      <c r="H408" s="50">
        <v>41724</v>
      </c>
      <c r="I408" s="51" t="s">
        <v>536</v>
      </c>
      <c r="J408" s="51" t="s">
        <v>560</v>
      </c>
      <c r="K408" s="51">
        <f>VLOOKUP(J408,'Validacion reclamo de equipaje'!L:M,2,0)</f>
        <v>126</v>
      </c>
      <c r="L408" s="51" t="str">
        <f>VLOOKUP(I408,'Validacion reclamo de equipaje'!H:I,2,0)</f>
        <v>Nacional</v>
      </c>
      <c r="M408" s="51" t="s">
        <v>522</v>
      </c>
    </row>
    <row r="409" spans="1:13" x14ac:dyDescent="0.25">
      <c r="A409">
        <v>186</v>
      </c>
      <c r="B409" s="47" t="str">
        <f>VLOOKUP(Tabla6[[#This Row],['# Vuelo]],'Validacion reclamo de equipaje'!P:Q,2,0)</f>
        <v>MEXICO AEREO</v>
      </c>
      <c r="C409" s="52">
        <v>0.95972222222222225</v>
      </c>
      <c r="D409" s="52">
        <v>0.97013888888888899</v>
      </c>
      <c r="E409" s="53">
        <f>'Reclamo de equipaje rediseñado'!$D409-'Reclamo de equipaje rediseñado'!$C409</f>
        <v>1.0416666666666741E-2</v>
      </c>
      <c r="F409" s="52">
        <v>0.97499999999999998</v>
      </c>
      <c r="G409" s="53">
        <f t="shared" si="6"/>
        <v>4.8611111111109828E-3</v>
      </c>
      <c r="H409" s="54">
        <v>41725</v>
      </c>
      <c r="I409" s="55" t="s">
        <v>536</v>
      </c>
      <c r="J409" s="55" t="s">
        <v>560</v>
      </c>
      <c r="K409" s="55">
        <f>VLOOKUP(J409,'Validacion reclamo de equipaje'!L:M,2,0)</f>
        <v>126</v>
      </c>
      <c r="L409" s="55" t="str">
        <f>VLOOKUP(I409,'Validacion reclamo de equipaje'!H:I,2,0)</f>
        <v>Nacional</v>
      </c>
      <c r="M409" s="55" t="s">
        <v>522</v>
      </c>
    </row>
    <row r="410" spans="1:13" x14ac:dyDescent="0.25">
      <c r="A410">
        <v>186</v>
      </c>
      <c r="B410" s="47" t="str">
        <f>VLOOKUP(Tabla6[[#This Row],['# Vuelo]],'Validacion reclamo de equipaje'!P:Q,2,0)</f>
        <v>MEXICO AEREO</v>
      </c>
      <c r="C410" s="48">
        <v>0.96458333333333324</v>
      </c>
      <c r="D410" s="48">
        <v>0.96944444444444444</v>
      </c>
      <c r="E410" s="49">
        <f>'Reclamo de equipaje rediseñado'!$D410-'Reclamo de equipaje rediseñado'!$C410</f>
        <v>4.8611111111112049E-3</v>
      </c>
      <c r="F410" s="48">
        <v>0.97638888888888886</v>
      </c>
      <c r="G410" s="49">
        <f t="shared" si="6"/>
        <v>6.9444444444444198E-3</v>
      </c>
      <c r="H410" s="50">
        <v>41726</v>
      </c>
      <c r="I410" s="51" t="s">
        <v>536</v>
      </c>
      <c r="J410" s="51" t="s">
        <v>560</v>
      </c>
      <c r="K410" s="51">
        <f>VLOOKUP(J410,'Validacion reclamo de equipaje'!L:M,2,0)</f>
        <v>126</v>
      </c>
      <c r="L410" s="51" t="str">
        <f>VLOOKUP(I410,'Validacion reclamo de equipaje'!H:I,2,0)</f>
        <v>Nacional</v>
      </c>
      <c r="M410" s="51" t="s">
        <v>522</v>
      </c>
    </row>
    <row r="411" spans="1:13" x14ac:dyDescent="0.25">
      <c r="A411">
        <v>186</v>
      </c>
      <c r="B411" s="47" t="str">
        <f>VLOOKUP(Tabla6[[#This Row],['# Vuelo]],'Validacion reclamo de equipaje'!P:Q,2,0)</f>
        <v>MEXICO AEREO</v>
      </c>
      <c r="C411" s="52">
        <v>0.94791666666666663</v>
      </c>
      <c r="D411" s="52">
        <v>0.95763888888888893</v>
      </c>
      <c r="E411" s="53">
        <f>'Reclamo de equipaje rediseñado'!$D411-'Reclamo de equipaje rediseñado'!$C411</f>
        <v>9.7222222222222987E-3</v>
      </c>
      <c r="F411" s="52">
        <v>0.96805555555555556</v>
      </c>
      <c r="G411" s="53">
        <f t="shared" si="6"/>
        <v>1.041666666666663E-2</v>
      </c>
      <c r="H411" s="54">
        <v>41727</v>
      </c>
      <c r="I411" s="55" t="s">
        <v>536</v>
      </c>
      <c r="J411" s="55" t="s">
        <v>560</v>
      </c>
      <c r="K411" s="55">
        <f>VLOOKUP(J411,'Validacion reclamo de equipaje'!L:M,2,0)</f>
        <v>126</v>
      </c>
      <c r="L411" s="55" t="str">
        <f>VLOOKUP(I411,'Validacion reclamo de equipaje'!H:I,2,0)</f>
        <v>Nacional</v>
      </c>
      <c r="M411" s="55" t="s">
        <v>522</v>
      </c>
    </row>
    <row r="412" spans="1:13" x14ac:dyDescent="0.25">
      <c r="A412">
        <v>156</v>
      </c>
      <c r="B412" s="47" t="str">
        <f>VLOOKUP(Tabla6[[#This Row],['# Vuelo]],'Validacion reclamo de equipaje'!P:Q,2,0)</f>
        <v>MEXICO AEREO</v>
      </c>
      <c r="C412" s="48">
        <v>0.54791666666666672</v>
      </c>
      <c r="D412" s="48">
        <v>0.55694444444444446</v>
      </c>
      <c r="E412" s="49">
        <f>'Reclamo de equipaje rediseñado'!$D412-'Reclamo de equipaje rediseñado'!$C412</f>
        <v>9.0277777777777457E-3</v>
      </c>
      <c r="F412" s="48">
        <v>0.55902777777777779</v>
      </c>
      <c r="G412" s="49">
        <f t="shared" si="6"/>
        <v>2.0833333333333259E-3</v>
      </c>
      <c r="H412" s="50">
        <v>41715</v>
      </c>
      <c r="I412" s="51" t="s">
        <v>536</v>
      </c>
      <c r="J412" s="51" t="s">
        <v>560</v>
      </c>
      <c r="K412" s="51">
        <f>VLOOKUP(J412,'Validacion reclamo de equipaje'!L:M,2,0)</f>
        <v>126</v>
      </c>
      <c r="L412" s="51" t="str">
        <f>VLOOKUP(I412,'Validacion reclamo de equipaje'!H:I,2,0)</f>
        <v>Nacional</v>
      </c>
      <c r="M412" s="51" t="s">
        <v>522</v>
      </c>
    </row>
    <row r="413" spans="1:13" x14ac:dyDescent="0.25">
      <c r="A413">
        <v>156</v>
      </c>
      <c r="B413" s="47" t="str">
        <f>VLOOKUP(Tabla6[[#This Row],['# Vuelo]],'Validacion reclamo de equipaje'!P:Q,2,0)</f>
        <v>MEXICO AEREO</v>
      </c>
      <c r="C413" s="52">
        <v>0.55208333333333337</v>
      </c>
      <c r="D413" s="52">
        <v>0.55555555555555558</v>
      </c>
      <c r="E413" s="53">
        <f>'Reclamo de equipaje rediseñado'!$D413-'Reclamo de equipaje rediseñado'!$C413</f>
        <v>3.4722222222222099E-3</v>
      </c>
      <c r="F413" s="52">
        <v>0.56597222222222221</v>
      </c>
      <c r="G413" s="53">
        <f t="shared" si="6"/>
        <v>1.041666666666663E-2</v>
      </c>
      <c r="H413" s="54">
        <v>41716</v>
      </c>
      <c r="I413" s="55" t="s">
        <v>536</v>
      </c>
      <c r="J413" s="55" t="s">
        <v>560</v>
      </c>
      <c r="K413" s="55">
        <f>VLOOKUP(J413,'Validacion reclamo de equipaje'!L:M,2,0)</f>
        <v>126</v>
      </c>
      <c r="L413" s="55" t="str">
        <f>VLOOKUP(I413,'Validacion reclamo de equipaje'!H:I,2,0)</f>
        <v>Nacional</v>
      </c>
      <c r="M413" s="55" t="s">
        <v>522</v>
      </c>
    </row>
    <row r="414" spans="1:13" x14ac:dyDescent="0.25">
      <c r="A414">
        <v>156</v>
      </c>
      <c r="B414" s="47" t="str">
        <f>VLOOKUP(Tabla6[[#This Row],['# Vuelo]],'Validacion reclamo de equipaje'!P:Q,2,0)</f>
        <v>MEXICO AEREO</v>
      </c>
      <c r="C414" s="48">
        <v>0.55069444444444449</v>
      </c>
      <c r="D414" s="48">
        <v>0.5541666666666667</v>
      </c>
      <c r="E414" s="49">
        <f>'Reclamo de equipaje rediseñado'!$D414-'Reclamo de equipaje rediseñado'!$C414</f>
        <v>3.4722222222222099E-3</v>
      </c>
      <c r="F414" s="48">
        <v>0.55902777777777779</v>
      </c>
      <c r="G414" s="49">
        <f t="shared" si="6"/>
        <v>4.8611111111110938E-3</v>
      </c>
      <c r="H414" s="50">
        <v>41720</v>
      </c>
      <c r="I414" s="51" t="s">
        <v>536</v>
      </c>
      <c r="J414" s="51" t="s">
        <v>560</v>
      </c>
      <c r="K414" s="51">
        <f>VLOOKUP(J414,'Validacion reclamo de equipaje'!L:M,2,0)</f>
        <v>126</v>
      </c>
      <c r="L414" s="51" t="str">
        <f>VLOOKUP(I414,'Validacion reclamo de equipaje'!H:I,2,0)</f>
        <v>Nacional</v>
      </c>
      <c r="M414" s="51" t="s">
        <v>522</v>
      </c>
    </row>
    <row r="415" spans="1:13" x14ac:dyDescent="0.25">
      <c r="A415">
        <v>156</v>
      </c>
      <c r="B415" s="47" t="str">
        <f>VLOOKUP(Tabla6[[#This Row],['# Vuelo]],'Validacion reclamo de equipaje'!P:Q,2,0)</f>
        <v>MEXICO AEREO</v>
      </c>
      <c r="C415" s="52">
        <v>0.55277777777777781</v>
      </c>
      <c r="D415" s="52">
        <v>0.55833333333333335</v>
      </c>
      <c r="E415" s="53">
        <f>'Reclamo de equipaje rediseñado'!$D415-'Reclamo de equipaje rediseñado'!$C415</f>
        <v>5.5555555555555358E-3</v>
      </c>
      <c r="F415" s="52">
        <v>0.56041666666666667</v>
      </c>
      <c r="G415" s="53">
        <f t="shared" si="6"/>
        <v>2.0833333333333259E-3</v>
      </c>
      <c r="H415" s="54">
        <v>41722</v>
      </c>
      <c r="I415" s="55" t="s">
        <v>536</v>
      </c>
      <c r="J415" s="55" t="s">
        <v>560</v>
      </c>
      <c r="K415" s="55">
        <f>VLOOKUP(J415,'Validacion reclamo de equipaje'!L:M,2,0)</f>
        <v>126</v>
      </c>
      <c r="L415" s="55" t="str">
        <f>VLOOKUP(I415,'Validacion reclamo de equipaje'!H:I,2,0)</f>
        <v>Nacional</v>
      </c>
      <c r="M415" s="55" t="s">
        <v>522</v>
      </c>
    </row>
    <row r="416" spans="1:13" x14ac:dyDescent="0.25">
      <c r="A416">
        <v>156</v>
      </c>
      <c r="B416" s="47" t="str">
        <f>VLOOKUP(Tabla6[[#This Row],['# Vuelo]],'Validacion reclamo de equipaje'!P:Q,2,0)</f>
        <v>MEXICO AEREO</v>
      </c>
      <c r="C416" s="48">
        <v>0.55069444444444449</v>
      </c>
      <c r="D416" s="48">
        <v>0.55555555555555558</v>
      </c>
      <c r="E416" s="49">
        <f>'Reclamo de equipaje rediseñado'!$D416-'Reclamo de equipaje rediseñado'!$C416</f>
        <v>4.8611111111110938E-3</v>
      </c>
      <c r="F416" s="48">
        <v>0.56180555555555556</v>
      </c>
      <c r="G416" s="49">
        <f t="shared" si="6"/>
        <v>6.2499999999999778E-3</v>
      </c>
      <c r="H416" s="50">
        <v>41725</v>
      </c>
      <c r="I416" s="51" t="s">
        <v>536</v>
      </c>
      <c r="J416" s="51" t="s">
        <v>560</v>
      </c>
      <c r="K416" s="51">
        <f>VLOOKUP(J416,'Validacion reclamo de equipaje'!L:M,2,0)</f>
        <v>126</v>
      </c>
      <c r="L416" s="51" t="str">
        <f>VLOOKUP(I416,'Validacion reclamo de equipaje'!H:I,2,0)</f>
        <v>Nacional</v>
      </c>
      <c r="M416" s="51" t="s">
        <v>522</v>
      </c>
    </row>
    <row r="417" spans="1:13" x14ac:dyDescent="0.25">
      <c r="A417">
        <v>156</v>
      </c>
      <c r="B417" s="47" t="str">
        <f>VLOOKUP(Tabla6[[#This Row],['# Vuelo]],'Validacion reclamo de equipaje'!P:Q,2,0)</f>
        <v>MEXICO AEREO</v>
      </c>
      <c r="C417" s="52">
        <v>0.6069444444444444</v>
      </c>
      <c r="D417" s="52">
        <v>0.61527777777777781</v>
      </c>
      <c r="E417" s="53">
        <f>'Reclamo de equipaje rediseñado'!$D417-'Reclamo de equipaje rediseñado'!$C417</f>
        <v>8.3333333333334147E-3</v>
      </c>
      <c r="F417" s="52">
        <v>0.62013888888888891</v>
      </c>
      <c r="G417" s="53">
        <f t="shared" si="6"/>
        <v>4.8611111111110938E-3</v>
      </c>
      <c r="H417" s="54">
        <v>41725</v>
      </c>
      <c r="I417" s="55" t="s">
        <v>536</v>
      </c>
      <c r="J417" s="55" t="s">
        <v>560</v>
      </c>
      <c r="K417" s="55">
        <f>VLOOKUP(J417,'Validacion reclamo de equipaje'!L:M,2,0)</f>
        <v>126</v>
      </c>
      <c r="L417" s="55" t="str">
        <f>VLOOKUP(I417,'Validacion reclamo de equipaje'!H:I,2,0)</f>
        <v>Nacional</v>
      </c>
      <c r="M417" s="55" t="s">
        <v>522</v>
      </c>
    </row>
    <row r="418" spans="1:13" x14ac:dyDescent="0.25">
      <c r="A418">
        <v>156</v>
      </c>
      <c r="B418" s="47" t="str">
        <f>VLOOKUP(Tabla6[[#This Row],['# Vuelo]],'Validacion reclamo de equipaje'!P:Q,2,0)</f>
        <v>MEXICO AEREO</v>
      </c>
      <c r="C418" s="48">
        <v>0.56041666666666667</v>
      </c>
      <c r="D418" s="48">
        <v>0.56458333333333333</v>
      </c>
      <c r="E418" s="49">
        <f>'Reclamo de equipaje rediseñado'!$D418-'Reclamo de equipaje rediseñado'!$C418</f>
        <v>4.1666666666666519E-3</v>
      </c>
      <c r="F418" s="48">
        <v>0.57152777777777775</v>
      </c>
      <c r="G418" s="49">
        <f t="shared" si="6"/>
        <v>6.9444444444444198E-3</v>
      </c>
      <c r="H418" s="50">
        <v>41726</v>
      </c>
      <c r="I418" s="51" t="s">
        <v>536</v>
      </c>
      <c r="J418" s="51" t="s">
        <v>560</v>
      </c>
      <c r="K418" s="51">
        <f>VLOOKUP(J418,'Validacion reclamo de equipaje'!L:M,2,0)</f>
        <v>126</v>
      </c>
      <c r="L418" s="51" t="str">
        <f>VLOOKUP(I418,'Validacion reclamo de equipaje'!H:I,2,0)</f>
        <v>Nacional</v>
      </c>
      <c r="M418" s="51" t="s">
        <v>522</v>
      </c>
    </row>
    <row r="419" spans="1:13" x14ac:dyDescent="0.25">
      <c r="A419">
        <v>156</v>
      </c>
      <c r="B419" s="47" t="str">
        <f>VLOOKUP(Tabla6[[#This Row],['# Vuelo]],'Validacion reclamo de equipaje'!P:Q,2,0)</f>
        <v>MEXICO AEREO</v>
      </c>
      <c r="C419" s="52">
        <v>0.54166666666666663</v>
      </c>
      <c r="D419" s="52">
        <v>0.54791666666666672</v>
      </c>
      <c r="E419" s="53">
        <f>'Reclamo de equipaje rediseñado'!$D419-'Reclamo de equipaje rediseñado'!$C419</f>
        <v>6.2500000000000888E-3</v>
      </c>
      <c r="F419" s="52">
        <v>0.55347222222222225</v>
      </c>
      <c r="G419" s="53">
        <f t="shared" si="6"/>
        <v>5.5555555555555358E-3</v>
      </c>
      <c r="H419" s="54">
        <v>41729</v>
      </c>
      <c r="I419" s="55" t="s">
        <v>536</v>
      </c>
      <c r="J419" s="55" t="s">
        <v>560</v>
      </c>
      <c r="K419" s="55">
        <f>VLOOKUP(J419,'Validacion reclamo de equipaje'!L:M,2,0)</f>
        <v>126</v>
      </c>
      <c r="L419" s="55" t="str">
        <f>VLOOKUP(I419,'Validacion reclamo de equipaje'!H:I,2,0)</f>
        <v>Nacional</v>
      </c>
      <c r="M419" s="55" t="s">
        <v>522</v>
      </c>
    </row>
    <row r="420" spans="1:13" x14ac:dyDescent="0.25">
      <c r="A420">
        <v>156</v>
      </c>
      <c r="B420" s="47" t="str">
        <f>VLOOKUP(Tabla6[[#This Row],['# Vuelo]],'Validacion reclamo de equipaje'!P:Q,2,0)</f>
        <v>MEXICO AEREO</v>
      </c>
      <c r="C420" s="48">
        <v>0.55208333333333337</v>
      </c>
      <c r="D420" s="48">
        <v>0.55625000000000002</v>
      </c>
      <c r="E420" s="49">
        <f>'Reclamo de equipaje rediseñado'!$D420-'Reclamo de equipaje rediseñado'!$C420</f>
        <v>4.1666666666666519E-3</v>
      </c>
      <c r="F420" s="48">
        <v>0.56944444444444442</v>
      </c>
      <c r="G420" s="49">
        <f t="shared" si="6"/>
        <v>1.3194444444444398E-2</v>
      </c>
      <c r="H420" s="50">
        <v>41717</v>
      </c>
      <c r="I420" s="51" t="s">
        <v>536</v>
      </c>
      <c r="J420" s="51" t="s">
        <v>560</v>
      </c>
      <c r="K420" s="51">
        <f>VLOOKUP(J420,'Validacion reclamo de equipaje'!L:M,2,0)</f>
        <v>126</v>
      </c>
      <c r="L420" s="51" t="str">
        <f>VLOOKUP(I420,'Validacion reclamo de equipaje'!H:I,2,0)</f>
        <v>Nacional</v>
      </c>
      <c r="M420" s="51" t="s">
        <v>522</v>
      </c>
    </row>
    <row r="421" spans="1:13" x14ac:dyDescent="0.25">
      <c r="A421">
        <v>128</v>
      </c>
      <c r="B421" s="47" t="str">
        <f>VLOOKUP(Tabla6[[#This Row],['# Vuelo]],'Validacion reclamo de equipaje'!P:Q,2,0)</f>
        <v>MEXICO AEREO</v>
      </c>
      <c r="C421" s="52">
        <v>0.84930555555555554</v>
      </c>
      <c r="D421" s="52">
        <v>0.85625000000000007</v>
      </c>
      <c r="E421" s="53">
        <f>'Reclamo de equipaje rediseñado'!$D421-'Reclamo de equipaje rediseñado'!$C421</f>
        <v>6.9444444444445308E-3</v>
      </c>
      <c r="F421" s="52">
        <v>0.86041666666666661</v>
      </c>
      <c r="G421" s="53">
        <f t="shared" si="6"/>
        <v>4.1666666666665408E-3</v>
      </c>
      <c r="H421" s="54">
        <v>41713</v>
      </c>
      <c r="I421" s="55" t="s">
        <v>536</v>
      </c>
      <c r="J421" s="55" t="s">
        <v>560</v>
      </c>
      <c r="K421" s="55">
        <f>VLOOKUP(J421,'Validacion reclamo de equipaje'!L:M,2,0)</f>
        <v>126</v>
      </c>
      <c r="L421" s="55" t="str">
        <f>VLOOKUP(I421,'Validacion reclamo de equipaje'!H:I,2,0)</f>
        <v>Nacional</v>
      </c>
      <c r="M421" s="55" t="s">
        <v>522</v>
      </c>
    </row>
    <row r="422" spans="1:13" x14ac:dyDescent="0.25">
      <c r="A422">
        <v>128</v>
      </c>
      <c r="B422" s="47" t="str">
        <f>VLOOKUP(Tabla6[[#This Row],['# Vuelo]],'Validacion reclamo de equipaje'!P:Q,2,0)</f>
        <v>MEXICO AEREO</v>
      </c>
      <c r="C422" s="48">
        <v>0.85138888888888886</v>
      </c>
      <c r="D422" s="48">
        <v>0.85486111111111107</v>
      </c>
      <c r="E422" s="49">
        <f>'Reclamo de equipaje rediseñado'!$D422-'Reclamo de equipaje rediseñado'!$C422</f>
        <v>3.4722222222222099E-3</v>
      </c>
      <c r="F422" s="48">
        <v>0.8618055555555556</v>
      </c>
      <c r="G422" s="49">
        <f t="shared" si="6"/>
        <v>6.9444444444445308E-3</v>
      </c>
      <c r="H422" s="50">
        <v>41715</v>
      </c>
      <c r="I422" s="51" t="s">
        <v>536</v>
      </c>
      <c r="J422" s="51" t="s">
        <v>560</v>
      </c>
      <c r="K422" s="51">
        <f>VLOOKUP(J422,'Validacion reclamo de equipaje'!L:M,2,0)</f>
        <v>126</v>
      </c>
      <c r="L422" s="51" t="str">
        <f>VLOOKUP(I422,'Validacion reclamo de equipaje'!H:I,2,0)</f>
        <v>Nacional</v>
      </c>
      <c r="M422" s="51" t="s">
        <v>522</v>
      </c>
    </row>
    <row r="423" spans="1:13" x14ac:dyDescent="0.25">
      <c r="A423">
        <v>128</v>
      </c>
      <c r="B423" s="47" t="str">
        <f>VLOOKUP(Tabla6[[#This Row],['# Vuelo]],'Validacion reclamo de equipaje'!P:Q,2,0)</f>
        <v>MEXICO AEREO</v>
      </c>
      <c r="C423" s="52">
        <v>0.84861111111111109</v>
      </c>
      <c r="D423" s="52">
        <v>0.85972222222222217</v>
      </c>
      <c r="E423" s="53">
        <f>'Reclamo de equipaje rediseñado'!$D423-'Reclamo de equipaje rediseñado'!$C423</f>
        <v>1.1111111111111072E-2</v>
      </c>
      <c r="F423" s="52">
        <v>0.86249999999999993</v>
      </c>
      <c r="G423" s="53">
        <f t="shared" si="6"/>
        <v>2.7777777777777679E-3</v>
      </c>
      <c r="H423" s="54">
        <v>41716</v>
      </c>
      <c r="I423" s="55" t="s">
        <v>536</v>
      </c>
      <c r="J423" s="55" t="s">
        <v>560</v>
      </c>
      <c r="K423" s="55">
        <f>VLOOKUP(J423,'Validacion reclamo de equipaje'!L:M,2,0)</f>
        <v>126</v>
      </c>
      <c r="L423" s="55" t="str">
        <f>VLOOKUP(I423,'Validacion reclamo de equipaje'!H:I,2,0)</f>
        <v>Nacional</v>
      </c>
      <c r="M423" s="55" t="s">
        <v>522</v>
      </c>
    </row>
    <row r="424" spans="1:13" x14ac:dyDescent="0.25">
      <c r="A424">
        <v>128</v>
      </c>
      <c r="B424" s="47" t="str">
        <f>VLOOKUP(Tabla6[[#This Row],['# Vuelo]],'Validacion reclamo de equipaje'!P:Q,2,0)</f>
        <v>MEXICO AEREO</v>
      </c>
      <c r="C424" s="48">
        <v>0.85</v>
      </c>
      <c r="D424" s="48">
        <v>0.86111111111111116</v>
      </c>
      <c r="E424" s="49">
        <f>'Reclamo de equipaje rediseñado'!$D424-'Reclamo de equipaje rediseñado'!$C424</f>
        <v>1.1111111111111183E-2</v>
      </c>
      <c r="F424" s="48">
        <v>0.86805555555555547</v>
      </c>
      <c r="G424" s="49">
        <f t="shared" si="6"/>
        <v>6.9444444444443088E-3</v>
      </c>
      <c r="H424" s="50">
        <v>41719</v>
      </c>
      <c r="I424" s="51" t="s">
        <v>536</v>
      </c>
      <c r="J424" s="51" t="s">
        <v>560</v>
      </c>
      <c r="K424" s="51">
        <f>VLOOKUP(J424,'Validacion reclamo de equipaje'!L:M,2,0)</f>
        <v>126</v>
      </c>
      <c r="L424" s="51" t="str">
        <f>VLOOKUP(I424,'Validacion reclamo de equipaje'!H:I,2,0)</f>
        <v>Nacional</v>
      </c>
      <c r="M424" s="51" t="s">
        <v>522</v>
      </c>
    </row>
    <row r="425" spans="1:13" x14ac:dyDescent="0.25">
      <c r="A425">
        <v>128</v>
      </c>
      <c r="B425" s="47" t="str">
        <f>VLOOKUP(Tabla6[[#This Row],['# Vuelo]],'Validacion reclamo de equipaje'!P:Q,2,0)</f>
        <v>MEXICO AEREO</v>
      </c>
      <c r="C425" s="52">
        <v>0.86319444444444438</v>
      </c>
      <c r="D425" s="52">
        <v>0.87777777777777777</v>
      </c>
      <c r="E425" s="53">
        <f>'Reclamo de equipaje rediseñado'!$D425-'Reclamo de equipaje rediseñado'!$C425</f>
        <v>1.4583333333333393E-2</v>
      </c>
      <c r="F425" s="52">
        <v>0.8847222222222223</v>
      </c>
      <c r="G425" s="53">
        <f t="shared" si="6"/>
        <v>6.9444444444445308E-3</v>
      </c>
      <c r="H425" s="54">
        <v>41721</v>
      </c>
      <c r="I425" s="55" t="s">
        <v>536</v>
      </c>
      <c r="J425" s="55" t="s">
        <v>560</v>
      </c>
      <c r="K425" s="55">
        <f>VLOOKUP(J425,'Validacion reclamo de equipaje'!L:M,2,0)</f>
        <v>126</v>
      </c>
      <c r="L425" s="55" t="str">
        <f>VLOOKUP(I425,'Validacion reclamo de equipaje'!H:I,2,0)</f>
        <v>Nacional</v>
      </c>
      <c r="M425" s="55" t="s">
        <v>522</v>
      </c>
    </row>
    <row r="426" spans="1:13" x14ac:dyDescent="0.25">
      <c r="A426">
        <v>128</v>
      </c>
      <c r="B426" s="47" t="str">
        <f>VLOOKUP(Tabla6[[#This Row],['# Vuelo]],'Validacion reclamo de equipaje'!P:Q,2,0)</f>
        <v>MEXICO AEREO</v>
      </c>
      <c r="C426" s="48">
        <v>0.8534722222222223</v>
      </c>
      <c r="D426" s="48">
        <v>0.85416666666666663</v>
      </c>
      <c r="E426" s="49">
        <f>'Reclamo de equipaje rediseñado'!$D426-'Reclamo de equipaje rediseñado'!$C426</f>
        <v>6.9444444444433095E-4</v>
      </c>
      <c r="F426" s="48">
        <v>0.86944444444444446</v>
      </c>
      <c r="G426" s="49">
        <f t="shared" si="6"/>
        <v>1.5277777777777835E-2</v>
      </c>
      <c r="H426" s="50">
        <v>41721</v>
      </c>
      <c r="I426" s="51" t="s">
        <v>536</v>
      </c>
      <c r="J426" s="51" t="s">
        <v>560</v>
      </c>
      <c r="K426" s="51">
        <f>VLOOKUP(J426,'Validacion reclamo de equipaje'!L:M,2,0)</f>
        <v>126</v>
      </c>
      <c r="L426" s="51" t="str">
        <f>VLOOKUP(I426,'Validacion reclamo de equipaje'!H:I,2,0)</f>
        <v>Nacional</v>
      </c>
      <c r="M426" s="51" t="s">
        <v>522</v>
      </c>
    </row>
    <row r="427" spans="1:13" x14ac:dyDescent="0.25">
      <c r="A427">
        <v>128</v>
      </c>
      <c r="B427" s="47" t="str">
        <f>VLOOKUP(Tabla6[[#This Row],['# Vuelo]],'Validacion reclamo de equipaje'!P:Q,2,0)</f>
        <v>MEXICO AEREO</v>
      </c>
      <c r="C427" s="52">
        <v>0.86041666666666661</v>
      </c>
      <c r="D427" s="52">
        <v>0.86736111111111114</v>
      </c>
      <c r="E427" s="53">
        <f>'Reclamo de equipaje rediseñado'!$D427-'Reclamo de equipaje rediseñado'!$C427</f>
        <v>6.9444444444445308E-3</v>
      </c>
      <c r="F427" s="52">
        <v>0.87986111111111109</v>
      </c>
      <c r="G427" s="53">
        <f t="shared" si="6"/>
        <v>1.2499999999999956E-2</v>
      </c>
      <c r="H427" s="54">
        <v>41723</v>
      </c>
      <c r="I427" s="55" t="s">
        <v>536</v>
      </c>
      <c r="J427" s="55" t="s">
        <v>560</v>
      </c>
      <c r="K427" s="55">
        <f>VLOOKUP(J427,'Validacion reclamo de equipaje'!L:M,2,0)</f>
        <v>126</v>
      </c>
      <c r="L427" s="55" t="str">
        <f>VLOOKUP(I427,'Validacion reclamo de equipaje'!H:I,2,0)</f>
        <v>Nacional</v>
      </c>
      <c r="M427" s="55" t="s">
        <v>522</v>
      </c>
    </row>
    <row r="428" spans="1:13" x14ac:dyDescent="0.25">
      <c r="A428">
        <v>128</v>
      </c>
      <c r="B428" s="47" t="str">
        <f>VLOOKUP(Tabla6[[#This Row],['# Vuelo]],'Validacion reclamo de equipaje'!P:Q,2,0)</f>
        <v>MEXICO AEREO</v>
      </c>
      <c r="C428" s="48">
        <v>0.86875000000000002</v>
      </c>
      <c r="D428" s="48">
        <v>0.87847222222222221</v>
      </c>
      <c r="E428" s="49">
        <f>'Reclamo de equipaje rediseñado'!$D428-'Reclamo de equipaje rediseñado'!$C428</f>
        <v>9.7222222222221877E-3</v>
      </c>
      <c r="F428" s="48">
        <v>0.8833333333333333</v>
      </c>
      <c r="G428" s="49">
        <f t="shared" si="6"/>
        <v>4.8611111111110938E-3</v>
      </c>
      <c r="H428" s="50">
        <v>41724</v>
      </c>
      <c r="I428" s="51" t="s">
        <v>536</v>
      </c>
      <c r="J428" s="51" t="s">
        <v>560</v>
      </c>
      <c r="K428" s="51">
        <f>VLOOKUP(J428,'Validacion reclamo de equipaje'!L:M,2,0)</f>
        <v>126</v>
      </c>
      <c r="L428" s="51" t="str">
        <f>VLOOKUP(I428,'Validacion reclamo de equipaje'!H:I,2,0)</f>
        <v>Nacional</v>
      </c>
      <c r="M428" s="51" t="s">
        <v>522</v>
      </c>
    </row>
    <row r="429" spans="1:13" x14ac:dyDescent="0.25">
      <c r="A429">
        <v>128</v>
      </c>
      <c r="B429" s="47" t="str">
        <f>VLOOKUP(Tabla6[[#This Row],['# Vuelo]],'Validacion reclamo de equipaje'!P:Q,2,0)</f>
        <v>MEXICO AEREO</v>
      </c>
      <c r="C429" s="52">
        <v>0.83194444444444438</v>
      </c>
      <c r="D429" s="52">
        <v>0.83611111111111114</v>
      </c>
      <c r="E429" s="53">
        <f>'Reclamo de equipaje rediseñado'!$D429-'Reclamo de equipaje rediseñado'!$C429</f>
        <v>4.1666666666667629E-3</v>
      </c>
      <c r="F429" s="52">
        <v>0.84444444444444444</v>
      </c>
      <c r="G429" s="53">
        <f t="shared" si="6"/>
        <v>8.3333333333333037E-3</v>
      </c>
      <c r="H429" s="54">
        <v>41724</v>
      </c>
      <c r="I429" s="55" t="s">
        <v>536</v>
      </c>
      <c r="J429" s="55" t="s">
        <v>560</v>
      </c>
      <c r="K429" s="55">
        <f>VLOOKUP(J429,'Validacion reclamo de equipaje'!L:M,2,0)</f>
        <v>126</v>
      </c>
      <c r="L429" s="55" t="str">
        <f>VLOOKUP(I429,'Validacion reclamo de equipaje'!H:I,2,0)</f>
        <v>Nacional</v>
      </c>
      <c r="M429" s="55" t="s">
        <v>522</v>
      </c>
    </row>
    <row r="430" spans="1:13" x14ac:dyDescent="0.25">
      <c r="A430">
        <v>128</v>
      </c>
      <c r="B430" s="47" t="str">
        <f>VLOOKUP(Tabla6[[#This Row],['# Vuelo]],'Validacion reclamo de equipaje'!P:Q,2,0)</f>
        <v>MEXICO AEREO</v>
      </c>
      <c r="C430" s="48">
        <v>0.85069444444444453</v>
      </c>
      <c r="D430" s="48">
        <v>0.86249999999999993</v>
      </c>
      <c r="E430" s="49">
        <f>'Reclamo de equipaje rediseñado'!$D430-'Reclamo de equipaje rediseñado'!$C430</f>
        <v>1.1805555555555403E-2</v>
      </c>
      <c r="F430" s="48">
        <v>0.86458333333333337</v>
      </c>
      <c r="G430" s="49">
        <f t="shared" si="6"/>
        <v>2.083333333333437E-3</v>
      </c>
      <c r="H430" s="50">
        <v>41725</v>
      </c>
      <c r="I430" s="51" t="s">
        <v>536</v>
      </c>
      <c r="J430" s="51" t="s">
        <v>560</v>
      </c>
      <c r="K430" s="51">
        <f>VLOOKUP(J430,'Validacion reclamo de equipaje'!L:M,2,0)</f>
        <v>126</v>
      </c>
      <c r="L430" s="51" t="str">
        <f>VLOOKUP(I430,'Validacion reclamo de equipaje'!H:I,2,0)</f>
        <v>Nacional</v>
      </c>
      <c r="M430" s="51" t="s">
        <v>522</v>
      </c>
    </row>
    <row r="431" spans="1:13" x14ac:dyDescent="0.25">
      <c r="A431">
        <v>128</v>
      </c>
      <c r="B431" s="47" t="str">
        <f>VLOOKUP(Tabla6[[#This Row],['# Vuelo]],'Validacion reclamo de equipaje'!P:Q,2,0)</f>
        <v>MEXICO AEREO</v>
      </c>
      <c r="C431" s="52">
        <v>0.84930555555555554</v>
      </c>
      <c r="D431" s="52">
        <v>0.8520833333333333</v>
      </c>
      <c r="E431" s="53">
        <f>'Reclamo de equipaje rediseñado'!$D431-'Reclamo de equipaje rediseñado'!$C431</f>
        <v>2.7777777777777679E-3</v>
      </c>
      <c r="F431" s="52">
        <v>0.86041666666666661</v>
      </c>
      <c r="G431" s="53">
        <f t="shared" si="6"/>
        <v>8.3333333333333037E-3</v>
      </c>
      <c r="H431" s="54">
        <v>41727</v>
      </c>
      <c r="I431" s="55" t="s">
        <v>536</v>
      </c>
      <c r="J431" s="55" t="s">
        <v>560</v>
      </c>
      <c r="K431" s="55">
        <f>VLOOKUP(J431,'Validacion reclamo de equipaje'!L:M,2,0)</f>
        <v>126</v>
      </c>
      <c r="L431" s="55" t="str">
        <f>VLOOKUP(I431,'Validacion reclamo de equipaje'!H:I,2,0)</f>
        <v>Nacional</v>
      </c>
      <c r="M431" s="55" t="s">
        <v>522</v>
      </c>
    </row>
    <row r="432" spans="1:13" x14ac:dyDescent="0.25">
      <c r="A432">
        <v>126</v>
      </c>
      <c r="B432" s="47" t="str">
        <f>VLOOKUP(Tabla6[[#This Row],['# Vuelo]],'Validacion reclamo de equipaje'!P:Q,2,0)</f>
        <v>MEXICO AEREO</v>
      </c>
      <c r="C432" s="48">
        <v>0.8027777777777777</v>
      </c>
      <c r="D432" s="48">
        <v>0.80763888888888891</v>
      </c>
      <c r="E432" s="49">
        <f>'Reclamo de equipaje rediseñado'!$D432-'Reclamo de equipaje rediseñado'!$C432</f>
        <v>4.8611111111112049E-3</v>
      </c>
      <c r="F432" s="48">
        <v>0.80902777777777779</v>
      </c>
      <c r="G432" s="49">
        <f t="shared" si="6"/>
        <v>1.388888888888884E-3</v>
      </c>
      <c r="H432" s="50">
        <v>41714</v>
      </c>
      <c r="I432" s="51" t="s">
        <v>536</v>
      </c>
      <c r="J432" s="51" t="s">
        <v>560</v>
      </c>
      <c r="K432" s="51">
        <f>VLOOKUP(J432,'Validacion reclamo de equipaje'!L:M,2,0)</f>
        <v>126</v>
      </c>
      <c r="L432" s="51" t="str">
        <f>VLOOKUP(I432,'Validacion reclamo de equipaje'!H:I,2,0)</f>
        <v>Nacional</v>
      </c>
      <c r="M432" s="51" t="s">
        <v>522</v>
      </c>
    </row>
    <row r="433" spans="1:13" x14ac:dyDescent="0.25">
      <c r="A433">
        <v>126</v>
      </c>
      <c r="B433" s="47" t="str">
        <f>VLOOKUP(Tabla6[[#This Row],['# Vuelo]],'Validacion reclamo de equipaje'!P:Q,2,0)</f>
        <v>MEXICO AEREO</v>
      </c>
      <c r="C433" s="52">
        <v>0.80208333333333337</v>
      </c>
      <c r="D433" s="52">
        <v>0.80972222222222223</v>
      </c>
      <c r="E433" s="53">
        <f>'Reclamo de equipaje rediseñado'!$D433-'Reclamo de equipaje rediseñado'!$C433</f>
        <v>7.6388888888888618E-3</v>
      </c>
      <c r="F433" s="52">
        <v>0.81388888888888899</v>
      </c>
      <c r="G433" s="53">
        <f t="shared" si="6"/>
        <v>4.1666666666667629E-3</v>
      </c>
      <c r="H433" s="54">
        <v>41716</v>
      </c>
      <c r="I433" s="55" t="s">
        <v>536</v>
      </c>
      <c r="J433" s="55" t="s">
        <v>560</v>
      </c>
      <c r="K433" s="55">
        <f>VLOOKUP(J433,'Validacion reclamo de equipaje'!L:M,2,0)</f>
        <v>126</v>
      </c>
      <c r="L433" s="55" t="str">
        <f>VLOOKUP(I433,'Validacion reclamo de equipaje'!H:I,2,0)</f>
        <v>Nacional</v>
      </c>
      <c r="M433" s="55" t="s">
        <v>522</v>
      </c>
    </row>
    <row r="434" spans="1:13" x14ac:dyDescent="0.25">
      <c r="A434">
        <v>126</v>
      </c>
      <c r="B434" s="47" t="str">
        <f>VLOOKUP(Tabla6[[#This Row],['# Vuelo]],'Validacion reclamo de equipaje'!P:Q,2,0)</f>
        <v>MEXICO AEREO</v>
      </c>
      <c r="C434" s="48">
        <v>0.84375</v>
      </c>
      <c r="D434" s="48">
        <v>0.85277777777777775</v>
      </c>
      <c r="E434" s="49">
        <f>'Reclamo de equipaje rediseñado'!$D434-'Reclamo de equipaje rediseñado'!$C434</f>
        <v>9.0277777777777457E-3</v>
      </c>
      <c r="F434" s="48">
        <v>0.85833333333333339</v>
      </c>
      <c r="G434" s="49">
        <f t="shared" si="6"/>
        <v>5.5555555555556468E-3</v>
      </c>
      <c r="H434" s="50">
        <v>41716</v>
      </c>
      <c r="I434" s="51" t="s">
        <v>536</v>
      </c>
      <c r="J434" s="51" t="s">
        <v>560</v>
      </c>
      <c r="K434" s="51">
        <f>VLOOKUP(J434,'Validacion reclamo de equipaje'!L:M,2,0)</f>
        <v>126</v>
      </c>
      <c r="L434" s="51" t="str">
        <f>VLOOKUP(I434,'Validacion reclamo de equipaje'!H:I,2,0)</f>
        <v>Nacional</v>
      </c>
      <c r="M434" s="51" t="s">
        <v>522</v>
      </c>
    </row>
    <row r="435" spans="1:13" x14ac:dyDescent="0.25">
      <c r="A435">
        <v>120</v>
      </c>
      <c r="B435" s="47" t="str">
        <f>VLOOKUP(Tabla6[[#This Row],['# Vuelo]],'Validacion reclamo de equipaje'!P:Q,2,0)</f>
        <v>MEXICO AEREO</v>
      </c>
      <c r="C435" s="52">
        <v>0.43124999999999997</v>
      </c>
      <c r="D435" s="52">
        <v>0.43333333333333335</v>
      </c>
      <c r="E435" s="53">
        <f>'Reclamo de equipaje rediseñado'!$D435-'Reclamo de equipaje rediseñado'!$C435</f>
        <v>2.0833333333333814E-3</v>
      </c>
      <c r="F435" s="52">
        <v>0.44097222222222227</v>
      </c>
      <c r="G435" s="53">
        <f t="shared" si="6"/>
        <v>7.6388888888889173E-3</v>
      </c>
      <c r="H435" s="54">
        <v>41714</v>
      </c>
      <c r="I435" s="55" t="s">
        <v>558</v>
      </c>
      <c r="J435" s="55" t="s">
        <v>554</v>
      </c>
      <c r="K435" s="55">
        <f>VLOOKUP(J435,'Validacion reclamo de equipaje'!L:M,2,0)</f>
        <v>189</v>
      </c>
      <c r="L435" s="55" t="str">
        <f>VLOOKUP(I435,'Validacion reclamo de equipaje'!H:I,2,0)</f>
        <v>Internacional</v>
      </c>
      <c r="M435" s="55" t="s">
        <v>522</v>
      </c>
    </row>
    <row r="436" spans="1:13" x14ac:dyDescent="0.25">
      <c r="A436">
        <v>120</v>
      </c>
      <c r="B436" s="47" t="str">
        <f>VLOOKUP(Tabla6[[#This Row],['# Vuelo]],'Validacion reclamo de equipaje'!P:Q,2,0)</f>
        <v>MEXICO AEREO</v>
      </c>
      <c r="C436" s="48">
        <v>0.4201388888888889</v>
      </c>
      <c r="D436" s="48">
        <v>0.4236111111111111</v>
      </c>
      <c r="E436" s="49">
        <f>'Reclamo de equipaje rediseñado'!$D436-'Reclamo de equipaje rediseñado'!$C436</f>
        <v>3.4722222222222099E-3</v>
      </c>
      <c r="F436" s="48">
        <v>0.43055555555555558</v>
      </c>
      <c r="G436" s="49">
        <f t="shared" si="6"/>
        <v>6.9444444444444753E-3</v>
      </c>
      <c r="H436" s="50">
        <v>41715</v>
      </c>
      <c r="I436" s="51" t="s">
        <v>558</v>
      </c>
      <c r="J436" s="51" t="s">
        <v>554</v>
      </c>
      <c r="K436" s="51">
        <f>VLOOKUP(J436,'Validacion reclamo de equipaje'!L:M,2,0)</f>
        <v>189</v>
      </c>
      <c r="L436" s="51" t="str">
        <f>VLOOKUP(I436,'Validacion reclamo de equipaje'!H:I,2,0)</f>
        <v>Internacional</v>
      </c>
      <c r="M436" s="51" t="s">
        <v>522</v>
      </c>
    </row>
    <row r="437" spans="1:13" x14ac:dyDescent="0.25">
      <c r="A437">
        <v>120</v>
      </c>
      <c r="B437" s="47" t="str">
        <f>VLOOKUP(Tabla6[[#This Row],['# Vuelo]],'Validacion reclamo de equipaje'!P:Q,2,0)</f>
        <v>MEXICO AEREO</v>
      </c>
      <c r="C437" s="52">
        <v>0.42777777777777781</v>
      </c>
      <c r="D437" s="52">
        <v>0.43263888888888885</v>
      </c>
      <c r="E437" s="53">
        <f>'Reclamo de equipaje rediseñado'!$D437-'Reclamo de equipaje rediseñado'!$C437</f>
        <v>4.8611111111110383E-3</v>
      </c>
      <c r="F437" s="52">
        <v>0.43958333333333338</v>
      </c>
      <c r="G437" s="53">
        <f t="shared" si="6"/>
        <v>6.9444444444445308E-3</v>
      </c>
      <c r="H437" s="54">
        <v>41717</v>
      </c>
      <c r="I437" s="55" t="s">
        <v>558</v>
      </c>
      <c r="J437" s="55" t="s">
        <v>554</v>
      </c>
      <c r="K437" s="55">
        <f>VLOOKUP(J437,'Validacion reclamo de equipaje'!L:M,2,0)</f>
        <v>189</v>
      </c>
      <c r="L437" s="55" t="str">
        <f>VLOOKUP(I437,'Validacion reclamo de equipaje'!H:I,2,0)</f>
        <v>Internacional</v>
      </c>
      <c r="M437" s="55" t="s">
        <v>522</v>
      </c>
    </row>
    <row r="438" spans="1:13" x14ac:dyDescent="0.25">
      <c r="A438">
        <v>120</v>
      </c>
      <c r="B438" s="47" t="str">
        <f>VLOOKUP(Tabla6[[#This Row],['# Vuelo]],'Validacion reclamo de equipaje'!P:Q,2,0)</f>
        <v>MEXICO AEREO</v>
      </c>
      <c r="C438" s="48">
        <v>0.43611111111111112</v>
      </c>
      <c r="D438" s="48">
        <v>0.44097222222222227</v>
      </c>
      <c r="E438" s="49">
        <f>'Reclamo de equipaje rediseñado'!$D438-'Reclamo de equipaje rediseñado'!$C438</f>
        <v>4.8611111111111494E-3</v>
      </c>
      <c r="F438" s="48">
        <v>0.44444444444444442</v>
      </c>
      <c r="G438" s="49">
        <f t="shared" si="6"/>
        <v>3.4722222222221544E-3</v>
      </c>
      <c r="H438" s="50">
        <v>41721</v>
      </c>
      <c r="I438" s="51" t="s">
        <v>558</v>
      </c>
      <c r="J438" s="51" t="s">
        <v>554</v>
      </c>
      <c r="K438" s="51">
        <f>VLOOKUP(J438,'Validacion reclamo de equipaje'!L:M,2,0)</f>
        <v>189</v>
      </c>
      <c r="L438" s="51" t="str">
        <f>VLOOKUP(I438,'Validacion reclamo de equipaje'!H:I,2,0)</f>
        <v>Internacional</v>
      </c>
      <c r="M438" s="51" t="s">
        <v>522</v>
      </c>
    </row>
    <row r="439" spans="1:13" x14ac:dyDescent="0.25">
      <c r="A439">
        <v>120</v>
      </c>
      <c r="B439" s="47" t="str">
        <f>VLOOKUP(Tabla6[[#This Row],['# Vuelo]],'Validacion reclamo de equipaje'!P:Q,2,0)</f>
        <v>MEXICO AEREO</v>
      </c>
      <c r="C439" s="52">
        <v>0.44513888888888892</v>
      </c>
      <c r="D439" s="52">
        <v>0.45</v>
      </c>
      <c r="E439" s="53">
        <f>'Reclamo de equipaje rediseñado'!$D439-'Reclamo de equipaje rediseñado'!$C439</f>
        <v>4.8611111111110938E-3</v>
      </c>
      <c r="F439" s="52">
        <v>0.45694444444444443</v>
      </c>
      <c r="G439" s="53">
        <f t="shared" si="6"/>
        <v>6.9444444444444198E-3</v>
      </c>
      <c r="H439" s="54">
        <v>41722</v>
      </c>
      <c r="I439" s="55" t="s">
        <v>558</v>
      </c>
      <c r="J439" s="55" t="s">
        <v>554</v>
      </c>
      <c r="K439" s="55">
        <f>VLOOKUP(J439,'Validacion reclamo de equipaje'!L:M,2,0)</f>
        <v>189</v>
      </c>
      <c r="L439" s="55" t="str">
        <f>VLOOKUP(I439,'Validacion reclamo de equipaje'!H:I,2,0)</f>
        <v>Internacional</v>
      </c>
      <c r="M439" s="55" t="s">
        <v>522</v>
      </c>
    </row>
    <row r="440" spans="1:13" x14ac:dyDescent="0.25">
      <c r="A440">
        <v>120</v>
      </c>
      <c r="B440" s="47" t="str">
        <f>VLOOKUP(Tabla6[[#This Row],['# Vuelo]],'Validacion reclamo de equipaje'!P:Q,2,0)</f>
        <v>MEXICO AEREO</v>
      </c>
      <c r="C440" s="48">
        <v>0.42569444444444443</v>
      </c>
      <c r="D440" s="48">
        <v>0.43194444444444446</v>
      </c>
      <c r="E440" s="49">
        <f>'Reclamo de equipaje rediseñado'!$D440-'Reclamo de equipaje rediseñado'!$C440</f>
        <v>6.2500000000000333E-3</v>
      </c>
      <c r="F440" s="48">
        <v>0.43888888888888888</v>
      </c>
      <c r="G440" s="49">
        <f t="shared" si="6"/>
        <v>6.9444444444444198E-3</v>
      </c>
      <c r="H440" s="50">
        <v>41725</v>
      </c>
      <c r="I440" s="51" t="s">
        <v>558</v>
      </c>
      <c r="J440" s="51" t="s">
        <v>554</v>
      </c>
      <c r="K440" s="51">
        <f>VLOOKUP(J440,'Validacion reclamo de equipaje'!L:M,2,0)</f>
        <v>189</v>
      </c>
      <c r="L440" s="51" t="str">
        <f>VLOOKUP(I440,'Validacion reclamo de equipaje'!H:I,2,0)</f>
        <v>Internacional</v>
      </c>
      <c r="M440" s="51" t="s">
        <v>522</v>
      </c>
    </row>
    <row r="441" spans="1:13" x14ac:dyDescent="0.25">
      <c r="A441">
        <v>120</v>
      </c>
      <c r="B441" s="47" t="str">
        <f>VLOOKUP(Tabla6[[#This Row],['# Vuelo]],'Validacion reclamo de equipaje'!P:Q,2,0)</f>
        <v>MEXICO AEREO</v>
      </c>
      <c r="C441" s="52">
        <v>0.42222222222222222</v>
      </c>
      <c r="D441" s="52">
        <v>0.4236111111111111</v>
      </c>
      <c r="E441" s="53">
        <f>'Reclamo de equipaje rediseñado'!$D441-'Reclamo de equipaje rediseñado'!$C441</f>
        <v>1.388888888888884E-3</v>
      </c>
      <c r="F441" s="52">
        <v>0.43611111111111112</v>
      </c>
      <c r="G441" s="53">
        <f t="shared" si="6"/>
        <v>1.2500000000000011E-2</v>
      </c>
      <c r="H441" s="54">
        <v>41725</v>
      </c>
      <c r="I441" s="55" t="s">
        <v>558</v>
      </c>
      <c r="J441" s="55" t="s">
        <v>554</v>
      </c>
      <c r="K441" s="55">
        <f>VLOOKUP(J441,'Validacion reclamo de equipaje'!L:M,2,0)</f>
        <v>189</v>
      </c>
      <c r="L441" s="55" t="str">
        <f>VLOOKUP(I441,'Validacion reclamo de equipaje'!H:I,2,0)</f>
        <v>Internacional</v>
      </c>
      <c r="M441" s="55" t="s">
        <v>522</v>
      </c>
    </row>
    <row r="442" spans="1:13" x14ac:dyDescent="0.25">
      <c r="A442">
        <v>120</v>
      </c>
      <c r="B442" s="47" t="str">
        <f>VLOOKUP(Tabla6[[#This Row],['# Vuelo]],'Validacion reclamo de equipaje'!P:Q,2,0)</f>
        <v>MEXICO AEREO</v>
      </c>
      <c r="C442" s="48">
        <v>0.41944444444444445</v>
      </c>
      <c r="D442" s="48">
        <v>0.4236111111111111</v>
      </c>
      <c r="E442" s="49">
        <f>'Reclamo de equipaje rediseñado'!$D442-'Reclamo de equipaje rediseñado'!$C442</f>
        <v>4.1666666666666519E-3</v>
      </c>
      <c r="F442" s="48">
        <v>0.4291666666666667</v>
      </c>
      <c r="G442" s="49">
        <f t="shared" si="6"/>
        <v>5.5555555555555913E-3</v>
      </c>
      <c r="H442" s="50">
        <v>41729</v>
      </c>
      <c r="I442" s="51" t="s">
        <v>558</v>
      </c>
      <c r="J442" s="51" t="s">
        <v>554</v>
      </c>
      <c r="K442" s="51">
        <f>VLOOKUP(J442,'Validacion reclamo de equipaje'!L:M,2,0)</f>
        <v>189</v>
      </c>
      <c r="L442" s="51" t="str">
        <f>VLOOKUP(I442,'Validacion reclamo de equipaje'!H:I,2,0)</f>
        <v>Internacional</v>
      </c>
      <c r="M442" s="51" t="s">
        <v>522</v>
      </c>
    </row>
    <row r="443" spans="1:13" x14ac:dyDescent="0.25">
      <c r="A443">
        <v>120</v>
      </c>
      <c r="B443" s="47" t="str">
        <f>VLOOKUP(Tabla6[[#This Row],['# Vuelo]],'Validacion reclamo de equipaje'!P:Q,2,0)</f>
        <v>MEXICO AEREO</v>
      </c>
      <c r="C443" s="52">
        <v>0.41875000000000001</v>
      </c>
      <c r="D443" s="52">
        <v>0.42083333333333334</v>
      </c>
      <c r="E443" s="53">
        <f>'Reclamo de equipaje rediseñado'!$D443-'Reclamo de equipaje rediseñado'!$C443</f>
        <v>2.0833333333333259E-3</v>
      </c>
      <c r="F443" s="52">
        <v>0.42638888888888887</v>
      </c>
      <c r="G443" s="53">
        <f t="shared" si="6"/>
        <v>5.5555555555555358E-3</v>
      </c>
      <c r="H443" s="54">
        <v>41716</v>
      </c>
      <c r="I443" s="55" t="s">
        <v>558</v>
      </c>
      <c r="J443" s="55" t="s">
        <v>554</v>
      </c>
      <c r="K443" s="55">
        <f>VLOOKUP(J443,'Validacion reclamo de equipaje'!L:M,2,0)</f>
        <v>189</v>
      </c>
      <c r="L443" s="55" t="str">
        <f>VLOOKUP(I443,'Validacion reclamo de equipaje'!H:I,2,0)</f>
        <v>Internacional</v>
      </c>
      <c r="M443" s="55" t="s">
        <v>522</v>
      </c>
    </row>
    <row r="444" spans="1:13" x14ac:dyDescent="0.25">
      <c r="A444">
        <v>108</v>
      </c>
      <c r="B444" s="47" t="str">
        <f>VLOOKUP(Tabla6[[#This Row],['# Vuelo]],'Validacion reclamo de equipaje'!P:Q,2,0)</f>
        <v>MEXICO AEREO</v>
      </c>
      <c r="C444" s="48">
        <v>0.49027777777777781</v>
      </c>
      <c r="D444" s="48">
        <v>0.50069444444444444</v>
      </c>
      <c r="E444" s="49">
        <f>'Reclamo de equipaje rediseñado'!$D444-'Reclamo de equipaje rediseñado'!$C444</f>
        <v>1.041666666666663E-2</v>
      </c>
      <c r="F444" s="48">
        <v>0.50694444444444442</v>
      </c>
      <c r="G444" s="49">
        <f t="shared" si="6"/>
        <v>6.2499999999999778E-3</v>
      </c>
      <c r="H444" s="50">
        <v>41715</v>
      </c>
      <c r="I444" s="51" t="s">
        <v>536</v>
      </c>
      <c r="J444" s="51" t="s">
        <v>560</v>
      </c>
      <c r="K444" s="51">
        <f>VLOOKUP(J444,'Validacion reclamo de equipaje'!L:M,2,0)</f>
        <v>126</v>
      </c>
      <c r="L444" s="51" t="str">
        <f>VLOOKUP(I444,'Validacion reclamo de equipaje'!H:I,2,0)</f>
        <v>Nacional</v>
      </c>
      <c r="M444" s="51" t="s">
        <v>522</v>
      </c>
    </row>
    <row r="445" spans="1:13" x14ac:dyDescent="0.25">
      <c r="A445">
        <v>108</v>
      </c>
      <c r="B445" s="47" t="str">
        <f>VLOOKUP(Tabla6[[#This Row],['# Vuelo]],'Validacion reclamo de equipaje'!P:Q,2,0)</f>
        <v>MEXICO AEREO</v>
      </c>
      <c r="C445" s="52">
        <v>0.50416666666666665</v>
      </c>
      <c r="D445" s="52">
        <v>0.50902777777777775</v>
      </c>
      <c r="E445" s="53">
        <f>'Reclamo de equipaje rediseñado'!$D445-'Reclamo de equipaje rediseñado'!$C445</f>
        <v>4.8611111111110938E-3</v>
      </c>
      <c r="F445" s="52">
        <v>0.51250000000000007</v>
      </c>
      <c r="G445" s="53">
        <f t="shared" si="6"/>
        <v>3.4722222222223209E-3</v>
      </c>
      <c r="H445" s="54">
        <v>41716</v>
      </c>
      <c r="I445" s="55" t="s">
        <v>536</v>
      </c>
      <c r="J445" s="55" t="s">
        <v>560</v>
      </c>
      <c r="K445" s="55">
        <f>VLOOKUP(J445,'Validacion reclamo de equipaje'!L:M,2,0)</f>
        <v>126</v>
      </c>
      <c r="L445" s="55" t="str">
        <f>VLOOKUP(I445,'Validacion reclamo de equipaje'!H:I,2,0)</f>
        <v>Nacional</v>
      </c>
      <c r="M445" s="55" t="s">
        <v>522</v>
      </c>
    </row>
    <row r="446" spans="1:13" x14ac:dyDescent="0.25">
      <c r="A446">
        <v>108</v>
      </c>
      <c r="B446" s="47" t="str">
        <f>VLOOKUP(Tabla6[[#This Row],['# Vuelo]],'Validacion reclamo de equipaje'!P:Q,2,0)</f>
        <v>MEXICO AEREO</v>
      </c>
      <c r="C446" s="48">
        <v>0.50486111111111109</v>
      </c>
      <c r="D446" s="48">
        <v>0.50972222222222219</v>
      </c>
      <c r="E446" s="49">
        <f>'Reclamo de equipaje rediseñado'!$D446-'Reclamo de equipaje rediseñado'!$C446</f>
        <v>4.8611111111110938E-3</v>
      </c>
      <c r="F446" s="48">
        <v>0.51736111111111105</v>
      </c>
      <c r="G446" s="49">
        <f t="shared" si="6"/>
        <v>7.6388888888888618E-3</v>
      </c>
      <c r="H446" s="50">
        <v>41717</v>
      </c>
      <c r="I446" s="51" t="s">
        <v>536</v>
      </c>
      <c r="J446" s="51" t="s">
        <v>560</v>
      </c>
      <c r="K446" s="51">
        <f>VLOOKUP(J446,'Validacion reclamo de equipaje'!L:M,2,0)</f>
        <v>126</v>
      </c>
      <c r="L446" s="51" t="str">
        <f>VLOOKUP(I446,'Validacion reclamo de equipaje'!H:I,2,0)</f>
        <v>Nacional</v>
      </c>
      <c r="M446" s="51" t="s">
        <v>522</v>
      </c>
    </row>
    <row r="447" spans="1:13" x14ac:dyDescent="0.25">
      <c r="A447">
        <v>108</v>
      </c>
      <c r="B447" s="47" t="str">
        <f>VLOOKUP(Tabla6[[#This Row],['# Vuelo]],'Validacion reclamo de equipaje'!P:Q,2,0)</f>
        <v>MEXICO AEREO</v>
      </c>
      <c r="C447" s="52">
        <v>0.51111111111111118</v>
      </c>
      <c r="D447" s="52">
        <v>0.51597222222222217</v>
      </c>
      <c r="E447" s="53">
        <f>'Reclamo de equipaje rediseñado'!$D447-'Reclamo de equipaje rediseñado'!$C447</f>
        <v>4.8611111111109828E-3</v>
      </c>
      <c r="F447" s="52">
        <v>0.5229166666666667</v>
      </c>
      <c r="G447" s="53">
        <f t="shared" si="6"/>
        <v>6.9444444444445308E-3</v>
      </c>
      <c r="H447" s="54">
        <v>41718</v>
      </c>
      <c r="I447" s="55" t="s">
        <v>536</v>
      </c>
      <c r="J447" s="55" t="s">
        <v>560</v>
      </c>
      <c r="K447" s="55">
        <f>VLOOKUP(J447,'Validacion reclamo de equipaje'!L:M,2,0)</f>
        <v>126</v>
      </c>
      <c r="L447" s="55" t="str">
        <f>VLOOKUP(I447,'Validacion reclamo de equipaje'!H:I,2,0)</f>
        <v>Nacional</v>
      </c>
      <c r="M447" s="55" t="s">
        <v>522</v>
      </c>
    </row>
    <row r="448" spans="1:13" x14ac:dyDescent="0.25">
      <c r="A448">
        <v>108</v>
      </c>
      <c r="B448" s="47" t="str">
        <f>VLOOKUP(Tabla6[[#This Row],['# Vuelo]],'Validacion reclamo de equipaje'!P:Q,2,0)</f>
        <v>MEXICO AEREO</v>
      </c>
      <c r="C448" s="48">
        <v>0.50138888888888888</v>
      </c>
      <c r="D448" s="48">
        <v>0.50347222222222221</v>
      </c>
      <c r="E448" s="49">
        <f>'Reclamo de equipaje rediseñado'!$D448-'Reclamo de equipaje rediseñado'!$C448</f>
        <v>2.0833333333333259E-3</v>
      </c>
      <c r="F448" s="48">
        <v>0.51041666666666663</v>
      </c>
      <c r="G448" s="49">
        <f t="shared" si="6"/>
        <v>6.9444444444444198E-3</v>
      </c>
      <c r="H448" s="50">
        <v>41720</v>
      </c>
      <c r="I448" s="51" t="s">
        <v>536</v>
      </c>
      <c r="J448" s="51" t="s">
        <v>560</v>
      </c>
      <c r="K448" s="51">
        <f>VLOOKUP(J448,'Validacion reclamo de equipaje'!L:M,2,0)</f>
        <v>126</v>
      </c>
      <c r="L448" s="51" t="str">
        <f>VLOOKUP(I448,'Validacion reclamo de equipaje'!H:I,2,0)</f>
        <v>Nacional</v>
      </c>
      <c r="M448" s="51" t="s">
        <v>522</v>
      </c>
    </row>
    <row r="449" spans="1:13" x14ac:dyDescent="0.25">
      <c r="A449">
        <v>108</v>
      </c>
      <c r="B449" s="47" t="str">
        <f>VLOOKUP(Tabla6[[#This Row],['# Vuelo]],'Validacion reclamo de equipaje'!P:Q,2,0)</f>
        <v>MEXICO AEREO</v>
      </c>
      <c r="C449" s="52">
        <v>0.51111111111111118</v>
      </c>
      <c r="D449" s="52">
        <v>0.51597222222222217</v>
      </c>
      <c r="E449" s="53">
        <f>'Reclamo de equipaje rediseñado'!$D449-'Reclamo de equipaje rediseñado'!$C449</f>
        <v>4.8611111111109828E-3</v>
      </c>
      <c r="F449" s="52">
        <v>0.52222222222222225</v>
      </c>
      <c r="G449" s="53">
        <f t="shared" si="6"/>
        <v>6.2500000000000888E-3</v>
      </c>
      <c r="H449" s="54">
        <v>41722</v>
      </c>
      <c r="I449" s="55" t="s">
        <v>536</v>
      </c>
      <c r="J449" s="55" t="s">
        <v>560</v>
      </c>
      <c r="K449" s="55">
        <f>VLOOKUP(J449,'Validacion reclamo de equipaje'!L:M,2,0)</f>
        <v>126</v>
      </c>
      <c r="L449" s="55" t="str">
        <f>VLOOKUP(I449,'Validacion reclamo de equipaje'!H:I,2,0)</f>
        <v>Nacional</v>
      </c>
      <c r="M449" s="55" t="s">
        <v>522</v>
      </c>
    </row>
    <row r="450" spans="1:13" x14ac:dyDescent="0.25">
      <c r="A450">
        <v>108</v>
      </c>
      <c r="B450" s="47" t="str">
        <f>VLOOKUP(Tabla6[[#This Row],['# Vuelo]],'Validacion reclamo de equipaje'!P:Q,2,0)</f>
        <v>MEXICO AEREO</v>
      </c>
      <c r="C450" s="48">
        <v>0.5083333333333333</v>
      </c>
      <c r="D450" s="48">
        <v>0.51458333333333328</v>
      </c>
      <c r="E450" s="49">
        <f>'Reclamo de equipaje rediseñado'!$D450-'Reclamo de equipaje rediseñado'!$C450</f>
        <v>6.2499999999999778E-3</v>
      </c>
      <c r="F450" s="48">
        <v>0.52152777777777781</v>
      </c>
      <c r="G450" s="49">
        <f t="shared" si="6"/>
        <v>6.9444444444445308E-3</v>
      </c>
      <c r="H450" s="50">
        <v>41725</v>
      </c>
      <c r="I450" s="51" t="s">
        <v>536</v>
      </c>
      <c r="J450" s="51" t="s">
        <v>560</v>
      </c>
      <c r="K450" s="51">
        <f>VLOOKUP(J450,'Validacion reclamo de equipaje'!L:M,2,0)</f>
        <v>126</v>
      </c>
      <c r="L450" s="51" t="str">
        <f>VLOOKUP(I450,'Validacion reclamo de equipaje'!H:I,2,0)</f>
        <v>Nacional</v>
      </c>
      <c r="M450" s="51" t="s">
        <v>522</v>
      </c>
    </row>
    <row r="451" spans="1:13" x14ac:dyDescent="0.25">
      <c r="A451">
        <v>108</v>
      </c>
      <c r="B451" s="47" t="str">
        <f>VLOOKUP(Tabla6[[#This Row],['# Vuelo]],'Validacion reclamo de equipaje'!P:Q,2,0)</f>
        <v>MEXICO AEREO</v>
      </c>
      <c r="C451" s="52">
        <v>0.50416666666666665</v>
      </c>
      <c r="D451" s="52">
        <v>0.51180555555555551</v>
      </c>
      <c r="E451" s="53">
        <f>'Reclamo de equipaje rediseñado'!$D451-'Reclamo de equipaje rediseñado'!$C451</f>
        <v>7.6388888888888618E-3</v>
      </c>
      <c r="F451" s="52">
        <v>0.51388888888888895</v>
      </c>
      <c r="G451" s="53">
        <f t="shared" ref="G451:G514" si="7">F451-D451</f>
        <v>2.083333333333437E-3</v>
      </c>
      <c r="H451" s="54">
        <v>41725</v>
      </c>
      <c r="I451" s="55" t="s">
        <v>536</v>
      </c>
      <c r="J451" s="55" t="s">
        <v>560</v>
      </c>
      <c r="K451" s="55">
        <f>VLOOKUP(J451,'Validacion reclamo de equipaje'!L:M,2,0)</f>
        <v>126</v>
      </c>
      <c r="L451" s="55" t="str">
        <f>VLOOKUP(I451,'Validacion reclamo de equipaje'!H:I,2,0)</f>
        <v>Nacional</v>
      </c>
      <c r="M451" s="55" t="s">
        <v>522</v>
      </c>
    </row>
    <row r="452" spans="1:13" x14ac:dyDescent="0.25">
      <c r="A452">
        <v>108</v>
      </c>
      <c r="B452" s="47" t="str">
        <f>VLOOKUP(Tabla6[[#This Row],['# Vuelo]],'Validacion reclamo de equipaje'!P:Q,2,0)</f>
        <v>MEXICO AEREO</v>
      </c>
      <c r="C452" s="48">
        <v>0.5083333333333333</v>
      </c>
      <c r="D452" s="48">
        <v>0.51180555555555551</v>
      </c>
      <c r="E452" s="49">
        <f>'Reclamo de equipaje rediseñado'!$D452-'Reclamo de equipaje rediseñado'!$C452</f>
        <v>3.4722222222222099E-3</v>
      </c>
      <c r="F452" s="48">
        <v>0.52152777777777781</v>
      </c>
      <c r="G452" s="49">
        <f t="shared" si="7"/>
        <v>9.7222222222222987E-3</v>
      </c>
      <c r="H452" s="50">
        <v>41726</v>
      </c>
      <c r="I452" s="51" t="s">
        <v>536</v>
      </c>
      <c r="J452" s="51" t="s">
        <v>560</v>
      </c>
      <c r="K452" s="51">
        <f>VLOOKUP(J452,'Validacion reclamo de equipaje'!L:M,2,0)</f>
        <v>126</v>
      </c>
      <c r="L452" s="51" t="str">
        <f>VLOOKUP(I452,'Validacion reclamo de equipaje'!H:I,2,0)</f>
        <v>Nacional</v>
      </c>
      <c r="M452" s="51" t="s">
        <v>522</v>
      </c>
    </row>
    <row r="453" spans="1:13" x14ac:dyDescent="0.25">
      <c r="A453">
        <v>108</v>
      </c>
      <c r="B453" s="47" t="str">
        <f>VLOOKUP(Tabla6[[#This Row],['# Vuelo]],'Validacion reclamo de equipaje'!P:Q,2,0)</f>
        <v>MEXICO AEREO</v>
      </c>
      <c r="C453" s="52">
        <v>0.50624999999999998</v>
      </c>
      <c r="D453" s="52">
        <v>0.51041666666666663</v>
      </c>
      <c r="E453" s="53">
        <f>'Reclamo de equipaje rediseñado'!$D453-'Reclamo de equipaje rediseñado'!$C453</f>
        <v>4.1666666666666519E-3</v>
      </c>
      <c r="F453" s="52">
        <v>0.51736111111111105</v>
      </c>
      <c r="G453" s="53">
        <f t="shared" si="7"/>
        <v>6.9444444444444198E-3</v>
      </c>
      <c r="H453" s="54">
        <v>41727</v>
      </c>
      <c r="I453" s="55" t="s">
        <v>536</v>
      </c>
      <c r="J453" s="55" t="s">
        <v>560</v>
      </c>
      <c r="K453" s="55">
        <f>VLOOKUP(J453,'Validacion reclamo de equipaje'!L:M,2,0)</f>
        <v>126</v>
      </c>
      <c r="L453" s="55" t="str">
        <f>VLOOKUP(I453,'Validacion reclamo de equipaje'!H:I,2,0)</f>
        <v>Nacional</v>
      </c>
      <c r="M453" s="55" t="s">
        <v>522</v>
      </c>
    </row>
    <row r="454" spans="1:13" x14ac:dyDescent="0.25">
      <c r="A454">
        <v>108</v>
      </c>
      <c r="B454" s="47" t="str">
        <f>VLOOKUP(Tabla6[[#This Row],['# Vuelo]],'Validacion reclamo de equipaje'!P:Q,2,0)</f>
        <v>MEXICO AEREO</v>
      </c>
      <c r="C454" s="48">
        <v>0.50347222222222221</v>
      </c>
      <c r="D454" s="48">
        <v>0.50694444444444442</v>
      </c>
      <c r="E454" s="49">
        <f>'Reclamo de equipaje rediseñado'!$D454-'Reclamo de equipaje rediseñado'!$C454</f>
        <v>3.4722222222222099E-3</v>
      </c>
      <c r="F454" s="48">
        <v>0.51388888888888895</v>
      </c>
      <c r="G454" s="49">
        <f t="shared" si="7"/>
        <v>6.9444444444445308E-3</v>
      </c>
      <c r="H454" s="50">
        <v>41729</v>
      </c>
      <c r="I454" s="51" t="s">
        <v>536</v>
      </c>
      <c r="J454" s="51" t="s">
        <v>560</v>
      </c>
      <c r="K454" s="51">
        <f>VLOOKUP(J454,'Validacion reclamo de equipaje'!L:M,2,0)</f>
        <v>126</v>
      </c>
      <c r="L454" s="51" t="str">
        <f>VLOOKUP(I454,'Validacion reclamo de equipaje'!H:I,2,0)</f>
        <v>Nacional</v>
      </c>
      <c r="M454" s="51" t="s">
        <v>522</v>
      </c>
    </row>
    <row r="455" spans="1:13" x14ac:dyDescent="0.25">
      <c r="A455">
        <v>104</v>
      </c>
      <c r="B455" s="47" t="str">
        <f>VLOOKUP(Tabla6[[#This Row],['# Vuelo]],'Validacion reclamo de equipaje'!P:Q,2,0)</f>
        <v>MEXICO AEREO</v>
      </c>
      <c r="C455" s="52">
        <v>0.4680555555555555</v>
      </c>
      <c r="D455" s="52">
        <v>0.47152777777777777</v>
      </c>
      <c r="E455" s="53">
        <f>'Reclamo de equipaje rediseñado'!$D455-'Reclamo de equipaje rediseñado'!$C455</f>
        <v>3.4722222222222654E-3</v>
      </c>
      <c r="F455" s="52">
        <v>0.4770833333333333</v>
      </c>
      <c r="G455" s="53">
        <f t="shared" si="7"/>
        <v>5.5555555555555358E-3</v>
      </c>
      <c r="H455" s="54">
        <v>41714</v>
      </c>
      <c r="I455" s="55" t="s">
        <v>536</v>
      </c>
      <c r="J455" s="55" t="s">
        <v>565</v>
      </c>
      <c r="K455" s="55">
        <f>VLOOKUP(J455,'Validacion reclamo de equipaje'!L:M,2,0)</f>
        <v>99</v>
      </c>
      <c r="L455" s="55" t="str">
        <f>VLOOKUP(I455,'Validacion reclamo de equipaje'!H:I,2,0)</f>
        <v>Nacional</v>
      </c>
      <c r="M455" s="55" t="s">
        <v>522</v>
      </c>
    </row>
    <row r="456" spans="1:13" x14ac:dyDescent="0.25">
      <c r="A456">
        <v>104</v>
      </c>
      <c r="B456" s="47" t="str">
        <f>VLOOKUP(Tabla6[[#This Row],['# Vuelo]],'Validacion reclamo de equipaje'!P:Q,2,0)</f>
        <v>MEXICO AEREO</v>
      </c>
      <c r="C456" s="48">
        <v>0.49374999999999997</v>
      </c>
      <c r="D456" s="48">
        <v>0.5</v>
      </c>
      <c r="E456" s="49">
        <f>'Reclamo de equipaje rediseñado'!$D456-'Reclamo de equipaje rediseñado'!$C456</f>
        <v>6.2500000000000333E-3</v>
      </c>
      <c r="F456" s="48">
        <v>0.50694444444444442</v>
      </c>
      <c r="G456" s="49">
        <f t="shared" si="7"/>
        <v>6.9444444444444198E-3</v>
      </c>
      <c r="H456" s="50">
        <v>41716</v>
      </c>
      <c r="I456" s="51" t="s">
        <v>536</v>
      </c>
      <c r="J456" s="51" t="s">
        <v>565</v>
      </c>
      <c r="K456" s="51">
        <f>VLOOKUP(J456,'Validacion reclamo de equipaje'!L:M,2,0)</f>
        <v>99</v>
      </c>
      <c r="L456" s="51" t="str">
        <f>VLOOKUP(I456,'Validacion reclamo de equipaje'!H:I,2,0)</f>
        <v>Nacional</v>
      </c>
      <c r="M456" s="51" t="s">
        <v>522</v>
      </c>
    </row>
    <row r="457" spans="1:13" x14ac:dyDescent="0.25">
      <c r="A457">
        <v>104</v>
      </c>
      <c r="B457" s="47" t="str">
        <f>VLOOKUP(Tabla6[[#This Row],['# Vuelo]],'Validacion reclamo de equipaje'!P:Q,2,0)</f>
        <v>MEXICO AEREO</v>
      </c>
      <c r="C457" s="52">
        <v>0.49513888888888885</v>
      </c>
      <c r="D457" s="52">
        <v>0.5</v>
      </c>
      <c r="E457" s="53">
        <f>'Reclamo de equipaje rediseñado'!$D457-'Reclamo de equipaje rediseñado'!$C457</f>
        <v>4.8611111111111494E-3</v>
      </c>
      <c r="F457" s="52">
        <v>0.50694444444444442</v>
      </c>
      <c r="G457" s="53">
        <f t="shared" si="7"/>
        <v>6.9444444444444198E-3</v>
      </c>
      <c r="H457" s="54">
        <v>41718</v>
      </c>
      <c r="I457" s="55" t="s">
        <v>536</v>
      </c>
      <c r="J457" s="55" t="s">
        <v>565</v>
      </c>
      <c r="K457" s="55">
        <f>VLOOKUP(J457,'Validacion reclamo de equipaje'!L:M,2,0)</f>
        <v>99</v>
      </c>
      <c r="L457" s="55" t="str">
        <f>VLOOKUP(I457,'Validacion reclamo de equipaje'!H:I,2,0)</f>
        <v>Nacional</v>
      </c>
      <c r="M457" s="55" t="s">
        <v>522</v>
      </c>
    </row>
    <row r="458" spans="1:13" x14ac:dyDescent="0.25">
      <c r="A458">
        <v>104</v>
      </c>
      <c r="B458" s="47" t="str">
        <f>VLOOKUP(Tabla6[[#This Row],['# Vuelo]],'Validacion reclamo de equipaje'!P:Q,2,0)</f>
        <v>MEXICO AEREO</v>
      </c>
      <c r="C458" s="48">
        <v>0.46180555555555558</v>
      </c>
      <c r="D458" s="48">
        <v>0.46875</v>
      </c>
      <c r="E458" s="49">
        <f>'Reclamo de equipaje rediseñado'!$D458-'Reclamo de equipaje rediseñado'!$C458</f>
        <v>6.9444444444444198E-3</v>
      </c>
      <c r="F458" s="48">
        <v>0.47569444444444442</v>
      </c>
      <c r="G458" s="49">
        <f t="shared" si="7"/>
        <v>6.9444444444444198E-3</v>
      </c>
      <c r="H458" s="50">
        <v>41720</v>
      </c>
      <c r="I458" s="51" t="s">
        <v>536</v>
      </c>
      <c r="J458" s="51" t="s">
        <v>565</v>
      </c>
      <c r="K458" s="51">
        <f>VLOOKUP(J458,'Validacion reclamo de equipaje'!L:M,2,0)</f>
        <v>99</v>
      </c>
      <c r="L458" s="51" t="str">
        <f>VLOOKUP(I458,'Validacion reclamo de equipaje'!H:I,2,0)</f>
        <v>Nacional</v>
      </c>
      <c r="M458" s="51" t="s">
        <v>522</v>
      </c>
    </row>
    <row r="459" spans="1:13" x14ac:dyDescent="0.25">
      <c r="A459">
        <v>104</v>
      </c>
      <c r="B459" s="47" t="str">
        <f>VLOOKUP(Tabla6[[#This Row],['# Vuelo]],'Validacion reclamo de equipaje'!P:Q,2,0)</f>
        <v>MEXICO AEREO</v>
      </c>
      <c r="C459" s="52">
        <v>0.4680555555555555</v>
      </c>
      <c r="D459" s="52">
        <v>0.47222222222222227</v>
      </c>
      <c r="E459" s="53">
        <f>'Reclamo de equipaje rediseñado'!$D459-'Reclamo de equipaje rediseñado'!$C459</f>
        <v>4.1666666666667629E-3</v>
      </c>
      <c r="F459" s="52">
        <v>0.48194444444444445</v>
      </c>
      <c r="G459" s="53">
        <f t="shared" si="7"/>
        <v>9.7222222222221877E-3</v>
      </c>
      <c r="H459" s="54">
        <v>41721</v>
      </c>
      <c r="I459" s="55" t="s">
        <v>536</v>
      </c>
      <c r="J459" s="55" t="s">
        <v>565</v>
      </c>
      <c r="K459" s="55">
        <f>VLOOKUP(J459,'Validacion reclamo de equipaje'!L:M,2,0)</f>
        <v>99</v>
      </c>
      <c r="L459" s="55" t="str">
        <f>VLOOKUP(I459,'Validacion reclamo de equipaje'!H:I,2,0)</f>
        <v>Nacional</v>
      </c>
      <c r="M459" s="55" t="s">
        <v>522</v>
      </c>
    </row>
    <row r="460" spans="1:13" x14ac:dyDescent="0.25">
      <c r="A460">
        <v>104</v>
      </c>
      <c r="B460" s="47" t="str">
        <f>VLOOKUP(Tabla6[[#This Row],['# Vuelo]],'Validacion reclamo de equipaje'!P:Q,2,0)</f>
        <v>MEXICO AEREO</v>
      </c>
      <c r="C460" s="48">
        <v>0.47152777777777777</v>
      </c>
      <c r="D460" s="48">
        <v>0.47500000000000003</v>
      </c>
      <c r="E460" s="49">
        <f>'Reclamo de equipaje rediseñado'!$D460-'Reclamo de equipaje rediseñado'!$C460</f>
        <v>3.4722222222222654E-3</v>
      </c>
      <c r="F460" s="48">
        <v>0.48402777777777778</v>
      </c>
      <c r="G460" s="49">
        <f t="shared" si="7"/>
        <v>9.0277777777777457E-3</v>
      </c>
      <c r="H460" s="50">
        <v>41727</v>
      </c>
      <c r="I460" s="51" t="s">
        <v>536</v>
      </c>
      <c r="J460" s="51" t="s">
        <v>565</v>
      </c>
      <c r="K460" s="51">
        <f>VLOOKUP(J460,'Validacion reclamo de equipaje'!L:M,2,0)</f>
        <v>99</v>
      </c>
      <c r="L460" s="51" t="str">
        <f>VLOOKUP(I460,'Validacion reclamo de equipaje'!H:I,2,0)</f>
        <v>Nacional</v>
      </c>
      <c r="M460" s="51" t="s">
        <v>522</v>
      </c>
    </row>
    <row r="461" spans="1:13" x14ac:dyDescent="0.25">
      <c r="A461">
        <v>102</v>
      </c>
      <c r="B461" s="47" t="str">
        <f>VLOOKUP(Tabla6[[#This Row],['# Vuelo]],'Validacion reclamo de equipaje'!P:Q,2,0)</f>
        <v>MEXICO AEREO</v>
      </c>
      <c r="C461" s="52">
        <v>0.33263888888888887</v>
      </c>
      <c r="D461" s="52">
        <v>0.34027777777777773</v>
      </c>
      <c r="E461" s="53">
        <f>'Reclamo de equipaje rediseñado'!$D461-'Reclamo de equipaje rediseñado'!$C461</f>
        <v>7.6388888888888618E-3</v>
      </c>
      <c r="F461" s="52">
        <v>0.34652777777777777</v>
      </c>
      <c r="G461" s="53">
        <f t="shared" si="7"/>
        <v>6.2500000000000333E-3</v>
      </c>
      <c r="H461" s="54">
        <v>41718</v>
      </c>
      <c r="I461" s="55" t="s">
        <v>536</v>
      </c>
      <c r="J461" s="55" t="s">
        <v>535</v>
      </c>
      <c r="K461" s="55">
        <f>VLOOKUP(J461,'Validacion reclamo de equipaje'!L:M,2,0)</f>
        <v>50</v>
      </c>
      <c r="L461" s="55" t="str">
        <f>VLOOKUP(I461,'Validacion reclamo de equipaje'!H:I,2,0)</f>
        <v>Nacional</v>
      </c>
      <c r="M461" s="55" t="s">
        <v>522</v>
      </c>
    </row>
    <row r="462" spans="1:13" x14ac:dyDescent="0.25">
      <c r="A462">
        <v>102</v>
      </c>
      <c r="B462" s="47" t="str">
        <f>VLOOKUP(Tabla6[[#This Row],['# Vuelo]],'Validacion reclamo de equipaje'!P:Q,2,0)</f>
        <v>MEXICO AEREO</v>
      </c>
      <c r="C462" s="48">
        <v>0.3125</v>
      </c>
      <c r="D462" s="48">
        <v>0.32222222222222224</v>
      </c>
      <c r="E462" s="49">
        <f>'Reclamo de equipaje rediseñado'!$D462-'Reclamo de equipaje rediseñado'!$C462</f>
        <v>9.7222222222222432E-3</v>
      </c>
      <c r="F462" s="48">
        <v>0.32500000000000001</v>
      </c>
      <c r="G462" s="49">
        <f t="shared" si="7"/>
        <v>2.7777777777777679E-3</v>
      </c>
      <c r="H462" s="50">
        <v>41720</v>
      </c>
      <c r="I462" s="51" t="s">
        <v>536</v>
      </c>
      <c r="J462" s="51" t="s">
        <v>535</v>
      </c>
      <c r="K462" s="51">
        <f>VLOOKUP(J462,'Validacion reclamo de equipaje'!L:M,2,0)</f>
        <v>50</v>
      </c>
      <c r="L462" s="51" t="str">
        <f>VLOOKUP(I462,'Validacion reclamo de equipaje'!H:I,2,0)</f>
        <v>Nacional</v>
      </c>
      <c r="M462" s="51" t="s">
        <v>522</v>
      </c>
    </row>
    <row r="463" spans="1:13" x14ac:dyDescent="0.25">
      <c r="A463">
        <v>102</v>
      </c>
      <c r="B463" s="47" t="str">
        <f>VLOOKUP(Tabla6[[#This Row],['# Vuelo]],'Validacion reclamo de equipaje'!P:Q,2,0)</f>
        <v>MEXICO AEREO</v>
      </c>
      <c r="C463" s="52">
        <v>0.3298611111111111</v>
      </c>
      <c r="D463" s="52">
        <v>0.33124999999999999</v>
      </c>
      <c r="E463" s="53">
        <f>'Reclamo de equipaje rediseñado'!$D463-'Reclamo de equipaje rediseñado'!$C463</f>
        <v>1.388888888888884E-3</v>
      </c>
      <c r="F463" s="52">
        <v>0.33333333333333331</v>
      </c>
      <c r="G463" s="53">
        <f t="shared" si="7"/>
        <v>2.0833333333333259E-3</v>
      </c>
      <c r="H463" s="54">
        <v>41717</v>
      </c>
      <c r="I463" s="55" t="s">
        <v>536</v>
      </c>
      <c r="J463" s="55" t="s">
        <v>535</v>
      </c>
      <c r="K463" s="55">
        <f>VLOOKUP(J463,'Validacion reclamo de equipaje'!L:M,2,0)</f>
        <v>50</v>
      </c>
      <c r="L463" s="55" t="str">
        <f>VLOOKUP(I463,'Validacion reclamo de equipaje'!H:I,2,0)</f>
        <v>Nacional</v>
      </c>
      <c r="M463" s="55" t="s">
        <v>522</v>
      </c>
    </row>
    <row r="464" spans="1:13" x14ac:dyDescent="0.25">
      <c r="A464">
        <v>100</v>
      </c>
      <c r="B464" s="47" t="str">
        <f>VLOOKUP(Tabla6[[#This Row],['# Vuelo]],'Validacion reclamo de equipaje'!P:Q,2,0)</f>
        <v>MEXICO AEREO</v>
      </c>
      <c r="C464" s="48">
        <v>0.34027777777777773</v>
      </c>
      <c r="D464" s="48">
        <v>0.34583333333333338</v>
      </c>
      <c r="E464" s="49">
        <f>'Reclamo de equipaje rediseñado'!$D464-'Reclamo de equipaje rediseñado'!$C464</f>
        <v>5.5555555555556468E-3</v>
      </c>
      <c r="F464" s="48">
        <v>0.3527777777777778</v>
      </c>
      <c r="G464" s="49">
        <f t="shared" si="7"/>
        <v>6.9444444444444198E-3</v>
      </c>
      <c r="H464" s="50">
        <v>41714</v>
      </c>
      <c r="I464" s="51" t="s">
        <v>536</v>
      </c>
      <c r="J464" s="51" t="s">
        <v>560</v>
      </c>
      <c r="K464" s="51">
        <f>VLOOKUP(J464,'Validacion reclamo de equipaje'!L:M,2,0)</f>
        <v>126</v>
      </c>
      <c r="L464" s="51" t="str">
        <f>VLOOKUP(I464,'Validacion reclamo de equipaje'!H:I,2,0)</f>
        <v>Nacional</v>
      </c>
      <c r="M464" s="51" t="s">
        <v>522</v>
      </c>
    </row>
    <row r="465" spans="1:13" x14ac:dyDescent="0.25">
      <c r="A465">
        <v>100</v>
      </c>
      <c r="B465" s="47" t="str">
        <f>VLOOKUP(Tabla6[[#This Row],['# Vuelo]],'Validacion reclamo de equipaje'!P:Q,2,0)</f>
        <v>MEXICO AEREO</v>
      </c>
      <c r="C465" s="52">
        <v>0.34236111111111112</v>
      </c>
      <c r="D465" s="52">
        <v>0.35069444444444442</v>
      </c>
      <c r="E465" s="53">
        <f>'Reclamo de equipaje rediseñado'!$D465-'Reclamo de equipaje rediseñado'!$C465</f>
        <v>8.3333333333333037E-3</v>
      </c>
      <c r="F465" s="52">
        <v>0.3576388888888889</v>
      </c>
      <c r="G465" s="53">
        <f t="shared" si="7"/>
        <v>6.9444444444444753E-3</v>
      </c>
      <c r="H465" s="54">
        <v>41715</v>
      </c>
      <c r="I465" s="55" t="s">
        <v>536</v>
      </c>
      <c r="J465" s="55" t="s">
        <v>560</v>
      </c>
      <c r="K465" s="55">
        <f>VLOOKUP(J465,'Validacion reclamo de equipaje'!L:M,2,0)</f>
        <v>126</v>
      </c>
      <c r="L465" s="55" t="str">
        <f>VLOOKUP(I465,'Validacion reclamo de equipaje'!H:I,2,0)</f>
        <v>Nacional</v>
      </c>
      <c r="M465" s="55" t="s">
        <v>522</v>
      </c>
    </row>
    <row r="466" spans="1:13" x14ac:dyDescent="0.25">
      <c r="A466">
        <v>100</v>
      </c>
      <c r="B466" s="47" t="str">
        <f>VLOOKUP(Tabla6[[#This Row],['# Vuelo]],'Validacion reclamo de equipaje'!P:Q,2,0)</f>
        <v>MEXICO AEREO</v>
      </c>
      <c r="C466" s="48">
        <v>0.34375</v>
      </c>
      <c r="D466" s="48">
        <v>0.34930555555555554</v>
      </c>
      <c r="E466" s="49">
        <f>'Reclamo de equipaje rediseñado'!$D466-'Reclamo de equipaje rediseñado'!$C466</f>
        <v>5.5555555555555358E-3</v>
      </c>
      <c r="F466" s="48">
        <v>0.3840277777777778</v>
      </c>
      <c r="G466" s="49">
        <f t="shared" si="7"/>
        <v>3.4722222222222265E-2</v>
      </c>
      <c r="H466" s="50">
        <v>41716</v>
      </c>
      <c r="I466" s="51" t="s">
        <v>536</v>
      </c>
      <c r="J466" s="51" t="s">
        <v>560</v>
      </c>
      <c r="K466" s="51">
        <f>VLOOKUP(J466,'Validacion reclamo de equipaje'!L:M,2,0)</f>
        <v>126</v>
      </c>
      <c r="L466" s="51" t="str">
        <f>VLOOKUP(I466,'Validacion reclamo de equipaje'!H:I,2,0)</f>
        <v>Nacional</v>
      </c>
      <c r="M466" s="51" t="s">
        <v>522</v>
      </c>
    </row>
    <row r="467" spans="1:13" x14ac:dyDescent="0.25">
      <c r="A467">
        <v>100</v>
      </c>
      <c r="B467" s="47" t="str">
        <f>VLOOKUP(Tabla6[[#This Row],['# Vuelo]],'Validacion reclamo de equipaje'!P:Q,2,0)</f>
        <v>MEXICO AEREO</v>
      </c>
      <c r="C467" s="52">
        <v>0.3520833333333333</v>
      </c>
      <c r="D467" s="52">
        <v>0.35694444444444445</v>
      </c>
      <c r="E467" s="53">
        <f>'Reclamo de equipaje rediseñado'!$D467-'Reclamo de equipaje rediseñado'!$C467</f>
        <v>4.8611111111111494E-3</v>
      </c>
      <c r="F467" s="52">
        <v>0.36458333333333331</v>
      </c>
      <c r="G467" s="53">
        <f t="shared" si="7"/>
        <v>7.6388888888888618E-3</v>
      </c>
      <c r="H467" s="54">
        <v>41717</v>
      </c>
      <c r="I467" s="55" t="s">
        <v>536</v>
      </c>
      <c r="J467" s="55" t="s">
        <v>560</v>
      </c>
      <c r="K467" s="55">
        <f>VLOOKUP(J467,'Validacion reclamo de equipaje'!L:M,2,0)</f>
        <v>126</v>
      </c>
      <c r="L467" s="55" t="str">
        <f>VLOOKUP(I467,'Validacion reclamo de equipaje'!H:I,2,0)</f>
        <v>Nacional</v>
      </c>
      <c r="M467" s="55" t="s">
        <v>522</v>
      </c>
    </row>
    <row r="468" spans="1:13" x14ac:dyDescent="0.25">
      <c r="A468">
        <v>100</v>
      </c>
      <c r="B468" s="47" t="str">
        <f>VLOOKUP(Tabla6[[#This Row],['# Vuelo]],'Validacion reclamo de equipaje'!P:Q,2,0)</f>
        <v>MEXICO AEREO</v>
      </c>
      <c r="C468" s="48">
        <v>0.34375</v>
      </c>
      <c r="D468" s="48">
        <v>0.34791666666666665</v>
      </c>
      <c r="E468" s="49">
        <f>'Reclamo de equipaje rediseñado'!$D468-'Reclamo de equipaje rediseñado'!$C468</f>
        <v>4.1666666666666519E-3</v>
      </c>
      <c r="F468" s="48">
        <v>0.35347222222222219</v>
      </c>
      <c r="G468" s="49">
        <f t="shared" si="7"/>
        <v>5.5555555555555358E-3</v>
      </c>
      <c r="H468" s="50">
        <v>41718</v>
      </c>
      <c r="I468" s="51" t="s">
        <v>536</v>
      </c>
      <c r="J468" s="51" t="s">
        <v>560</v>
      </c>
      <c r="K468" s="51">
        <f>VLOOKUP(J468,'Validacion reclamo de equipaje'!L:M,2,0)</f>
        <v>126</v>
      </c>
      <c r="L468" s="51" t="str">
        <f>VLOOKUP(I468,'Validacion reclamo de equipaje'!H:I,2,0)</f>
        <v>Nacional</v>
      </c>
      <c r="M468" s="51" t="s">
        <v>522</v>
      </c>
    </row>
    <row r="469" spans="1:13" x14ac:dyDescent="0.25">
      <c r="A469">
        <v>100</v>
      </c>
      <c r="B469" s="47" t="str">
        <f>VLOOKUP(Tabla6[[#This Row],['# Vuelo]],'Validacion reclamo de equipaje'!P:Q,2,0)</f>
        <v>MEXICO AEREO</v>
      </c>
      <c r="C469" s="52">
        <v>0.34097222222222223</v>
      </c>
      <c r="D469" s="52">
        <v>0.34722222222222227</v>
      </c>
      <c r="E469" s="53">
        <f>'Reclamo de equipaje rediseñado'!$D469-'Reclamo de equipaje rediseñado'!$C469</f>
        <v>6.2500000000000333E-3</v>
      </c>
      <c r="F469" s="52">
        <v>0.34791666666666665</v>
      </c>
      <c r="G469" s="53">
        <f t="shared" si="7"/>
        <v>6.9444444444438647E-4</v>
      </c>
      <c r="H469" s="54">
        <v>41720</v>
      </c>
      <c r="I469" s="55" t="s">
        <v>536</v>
      </c>
      <c r="J469" s="55" t="s">
        <v>560</v>
      </c>
      <c r="K469" s="55">
        <f>VLOOKUP(J469,'Validacion reclamo de equipaje'!L:M,2,0)</f>
        <v>126</v>
      </c>
      <c r="L469" s="55" t="str">
        <f>VLOOKUP(I469,'Validacion reclamo de equipaje'!H:I,2,0)</f>
        <v>Nacional</v>
      </c>
      <c r="M469" s="55" t="s">
        <v>522</v>
      </c>
    </row>
    <row r="470" spans="1:13" x14ac:dyDescent="0.25">
      <c r="A470">
        <v>100</v>
      </c>
      <c r="B470" s="47" t="str">
        <f>VLOOKUP(Tabla6[[#This Row],['# Vuelo]],'Validacion reclamo de equipaje'!P:Q,2,0)</f>
        <v>MEXICO AEREO</v>
      </c>
      <c r="C470" s="48">
        <v>0.33680555555555558</v>
      </c>
      <c r="D470" s="48">
        <v>0.34236111111111112</v>
      </c>
      <c r="E470" s="49">
        <f>'Reclamo de equipaje rediseñado'!$D470-'Reclamo de equipaje rediseñado'!$C470</f>
        <v>5.5555555555555358E-3</v>
      </c>
      <c r="F470" s="48">
        <v>0.3520833333333333</v>
      </c>
      <c r="G470" s="49">
        <f t="shared" si="7"/>
        <v>9.7222222222221877E-3</v>
      </c>
      <c r="H470" s="50">
        <v>41721</v>
      </c>
      <c r="I470" s="51" t="s">
        <v>536</v>
      </c>
      <c r="J470" s="51" t="s">
        <v>560</v>
      </c>
      <c r="K470" s="51">
        <f>VLOOKUP(J470,'Validacion reclamo de equipaje'!L:M,2,0)</f>
        <v>126</v>
      </c>
      <c r="L470" s="51" t="str">
        <f>VLOOKUP(I470,'Validacion reclamo de equipaje'!H:I,2,0)</f>
        <v>Nacional</v>
      </c>
      <c r="M470" s="51" t="s">
        <v>522</v>
      </c>
    </row>
    <row r="471" spans="1:13" x14ac:dyDescent="0.25">
      <c r="A471">
        <v>100</v>
      </c>
      <c r="B471" s="47" t="str">
        <f>VLOOKUP(Tabla6[[#This Row],['# Vuelo]],'Validacion reclamo de equipaje'!P:Q,2,0)</f>
        <v>MEXICO AEREO</v>
      </c>
      <c r="C471" s="52">
        <v>0.34236111111111112</v>
      </c>
      <c r="D471" s="52">
        <v>0.34930555555555554</v>
      </c>
      <c r="E471" s="53">
        <f>'Reclamo de equipaje rediseñado'!$D471-'Reclamo de equipaje rediseñado'!$C471</f>
        <v>6.9444444444444198E-3</v>
      </c>
      <c r="F471" s="52">
        <v>0.35416666666666669</v>
      </c>
      <c r="G471" s="53">
        <f t="shared" si="7"/>
        <v>4.8611111111111494E-3</v>
      </c>
      <c r="H471" s="54">
        <v>41722</v>
      </c>
      <c r="I471" s="55" t="s">
        <v>536</v>
      </c>
      <c r="J471" s="55" t="s">
        <v>560</v>
      </c>
      <c r="K471" s="55">
        <f>VLOOKUP(J471,'Validacion reclamo de equipaje'!L:M,2,0)</f>
        <v>126</v>
      </c>
      <c r="L471" s="55" t="str">
        <f>VLOOKUP(I471,'Validacion reclamo de equipaje'!H:I,2,0)</f>
        <v>Nacional</v>
      </c>
      <c r="M471" s="55" t="s">
        <v>522</v>
      </c>
    </row>
    <row r="472" spans="1:13" x14ac:dyDescent="0.25">
      <c r="A472">
        <v>100</v>
      </c>
      <c r="B472" s="47" t="str">
        <f>VLOOKUP(Tabla6[[#This Row],['# Vuelo]],'Validacion reclamo de equipaje'!P:Q,2,0)</f>
        <v>MEXICO AEREO</v>
      </c>
      <c r="C472" s="48">
        <v>0.34791666666666665</v>
      </c>
      <c r="D472" s="48">
        <v>0.35416666666666669</v>
      </c>
      <c r="E472" s="49">
        <f>'Reclamo de equipaje rediseñado'!$D472-'Reclamo de equipaje rediseñado'!$C472</f>
        <v>6.2500000000000333E-3</v>
      </c>
      <c r="F472" s="48">
        <v>0.36319444444444443</v>
      </c>
      <c r="G472" s="49">
        <f t="shared" si="7"/>
        <v>9.0277777777777457E-3</v>
      </c>
      <c r="H472" s="50">
        <v>41725</v>
      </c>
      <c r="I472" s="51" t="s">
        <v>536</v>
      </c>
      <c r="J472" s="51" t="s">
        <v>560</v>
      </c>
      <c r="K472" s="51">
        <f>VLOOKUP(J472,'Validacion reclamo de equipaje'!L:M,2,0)</f>
        <v>126</v>
      </c>
      <c r="L472" s="51" t="str">
        <f>VLOOKUP(I472,'Validacion reclamo de equipaje'!H:I,2,0)</f>
        <v>Nacional</v>
      </c>
      <c r="M472" s="51" t="s">
        <v>522</v>
      </c>
    </row>
    <row r="473" spans="1:13" x14ac:dyDescent="0.25">
      <c r="A473">
        <v>100</v>
      </c>
      <c r="B473" s="47" t="str">
        <f>VLOOKUP(Tabla6[[#This Row],['# Vuelo]],'Validacion reclamo de equipaje'!P:Q,2,0)</f>
        <v>MEXICO AEREO</v>
      </c>
      <c r="C473" s="52">
        <v>0.34861111111111115</v>
      </c>
      <c r="D473" s="52">
        <v>0.35416666666666669</v>
      </c>
      <c r="E473" s="53">
        <f>'Reclamo de equipaje rediseñado'!$D473-'Reclamo de equipaje rediseñado'!$C473</f>
        <v>5.5555555555555358E-3</v>
      </c>
      <c r="F473" s="52">
        <v>0.36180555555555555</v>
      </c>
      <c r="G473" s="53">
        <f t="shared" si="7"/>
        <v>7.6388888888888618E-3</v>
      </c>
      <c r="H473" s="54">
        <v>41725</v>
      </c>
      <c r="I473" s="55" t="s">
        <v>536</v>
      </c>
      <c r="J473" s="55" t="s">
        <v>560</v>
      </c>
      <c r="K473" s="55">
        <f>VLOOKUP(J473,'Validacion reclamo de equipaje'!L:M,2,0)</f>
        <v>126</v>
      </c>
      <c r="L473" s="55" t="str">
        <f>VLOOKUP(I473,'Validacion reclamo de equipaje'!H:I,2,0)</f>
        <v>Nacional</v>
      </c>
      <c r="M473" s="55" t="s">
        <v>522</v>
      </c>
    </row>
    <row r="474" spans="1:13" x14ac:dyDescent="0.25">
      <c r="A474">
        <v>100</v>
      </c>
      <c r="B474" s="47" t="str">
        <f>VLOOKUP(Tabla6[[#This Row],['# Vuelo]],'Validacion reclamo de equipaje'!P:Q,2,0)</f>
        <v>MEXICO AEREO</v>
      </c>
      <c r="C474" s="48">
        <v>0.33888888888888885</v>
      </c>
      <c r="D474" s="48">
        <v>0.34166666666666662</v>
      </c>
      <c r="E474" s="49">
        <f>'Reclamo de equipaje rediseñado'!$D474-'Reclamo de equipaje rediseñado'!$C474</f>
        <v>2.7777777777777679E-3</v>
      </c>
      <c r="F474" s="48">
        <v>0.3520833333333333</v>
      </c>
      <c r="G474" s="49">
        <f t="shared" si="7"/>
        <v>1.0416666666666685E-2</v>
      </c>
      <c r="H474" s="50">
        <v>41726</v>
      </c>
      <c r="I474" s="51" t="s">
        <v>536</v>
      </c>
      <c r="J474" s="51" t="s">
        <v>560</v>
      </c>
      <c r="K474" s="51">
        <f>VLOOKUP(J474,'Validacion reclamo de equipaje'!L:M,2,0)</f>
        <v>126</v>
      </c>
      <c r="L474" s="51" t="str">
        <f>VLOOKUP(I474,'Validacion reclamo de equipaje'!H:I,2,0)</f>
        <v>Nacional</v>
      </c>
      <c r="M474" s="51" t="s">
        <v>522</v>
      </c>
    </row>
    <row r="475" spans="1:13" x14ac:dyDescent="0.25">
      <c r="A475">
        <v>100</v>
      </c>
      <c r="B475" s="47" t="str">
        <f>VLOOKUP(Tabla6[[#This Row],['# Vuelo]],'Validacion reclamo de equipaje'!P:Q,2,0)</f>
        <v>MEXICO AEREO</v>
      </c>
      <c r="C475" s="52">
        <v>0.34375</v>
      </c>
      <c r="D475" s="52">
        <v>0.35000000000000003</v>
      </c>
      <c r="E475" s="53">
        <f>'Reclamo de equipaje rediseñado'!$D475-'Reclamo de equipaje rediseñado'!$C475</f>
        <v>6.2500000000000333E-3</v>
      </c>
      <c r="F475" s="52">
        <v>0.35416666666666669</v>
      </c>
      <c r="G475" s="53">
        <f t="shared" si="7"/>
        <v>4.1666666666666519E-3</v>
      </c>
      <c r="H475" s="54">
        <v>41727</v>
      </c>
      <c r="I475" s="55" t="s">
        <v>536</v>
      </c>
      <c r="J475" s="55" t="s">
        <v>560</v>
      </c>
      <c r="K475" s="55">
        <f>VLOOKUP(J475,'Validacion reclamo de equipaje'!L:M,2,0)</f>
        <v>126</v>
      </c>
      <c r="L475" s="55" t="str">
        <f>VLOOKUP(I475,'Validacion reclamo de equipaje'!H:I,2,0)</f>
        <v>Nacional</v>
      </c>
      <c r="M475" s="55" t="s">
        <v>522</v>
      </c>
    </row>
    <row r="476" spans="1:13" x14ac:dyDescent="0.25">
      <c r="A476">
        <v>100</v>
      </c>
      <c r="B476" s="47" t="str">
        <f>VLOOKUP(Tabla6[[#This Row],['# Vuelo]],'Validacion reclamo de equipaje'!P:Q,2,0)</f>
        <v>MEXICO AEREO</v>
      </c>
      <c r="C476" s="48">
        <v>0.34722222222222227</v>
      </c>
      <c r="D476" s="48">
        <v>0.3527777777777778</v>
      </c>
      <c r="E476" s="49">
        <f>'Reclamo de equipaje rediseñado'!$D476-'Reclamo de equipaje rediseñado'!$C476</f>
        <v>5.5555555555555358E-3</v>
      </c>
      <c r="F476" s="48">
        <v>0.35972222222222222</v>
      </c>
      <c r="G476" s="49">
        <f t="shared" si="7"/>
        <v>6.9444444444444198E-3</v>
      </c>
      <c r="H476" s="50">
        <v>41729</v>
      </c>
      <c r="I476" s="51" t="s">
        <v>536</v>
      </c>
      <c r="J476" s="51" t="s">
        <v>560</v>
      </c>
      <c r="K476" s="51">
        <f>VLOOKUP(J476,'Validacion reclamo de equipaje'!L:M,2,0)</f>
        <v>126</v>
      </c>
      <c r="L476" s="51" t="str">
        <f>VLOOKUP(I476,'Validacion reclamo de equipaje'!H:I,2,0)</f>
        <v>Nacional</v>
      </c>
      <c r="M476" s="51" t="s">
        <v>522</v>
      </c>
    </row>
    <row r="477" spans="1:13" x14ac:dyDescent="0.25">
      <c r="A477">
        <v>783</v>
      </c>
      <c r="B477" s="47" t="str">
        <f>VLOOKUP(Tabla6[[#This Row],['# Vuelo]],'Validacion reclamo de equipaje'!P:Q,2,0)</f>
        <v>MEXICO AEREO</v>
      </c>
      <c r="C477" s="52">
        <v>0.68333333333333324</v>
      </c>
      <c r="D477" s="52">
        <v>0.69791666666666663</v>
      </c>
      <c r="E477" s="53">
        <f>'Reclamo de equipaje rediseñado'!$D477-'Reclamo de equipaje rediseñado'!$C477</f>
        <v>1.4583333333333393E-2</v>
      </c>
      <c r="F477" s="52">
        <v>0.71805555555555556</v>
      </c>
      <c r="G477" s="53">
        <f t="shared" si="7"/>
        <v>2.0138888888888928E-2</v>
      </c>
      <c r="H477" s="54">
        <v>41715</v>
      </c>
      <c r="I477" s="55" t="s">
        <v>555</v>
      </c>
      <c r="J477" s="55" t="s">
        <v>554</v>
      </c>
      <c r="K477" s="55">
        <f>VLOOKUP(J477,'Validacion reclamo de equipaje'!L:M,2,0)</f>
        <v>189</v>
      </c>
      <c r="L477" s="55" t="str">
        <f>VLOOKUP(I477,'Validacion reclamo de equipaje'!H:I,2,0)</f>
        <v>Internacional</v>
      </c>
      <c r="M477" s="55" t="s">
        <v>522</v>
      </c>
    </row>
    <row r="478" spans="1:13" x14ac:dyDescent="0.25">
      <c r="A478">
        <v>248</v>
      </c>
      <c r="B478" s="47" t="str">
        <f>VLOOKUP(Tabla6[[#This Row],['# Vuelo]],'Validacion reclamo de equipaje'!P:Q,2,0)</f>
        <v>VUELOS AL NORTE</v>
      </c>
      <c r="C478" s="48">
        <v>0.47500000000000003</v>
      </c>
      <c r="D478" s="48">
        <v>0.48472222222222222</v>
      </c>
      <c r="E478" s="49">
        <f>'Reclamo de equipaje rediseñado'!$D478-'Reclamo de equipaje rediseñado'!$C478</f>
        <v>9.7222222222221877E-3</v>
      </c>
      <c r="F478" s="48">
        <v>0.50208333333333333</v>
      </c>
      <c r="G478" s="49">
        <f t="shared" si="7"/>
        <v>1.7361111111111105E-2</v>
      </c>
      <c r="H478" s="50">
        <v>41714</v>
      </c>
      <c r="I478" s="51" t="s">
        <v>555</v>
      </c>
      <c r="J478" s="51" t="s">
        <v>554</v>
      </c>
      <c r="K478" s="51">
        <f>VLOOKUP(J478,'Validacion reclamo de equipaje'!L:M,2,0)</f>
        <v>189</v>
      </c>
      <c r="L478" s="51" t="str">
        <f>VLOOKUP(I478,'Validacion reclamo de equipaje'!H:I,2,0)</f>
        <v>Internacional</v>
      </c>
      <c r="M478" s="51" t="s">
        <v>522</v>
      </c>
    </row>
    <row r="479" spans="1:13" x14ac:dyDescent="0.25">
      <c r="A479">
        <v>248</v>
      </c>
      <c r="B479" s="47" t="str">
        <f>VLOOKUP(Tabla6[[#This Row],['# Vuelo]],'Validacion reclamo de equipaje'!P:Q,2,0)</f>
        <v>VUELOS AL NORTE</v>
      </c>
      <c r="C479" s="52">
        <v>0.4694444444444445</v>
      </c>
      <c r="D479" s="52">
        <v>0.48541666666666666</v>
      </c>
      <c r="E479" s="53">
        <f>'Reclamo de equipaje rediseñado'!$D479-'Reclamo de equipaje rediseñado'!$C479</f>
        <v>1.5972222222222165E-2</v>
      </c>
      <c r="F479" s="52">
        <v>0.50347222222222221</v>
      </c>
      <c r="G479" s="53">
        <f t="shared" si="7"/>
        <v>1.8055555555555547E-2</v>
      </c>
      <c r="H479" s="54">
        <v>41717</v>
      </c>
      <c r="I479" s="55" t="s">
        <v>555</v>
      </c>
      <c r="J479" s="55" t="s">
        <v>554</v>
      </c>
      <c r="K479" s="55">
        <f>VLOOKUP(J479,'Validacion reclamo de equipaje'!L:M,2,0)</f>
        <v>189</v>
      </c>
      <c r="L479" s="55" t="str">
        <f>VLOOKUP(I479,'Validacion reclamo de equipaje'!H:I,2,0)</f>
        <v>Internacional</v>
      </c>
      <c r="M479" s="55" t="s">
        <v>522</v>
      </c>
    </row>
    <row r="480" spans="1:13" x14ac:dyDescent="0.25">
      <c r="A480">
        <v>248</v>
      </c>
      <c r="B480" s="47" t="str">
        <f>VLOOKUP(Tabla6[[#This Row],['# Vuelo]],'Validacion reclamo de equipaje'!P:Q,2,0)</f>
        <v>VUELOS AL NORTE</v>
      </c>
      <c r="C480" s="48">
        <v>0.46180555555555558</v>
      </c>
      <c r="D480" s="48">
        <v>0.47500000000000003</v>
      </c>
      <c r="E480" s="49">
        <f>'Reclamo de equipaje rediseñado'!$D480-'Reclamo de equipaje rediseñado'!$C480</f>
        <v>1.3194444444444453E-2</v>
      </c>
      <c r="F480" s="48">
        <v>0.49305555555555558</v>
      </c>
      <c r="G480" s="49">
        <f t="shared" si="7"/>
        <v>1.8055555555555547E-2</v>
      </c>
      <c r="H480" s="50">
        <v>41720</v>
      </c>
      <c r="I480" s="51" t="s">
        <v>555</v>
      </c>
      <c r="J480" s="51" t="s">
        <v>554</v>
      </c>
      <c r="K480" s="51">
        <f>VLOOKUP(J480,'Validacion reclamo de equipaje'!L:M,2,0)</f>
        <v>189</v>
      </c>
      <c r="L480" s="51" t="str">
        <f>VLOOKUP(I480,'Validacion reclamo de equipaje'!H:I,2,0)</f>
        <v>Internacional</v>
      </c>
      <c r="M480" s="51" t="s">
        <v>522</v>
      </c>
    </row>
    <row r="481" spans="1:13" x14ac:dyDescent="0.25">
      <c r="A481">
        <v>248</v>
      </c>
      <c r="B481" s="47" t="str">
        <f>VLOOKUP(Tabla6[[#This Row],['# Vuelo]],'Validacion reclamo de equipaje'!P:Q,2,0)</f>
        <v>VUELOS AL NORTE</v>
      </c>
      <c r="C481" s="52">
        <v>0.4826388888888889</v>
      </c>
      <c r="D481" s="52">
        <v>0.49861111111111112</v>
      </c>
      <c r="E481" s="53">
        <f>'Reclamo de equipaje rediseñado'!$D481-'Reclamo de equipaje rediseñado'!$C481</f>
        <v>1.5972222222222221E-2</v>
      </c>
      <c r="F481" s="52">
        <v>0.51874999999999993</v>
      </c>
      <c r="G481" s="53">
        <f t="shared" si="7"/>
        <v>2.0138888888888817E-2</v>
      </c>
      <c r="H481" s="54">
        <v>41721</v>
      </c>
      <c r="I481" s="55" t="s">
        <v>555</v>
      </c>
      <c r="J481" s="55" t="s">
        <v>554</v>
      </c>
      <c r="K481" s="55">
        <f>VLOOKUP(J481,'Validacion reclamo de equipaje'!L:M,2,0)</f>
        <v>189</v>
      </c>
      <c r="L481" s="55" t="str">
        <f>VLOOKUP(I481,'Validacion reclamo de equipaje'!H:I,2,0)</f>
        <v>Internacional</v>
      </c>
      <c r="M481" s="55" t="s">
        <v>522</v>
      </c>
    </row>
    <row r="482" spans="1:13" x14ac:dyDescent="0.25">
      <c r="A482">
        <v>248</v>
      </c>
      <c r="B482" s="47" t="str">
        <f>VLOOKUP(Tabla6[[#This Row],['# Vuelo]],'Validacion reclamo de equipaje'!P:Q,2,0)</f>
        <v>VUELOS AL NORTE</v>
      </c>
      <c r="C482" s="48">
        <v>0.46527777777777773</v>
      </c>
      <c r="D482" s="48">
        <v>0.4770833333333333</v>
      </c>
      <c r="E482" s="49">
        <f>'Reclamo de equipaje rediseñado'!$D482-'Reclamo de equipaje rediseñado'!$C482</f>
        <v>1.1805555555555569E-2</v>
      </c>
      <c r="F482" s="48">
        <v>0.4861111111111111</v>
      </c>
      <c r="G482" s="49">
        <f t="shared" si="7"/>
        <v>9.0277777777778012E-3</v>
      </c>
      <c r="H482" s="50">
        <v>41723</v>
      </c>
      <c r="I482" s="51" t="s">
        <v>555</v>
      </c>
      <c r="J482" s="51" t="s">
        <v>554</v>
      </c>
      <c r="K482" s="51">
        <f>VLOOKUP(J482,'Validacion reclamo de equipaje'!L:M,2,0)</f>
        <v>189</v>
      </c>
      <c r="L482" s="51" t="str">
        <f>VLOOKUP(I482,'Validacion reclamo de equipaje'!H:I,2,0)</f>
        <v>Internacional</v>
      </c>
      <c r="M482" s="51" t="s">
        <v>522</v>
      </c>
    </row>
    <row r="483" spans="1:13" x14ac:dyDescent="0.25">
      <c r="A483">
        <v>248</v>
      </c>
      <c r="B483" s="47" t="str">
        <f>VLOOKUP(Tabla6[[#This Row],['# Vuelo]],'Validacion reclamo de equipaje'!P:Q,2,0)</f>
        <v>VUELOS AL NORTE</v>
      </c>
      <c r="C483" s="52">
        <v>0.46458333333333335</v>
      </c>
      <c r="D483" s="52">
        <v>0.48819444444444443</v>
      </c>
      <c r="E483" s="53">
        <f>'Reclamo de equipaje rediseñado'!$D483-'Reclamo de equipaje rediseñado'!$C483</f>
        <v>2.3611111111111083E-2</v>
      </c>
      <c r="F483" s="52">
        <v>0.4993055555555555</v>
      </c>
      <c r="G483" s="53">
        <f t="shared" si="7"/>
        <v>1.1111111111111072E-2</v>
      </c>
      <c r="H483" s="54">
        <v>41725</v>
      </c>
      <c r="I483" s="55" t="s">
        <v>555</v>
      </c>
      <c r="J483" s="55" t="s">
        <v>554</v>
      </c>
      <c r="K483" s="55">
        <f>VLOOKUP(J483,'Validacion reclamo de equipaje'!L:M,2,0)</f>
        <v>189</v>
      </c>
      <c r="L483" s="55" t="str">
        <f>VLOOKUP(I483,'Validacion reclamo de equipaje'!H:I,2,0)</f>
        <v>Internacional</v>
      </c>
      <c r="M483" s="55" t="s">
        <v>522</v>
      </c>
    </row>
    <row r="484" spans="1:13" x14ac:dyDescent="0.25">
      <c r="A484">
        <v>248</v>
      </c>
      <c r="B484" s="47" t="str">
        <f>VLOOKUP(Tabla6[[#This Row],['# Vuelo]],'Validacion reclamo de equipaje'!P:Q,2,0)</f>
        <v>VUELOS AL NORTE</v>
      </c>
      <c r="C484" s="48">
        <v>0.4597222222222222</v>
      </c>
      <c r="D484" s="48">
        <v>0.47222222222222227</v>
      </c>
      <c r="E484" s="49">
        <f>'Reclamo de equipaje rediseñado'!$D484-'Reclamo de equipaje rediseñado'!$C484</f>
        <v>1.2500000000000067E-2</v>
      </c>
      <c r="F484" s="48">
        <v>0.48888888888888887</v>
      </c>
      <c r="G484" s="49">
        <f t="shared" si="7"/>
        <v>1.6666666666666607E-2</v>
      </c>
      <c r="H484" s="50">
        <v>41726</v>
      </c>
      <c r="I484" s="51" t="s">
        <v>555</v>
      </c>
      <c r="J484" s="51" t="s">
        <v>554</v>
      </c>
      <c r="K484" s="51">
        <f>VLOOKUP(J484,'Validacion reclamo de equipaje'!L:M,2,0)</f>
        <v>189</v>
      </c>
      <c r="L484" s="51" t="str">
        <f>VLOOKUP(I484,'Validacion reclamo de equipaje'!H:I,2,0)</f>
        <v>Internacional</v>
      </c>
      <c r="M484" s="51" t="s">
        <v>522</v>
      </c>
    </row>
    <row r="485" spans="1:13" x14ac:dyDescent="0.25">
      <c r="A485">
        <v>248</v>
      </c>
      <c r="B485" s="47" t="str">
        <f>VLOOKUP(Tabla6[[#This Row],['# Vuelo]],'Validacion reclamo de equipaje'!P:Q,2,0)</f>
        <v>VUELOS AL NORTE</v>
      </c>
      <c r="C485" s="52">
        <v>0.46875</v>
      </c>
      <c r="D485" s="52">
        <v>0.48055555555555557</v>
      </c>
      <c r="E485" s="53">
        <f>'Reclamo de equipaje rediseñado'!$D485-'Reclamo de equipaje rediseñado'!$C485</f>
        <v>1.1805555555555569E-2</v>
      </c>
      <c r="F485" s="52">
        <v>0.49513888888888885</v>
      </c>
      <c r="G485" s="53">
        <f t="shared" si="7"/>
        <v>1.4583333333333282E-2</v>
      </c>
      <c r="H485" s="54">
        <v>41727</v>
      </c>
      <c r="I485" s="55" t="s">
        <v>555</v>
      </c>
      <c r="J485" s="55" t="s">
        <v>554</v>
      </c>
      <c r="K485" s="55">
        <f>VLOOKUP(J485,'Validacion reclamo de equipaje'!L:M,2,0)</f>
        <v>189</v>
      </c>
      <c r="L485" s="55" t="str">
        <f>VLOOKUP(I485,'Validacion reclamo de equipaje'!H:I,2,0)</f>
        <v>Internacional</v>
      </c>
      <c r="M485" s="55" t="s">
        <v>522</v>
      </c>
    </row>
    <row r="486" spans="1:13" x14ac:dyDescent="0.25">
      <c r="A486">
        <v>248</v>
      </c>
      <c r="B486" s="47" t="str">
        <f>VLOOKUP(Tabla6[[#This Row],['# Vuelo]],'Validacion reclamo de equipaje'!P:Q,2,0)</f>
        <v>VUELOS AL NORTE</v>
      </c>
      <c r="C486" s="48">
        <v>0.45555555555555555</v>
      </c>
      <c r="D486" s="48">
        <v>0.46736111111111112</v>
      </c>
      <c r="E486" s="49">
        <f>'Reclamo de equipaje rediseñado'!$D486-'Reclamo de equipaje rediseñado'!$C486</f>
        <v>1.1805555555555569E-2</v>
      </c>
      <c r="F486" s="48">
        <v>0.4694444444444445</v>
      </c>
      <c r="G486" s="49">
        <f t="shared" si="7"/>
        <v>2.0833333333333814E-3</v>
      </c>
      <c r="H486" s="50">
        <v>41728</v>
      </c>
      <c r="I486" s="51" t="s">
        <v>555</v>
      </c>
      <c r="J486" s="51" t="s">
        <v>554</v>
      </c>
      <c r="K486" s="51">
        <f>VLOOKUP(J486,'Validacion reclamo de equipaje'!L:M,2,0)</f>
        <v>189</v>
      </c>
      <c r="L486" s="51" t="str">
        <f>VLOOKUP(I486,'Validacion reclamo de equipaje'!H:I,2,0)</f>
        <v>Internacional</v>
      </c>
      <c r="M486" s="51" t="s">
        <v>522</v>
      </c>
    </row>
    <row r="487" spans="1:13" x14ac:dyDescent="0.25">
      <c r="A487">
        <v>248</v>
      </c>
      <c r="B487" s="47" t="str">
        <f>VLOOKUP(Tabla6[[#This Row],['# Vuelo]],'Validacion reclamo de equipaje'!P:Q,2,0)</f>
        <v>VUELOS AL NORTE</v>
      </c>
      <c r="C487" s="52">
        <v>0.46458333333333335</v>
      </c>
      <c r="D487" s="52">
        <v>0.48055555555555557</v>
      </c>
      <c r="E487" s="53">
        <f>'Reclamo de equipaje rediseñado'!$D487-'Reclamo de equipaje rediseñado'!$C487</f>
        <v>1.5972222222222221E-2</v>
      </c>
      <c r="F487" s="52">
        <v>0.49583333333333335</v>
      </c>
      <c r="G487" s="53">
        <f t="shared" si="7"/>
        <v>1.5277777777777779E-2</v>
      </c>
      <c r="H487" s="54">
        <v>41729</v>
      </c>
      <c r="I487" s="55" t="s">
        <v>555</v>
      </c>
      <c r="J487" s="55" t="s">
        <v>554</v>
      </c>
      <c r="K487" s="55">
        <f>VLOOKUP(J487,'Validacion reclamo de equipaje'!L:M,2,0)</f>
        <v>189</v>
      </c>
      <c r="L487" s="55" t="str">
        <f>VLOOKUP(I487,'Validacion reclamo de equipaje'!H:I,2,0)</f>
        <v>Internacional</v>
      </c>
      <c r="M487" s="55" t="s">
        <v>522</v>
      </c>
    </row>
    <row r="488" spans="1:13" x14ac:dyDescent="0.25">
      <c r="A488">
        <v>242</v>
      </c>
      <c r="B488" s="47" t="str">
        <f>VLOOKUP(Tabla6[[#This Row],['# Vuelo]],'Validacion reclamo de equipaje'!P:Q,2,0)</f>
        <v>VUELOS AL NORTE</v>
      </c>
      <c r="C488" s="48">
        <v>0.26180555555555557</v>
      </c>
      <c r="D488" s="48">
        <v>0.2638888888888889</v>
      </c>
      <c r="E488" s="49">
        <f>'Reclamo de equipaje rediseñado'!$D488-'Reclamo de equipaje rediseñado'!$C488</f>
        <v>2.0833333333333259E-3</v>
      </c>
      <c r="F488" s="48">
        <v>0.29166666666666669</v>
      </c>
      <c r="G488" s="49">
        <f t="shared" si="7"/>
        <v>2.777777777777779E-2</v>
      </c>
      <c r="H488" s="50">
        <v>41713</v>
      </c>
      <c r="I488" s="51" t="s">
        <v>555</v>
      </c>
      <c r="J488" s="51" t="s">
        <v>554</v>
      </c>
      <c r="K488" s="51">
        <f>VLOOKUP(J488,'Validacion reclamo de equipaje'!L:M,2,0)</f>
        <v>189</v>
      </c>
      <c r="L488" s="51" t="str">
        <f>VLOOKUP(I488,'Validacion reclamo de equipaje'!H:I,2,0)</f>
        <v>Internacional</v>
      </c>
      <c r="M488" s="51" t="s">
        <v>522</v>
      </c>
    </row>
    <row r="489" spans="1:13" x14ac:dyDescent="0.25">
      <c r="A489">
        <v>242</v>
      </c>
      <c r="B489" s="47" t="str">
        <f>VLOOKUP(Tabla6[[#This Row],['# Vuelo]],'Validacion reclamo de equipaje'!P:Q,2,0)</f>
        <v>VUELOS AL NORTE</v>
      </c>
      <c r="C489" s="52">
        <v>0.20486111111111113</v>
      </c>
      <c r="D489" s="52">
        <v>0.22430555555555556</v>
      </c>
      <c r="E489" s="53">
        <f>'Reclamo de equipaje rediseñado'!$D489-'Reclamo de equipaje rediseñado'!$C489</f>
        <v>1.9444444444444431E-2</v>
      </c>
      <c r="F489" s="52">
        <v>0.25138888888888888</v>
      </c>
      <c r="G489" s="53">
        <f t="shared" si="7"/>
        <v>2.708333333333332E-2</v>
      </c>
      <c r="H489" s="54">
        <v>41716</v>
      </c>
      <c r="I489" s="55" t="s">
        <v>555</v>
      </c>
      <c r="J489" s="55" t="s">
        <v>554</v>
      </c>
      <c r="K489" s="55">
        <f>VLOOKUP(J489,'Validacion reclamo de equipaje'!L:M,2,0)</f>
        <v>189</v>
      </c>
      <c r="L489" s="55" t="str">
        <f>VLOOKUP(I489,'Validacion reclamo de equipaje'!H:I,2,0)</f>
        <v>Internacional</v>
      </c>
      <c r="M489" s="55" t="s">
        <v>522</v>
      </c>
    </row>
    <row r="490" spans="1:13" x14ac:dyDescent="0.25">
      <c r="A490">
        <v>242</v>
      </c>
      <c r="B490" s="47" t="str">
        <f>VLOOKUP(Tabla6[[#This Row],['# Vuelo]],'Validacion reclamo de equipaje'!P:Q,2,0)</f>
        <v>VUELOS AL NORTE</v>
      </c>
      <c r="C490" s="48">
        <v>0.18194444444444444</v>
      </c>
      <c r="D490" s="48">
        <v>0.19999999999999998</v>
      </c>
      <c r="E490" s="49">
        <f>'Reclamo de equipaje rediseñado'!$D490-'Reclamo de equipaje rediseñado'!$C490</f>
        <v>1.8055555555555547E-2</v>
      </c>
      <c r="F490" s="48">
        <v>0.2298611111111111</v>
      </c>
      <c r="G490" s="49">
        <f t="shared" si="7"/>
        <v>2.9861111111111116E-2</v>
      </c>
      <c r="H490" s="50">
        <v>41717</v>
      </c>
      <c r="I490" s="51" t="s">
        <v>555</v>
      </c>
      <c r="J490" s="51" t="s">
        <v>554</v>
      </c>
      <c r="K490" s="51">
        <f>VLOOKUP(J490,'Validacion reclamo de equipaje'!L:M,2,0)</f>
        <v>189</v>
      </c>
      <c r="L490" s="51" t="str">
        <f>VLOOKUP(I490,'Validacion reclamo de equipaje'!H:I,2,0)</f>
        <v>Internacional</v>
      </c>
      <c r="M490" s="51" t="s">
        <v>522</v>
      </c>
    </row>
    <row r="491" spans="1:13" x14ac:dyDescent="0.25">
      <c r="A491">
        <v>242</v>
      </c>
      <c r="B491" s="47" t="str">
        <f>VLOOKUP(Tabla6[[#This Row],['# Vuelo]],'Validacion reclamo de equipaje'!P:Q,2,0)</f>
        <v>VUELOS AL NORTE</v>
      </c>
      <c r="C491" s="52">
        <v>0.21944444444444444</v>
      </c>
      <c r="D491" s="52">
        <v>0.22152777777777777</v>
      </c>
      <c r="E491" s="53">
        <f>'Reclamo de equipaje rediseñado'!$D491-'Reclamo de equipaje rediseñado'!$C491</f>
        <v>2.0833333333333259E-3</v>
      </c>
      <c r="F491" s="52">
        <v>0.22847222222222222</v>
      </c>
      <c r="G491" s="53">
        <f t="shared" si="7"/>
        <v>6.9444444444444475E-3</v>
      </c>
      <c r="H491" s="54">
        <v>41719</v>
      </c>
      <c r="I491" s="55" t="s">
        <v>555</v>
      </c>
      <c r="J491" s="55" t="s">
        <v>554</v>
      </c>
      <c r="K491" s="55">
        <f>VLOOKUP(J491,'Validacion reclamo de equipaje'!L:M,2,0)</f>
        <v>189</v>
      </c>
      <c r="L491" s="55" t="str">
        <f>VLOOKUP(I491,'Validacion reclamo de equipaje'!H:I,2,0)</f>
        <v>Internacional</v>
      </c>
      <c r="M491" s="55" t="s">
        <v>522</v>
      </c>
    </row>
    <row r="492" spans="1:13" x14ac:dyDescent="0.25">
      <c r="A492">
        <v>242</v>
      </c>
      <c r="B492" s="47" t="str">
        <f>VLOOKUP(Tabla6[[#This Row],['# Vuelo]],'Validacion reclamo de equipaje'!P:Q,2,0)</f>
        <v>VUELOS AL NORTE</v>
      </c>
      <c r="C492" s="48">
        <v>0.20902777777777778</v>
      </c>
      <c r="D492" s="48">
        <v>0.22222222222222221</v>
      </c>
      <c r="E492" s="49">
        <f>'Reclamo de equipaje rediseñado'!$D492-'Reclamo de equipaje rediseñado'!$C492</f>
        <v>1.3194444444444425E-2</v>
      </c>
      <c r="F492" s="48">
        <v>0.24930555555555556</v>
      </c>
      <c r="G492" s="49">
        <f t="shared" si="7"/>
        <v>2.7083333333333348E-2</v>
      </c>
      <c r="H492" s="50">
        <v>41719</v>
      </c>
      <c r="I492" s="51" t="s">
        <v>555</v>
      </c>
      <c r="J492" s="51" t="s">
        <v>554</v>
      </c>
      <c r="K492" s="51">
        <f>VLOOKUP(J492,'Validacion reclamo de equipaje'!L:M,2,0)</f>
        <v>189</v>
      </c>
      <c r="L492" s="51" t="str">
        <f>VLOOKUP(I492,'Validacion reclamo de equipaje'!H:I,2,0)</f>
        <v>Internacional</v>
      </c>
      <c r="M492" s="51" t="s">
        <v>522</v>
      </c>
    </row>
    <row r="493" spans="1:13" x14ac:dyDescent="0.25">
      <c r="A493">
        <v>242</v>
      </c>
      <c r="B493" s="47" t="str">
        <f>VLOOKUP(Tabla6[[#This Row],['# Vuelo]],'Validacion reclamo de equipaje'!P:Q,2,0)</f>
        <v>VUELOS AL NORTE</v>
      </c>
      <c r="C493" s="52">
        <v>0.19444444444444445</v>
      </c>
      <c r="D493" s="52">
        <v>0.21736111111111112</v>
      </c>
      <c r="E493" s="53">
        <f>'Reclamo de equipaje rediseñado'!$D493-'Reclamo de equipaje rediseñado'!$C493</f>
        <v>2.2916666666666669E-2</v>
      </c>
      <c r="F493" s="52">
        <v>0.23958333333333334</v>
      </c>
      <c r="G493" s="53">
        <f t="shared" si="7"/>
        <v>2.2222222222222227E-2</v>
      </c>
      <c r="H493" s="54">
        <v>41721</v>
      </c>
      <c r="I493" s="55" t="s">
        <v>555</v>
      </c>
      <c r="J493" s="55" t="s">
        <v>554</v>
      </c>
      <c r="K493" s="55">
        <f>VLOOKUP(J493,'Validacion reclamo de equipaje'!L:M,2,0)</f>
        <v>189</v>
      </c>
      <c r="L493" s="55" t="str">
        <f>VLOOKUP(I493,'Validacion reclamo de equipaje'!H:I,2,0)</f>
        <v>Internacional</v>
      </c>
      <c r="M493" s="55" t="s">
        <v>522</v>
      </c>
    </row>
    <row r="494" spans="1:13" x14ac:dyDescent="0.25">
      <c r="A494">
        <v>242</v>
      </c>
      <c r="B494" s="47" t="str">
        <f>VLOOKUP(Tabla6[[#This Row],['# Vuelo]],'Validacion reclamo de equipaje'!P:Q,2,0)</f>
        <v>VUELOS AL NORTE</v>
      </c>
      <c r="C494" s="48">
        <v>0.21111111111111111</v>
      </c>
      <c r="D494" s="48">
        <v>0.22569444444444445</v>
      </c>
      <c r="E494" s="49">
        <f>'Reclamo de equipaje rediseñado'!$D494-'Reclamo de equipaje rediseñado'!$C494</f>
        <v>1.4583333333333337E-2</v>
      </c>
      <c r="F494" s="48">
        <v>0.24930555555555556</v>
      </c>
      <c r="G494" s="49">
        <f t="shared" si="7"/>
        <v>2.361111111111111E-2</v>
      </c>
      <c r="H494" s="50">
        <v>41721</v>
      </c>
      <c r="I494" s="51" t="s">
        <v>555</v>
      </c>
      <c r="J494" s="51" t="s">
        <v>554</v>
      </c>
      <c r="K494" s="51">
        <f>VLOOKUP(J494,'Validacion reclamo de equipaje'!L:M,2,0)</f>
        <v>189</v>
      </c>
      <c r="L494" s="51" t="str">
        <f>VLOOKUP(I494,'Validacion reclamo de equipaje'!H:I,2,0)</f>
        <v>Internacional</v>
      </c>
      <c r="M494" s="51" t="s">
        <v>522</v>
      </c>
    </row>
    <row r="495" spans="1:13" x14ac:dyDescent="0.25">
      <c r="A495">
        <v>242</v>
      </c>
      <c r="B495" s="47" t="str">
        <f>VLOOKUP(Tabla6[[#This Row],['# Vuelo]],'Validacion reclamo de equipaje'!P:Q,2,0)</f>
        <v>VUELOS AL NORTE</v>
      </c>
      <c r="C495" s="52">
        <v>0.20347222222222219</v>
      </c>
      <c r="D495" s="52">
        <v>0.21736111111111112</v>
      </c>
      <c r="E495" s="53">
        <f>'Reclamo de equipaje rediseñado'!$D495-'Reclamo de equipaje rediseñado'!$C495</f>
        <v>1.3888888888888923E-2</v>
      </c>
      <c r="F495" s="52">
        <v>0.23819444444444446</v>
      </c>
      <c r="G495" s="53">
        <f t="shared" si="7"/>
        <v>2.0833333333333343E-2</v>
      </c>
      <c r="H495" s="54">
        <v>41723</v>
      </c>
      <c r="I495" s="55" t="s">
        <v>555</v>
      </c>
      <c r="J495" s="55" t="s">
        <v>554</v>
      </c>
      <c r="K495" s="55">
        <f>VLOOKUP(J495,'Validacion reclamo de equipaje'!L:M,2,0)</f>
        <v>189</v>
      </c>
      <c r="L495" s="55" t="str">
        <f>VLOOKUP(I495,'Validacion reclamo de equipaje'!H:I,2,0)</f>
        <v>Internacional</v>
      </c>
      <c r="M495" s="55" t="s">
        <v>522</v>
      </c>
    </row>
    <row r="496" spans="1:13" x14ac:dyDescent="0.25">
      <c r="A496">
        <v>242</v>
      </c>
      <c r="B496" s="47" t="str">
        <f>VLOOKUP(Tabla6[[#This Row],['# Vuelo]],'Validacion reclamo de equipaje'!P:Q,2,0)</f>
        <v>VUELOS AL NORTE</v>
      </c>
      <c r="C496" s="48">
        <v>0.18819444444444444</v>
      </c>
      <c r="D496" s="48">
        <v>0.20972222222222223</v>
      </c>
      <c r="E496" s="49">
        <f>'Reclamo de equipaje rediseñado'!$D496-'Reclamo de equipaje rediseñado'!$C496</f>
        <v>2.1527777777777785E-2</v>
      </c>
      <c r="F496" s="48">
        <v>0.22847222222222222</v>
      </c>
      <c r="G496" s="49">
        <f t="shared" si="7"/>
        <v>1.8749999999999989E-2</v>
      </c>
      <c r="H496" s="50">
        <v>41724</v>
      </c>
      <c r="I496" s="51" t="s">
        <v>555</v>
      </c>
      <c r="J496" s="51" t="s">
        <v>554</v>
      </c>
      <c r="K496" s="51">
        <f>VLOOKUP(J496,'Validacion reclamo de equipaje'!L:M,2,0)</f>
        <v>189</v>
      </c>
      <c r="L496" s="51" t="str">
        <f>VLOOKUP(I496,'Validacion reclamo de equipaje'!H:I,2,0)</f>
        <v>Internacional</v>
      </c>
      <c r="M496" s="51" t="s">
        <v>522</v>
      </c>
    </row>
    <row r="497" spans="1:13" x14ac:dyDescent="0.25">
      <c r="A497">
        <v>242</v>
      </c>
      <c r="B497" s="47" t="str">
        <f>VLOOKUP(Tabla6[[#This Row],['# Vuelo]],'Validacion reclamo de equipaje'!P:Q,2,0)</f>
        <v>VUELOS AL NORTE</v>
      </c>
      <c r="C497" s="52">
        <v>0.20416666666666669</v>
      </c>
      <c r="D497" s="52">
        <v>0.22569444444444445</v>
      </c>
      <c r="E497" s="53">
        <f>'Reclamo de equipaje rediseñado'!$D497-'Reclamo de equipaje rediseñado'!$C497</f>
        <v>2.1527777777777757E-2</v>
      </c>
      <c r="F497" s="52">
        <v>0.25</v>
      </c>
      <c r="G497" s="53">
        <f t="shared" si="7"/>
        <v>2.4305555555555552E-2</v>
      </c>
      <c r="H497" s="54">
        <v>41724</v>
      </c>
      <c r="I497" s="55" t="s">
        <v>555</v>
      </c>
      <c r="J497" s="55" t="s">
        <v>554</v>
      </c>
      <c r="K497" s="55">
        <f>VLOOKUP(J497,'Validacion reclamo de equipaje'!L:M,2,0)</f>
        <v>189</v>
      </c>
      <c r="L497" s="55" t="str">
        <f>VLOOKUP(I497,'Validacion reclamo de equipaje'!H:I,2,0)</f>
        <v>Internacional</v>
      </c>
      <c r="M497" s="55" t="s">
        <v>522</v>
      </c>
    </row>
    <row r="498" spans="1:13" x14ac:dyDescent="0.25">
      <c r="A498">
        <v>242</v>
      </c>
      <c r="B498" s="47" t="str">
        <f>VLOOKUP(Tabla6[[#This Row],['# Vuelo]],'Validacion reclamo de equipaje'!P:Q,2,0)</f>
        <v>VUELOS AL NORTE</v>
      </c>
      <c r="C498" s="48">
        <v>0.20555555555555557</v>
      </c>
      <c r="D498" s="48">
        <v>0.21944444444444444</v>
      </c>
      <c r="E498" s="49">
        <f>'Reclamo de equipaje rediseñado'!$D498-'Reclamo de equipaje rediseñado'!$C498</f>
        <v>1.3888888888888867E-2</v>
      </c>
      <c r="F498" s="48">
        <v>0.25833333333333336</v>
      </c>
      <c r="G498" s="49">
        <f t="shared" si="7"/>
        <v>3.8888888888888917E-2</v>
      </c>
      <c r="H498" s="50">
        <v>41725</v>
      </c>
      <c r="I498" s="51" t="s">
        <v>555</v>
      </c>
      <c r="J498" s="51" t="s">
        <v>554</v>
      </c>
      <c r="K498" s="51">
        <f>VLOOKUP(J498,'Validacion reclamo de equipaje'!L:M,2,0)</f>
        <v>189</v>
      </c>
      <c r="L498" s="51" t="str">
        <f>VLOOKUP(I498,'Validacion reclamo de equipaje'!H:I,2,0)</f>
        <v>Internacional</v>
      </c>
      <c r="M498" s="51" t="s">
        <v>522</v>
      </c>
    </row>
    <row r="499" spans="1:13" x14ac:dyDescent="0.25">
      <c r="A499">
        <v>242</v>
      </c>
      <c r="B499" s="47" t="str">
        <f>VLOOKUP(Tabla6[[#This Row],['# Vuelo]],'Validacion reclamo de equipaje'!P:Q,2,0)</f>
        <v>VUELOS AL NORTE</v>
      </c>
      <c r="C499" s="52">
        <v>0.18124999999999999</v>
      </c>
      <c r="D499" s="52">
        <v>0.19513888888888889</v>
      </c>
      <c r="E499" s="53">
        <f>'Reclamo de equipaje rediseñado'!$D499-'Reclamo de equipaje rediseñado'!$C499</f>
        <v>1.3888888888888895E-2</v>
      </c>
      <c r="F499" s="52">
        <v>0.23124999999999998</v>
      </c>
      <c r="G499" s="53">
        <f t="shared" si="7"/>
        <v>3.6111111111111094E-2</v>
      </c>
      <c r="H499" s="54">
        <v>41727</v>
      </c>
      <c r="I499" s="55" t="s">
        <v>555</v>
      </c>
      <c r="J499" s="55" t="s">
        <v>554</v>
      </c>
      <c r="K499" s="55">
        <f>VLOOKUP(J499,'Validacion reclamo de equipaje'!L:M,2,0)</f>
        <v>189</v>
      </c>
      <c r="L499" s="55" t="str">
        <f>VLOOKUP(I499,'Validacion reclamo de equipaje'!H:I,2,0)</f>
        <v>Internacional</v>
      </c>
      <c r="M499" s="55" t="s">
        <v>522</v>
      </c>
    </row>
    <row r="500" spans="1:13" x14ac:dyDescent="0.25">
      <c r="A500">
        <v>242</v>
      </c>
      <c r="B500" s="47" t="str">
        <f>VLOOKUP(Tabla6[[#This Row],['# Vuelo]],'Validacion reclamo de equipaje'!P:Q,2,0)</f>
        <v>VUELOS AL NORTE</v>
      </c>
      <c r="C500" s="48">
        <v>0.20902777777777778</v>
      </c>
      <c r="D500" s="48">
        <v>0.22638888888888889</v>
      </c>
      <c r="E500" s="49">
        <f>'Reclamo de equipaje rediseñado'!$D500-'Reclamo de equipaje rediseñado'!$C500</f>
        <v>1.7361111111111105E-2</v>
      </c>
      <c r="F500" s="48">
        <v>0.25069444444444444</v>
      </c>
      <c r="G500" s="49">
        <f t="shared" si="7"/>
        <v>2.4305555555555552E-2</v>
      </c>
      <c r="H500" s="50">
        <v>41728</v>
      </c>
      <c r="I500" s="51" t="s">
        <v>555</v>
      </c>
      <c r="J500" s="51" t="s">
        <v>554</v>
      </c>
      <c r="K500" s="51">
        <f>VLOOKUP(J500,'Validacion reclamo de equipaje'!L:M,2,0)</f>
        <v>189</v>
      </c>
      <c r="L500" s="51" t="str">
        <f>VLOOKUP(I500,'Validacion reclamo de equipaje'!H:I,2,0)</f>
        <v>Internacional</v>
      </c>
      <c r="M500" s="51" t="s">
        <v>522</v>
      </c>
    </row>
    <row r="501" spans="1:13" x14ac:dyDescent="0.25">
      <c r="A501">
        <v>226</v>
      </c>
      <c r="B501" s="47" t="str">
        <f>VLOOKUP(Tabla6[[#This Row],['# Vuelo]],'Validacion reclamo de equipaje'!P:Q,2,0)</f>
        <v>VUELOS AL NORTE</v>
      </c>
      <c r="C501" s="52">
        <v>0.13749999999999998</v>
      </c>
      <c r="D501" s="52">
        <v>0.15277777777777776</v>
      </c>
      <c r="E501" s="53">
        <f>'Reclamo de equipaje rediseñado'!$D501-'Reclamo de equipaje rediseñado'!$C501</f>
        <v>1.5277777777777779E-2</v>
      </c>
      <c r="F501" s="52">
        <v>0.1673611111111111</v>
      </c>
      <c r="G501" s="53">
        <f t="shared" si="7"/>
        <v>1.4583333333333337E-2</v>
      </c>
      <c r="H501" s="54">
        <v>41713</v>
      </c>
      <c r="I501" s="55" t="s">
        <v>567</v>
      </c>
      <c r="J501" s="55" t="s">
        <v>554</v>
      </c>
      <c r="K501" s="55">
        <f>VLOOKUP(J501,'Validacion reclamo de equipaje'!L:M,2,0)</f>
        <v>189</v>
      </c>
      <c r="L501" s="55" t="str">
        <f>VLOOKUP(I501,'Validacion reclamo de equipaje'!H:I,2,0)</f>
        <v>Internacional</v>
      </c>
      <c r="M501" s="55" t="s">
        <v>522</v>
      </c>
    </row>
    <row r="502" spans="1:13" x14ac:dyDescent="0.25">
      <c r="A502">
        <v>226</v>
      </c>
      <c r="B502" s="47" t="str">
        <f>VLOOKUP(Tabla6[[#This Row],['# Vuelo]],'Validacion reclamo de equipaje'!P:Q,2,0)</f>
        <v>VUELOS AL NORTE</v>
      </c>
      <c r="C502" s="48">
        <v>0.14652777777777778</v>
      </c>
      <c r="D502" s="48">
        <v>0.16388888888888889</v>
      </c>
      <c r="E502" s="49">
        <f>'Reclamo de equipaje rediseñado'!$D502-'Reclamo de equipaje rediseñado'!$C502</f>
        <v>1.7361111111111105E-2</v>
      </c>
      <c r="F502" s="48">
        <v>0.17708333333333334</v>
      </c>
      <c r="G502" s="49">
        <f t="shared" si="7"/>
        <v>1.3194444444444453E-2</v>
      </c>
      <c r="H502" s="50">
        <v>41721</v>
      </c>
      <c r="I502" s="51" t="s">
        <v>567</v>
      </c>
      <c r="J502" s="51" t="s">
        <v>554</v>
      </c>
      <c r="K502" s="51">
        <f>VLOOKUP(J502,'Validacion reclamo de equipaje'!L:M,2,0)</f>
        <v>189</v>
      </c>
      <c r="L502" s="51" t="str">
        <f>VLOOKUP(I502,'Validacion reclamo de equipaje'!H:I,2,0)</f>
        <v>Internacional</v>
      </c>
      <c r="M502" s="51" t="s">
        <v>522</v>
      </c>
    </row>
    <row r="503" spans="1:13" x14ac:dyDescent="0.25">
      <c r="A503">
        <v>226</v>
      </c>
      <c r="B503" s="47" t="str">
        <f>VLOOKUP(Tabla6[[#This Row],['# Vuelo]],'Validacion reclamo de equipaje'!P:Q,2,0)</f>
        <v>VUELOS AL NORTE</v>
      </c>
      <c r="C503" s="52">
        <v>0.14375000000000002</v>
      </c>
      <c r="D503" s="52">
        <v>0.15486111111111112</v>
      </c>
      <c r="E503" s="53">
        <f>'Reclamo de equipaje rediseñado'!$D503-'Reclamo de equipaje rediseñado'!$C503</f>
        <v>1.1111111111111099E-2</v>
      </c>
      <c r="F503" s="52">
        <v>0.17916666666666667</v>
      </c>
      <c r="G503" s="53">
        <f t="shared" si="7"/>
        <v>2.4305555555555552E-2</v>
      </c>
      <c r="H503" s="54">
        <v>41727</v>
      </c>
      <c r="I503" s="55" t="s">
        <v>567</v>
      </c>
      <c r="J503" s="55" t="s">
        <v>554</v>
      </c>
      <c r="K503" s="55">
        <f>VLOOKUP(J503,'Validacion reclamo de equipaje'!L:M,2,0)</f>
        <v>189</v>
      </c>
      <c r="L503" s="55" t="str">
        <f>VLOOKUP(I503,'Validacion reclamo de equipaje'!H:I,2,0)</f>
        <v>Internacional</v>
      </c>
      <c r="M503" s="55" t="s">
        <v>522</v>
      </c>
    </row>
    <row r="504" spans="1:13" x14ac:dyDescent="0.25">
      <c r="A504">
        <v>4525</v>
      </c>
      <c r="B504" s="47" t="str">
        <f>VLOOKUP(Tabla6[[#This Row],['# Vuelo]],'Validacion reclamo de equipaje'!P:Q,2,0)</f>
        <v>AEROLINEAS DE AMERICA</v>
      </c>
      <c r="C504" s="48">
        <v>0.66041666666666665</v>
      </c>
      <c r="D504" s="48">
        <v>0.66666666666666663</v>
      </c>
      <c r="E504" s="49">
        <f>'Reclamo de equipaje rediseñado'!$D504-'Reclamo de equipaje rediseñado'!$C504</f>
        <v>6.2499999999999778E-3</v>
      </c>
      <c r="F504" s="48">
        <v>0.67638888888888893</v>
      </c>
      <c r="G504" s="49">
        <f t="shared" si="7"/>
        <v>9.7222222222222987E-3</v>
      </c>
      <c r="H504" s="50">
        <v>41726</v>
      </c>
      <c r="I504" s="51" t="s">
        <v>569</v>
      </c>
      <c r="J504" s="51" t="s">
        <v>535</v>
      </c>
      <c r="K504" s="51">
        <f>VLOOKUP(J504,'Validacion reclamo de equipaje'!L:M,2,0)</f>
        <v>50</v>
      </c>
      <c r="L504" s="51" t="str">
        <f>VLOOKUP(I504,'Validacion reclamo de equipaje'!H:I,2,0)</f>
        <v>Internacional</v>
      </c>
      <c r="M504" s="51" t="s">
        <v>522</v>
      </c>
    </row>
    <row r="505" spans="1:13" x14ac:dyDescent="0.25">
      <c r="A505">
        <v>3275</v>
      </c>
      <c r="B505" s="47" t="str">
        <f>VLOOKUP(Tabla6[[#This Row],['# Vuelo]],'Validacion reclamo de equipaje'!P:Q,2,0)</f>
        <v>AEROLINEAS DE AMERICA</v>
      </c>
      <c r="C505" s="52">
        <v>0.45555555555555555</v>
      </c>
      <c r="D505" s="52">
        <v>0.46527777777777773</v>
      </c>
      <c r="E505" s="53">
        <f>'Reclamo de equipaje rediseñado'!$D505-'Reclamo de equipaje rediseñado'!$C505</f>
        <v>9.7222222222221877E-3</v>
      </c>
      <c r="F505" s="52">
        <v>0.47152777777777777</v>
      </c>
      <c r="G505" s="53">
        <f t="shared" si="7"/>
        <v>6.2500000000000333E-3</v>
      </c>
      <c r="H505" s="54">
        <v>41714</v>
      </c>
      <c r="I505" s="55" t="s">
        <v>538</v>
      </c>
      <c r="J505" s="55" t="s">
        <v>535</v>
      </c>
      <c r="K505" s="55">
        <f>VLOOKUP(J505,'Validacion reclamo de equipaje'!L:M,2,0)</f>
        <v>50</v>
      </c>
      <c r="L505" s="55" t="str">
        <f>VLOOKUP(I505,'Validacion reclamo de equipaje'!H:I,2,0)</f>
        <v>Internacional</v>
      </c>
      <c r="M505" s="55" t="s">
        <v>522</v>
      </c>
    </row>
    <row r="506" spans="1:13" x14ac:dyDescent="0.25">
      <c r="A506">
        <v>3275</v>
      </c>
      <c r="B506" s="47" t="str">
        <f>VLOOKUP(Tabla6[[#This Row],['# Vuelo]],'Validacion reclamo de equipaje'!P:Q,2,0)</f>
        <v>AEROLINEAS DE AMERICA</v>
      </c>
      <c r="C506" s="48">
        <v>0.45416666666666666</v>
      </c>
      <c r="D506" s="48">
        <v>0.46666666666666662</v>
      </c>
      <c r="E506" s="49">
        <f>'Reclamo de equipaje rediseñado'!$D506-'Reclamo de equipaje rediseñado'!$C506</f>
        <v>1.2499999999999956E-2</v>
      </c>
      <c r="F506" s="48">
        <v>0.47083333333333338</v>
      </c>
      <c r="G506" s="49">
        <f t="shared" si="7"/>
        <v>4.1666666666667629E-3</v>
      </c>
      <c r="H506" s="50">
        <v>41720</v>
      </c>
      <c r="I506" s="51" t="s">
        <v>538</v>
      </c>
      <c r="J506" s="51" t="s">
        <v>535</v>
      </c>
      <c r="K506" s="51">
        <f>VLOOKUP(J506,'Validacion reclamo de equipaje'!L:M,2,0)</f>
        <v>50</v>
      </c>
      <c r="L506" s="51" t="str">
        <f>VLOOKUP(I506,'Validacion reclamo de equipaje'!H:I,2,0)</f>
        <v>Internacional</v>
      </c>
      <c r="M506" s="51" t="s">
        <v>522</v>
      </c>
    </row>
    <row r="507" spans="1:13" x14ac:dyDescent="0.25">
      <c r="A507">
        <v>3275</v>
      </c>
      <c r="B507" s="47" t="str">
        <f>VLOOKUP(Tabla6[[#This Row],['# Vuelo]],'Validacion reclamo de equipaje'!P:Q,2,0)</f>
        <v>AEROLINEAS DE AMERICA</v>
      </c>
      <c r="C507" s="52">
        <v>0.45</v>
      </c>
      <c r="D507" s="52">
        <v>0.46458333333333335</v>
      </c>
      <c r="E507" s="53">
        <f>'Reclamo de equipaje rediseñado'!$D507-'Reclamo de equipaje rediseñado'!$C507</f>
        <v>1.4583333333333337E-2</v>
      </c>
      <c r="F507" s="52">
        <v>0.47222222222222227</v>
      </c>
      <c r="G507" s="53">
        <f t="shared" si="7"/>
        <v>7.6388888888889173E-3</v>
      </c>
      <c r="H507" s="54">
        <v>41721</v>
      </c>
      <c r="I507" s="55" t="s">
        <v>538</v>
      </c>
      <c r="J507" s="55" t="s">
        <v>535</v>
      </c>
      <c r="K507" s="55">
        <f>VLOOKUP(J507,'Validacion reclamo de equipaje'!L:M,2,0)</f>
        <v>50</v>
      </c>
      <c r="L507" s="55" t="str">
        <f>VLOOKUP(I507,'Validacion reclamo de equipaje'!H:I,2,0)</f>
        <v>Internacional</v>
      </c>
      <c r="M507" s="55" t="s">
        <v>522</v>
      </c>
    </row>
    <row r="508" spans="1:13" x14ac:dyDescent="0.25">
      <c r="A508">
        <v>3275</v>
      </c>
      <c r="B508" s="47" t="str">
        <f>VLOOKUP(Tabla6[[#This Row],['# Vuelo]],'Validacion reclamo de equipaje'!P:Q,2,0)</f>
        <v>AEROLINEAS DE AMERICA</v>
      </c>
      <c r="C508" s="48">
        <v>0.44930555555555557</v>
      </c>
      <c r="D508" s="48">
        <v>0.4597222222222222</v>
      </c>
      <c r="E508" s="49">
        <f>'Reclamo de equipaje rediseñado'!$D508-'Reclamo de equipaje rediseñado'!$C508</f>
        <v>1.041666666666663E-2</v>
      </c>
      <c r="F508" s="48">
        <v>0.47083333333333338</v>
      </c>
      <c r="G508" s="49">
        <f t="shared" si="7"/>
        <v>1.1111111111111183E-2</v>
      </c>
      <c r="H508" s="50">
        <v>41722</v>
      </c>
      <c r="I508" s="51" t="s">
        <v>538</v>
      </c>
      <c r="J508" s="51" t="s">
        <v>535</v>
      </c>
      <c r="K508" s="51">
        <f>VLOOKUP(J508,'Validacion reclamo de equipaje'!L:M,2,0)</f>
        <v>50</v>
      </c>
      <c r="L508" s="51" t="str">
        <f>VLOOKUP(I508,'Validacion reclamo de equipaje'!H:I,2,0)</f>
        <v>Internacional</v>
      </c>
      <c r="M508" s="51" t="s">
        <v>522</v>
      </c>
    </row>
    <row r="509" spans="1:13" x14ac:dyDescent="0.25">
      <c r="A509">
        <v>3275</v>
      </c>
      <c r="B509" s="47" t="str">
        <f>VLOOKUP(Tabla6[[#This Row],['# Vuelo]],'Validacion reclamo de equipaje'!P:Q,2,0)</f>
        <v>AEROLINEAS DE AMERICA</v>
      </c>
      <c r="C509" s="52">
        <v>0.4513888888888889</v>
      </c>
      <c r="D509" s="52">
        <v>0.46388888888888885</v>
      </c>
      <c r="E509" s="53">
        <f>'Reclamo de equipaje rediseñado'!$D509-'Reclamo de equipaje rediseñado'!$C509</f>
        <v>1.2499999999999956E-2</v>
      </c>
      <c r="F509" s="52">
        <v>0.46875</v>
      </c>
      <c r="G509" s="53">
        <f t="shared" si="7"/>
        <v>4.8611111111111494E-3</v>
      </c>
      <c r="H509" s="54">
        <v>41723</v>
      </c>
      <c r="I509" s="55" t="s">
        <v>538</v>
      </c>
      <c r="J509" s="55" t="s">
        <v>535</v>
      </c>
      <c r="K509" s="55">
        <f>VLOOKUP(J509,'Validacion reclamo de equipaje'!L:M,2,0)</f>
        <v>50</v>
      </c>
      <c r="L509" s="55" t="str">
        <f>VLOOKUP(I509,'Validacion reclamo de equipaje'!H:I,2,0)</f>
        <v>Internacional</v>
      </c>
      <c r="M509" s="55" t="s">
        <v>522</v>
      </c>
    </row>
    <row r="510" spans="1:13" x14ac:dyDescent="0.25">
      <c r="A510">
        <v>3275</v>
      </c>
      <c r="B510" s="47" t="str">
        <f>VLOOKUP(Tabla6[[#This Row],['# Vuelo]],'Validacion reclamo de equipaje'!P:Q,2,0)</f>
        <v>AEROLINEAS DE AMERICA</v>
      </c>
      <c r="C510" s="48">
        <v>0.44027777777777777</v>
      </c>
      <c r="D510" s="48">
        <v>0.45416666666666666</v>
      </c>
      <c r="E510" s="49">
        <f>'Reclamo de equipaje rediseñado'!$D510-'Reclamo de equipaje rediseñado'!$C510</f>
        <v>1.3888888888888895E-2</v>
      </c>
      <c r="F510" s="48">
        <v>0.46319444444444446</v>
      </c>
      <c r="G510" s="49">
        <f t="shared" si="7"/>
        <v>9.0277777777778012E-3</v>
      </c>
      <c r="H510" s="50">
        <v>41715</v>
      </c>
      <c r="I510" s="51" t="s">
        <v>538</v>
      </c>
      <c r="J510" s="51" t="s">
        <v>535</v>
      </c>
      <c r="K510" s="51">
        <f>VLOOKUP(J510,'Validacion reclamo de equipaje'!L:M,2,0)</f>
        <v>50</v>
      </c>
      <c r="L510" s="51" t="str">
        <f>VLOOKUP(I510,'Validacion reclamo de equipaje'!H:I,2,0)</f>
        <v>Internacional</v>
      </c>
      <c r="M510" s="51" t="s">
        <v>522</v>
      </c>
    </row>
    <row r="511" spans="1:13" x14ac:dyDescent="0.25">
      <c r="A511">
        <v>3275</v>
      </c>
      <c r="B511" s="47" t="str">
        <f>VLOOKUP(Tabla6[[#This Row],['# Vuelo]],'Validacion reclamo de equipaje'!P:Q,2,0)</f>
        <v>AEROLINEAS DE AMERICA</v>
      </c>
      <c r="C511" s="52">
        <v>0.4548611111111111</v>
      </c>
      <c r="D511" s="52">
        <v>0.46527777777777773</v>
      </c>
      <c r="E511" s="53">
        <f>'Reclamo de equipaje rediseñado'!$D511-'Reclamo de equipaje rediseñado'!$C511</f>
        <v>1.041666666666663E-2</v>
      </c>
      <c r="F511" s="52">
        <v>0.4694444444444445</v>
      </c>
      <c r="G511" s="53">
        <f t="shared" si="7"/>
        <v>4.1666666666667629E-3</v>
      </c>
      <c r="H511" s="54">
        <v>41717</v>
      </c>
      <c r="I511" s="55" t="s">
        <v>538</v>
      </c>
      <c r="J511" s="55" t="s">
        <v>535</v>
      </c>
      <c r="K511" s="55">
        <f>VLOOKUP(J511,'Validacion reclamo de equipaje'!L:M,2,0)</f>
        <v>50</v>
      </c>
      <c r="L511" s="55" t="str">
        <f>VLOOKUP(I511,'Validacion reclamo de equipaje'!H:I,2,0)</f>
        <v>Internacional</v>
      </c>
      <c r="M511" s="55" t="s">
        <v>522</v>
      </c>
    </row>
    <row r="512" spans="1:13" x14ac:dyDescent="0.25">
      <c r="A512">
        <v>3275</v>
      </c>
      <c r="B512" s="47" t="str">
        <f>VLOOKUP(Tabla6[[#This Row],['# Vuelo]],'Validacion reclamo de equipaje'!P:Q,2,0)</f>
        <v>AEROLINEAS DE AMERICA</v>
      </c>
      <c r="C512" s="48">
        <v>0.45902777777777781</v>
      </c>
      <c r="D512" s="48">
        <v>0.47361111111111115</v>
      </c>
      <c r="E512" s="49">
        <f>'Reclamo de equipaje rediseñado'!$D512-'Reclamo de equipaje rediseñado'!$C512</f>
        <v>1.4583333333333337E-2</v>
      </c>
      <c r="F512" s="48">
        <v>0.47916666666666669</v>
      </c>
      <c r="G512" s="49">
        <f t="shared" si="7"/>
        <v>5.5555555555555358E-3</v>
      </c>
      <c r="H512" s="50">
        <v>41718</v>
      </c>
      <c r="I512" s="51" t="s">
        <v>538</v>
      </c>
      <c r="J512" s="51" t="s">
        <v>535</v>
      </c>
      <c r="K512" s="51">
        <f>VLOOKUP(J512,'Validacion reclamo de equipaje'!L:M,2,0)</f>
        <v>50</v>
      </c>
      <c r="L512" s="51" t="str">
        <f>VLOOKUP(I512,'Validacion reclamo de equipaje'!H:I,2,0)</f>
        <v>Internacional</v>
      </c>
      <c r="M512" s="51" t="s">
        <v>522</v>
      </c>
    </row>
    <row r="513" spans="1:13" x14ac:dyDescent="0.25">
      <c r="A513">
        <v>3275</v>
      </c>
      <c r="B513" s="47" t="str">
        <f>VLOOKUP(Tabla6[[#This Row],['# Vuelo]],'Validacion reclamo de equipaje'!P:Q,2,0)</f>
        <v>AEROLINEAS DE AMERICA</v>
      </c>
      <c r="C513" s="52">
        <v>0.4548611111111111</v>
      </c>
      <c r="D513" s="52">
        <v>0.46111111111111108</v>
      </c>
      <c r="E513" s="53">
        <f>'Reclamo de equipaje rediseñado'!$D513-'Reclamo de equipaje rediseñado'!$C513</f>
        <v>6.2499999999999778E-3</v>
      </c>
      <c r="F513" s="52">
        <v>0.4694444444444445</v>
      </c>
      <c r="G513" s="53">
        <f t="shared" si="7"/>
        <v>8.3333333333334147E-3</v>
      </c>
      <c r="H513" s="54">
        <v>41725</v>
      </c>
      <c r="I513" s="55" t="s">
        <v>538</v>
      </c>
      <c r="J513" s="55" t="s">
        <v>535</v>
      </c>
      <c r="K513" s="55">
        <f>VLOOKUP(J513,'Validacion reclamo de equipaje'!L:M,2,0)</f>
        <v>50</v>
      </c>
      <c r="L513" s="55" t="str">
        <f>VLOOKUP(I513,'Validacion reclamo de equipaje'!H:I,2,0)</f>
        <v>Internacional</v>
      </c>
      <c r="M513" s="55" t="s">
        <v>522</v>
      </c>
    </row>
    <row r="514" spans="1:13" x14ac:dyDescent="0.25">
      <c r="A514">
        <v>3275</v>
      </c>
      <c r="B514" s="47" t="str">
        <f>VLOOKUP(Tabla6[[#This Row],['# Vuelo]],'Validacion reclamo de equipaje'!P:Q,2,0)</f>
        <v>AEROLINEAS DE AMERICA</v>
      </c>
      <c r="C514" s="48">
        <v>0.4458333333333333</v>
      </c>
      <c r="D514" s="48">
        <v>0.4548611111111111</v>
      </c>
      <c r="E514" s="49">
        <f>'Reclamo de equipaje rediseñado'!$D514-'Reclamo de equipaje rediseñado'!$C514</f>
        <v>9.0277777777778012E-3</v>
      </c>
      <c r="F514" s="48">
        <v>0.46111111111111108</v>
      </c>
      <c r="G514" s="49">
        <f t="shared" si="7"/>
        <v>6.2499999999999778E-3</v>
      </c>
      <c r="H514" s="50">
        <v>41726</v>
      </c>
      <c r="I514" s="51" t="s">
        <v>538</v>
      </c>
      <c r="J514" s="51" t="s">
        <v>535</v>
      </c>
      <c r="K514" s="51">
        <f>VLOOKUP(J514,'Validacion reclamo de equipaje'!L:M,2,0)</f>
        <v>50</v>
      </c>
      <c r="L514" s="51" t="str">
        <f>VLOOKUP(I514,'Validacion reclamo de equipaje'!H:I,2,0)</f>
        <v>Internacional</v>
      </c>
      <c r="M514" s="51" t="s">
        <v>522</v>
      </c>
    </row>
    <row r="515" spans="1:13" x14ac:dyDescent="0.25">
      <c r="A515">
        <v>3275</v>
      </c>
      <c r="B515" s="47" t="str">
        <f>VLOOKUP(Tabla6[[#This Row],['# Vuelo]],'Validacion reclamo de equipaje'!P:Q,2,0)</f>
        <v>AEROLINEAS DE AMERICA</v>
      </c>
      <c r="C515" s="52">
        <v>0.44791666666666669</v>
      </c>
      <c r="D515" s="52">
        <v>0.46111111111111108</v>
      </c>
      <c r="E515" s="53">
        <f>'Reclamo de equipaje rediseñado'!$D515-'Reclamo de equipaje rediseñado'!$C515</f>
        <v>1.3194444444444398E-2</v>
      </c>
      <c r="F515" s="52">
        <v>0.46458333333333335</v>
      </c>
      <c r="G515" s="53">
        <f t="shared" ref="G515:G578" si="8">F515-D515</f>
        <v>3.4722222222222654E-3</v>
      </c>
      <c r="H515" s="54">
        <v>41727</v>
      </c>
      <c r="I515" s="55" t="s">
        <v>538</v>
      </c>
      <c r="J515" s="55" t="s">
        <v>535</v>
      </c>
      <c r="K515" s="55">
        <f>VLOOKUP(J515,'Validacion reclamo de equipaje'!L:M,2,0)</f>
        <v>50</v>
      </c>
      <c r="L515" s="55" t="str">
        <f>VLOOKUP(I515,'Validacion reclamo de equipaje'!H:I,2,0)</f>
        <v>Internacional</v>
      </c>
      <c r="M515" s="55" t="s">
        <v>522</v>
      </c>
    </row>
    <row r="516" spans="1:13" x14ac:dyDescent="0.25">
      <c r="A516">
        <v>3275</v>
      </c>
      <c r="B516" s="47" t="str">
        <f>VLOOKUP(Tabla6[[#This Row],['# Vuelo]],'Validacion reclamo de equipaje'!P:Q,2,0)</f>
        <v>AEROLINEAS DE AMERICA</v>
      </c>
      <c r="C516" s="48">
        <v>0.4375</v>
      </c>
      <c r="D516" s="48">
        <v>0.45902777777777781</v>
      </c>
      <c r="E516" s="49">
        <f>'Reclamo de equipaje rediseñado'!$D516-'Reclamo de equipaje rediseñado'!$C516</f>
        <v>2.1527777777777812E-2</v>
      </c>
      <c r="F516" s="48">
        <v>0.46111111111111108</v>
      </c>
      <c r="G516" s="49">
        <f t="shared" si="8"/>
        <v>2.0833333333332704E-3</v>
      </c>
      <c r="H516" s="50">
        <v>41728</v>
      </c>
      <c r="I516" s="51" t="s">
        <v>538</v>
      </c>
      <c r="J516" s="51" t="s">
        <v>535</v>
      </c>
      <c r="K516" s="51">
        <f>VLOOKUP(J516,'Validacion reclamo de equipaje'!L:M,2,0)</f>
        <v>50</v>
      </c>
      <c r="L516" s="51" t="str">
        <f>VLOOKUP(I516,'Validacion reclamo de equipaje'!H:I,2,0)</f>
        <v>Internacional</v>
      </c>
      <c r="M516" s="51" t="s">
        <v>522</v>
      </c>
    </row>
    <row r="517" spans="1:13" x14ac:dyDescent="0.25">
      <c r="A517">
        <v>3275</v>
      </c>
      <c r="B517" s="47" t="str">
        <f>VLOOKUP(Tabla6[[#This Row],['# Vuelo]],'Validacion reclamo de equipaje'!P:Q,2,0)</f>
        <v>AEROLINEAS DE AMERICA</v>
      </c>
      <c r="C517" s="52">
        <v>0.44513888888888892</v>
      </c>
      <c r="D517" s="52">
        <v>0.45347222222222222</v>
      </c>
      <c r="E517" s="53">
        <f>'Reclamo de equipaje rediseñado'!$D517-'Reclamo de equipaje rediseñado'!$C517</f>
        <v>8.3333333333333037E-3</v>
      </c>
      <c r="F517" s="52">
        <v>0.46875</v>
      </c>
      <c r="G517" s="53">
        <f t="shared" si="8"/>
        <v>1.5277777777777779E-2</v>
      </c>
      <c r="H517" s="54">
        <v>41729</v>
      </c>
      <c r="I517" s="55" t="s">
        <v>538</v>
      </c>
      <c r="J517" s="55" t="s">
        <v>535</v>
      </c>
      <c r="K517" s="55">
        <f>VLOOKUP(J517,'Validacion reclamo de equipaje'!L:M,2,0)</f>
        <v>50</v>
      </c>
      <c r="L517" s="55" t="str">
        <f>VLOOKUP(I517,'Validacion reclamo de equipaje'!H:I,2,0)</f>
        <v>Internacional</v>
      </c>
      <c r="M517" s="55" t="s">
        <v>522</v>
      </c>
    </row>
    <row r="518" spans="1:13" x14ac:dyDescent="0.25">
      <c r="A518">
        <v>2840</v>
      </c>
      <c r="B518" s="47" t="str">
        <f>VLOOKUP(Tabla6[[#This Row],['# Vuelo]],'Validacion reclamo de equipaje'!P:Q,2,0)</f>
        <v>AEROLINEAS DE AMERICA</v>
      </c>
      <c r="C518" s="48">
        <v>0.68611111111111101</v>
      </c>
      <c r="D518" s="48">
        <v>0.69305555555555554</v>
      </c>
      <c r="E518" s="49">
        <f>'Reclamo de equipaje rediseñado'!$D518-'Reclamo de equipaje rediseñado'!$C518</f>
        <v>6.9444444444445308E-3</v>
      </c>
      <c r="F518" s="48">
        <v>0.70416666666666661</v>
      </c>
      <c r="G518" s="49">
        <f t="shared" si="8"/>
        <v>1.1111111111111072E-2</v>
      </c>
      <c r="H518" s="50">
        <v>41715</v>
      </c>
      <c r="I518" s="51" t="s">
        <v>570</v>
      </c>
      <c r="J518" s="51">
        <v>320</v>
      </c>
      <c r="K518" s="51">
        <f>VLOOKUP(J518,'Validacion reclamo de equipaje'!L:M,2,0)</f>
        <v>179</v>
      </c>
      <c r="L518" s="51" t="str">
        <f>VLOOKUP(I518,'Validacion reclamo de equipaje'!H:I,2,0)</f>
        <v>Internacional</v>
      </c>
      <c r="M518" s="51" t="s">
        <v>522</v>
      </c>
    </row>
    <row r="519" spans="1:13" x14ac:dyDescent="0.25">
      <c r="A519">
        <v>2313</v>
      </c>
      <c r="B519" s="47" t="str">
        <f>VLOOKUP(Tabla6[[#This Row],['# Vuelo]],'Validacion reclamo de equipaje'!P:Q,2,0)</f>
        <v>AEROLINEAS DE AMERICA</v>
      </c>
      <c r="C519" s="52">
        <v>0.9243055555555556</v>
      </c>
      <c r="D519" s="52">
        <v>0.93611111111111101</v>
      </c>
      <c r="E519" s="53">
        <f>'Reclamo de equipaje rediseñado'!$D519-'Reclamo de equipaje rediseñado'!$C519</f>
        <v>1.1805555555555403E-2</v>
      </c>
      <c r="F519" s="52">
        <v>0.95486111111111116</v>
      </c>
      <c r="G519" s="53">
        <f t="shared" si="8"/>
        <v>1.8750000000000155E-2</v>
      </c>
      <c r="H519" s="54">
        <v>41713</v>
      </c>
      <c r="I519" s="55" t="s">
        <v>538</v>
      </c>
      <c r="J519" s="55" t="s">
        <v>571</v>
      </c>
      <c r="K519" s="55">
        <f>VLOOKUP(J519,'Validacion reclamo de equipaje'!L:M,2,0)</f>
        <v>182</v>
      </c>
      <c r="L519" s="55" t="str">
        <f>VLOOKUP(I519,'Validacion reclamo de equipaje'!H:I,2,0)</f>
        <v>Internacional</v>
      </c>
      <c r="M519" s="55" t="s">
        <v>522</v>
      </c>
    </row>
    <row r="520" spans="1:13" x14ac:dyDescent="0.25">
      <c r="A520">
        <v>2313</v>
      </c>
      <c r="B520" s="47" t="str">
        <f>VLOOKUP(Tabla6[[#This Row],['# Vuelo]],'Validacion reclamo de equipaje'!P:Q,2,0)</f>
        <v>AEROLINEAS DE AMERICA</v>
      </c>
      <c r="C520" s="48">
        <v>0.83750000000000002</v>
      </c>
      <c r="D520" s="48">
        <v>0.8534722222222223</v>
      </c>
      <c r="E520" s="49">
        <f>'Reclamo de equipaje rediseñado'!$D520-'Reclamo de equipaje rediseñado'!$C520</f>
        <v>1.5972222222222276E-2</v>
      </c>
      <c r="F520" s="48">
        <v>0.8652777777777777</v>
      </c>
      <c r="G520" s="49">
        <f t="shared" si="8"/>
        <v>1.1805555555555403E-2</v>
      </c>
      <c r="H520" s="50">
        <v>41719</v>
      </c>
      <c r="I520" s="51" t="s">
        <v>538</v>
      </c>
      <c r="J520" s="51" t="s">
        <v>571</v>
      </c>
      <c r="K520" s="51">
        <f>VLOOKUP(J520,'Validacion reclamo de equipaje'!L:M,2,0)</f>
        <v>182</v>
      </c>
      <c r="L520" s="51" t="str">
        <f>VLOOKUP(I520,'Validacion reclamo de equipaje'!H:I,2,0)</f>
        <v>Internacional</v>
      </c>
      <c r="M520" s="51" t="s">
        <v>522</v>
      </c>
    </row>
    <row r="521" spans="1:13" x14ac:dyDescent="0.25">
      <c r="A521">
        <v>2313</v>
      </c>
      <c r="B521" s="47" t="str">
        <f>VLOOKUP(Tabla6[[#This Row],['# Vuelo]],'Validacion reclamo de equipaje'!P:Q,2,0)</f>
        <v>AEROLINEAS DE AMERICA</v>
      </c>
      <c r="C521" s="52">
        <v>0.82638888888888884</v>
      </c>
      <c r="D521" s="52">
        <v>0.84375</v>
      </c>
      <c r="E521" s="53">
        <f>'Reclamo de equipaje rediseñado'!$D521-'Reclamo de equipaje rediseñado'!$C521</f>
        <v>1.736111111111116E-2</v>
      </c>
      <c r="F521" s="52">
        <v>0.85555555555555562</v>
      </c>
      <c r="G521" s="53">
        <f t="shared" si="8"/>
        <v>1.1805555555555625E-2</v>
      </c>
      <c r="H521" s="54">
        <v>41721</v>
      </c>
      <c r="I521" s="55" t="s">
        <v>538</v>
      </c>
      <c r="J521" s="55" t="s">
        <v>571</v>
      </c>
      <c r="K521" s="55">
        <f>VLOOKUP(J521,'Validacion reclamo de equipaje'!L:M,2,0)</f>
        <v>182</v>
      </c>
      <c r="L521" s="55" t="str">
        <f>VLOOKUP(I521,'Validacion reclamo de equipaje'!H:I,2,0)</f>
        <v>Internacional</v>
      </c>
      <c r="M521" s="55" t="s">
        <v>522</v>
      </c>
    </row>
    <row r="522" spans="1:13" x14ac:dyDescent="0.25">
      <c r="A522">
        <v>2313</v>
      </c>
      <c r="B522" s="47" t="str">
        <f>VLOOKUP(Tabla6[[#This Row],['# Vuelo]],'Validacion reclamo de equipaje'!P:Q,2,0)</f>
        <v>AEROLINEAS DE AMERICA</v>
      </c>
      <c r="C522" s="48">
        <v>0.8979166666666667</v>
      </c>
      <c r="D522" s="48">
        <v>0.9159722222222223</v>
      </c>
      <c r="E522" s="49">
        <f>'Reclamo de equipaje rediseñado'!$D522-'Reclamo de equipaje rediseñado'!$C522</f>
        <v>1.8055555555555602E-2</v>
      </c>
      <c r="F522" s="48">
        <v>0.92361111111111116</v>
      </c>
      <c r="G522" s="49">
        <f t="shared" si="8"/>
        <v>7.6388888888888618E-3</v>
      </c>
      <c r="H522" s="50">
        <v>41724</v>
      </c>
      <c r="I522" s="51" t="s">
        <v>538</v>
      </c>
      <c r="J522" s="51" t="s">
        <v>571</v>
      </c>
      <c r="K522" s="51">
        <f>VLOOKUP(J522,'Validacion reclamo de equipaje'!L:M,2,0)</f>
        <v>182</v>
      </c>
      <c r="L522" s="51" t="str">
        <f>VLOOKUP(I522,'Validacion reclamo de equipaje'!H:I,2,0)</f>
        <v>Internacional</v>
      </c>
      <c r="M522" s="51" t="s">
        <v>522</v>
      </c>
    </row>
    <row r="523" spans="1:13" x14ac:dyDescent="0.25">
      <c r="A523">
        <v>2313</v>
      </c>
      <c r="B523" s="47" t="str">
        <f>VLOOKUP(Tabla6[[#This Row],['# Vuelo]],'Validacion reclamo de equipaje'!P:Q,2,0)</f>
        <v>AEROLINEAS DE AMERICA</v>
      </c>
      <c r="C523" s="52">
        <v>0.84236111111111101</v>
      </c>
      <c r="D523" s="52">
        <v>0.84861111111111109</v>
      </c>
      <c r="E523" s="53">
        <f>'Reclamo de equipaje rediseñado'!$D523-'Reclamo de equipaje rediseñado'!$C523</f>
        <v>6.2500000000000888E-3</v>
      </c>
      <c r="F523" s="52">
        <v>0.88194444444444453</v>
      </c>
      <c r="G523" s="53">
        <f t="shared" si="8"/>
        <v>3.3333333333333437E-2</v>
      </c>
      <c r="H523" s="54">
        <v>41724</v>
      </c>
      <c r="I523" s="55" t="s">
        <v>538</v>
      </c>
      <c r="J523" s="55" t="s">
        <v>571</v>
      </c>
      <c r="K523" s="55">
        <f>VLOOKUP(J523,'Validacion reclamo de equipaje'!L:M,2,0)</f>
        <v>182</v>
      </c>
      <c r="L523" s="55" t="str">
        <f>VLOOKUP(I523,'Validacion reclamo de equipaje'!H:I,2,0)</f>
        <v>Internacional</v>
      </c>
      <c r="M523" s="55" t="s">
        <v>522</v>
      </c>
    </row>
    <row r="524" spans="1:13" x14ac:dyDescent="0.25">
      <c r="A524">
        <v>2313</v>
      </c>
      <c r="B524" s="47" t="str">
        <f>VLOOKUP(Tabla6[[#This Row],['# Vuelo]],'Validacion reclamo de equipaje'!P:Q,2,0)</f>
        <v>AEROLINEAS DE AMERICA</v>
      </c>
      <c r="C524" s="48">
        <v>0.84583333333333333</v>
      </c>
      <c r="D524" s="48">
        <v>0.86597222222222225</v>
      </c>
      <c r="E524" s="49">
        <f>'Reclamo de equipaje rediseñado'!$D524-'Reclamo de equipaje rediseñado'!$C524</f>
        <v>2.0138888888888928E-2</v>
      </c>
      <c r="F524" s="48">
        <v>0.87569444444444444</v>
      </c>
      <c r="G524" s="49">
        <f t="shared" si="8"/>
        <v>9.7222222222221877E-3</v>
      </c>
      <c r="H524" s="50">
        <v>41728</v>
      </c>
      <c r="I524" s="51" t="s">
        <v>538</v>
      </c>
      <c r="J524" s="51" t="s">
        <v>571</v>
      </c>
      <c r="K524" s="51">
        <f>VLOOKUP(J524,'Validacion reclamo de equipaje'!L:M,2,0)</f>
        <v>182</v>
      </c>
      <c r="L524" s="51" t="str">
        <f>VLOOKUP(I524,'Validacion reclamo de equipaje'!H:I,2,0)</f>
        <v>Internacional</v>
      </c>
      <c r="M524" s="51" t="s">
        <v>522</v>
      </c>
    </row>
    <row r="525" spans="1:13" x14ac:dyDescent="0.25">
      <c r="A525">
        <v>387</v>
      </c>
      <c r="B525" s="47" t="str">
        <f>VLOOKUP(Tabla6[[#This Row],['# Vuelo]],'Validacion reclamo de equipaje'!P:Q,2,0)</f>
        <v>AEROLINEAS DE AMERICA</v>
      </c>
      <c r="C525" s="52">
        <v>0.55555555555555558</v>
      </c>
      <c r="D525" s="52">
        <v>0.57291666666666663</v>
      </c>
      <c r="E525" s="53">
        <f>'Reclamo de equipaje rediseñado'!$D525-'Reclamo de equipaje rediseñado'!$C525</f>
        <v>1.7361111111111049E-2</v>
      </c>
      <c r="F525" s="52">
        <v>0.57986111111111105</v>
      </c>
      <c r="G525" s="53">
        <f t="shared" si="8"/>
        <v>6.9444444444444198E-3</v>
      </c>
      <c r="H525" s="54">
        <v>41714</v>
      </c>
      <c r="I525" s="55" t="s">
        <v>538</v>
      </c>
      <c r="J525" s="55" t="s">
        <v>571</v>
      </c>
      <c r="K525" s="55">
        <f>VLOOKUP(J525,'Validacion reclamo de equipaje'!L:M,2,0)</f>
        <v>182</v>
      </c>
      <c r="L525" s="55" t="str">
        <f>VLOOKUP(I525,'Validacion reclamo de equipaje'!H:I,2,0)</f>
        <v>Internacional</v>
      </c>
      <c r="M525" s="55" t="s">
        <v>522</v>
      </c>
    </row>
    <row r="526" spans="1:13" x14ac:dyDescent="0.25">
      <c r="A526">
        <v>387</v>
      </c>
      <c r="B526" s="47" t="str">
        <f>VLOOKUP(Tabla6[[#This Row],['# Vuelo]],'Validacion reclamo de equipaje'!P:Q,2,0)</f>
        <v>AEROLINEAS DE AMERICA</v>
      </c>
      <c r="C526" s="48">
        <v>0.55555555555555558</v>
      </c>
      <c r="D526" s="48">
        <v>0.57291666666666663</v>
      </c>
      <c r="E526" s="49">
        <f>'Reclamo de equipaje rediseñado'!$D526-'Reclamo de equipaje rediseñado'!$C526</f>
        <v>1.7361111111111049E-2</v>
      </c>
      <c r="F526" s="48">
        <v>0.57986111111111105</v>
      </c>
      <c r="G526" s="49">
        <f t="shared" si="8"/>
        <v>6.9444444444444198E-3</v>
      </c>
      <c r="H526" s="50">
        <v>41720</v>
      </c>
      <c r="I526" s="51" t="s">
        <v>538</v>
      </c>
      <c r="J526" s="51" t="s">
        <v>571</v>
      </c>
      <c r="K526" s="51">
        <f>VLOOKUP(J526,'Validacion reclamo de equipaje'!L:M,2,0)</f>
        <v>182</v>
      </c>
      <c r="L526" s="51" t="str">
        <f>VLOOKUP(I526,'Validacion reclamo de equipaje'!H:I,2,0)</f>
        <v>Internacional</v>
      </c>
      <c r="M526" s="51" t="s">
        <v>522</v>
      </c>
    </row>
    <row r="527" spans="1:13" x14ac:dyDescent="0.25">
      <c r="A527">
        <v>387</v>
      </c>
      <c r="B527" s="47" t="str">
        <f>VLOOKUP(Tabla6[[#This Row],['# Vuelo]],'Validacion reclamo de equipaje'!P:Q,2,0)</f>
        <v>AEROLINEAS DE AMERICA</v>
      </c>
      <c r="C527" s="52">
        <v>0.54999999999999993</v>
      </c>
      <c r="D527" s="52">
        <v>0.56944444444444442</v>
      </c>
      <c r="E527" s="53">
        <f>'Reclamo de equipaje rediseñado'!$D527-'Reclamo de equipaje rediseñado'!$C527</f>
        <v>1.9444444444444486E-2</v>
      </c>
      <c r="F527" s="52">
        <v>0.57986111111111105</v>
      </c>
      <c r="G527" s="53">
        <f t="shared" si="8"/>
        <v>1.041666666666663E-2</v>
      </c>
      <c r="H527" s="54">
        <v>41721</v>
      </c>
      <c r="I527" s="55" t="s">
        <v>538</v>
      </c>
      <c r="J527" s="55" t="s">
        <v>571</v>
      </c>
      <c r="K527" s="55">
        <f>VLOOKUP(J527,'Validacion reclamo de equipaje'!L:M,2,0)</f>
        <v>182</v>
      </c>
      <c r="L527" s="55" t="str">
        <f>VLOOKUP(I527,'Validacion reclamo de equipaje'!H:I,2,0)</f>
        <v>Internacional</v>
      </c>
      <c r="M527" s="55" t="s">
        <v>522</v>
      </c>
    </row>
    <row r="528" spans="1:13" x14ac:dyDescent="0.25">
      <c r="A528">
        <v>387</v>
      </c>
      <c r="B528" s="47" t="str">
        <f>VLOOKUP(Tabla6[[#This Row],['# Vuelo]],'Validacion reclamo de equipaje'!P:Q,2,0)</f>
        <v>AEROLINEAS DE AMERICA</v>
      </c>
      <c r="C528" s="48">
        <v>0.54999999999999993</v>
      </c>
      <c r="D528" s="48">
        <v>0.56736111111111109</v>
      </c>
      <c r="E528" s="49">
        <f>'Reclamo de equipaje rediseñado'!$D528-'Reclamo de equipaje rediseñado'!$C528</f>
        <v>1.736111111111116E-2</v>
      </c>
      <c r="F528" s="48">
        <v>0.58333333333333337</v>
      </c>
      <c r="G528" s="49">
        <f t="shared" si="8"/>
        <v>1.5972222222222276E-2</v>
      </c>
      <c r="H528" s="50">
        <v>41722</v>
      </c>
      <c r="I528" s="51" t="s">
        <v>538</v>
      </c>
      <c r="J528" s="51" t="s">
        <v>571</v>
      </c>
      <c r="K528" s="51">
        <f>VLOOKUP(J528,'Validacion reclamo de equipaje'!L:M,2,0)</f>
        <v>182</v>
      </c>
      <c r="L528" s="51" t="str">
        <f>VLOOKUP(I528,'Validacion reclamo de equipaje'!H:I,2,0)</f>
        <v>Internacional</v>
      </c>
      <c r="M528" s="51" t="s">
        <v>522</v>
      </c>
    </row>
    <row r="529" spans="1:13" x14ac:dyDescent="0.25">
      <c r="A529">
        <v>387</v>
      </c>
      <c r="B529" s="47" t="str">
        <f>VLOOKUP(Tabla6[[#This Row],['# Vuelo]],'Validacion reclamo de equipaje'!P:Q,2,0)</f>
        <v>AEROLINEAS DE AMERICA</v>
      </c>
      <c r="C529" s="52">
        <v>0.55902777777777779</v>
      </c>
      <c r="D529" s="52">
        <v>0.56944444444444442</v>
      </c>
      <c r="E529" s="53">
        <f>'Reclamo de equipaje rediseñado'!$D529-'Reclamo de equipaje rediseñado'!$C529</f>
        <v>1.041666666666663E-2</v>
      </c>
      <c r="F529" s="52">
        <v>0.57916666666666672</v>
      </c>
      <c r="G529" s="53">
        <f t="shared" si="8"/>
        <v>9.7222222222222987E-3</v>
      </c>
      <c r="H529" s="54">
        <v>41723</v>
      </c>
      <c r="I529" s="55" t="s">
        <v>538</v>
      </c>
      <c r="J529" s="55" t="s">
        <v>571</v>
      </c>
      <c r="K529" s="55">
        <f>VLOOKUP(J529,'Validacion reclamo de equipaje'!L:M,2,0)</f>
        <v>182</v>
      </c>
      <c r="L529" s="55" t="str">
        <f>VLOOKUP(I529,'Validacion reclamo de equipaje'!H:I,2,0)</f>
        <v>Internacional</v>
      </c>
      <c r="M529" s="55" t="s">
        <v>522</v>
      </c>
    </row>
    <row r="530" spans="1:13" x14ac:dyDescent="0.25">
      <c r="A530">
        <v>387</v>
      </c>
      <c r="B530" s="47" t="str">
        <f>VLOOKUP(Tabla6[[#This Row],['# Vuelo]],'Validacion reclamo de equipaje'!P:Q,2,0)</f>
        <v>AEROLINEAS DE AMERICA</v>
      </c>
      <c r="C530" s="48">
        <v>0.55347222222222225</v>
      </c>
      <c r="D530" s="48">
        <v>0.56388888888888888</v>
      </c>
      <c r="E530" s="49">
        <f>'Reclamo de equipaje rediseñado'!$D530-'Reclamo de equipaje rediseñado'!$C530</f>
        <v>1.041666666666663E-2</v>
      </c>
      <c r="F530" s="48">
        <v>0.57500000000000007</v>
      </c>
      <c r="G530" s="49">
        <f t="shared" si="8"/>
        <v>1.1111111111111183E-2</v>
      </c>
      <c r="H530" s="50">
        <v>41715</v>
      </c>
      <c r="I530" s="51" t="s">
        <v>538</v>
      </c>
      <c r="J530" s="51" t="s">
        <v>571</v>
      </c>
      <c r="K530" s="51">
        <f>VLOOKUP(J530,'Validacion reclamo de equipaje'!L:M,2,0)</f>
        <v>182</v>
      </c>
      <c r="L530" s="51" t="str">
        <f>VLOOKUP(I530,'Validacion reclamo de equipaje'!H:I,2,0)</f>
        <v>Internacional</v>
      </c>
      <c r="M530" s="51" t="s">
        <v>522</v>
      </c>
    </row>
    <row r="531" spans="1:13" x14ac:dyDescent="0.25">
      <c r="A531">
        <v>387</v>
      </c>
      <c r="B531" s="47" t="str">
        <f>VLOOKUP(Tabla6[[#This Row],['# Vuelo]],'Validacion reclamo de equipaje'!P:Q,2,0)</f>
        <v>AEROLINEAS DE AMERICA</v>
      </c>
      <c r="C531" s="52">
        <v>0.56041666666666667</v>
      </c>
      <c r="D531" s="52">
        <v>0.57708333333333328</v>
      </c>
      <c r="E531" s="53">
        <f>'Reclamo de equipaje rediseñado'!$D531-'Reclamo de equipaje rediseñado'!$C531</f>
        <v>1.6666666666666607E-2</v>
      </c>
      <c r="F531" s="52">
        <v>0.58263888888888882</v>
      </c>
      <c r="G531" s="53">
        <f t="shared" si="8"/>
        <v>5.5555555555555358E-3</v>
      </c>
      <c r="H531" s="54">
        <v>41717</v>
      </c>
      <c r="I531" s="55" t="s">
        <v>538</v>
      </c>
      <c r="J531" s="55" t="s">
        <v>571</v>
      </c>
      <c r="K531" s="55">
        <f>VLOOKUP(J531,'Validacion reclamo de equipaje'!L:M,2,0)</f>
        <v>182</v>
      </c>
      <c r="L531" s="55" t="str">
        <f>VLOOKUP(I531,'Validacion reclamo de equipaje'!H:I,2,0)</f>
        <v>Internacional</v>
      </c>
      <c r="M531" s="55" t="s">
        <v>522</v>
      </c>
    </row>
    <row r="532" spans="1:13" x14ac:dyDescent="0.25">
      <c r="A532">
        <v>387</v>
      </c>
      <c r="B532" s="47" t="str">
        <f>VLOOKUP(Tabla6[[#This Row],['# Vuelo]],'Validacion reclamo de equipaje'!P:Q,2,0)</f>
        <v>AEROLINEAS DE AMERICA</v>
      </c>
      <c r="C532" s="48">
        <v>0.5541666666666667</v>
      </c>
      <c r="D532" s="48">
        <v>0.56874999999999998</v>
      </c>
      <c r="E532" s="49">
        <f>'Reclamo de equipaje rediseñado'!$D532-'Reclamo de equipaje rediseñado'!$C532</f>
        <v>1.4583333333333282E-2</v>
      </c>
      <c r="F532" s="48">
        <v>0.58194444444444449</v>
      </c>
      <c r="G532" s="49">
        <f t="shared" si="8"/>
        <v>1.3194444444444509E-2</v>
      </c>
      <c r="H532" s="50">
        <v>41718</v>
      </c>
      <c r="I532" s="51" t="s">
        <v>538</v>
      </c>
      <c r="J532" s="51" t="s">
        <v>571</v>
      </c>
      <c r="K532" s="51">
        <f>VLOOKUP(J532,'Validacion reclamo de equipaje'!L:M,2,0)</f>
        <v>182</v>
      </c>
      <c r="L532" s="51" t="str">
        <f>VLOOKUP(I532,'Validacion reclamo de equipaje'!H:I,2,0)</f>
        <v>Internacional</v>
      </c>
      <c r="M532" s="51" t="s">
        <v>522</v>
      </c>
    </row>
    <row r="533" spans="1:13" x14ac:dyDescent="0.25">
      <c r="A533">
        <v>387</v>
      </c>
      <c r="B533" s="47" t="str">
        <f>VLOOKUP(Tabla6[[#This Row],['# Vuelo]],'Validacion reclamo de equipaje'!P:Q,2,0)</f>
        <v>AEROLINEAS DE AMERICA</v>
      </c>
      <c r="C533" s="52">
        <v>0.54791666666666672</v>
      </c>
      <c r="D533" s="52">
        <v>0.5625</v>
      </c>
      <c r="E533" s="53">
        <f>'Reclamo de equipaje rediseñado'!$D533-'Reclamo de equipaje rediseñado'!$C533</f>
        <v>1.4583333333333282E-2</v>
      </c>
      <c r="F533" s="52">
        <v>0.58472222222222225</v>
      </c>
      <c r="G533" s="53">
        <f t="shared" si="8"/>
        <v>2.2222222222222254E-2</v>
      </c>
      <c r="H533" s="54">
        <v>41725</v>
      </c>
      <c r="I533" s="55" t="s">
        <v>538</v>
      </c>
      <c r="J533" s="55" t="s">
        <v>571</v>
      </c>
      <c r="K533" s="55">
        <f>VLOOKUP(J533,'Validacion reclamo de equipaje'!L:M,2,0)</f>
        <v>182</v>
      </c>
      <c r="L533" s="55" t="str">
        <f>VLOOKUP(I533,'Validacion reclamo de equipaje'!H:I,2,0)</f>
        <v>Internacional</v>
      </c>
      <c r="M533" s="55" t="s">
        <v>522</v>
      </c>
    </row>
    <row r="534" spans="1:13" x14ac:dyDescent="0.25">
      <c r="A534">
        <v>387</v>
      </c>
      <c r="B534" s="47" t="str">
        <f>VLOOKUP(Tabla6[[#This Row],['# Vuelo]],'Validacion reclamo de equipaje'!P:Q,2,0)</f>
        <v>AEROLINEAS DE AMERICA</v>
      </c>
      <c r="C534" s="48">
        <v>0.55138888888888882</v>
      </c>
      <c r="D534" s="48">
        <v>0.56666666666666665</v>
      </c>
      <c r="E534" s="49">
        <f>'Reclamo de equipaje rediseñado'!$D534-'Reclamo de equipaje rediseñado'!$C534</f>
        <v>1.5277777777777835E-2</v>
      </c>
      <c r="F534" s="48">
        <v>0.57708333333333328</v>
      </c>
      <c r="G534" s="49">
        <f t="shared" si="8"/>
        <v>1.041666666666663E-2</v>
      </c>
      <c r="H534" s="50">
        <v>41726</v>
      </c>
      <c r="I534" s="51" t="s">
        <v>538</v>
      </c>
      <c r="J534" s="51" t="s">
        <v>571</v>
      </c>
      <c r="K534" s="51">
        <f>VLOOKUP(J534,'Validacion reclamo de equipaje'!L:M,2,0)</f>
        <v>182</v>
      </c>
      <c r="L534" s="51" t="str">
        <f>VLOOKUP(I534,'Validacion reclamo de equipaje'!H:I,2,0)</f>
        <v>Internacional</v>
      </c>
      <c r="M534" s="51" t="s">
        <v>522</v>
      </c>
    </row>
    <row r="535" spans="1:13" x14ac:dyDescent="0.25">
      <c r="A535">
        <v>387</v>
      </c>
      <c r="B535" s="47" t="str">
        <f>VLOOKUP(Tabla6[[#This Row],['# Vuelo]],'Validacion reclamo de equipaje'!P:Q,2,0)</f>
        <v>AEROLINEAS DE AMERICA</v>
      </c>
      <c r="C535" s="52">
        <v>0.5541666666666667</v>
      </c>
      <c r="D535" s="52">
        <v>0.56597222222222221</v>
      </c>
      <c r="E535" s="53">
        <f>'Reclamo de equipaje rediseñado'!$D535-'Reclamo de equipaje rediseñado'!$C535</f>
        <v>1.1805555555555514E-2</v>
      </c>
      <c r="F535" s="52">
        <v>0.57361111111111118</v>
      </c>
      <c r="G535" s="53">
        <f t="shared" si="8"/>
        <v>7.6388888888889728E-3</v>
      </c>
      <c r="H535" s="54">
        <v>41727</v>
      </c>
      <c r="I535" s="55" t="s">
        <v>538</v>
      </c>
      <c r="J535" s="55" t="s">
        <v>571</v>
      </c>
      <c r="K535" s="55">
        <f>VLOOKUP(J535,'Validacion reclamo de equipaje'!L:M,2,0)</f>
        <v>182</v>
      </c>
      <c r="L535" s="55" t="str">
        <f>VLOOKUP(I535,'Validacion reclamo de equipaje'!H:I,2,0)</f>
        <v>Internacional</v>
      </c>
      <c r="M535" s="55" t="s">
        <v>522</v>
      </c>
    </row>
    <row r="536" spans="1:13" x14ac:dyDescent="0.25">
      <c r="A536">
        <v>387</v>
      </c>
      <c r="B536" s="47" t="str">
        <f>VLOOKUP(Tabla6[[#This Row],['# Vuelo]],'Validacion reclamo de equipaje'!P:Q,2,0)</f>
        <v>AEROLINEAS DE AMERICA</v>
      </c>
      <c r="C536" s="48">
        <v>0.54236111111111118</v>
      </c>
      <c r="D536" s="48">
        <v>0.5625</v>
      </c>
      <c r="E536" s="49">
        <f>'Reclamo de equipaje rediseñado'!$D536-'Reclamo de equipaje rediseñado'!$C536</f>
        <v>2.0138888888888817E-2</v>
      </c>
      <c r="F536" s="48">
        <v>0.56805555555555554</v>
      </c>
      <c r="G536" s="49">
        <f t="shared" si="8"/>
        <v>5.5555555555555358E-3</v>
      </c>
      <c r="H536" s="50">
        <v>41728</v>
      </c>
      <c r="I536" s="51" t="s">
        <v>538</v>
      </c>
      <c r="J536" s="51" t="s">
        <v>571</v>
      </c>
      <c r="K536" s="51">
        <f>VLOOKUP(J536,'Validacion reclamo de equipaje'!L:M,2,0)</f>
        <v>182</v>
      </c>
      <c r="L536" s="51" t="str">
        <f>VLOOKUP(I536,'Validacion reclamo de equipaje'!H:I,2,0)</f>
        <v>Internacional</v>
      </c>
      <c r="M536" s="51" t="s">
        <v>522</v>
      </c>
    </row>
    <row r="537" spans="1:13" x14ac:dyDescent="0.25">
      <c r="A537">
        <v>387</v>
      </c>
      <c r="B537" s="47" t="str">
        <f>VLOOKUP(Tabla6[[#This Row],['# Vuelo]],'Validacion reclamo de equipaje'!P:Q,2,0)</f>
        <v>AEROLINEAS DE AMERICA</v>
      </c>
      <c r="C537" s="52">
        <v>0.54236111111111118</v>
      </c>
      <c r="D537" s="52">
        <v>0.55833333333333335</v>
      </c>
      <c r="E537" s="53">
        <f>'Reclamo de equipaje rediseñado'!$D537-'Reclamo de equipaje rediseñado'!$C537</f>
        <v>1.5972222222222165E-2</v>
      </c>
      <c r="F537" s="52">
        <v>0.57291666666666663</v>
      </c>
      <c r="G537" s="53">
        <f t="shared" si="8"/>
        <v>1.4583333333333282E-2</v>
      </c>
      <c r="H537" s="54">
        <v>41729</v>
      </c>
      <c r="I537" s="55" t="s">
        <v>538</v>
      </c>
      <c r="J537" s="55" t="s">
        <v>571</v>
      </c>
      <c r="K537" s="55">
        <f>VLOOKUP(J537,'Validacion reclamo de equipaje'!L:M,2,0)</f>
        <v>182</v>
      </c>
      <c r="L537" s="55" t="str">
        <f>VLOOKUP(I537,'Validacion reclamo de equipaje'!H:I,2,0)</f>
        <v>Internacional</v>
      </c>
      <c r="M537" s="55" t="s">
        <v>522</v>
      </c>
    </row>
    <row r="538" spans="1:13" x14ac:dyDescent="0.25">
      <c r="A538">
        <v>332</v>
      </c>
      <c r="B538" s="47" t="str">
        <f>VLOOKUP(Tabla6[[#This Row],['# Vuelo]],'Validacion reclamo de equipaje'!P:Q,2,0)</f>
        <v>AEROLINEAS DE AMERICA</v>
      </c>
      <c r="C538" s="48">
        <v>0.54236111111111118</v>
      </c>
      <c r="D538" s="48">
        <v>0.57500000000000007</v>
      </c>
      <c r="E538" s="49">
        <f>'Reclamo de equipaje rediseñado'!$D538-'Reclamo de equipaje rediseñado'!$C538</f>
        <v>3.2638888888888884E-2</v>
      </c>
      <c r="F538" s="48">
        <v>0.57847222222222217</v>
      </c>
      <c r="G538" s="49">
        <f t="shared" si="8"/>
        <v>3.4722222222220989E-3</v>
      </c>
      <c r="H538" s="50">
        <v>41728</v>
      </c>
      <c r="I538" s="51" t="s">
        <v>569</v>
      </c>
      <c r="J538" s="51">
        <v>320</v>
      </c>
      <c r="K538" s="51">
        <f>VLOOKUP(J538,'Validacion reclamo de equipaje'!L:M,2,0)</f>
        <v>179</v>
      </c>
      <c r="L538" s="51" t="str">
        <f>VLOOKUP(I538,'Validacion reclamo de equipaje'!H:I,2,0)</f>
        <v>Internacional</v>
      </c>
      <c r="M538" s="51" t="s">
        <v>522</v>
      </c>
    </row>
    <row r="539" spans="1:13" x14ac:dyDescent="0.25">
      <c r="A539">
        <v>248</v>
      </c>
      <c r="B539" s="47" t="str">
        <f>VLOOKUP(Tabla6[[#This Row],['# Vuelo]],'Validacion reclamo de equipaje'!P:Q,2,0)</f>
        <v>VUELOS AL NORTE</v>
      </c>
      <c r="C539" s="52">
        <v>0.46458333333333335</v>
      </c>
      <c r="D539" s="52">
        <v>0.48055555555555557</v>
      </c>
      <c r="E539" s="53">
        <f>'Reclamo de equipaje rediseñado'!$D539-'Reclamo de equipaje rediseñado'!$C539</f>
        <v>1.5972222222222221E-2</v>
      </c>
      <c r="F539" s="52">
        <v>0.49444444444444446</v>
      </c>
      <c r="G539" s="53">
        <f t="shared" si="8"/>
        <v>1.3888888888888895E-2</v>
      </c>
      <c r="H539" s="54">
        <v>41718</v>
      </c>
      <c r="I539" s="55" t="s">
        <v>555</v>
      </c>
      <c r="J539" s="55" t="s">
        <v>554</v>
      </c>
      <c r="K539" s="55">
        <f>VLOOKUP(J539,'Validacion reclamo de equipaje'!L:M,2,0)</f>
        <v>189</v>
      </c>
      <c r="L539" s="55" t="str">
        <f>VLOOKUP(I539,'Validacion reclamo de equipaje'!H:I,2,0)</f>
        <v>Internacional</v>
      </c>
      <c r="M539" s="55" t="s">
        <v>522</v>
      </c>
    </row>
    <row r="540" spans="1:13" x14ac:dyDescent="0.25">
      <c r="A540">
        <v>242</v>
      </c>
      <c r="B540" s="47" t="str">
        <f>VLOOKUP(Tabla6[[#This Row],['# Vuelo]],'Validacion reclamo de equipaje'!P:Q,2,0)</f>
        <v>VUELOS AL NORTE</v>
      </c>
      <c r="C540" s="48">
        <v>0.20902777777777778</v>
      </c>
      <c r="D540" s="48">
        <v>0.21944444444444444</v>
      </c>
      <c r="E540" s="49">
        <f>'Reclamo de equipaje rediseñado'!$D540-'Reclamo de equipaje rediseñado'!$C540</f>
        <v>1.0416666666666657E-2</v>
      </c>
      <c r="F540" s="48">
        <v>0.23611111111111113</v>
      </c>
      <c r="G540" s="49">
        <f t="shared" si="8"/>
        <v>1.6666666666666691E-2</v>
      </c>
      <c r="H540" s="50">
        <v>41715</v>
      </c>
      <c r="I540" s="51" t="s">
        <v>555</v>
      </c>
      <c r="J540" s="51" t="s">
        <v>554</v>
      </c>
      <c r="K540" s="51">
        <f>VLOOKUP(J540,'Validacion reclamo de equipaje'!L:M,2,0)</f>
        <v>189</v>
      </c>
      <c r="L540" s="51" t="str">
        <f>VLOOKUP(I540,'Validacion reclamo de equipaje'!H:I,2,0)</f>
        <v>Internacional</v>
      </c>
      <c r="M540" s="51" t="s">
        <v>522</v>
      </c>
    </row>
    <row r="541" spans="1:13" x14ac:dyDescent="0.25">
      <c r="A541">
        <v>722</v>
      </c>
      <c r="B541" s="47" t="str">
        <f>VLOOKUP(Tabla6[[#This Row],['# Vuelo]],'Validacion reclamo de equipaje'!P:Q,2,0)</f>
        <v>COPA</v>
      </c>
      <c r="C541" s="52">
        <v>0.9590277777777777</v>
      </c>
      <c r="D541" s="52">
        <v>0.97986111111111107</v>
      </c>
      <c r="E541" s="53">
        <f>'Reclamo de equipaje rediseñado'!$D541-'Reclamo de equipaje rediseñado'!$C541</f>
        <v>2.083333333333337E-2</v>
      </c>
      <c r="F541" s="52">
        <v>0.98749999999999993</v>
      </c>
      <c r="G541" s="53">
        <f t="shared" si="8"/>
        <v>7.6388888888888618E-3</v>
      </c>
      <c r="H541" s="54">
        <v>41721</v>
      </c>
      <c r="I541" s="55" t="s">
        <v>575</v>
      </c>
      <c r="J541" s="55" t="s">
        <v>554</v>
      </c>
      <c r="K541" s="55">
        <f>VLOOKUP(J541,'Validacion reclamo de equipaje'!L:M,2,0)</f>
        <v>189</v>
      </c>
      <c r="L541" s="55" t="str">
        <f>VLOOKUP(I541,'Validacion reclamo de equipaje'!H:I,2,0)</f>
        <v>Internacional</v>
      </c>
      <c r="M541" s="55" t="s">
        <v>522</v>
      </c>
    </row>
    <row r="542" spans="1:13" x14ac:dyDescent="0.25">
      <c r="A542">
        <v>722</v>
      </c>
      <c r="B542" s="47" t="str">
        <f>VLOOKUP(Tabla6[[#This Row],['# Vuelo]],'Validacion reclamo de equipaje'!P:Q,2,0)</f>
        <v>COPA</v>
      </c>
      <c r="C542" s="48">
        <v>0.96111111111111114</v>
      </c>
      <c r="D542" s="48">
        <v>0.97777777777777775</v>
      </c>
      <c r="E542" s="49">
        <f>'Reclamo de equipaje rediseñado'!$D542-'Reclamo de equipaje rediseñado'!$C542</f>
        <v>1.6666666666666607E-2</v>
      </c>
      <c r="F542" s="48">
        <v>0.98541666666666661</v>
      </c>
      <c r="G542" s="49">
        <f t="shared" si="8"/>
        <v>7.6388888888888618E-3</v>
      </c>
      <c r="H542" s="50">
        <v>41713</v>
      </c>
      <c r="I542" s="51" t="s">
        <v>575</v>
      </c>
      <c r="J542" s="51" t="s">
        <v>554</v>
      </c>
      <c r="K542" s="51">
        <f>VLOOKUP(J542,'Validacion reclamo de equipaje'!L:M,2,0)</f>
        <v>189</v>
      </c>
      <c r="L542" s="51" t="str">
        <f>VLOOKUP(I542,'Validacion reclamo de equipaje'!H:I,2,0)</f>
        <v>Internacional</v>
      </c>
      <c r="M542" s="51" t="s">
        <v>522</v>
      </c>
    </row>
    <row r="543" spans="1:13" x14ac:dyDescent="0.25">
      <c r="A543">
        <v>722</v>
      </c>
      <c r="B543" s="47" t="str">
        <f>VLOOKUP(Tabla6[[#This Row],['# Vuelo]],'Validacion reclamo de equipaje'!P:Q,2,0)</f>
        <v>COPA</v>
      </c>
      <c r="C543" s="52">
        <v>0.94791666666666663</v>
      </c>
      <c r="D543" s="52">
        <v>0.96180555555555547</v>
      </c>
      <c r="E543" s="53">
        <f>'Reclamo de equipaje rediseñado'!$D543-'Reclamo de equipaje rediseñado'!$C543</f>
        <v>1.388888888888884E-2</v>
      </c>
      <c r="F543" s="52">
        <v>0.97013888888888899</v>
      </c>
      <c r="G543" s="53">
        <f t="shared" si="8"/>
        <v>8.3333333333335258E-3</v>
      </c>
      <c r="H543" s="54">
        <v>41715</v>
      </c>
      <c r="I543" s="55" t="s">
        <v>575</v>
      </c>
      <c r="J543" s="55" t="s">
        <v>554</v>
      </c>
      <c r="K543" s="55">
        <f>VLOOKUP(J543,'Validacion reclamo de equipaje'!L:M,2,0)</f>
        <v>189</v>
      </c>
      <c r="L543" s="55" t="str">
        <f>VLOOKUP(I543,'Validacion reclamo de equipaje'!H:I,2,0)</f>
        <v>Internacional</v>
      </c>
      <c r="M543" s="55" t="s">
        <v>522</v>
      </c>
    </row>
    <row r="544" spans="1:13" x14ac:dyDescent="0.25">
      <c r="A544">
        <v>722</v>
      </c>
      <c r="B544" s="47" t="str">
        <f>VLOOKUP(Tabla6[[#This Row],['# Vuelo]],'Validacion reclamo de equipaje'!P:Q,2,0)</f>
        <v>COPA</v>
      </c>
      <c r="C544" s="48">
        <v>0.94097222222222221</v>
      </c>
      <c r="D544" s="48">
        <v>0.9555555555555556</v>
      </c>
      <c r="E544" s="49">
        <f>'Reclamo de equipaje rediseñado'!$D544-'Reclamo de equipaje rediseñado'!$C544</f>
        <v>1.4583333333333393E-2</v>
      </c>
      <c r="F544" s="48">
        <v>0.96250000000000002</v>
      </c>
      <c r="G544" s="49">
        <f t="shared" si="8"/>
        <v>6.9444444444444198E-3</v>
      </c>
      <c r="H544" s="50">
        <v>41716</v>
      </c>
      <c r="I544" s="51" t="s">
        <v>575</v>
      </c>
      <c r="J544" s="51" t="s">
        <v>554</v>
      </c>
      <c r="K544" s="51">
        <f>VLOOKUP(J544,'Validacion reclamo de equipaje'!L:M,2,0)</f>
        <v>189</v>
      </c>
      <c r="L544" s="51" t="str">
        <f>VLOOKUP(I544,'Validacion reclamo de equipaje'!H:I,2,0)</f>
        <v>Internacional</v>
      </c>
      <c r="M544" s="51" t="s">
        <v>522</v>
      </c>
    </row>
    <row r="545" spans="1:13" x14ac:dyDescent="0.25">
      <c r="A545">
        <v>722</v>
      </c>
      <c r="B545" s="47" t="str">
        <f>VLOOKUP(Tabla6[[#This Row],['# Vuelo]],'Validacion reclamo de equipaje'!P:Q,2,0)</f>
        <v>COPA</v>
      </c>
      <c r="C545" s="52">
        <v>0.94444444444444453</v>
      </c>
      <c r="D545" s="52">
        <v>0.95833333333333337</v>
      </c>
      <c r="E545" s="53">
        <f>'Reclamo de equipaje rediseñado'!$D545-'Reclamo de equipaje rediseñado'!$C545</f>
        <v>1.388888888888884E-2</v>
      </c>
      <c r="F545" s="52">
        <v>0.99444444444444446</v>
      </c>
      <c r="G545" s="53">
        <f t="shared" si="8"/>
        <v>3.6111111111111094E-2</v>
      </c>
      <c r="H545" s="54">
        <v>41717</v>
      </c>
      <c r="I545" s="55" t="s">
        <v>575</v>
      </c>
      <c r="J545" s="55" t="s">
        <v>554</v>
      </c>
      <c r="K545" s="55">
        <f>VLOOKUP(J545,'Validacion reclamo de equipaje'!L:M,2,0)</f>
        <v>189</v>
      </c>
      <c r="L545" s="55" t="str">
        <f>VLOOKUP(I545,'Validacion reclamo de equipaje'!H:I,2,0)</f>
        <v>Internacional</v>
      </c>
      <c r="M545" s="55" t="s">
        <v>522</v>
      </c>
    </row>
    <row r="546" spans="1:13" x14ac:dyDescent="0.25">
      <c r="A546">
        <v>722</v>
      </c>
      <c r="B546" s="47" t="str">
        <f>VLOOKUP(Tabla6[[#This Row],['# Vuelo]],'Validacion reclamo de equipaje'!P:Q,2,0)</f>
        <v>COPA</v>
      </c>
      <c r="C546" s="48">
        <v>0.96111111111111114</v>
      </c>
      <c r="D546" s="48">
        <v>0.97916666666666663</v>
      </c>
      <c r="E546" s="49">
        <f>'Reclamo de equipaje rediseñado'!$D546-'Reclamo de equipaje rediseñado'!$C546</f>
        <v>1.8055555555555491E-2</v>
      </c>
      <c r="F546" s="48">
        <v>0.9902777777777777</v>
      </c>
      <c r="G546" s="49">
        <f t="shared" si="8"/>
        <v>1.1111111111111072E-2</v>
      </c>
      <c r="H546" s="50">
        <v>41719</v>
      </c>
      <c r="I546" s="51" t="s">
        <v>575</v>
      </c>
      <c r="J546" s="51" t="s">
        <v>554</v>
      </c>
      <c r="K546" s="51">
        <f>VLOOKUP(J546,'Validacion reclamo de equipaje'!L:M,2,0)</f>
        <v>189</v>
      </c>
      <c r="L546" s="51" t="str">
        <f>VLOOKUP(I546,'Validacion reclamo de equipaje'!H:I,2,0)</f>
        <v>Internacional</v>
      </c>
      <c r="M546" s="51" t="s">
        <v>522</v>
      </c>
    </row>
    <row r="547" spans="1:13" x14ac:dyDescent="0.25">
      <c r="A547">
        <v>722</v>
      </c>
      <c r="B547" s="47" t="str">
        <f>VLOOKUP(Tabla6[[#This Row],['# Vuelo]],'Validacion reclamo de equipaje'!P:Q,2,0)</f>
        <v>COPA</v>
      </c>
      <c r="C547" s="52">
        <v>0.95208333333333339</v>
      </c>
      <c r="D547" s="52">
        <v>0.96736111111111101</v>
      </c>
      <c r="E547" s="53">
        <f>'Reclamo de equipaje rediseñado'!$D547-'Reclamo de equipaje rediseñado'!$C547</f>
        <v>1.5277777777777612E-2</v>
      </c>
      <c r="F547" s="52">
        <v>0.97222222222222221</v>
      </c>
      <c r="G547" s="53">
        <f t="shared" si="8"/>
        <v>4.8611111111112049E-3</v>
      </c>
      <c r="H547" s="54">
        <v>41719</v>
      </c>
      <c r="I547" s="55" t="s">
        <v>575</v>
      </c>
      <c r="J547" s="55" t="s">
        <v>554</v>
      </c>
      <c r="K547" s="55">
        <f>VLOOKUP(J547,'Validacion reclamo de equipaje'!L:M,2,0)</f>
        <v>189</v>
      </c>
      <c r="L547" s="55" t="str">
        <f>VLOOKUP(I547,'Validacion reclamo de equipaje'!H:I,2,0)</f>
        <v>Internacional</v>
      </c>
      <c r="M547" s="55" t="s">
        <v>522</v>
      </c>
    </row>
    <row r="548" spans="1:13" x14ac:dyDescent="0.25">
      <c r="A548">
        <v>722</v>
      </c>
      <c r="B548" s="47" t="str">
        <f>VLOOKUP(Tabla6[[#This Row],['# Vuelo]],'Validacion reclamo de equipaje'!P:Q,2,0)</f>
        <v>COPA</v>
      </c>
      <c r="C548" s="48">
        <v>0.94861111111111107</v>
      </c>
      <c r="D548" s="48">
        <v>0.96527777777777779</v>
      </c>
      <c r="E548" s="49">
        <f>'Reclamo de equipaje rediseñado'!$D548-'Reclamo de equipaje rediseñado'!$C548</f>
        <v>1.6666666666666718E-2</v>
      </c>
      <c r="F548" s="48">
        <v>0.97777777777777775</v>
      </c>
      <c r="G548" s="49">
        <f t="shared" si="8"/>
        <v>1.2499999999999956E-2</v>
      </c>
      <c r="H548" s="50">
        <v>41721</v>
      </c>
      <c r="I548" s="51" t="s">
        <v>575</v>
      </c>
      <c r="J548" s="51" t="s">
        <v>554</v>
      </c>
      <c r="K548" s="51">
        <f>VLOOKUP(J548,'Validacion reclamo de equipaje'!L:M,2,0)</f>
        <v>189</v>
      </c>
      <c r="L548" s="51" t="str">
        <f>VLOOKUP(I548,'Validacion reclamo de equipaje'!H:I,2,0)</f>
        <v>Internacional</v>
      </c>
      <c r="M548" s="51" t="s">
        <v>522</v>
      </c>
    </row>
    <row r="549" spans="1:13" x14ac:dyDescent="0.25">
      <c r="A549">
        <v>722</v>
      </c>
      <c r="B549" s="47" t="str">
        <f>VLOOKUP(Tabla6[[#This Row],['# Vuelo]],'Validacion reclamo de equipaje'!P:Q,2,0)</f>
        <v>COPA</v>
      </c>
      <c r="C549" s="52">
        <v>0.94791666666666663</v>
      </c>
      <c r="D549" s="52">
        <v>0.96319444444444446</v>
      </c>
      <c r="E549" s="53">
        <f>'Reclamo de equipaje rediseñado'!$D549-'Reclamo de equipaje rediseñado'!$C549</f>
        <v>1.5277777777777835E-2</v>
      </c>
      <c r="F549" s="52">
        <v>0.97291666666666676</v>
      </c>
      <c r="G549" s="53">
        <f t="shared" si="8"/>
        <v>9.7222222222222987E-3</v>
      </c>
      <c r="H549" s="54">
        <v>41723</v>
      </c>
      <c r="I549" s="55" t="s">
        <v>575</v>
      </c>
      <c r="J549" s="55" t="s">
        <v>554</v>
      </c>
      <c r="K549" s="55">
        <f>VLOOKUP(J549,'Validacion reclamo de equipaje'!L:M,2,0)</f>
        <v>189</v>
      </c>
      <c r="L549" s="55" t="str">
        <f>VLOOKUP(I549,'Validacion reclamo de equipaje'!H:I,2,0)</f>
        <v>Internacional</v>
      </c>
      <c r="M549" s="55" t="s">
        <v>522</v>
      </c>
    </row>
    <row r="550" spans="1:13" x14ac:dyDescent="0.25">
      <c r="A550">
        <v>722</v>
      </c>
      <c r="B550" s="47" t="str">
        <f>VLOOKUP(Tabla6[[#This Row],['# Vuelo]],'Validacion reclamo de equipaje'!P:Q,2,0)</f>
        <v>COPA</v>
      </c>
      <c r="C550" s="48">
        <v>0.95347222222222217</v>
      </c>
      <c r="D550" s="48">
        <v>0.98055555555555562</v>
      </c>
      <c r="E550" s="49">
        <f>'Reclamo de equipaje rediseñado'!$D550-'Reclamo de equipaje rediseñado'!$C550</f>
        <v>2.7083333333333459E-2</v>
      </c>
      <c r="F550" s="48">
        <v>1.0048611111111112</v>
      </c>
      <c r="G550" s="49">
        <f t="shared" si="8"/>
        <v>2.430555555555558E-2</v>
      </c>
      <c r="H550" s="50">
        <v>41724</v>
      </c>
      <c r="I550" s="51" t="s">
        <v>575</v>
      </c>
      <c r="J550" s="51" t="s">
        <v>554</v>
      </c>
      <c r="K550" s="51">
        <f>VLOOKUP(J550,'Validacion reclamo de equipaje'!L:M,2,0)</f>
        <v>189</v>
      </c>
      <c r="L550" s="51" t="str">
        <f>VLOOKUP(I550,'Validacion reclamo de equipaje'!H:I,2,0)</f>
        <v>Internacional</v>
      </c>
      <c r="M550" s="51" t="s">
        <v>522</v>
      </c>
    </row>
    <row r="551" spans="1:13" x14ac:dyDescent="0.25">
      <c r="A551">
        <v>722</v>
      </c>
      <c r="B551" s="47" t="str">
        <f>VLOOKUP(Tabla6[[#This Row],['# Vuelo]],'Validacion reclamo de equipaje'!P:Q,2,0)</f>
        <v>COPA</v>
      </c>
      <c r="C551" s="52">
        <v>0.97916666666666663</v>
      </c>
      <c r="D551" s="52">
        <v>0.99513888888888891</v>
      </c>
      <c r="E551" s="53">
        <f>'Reclamo de equipaje rediseñado'!$D551-'Reclamo de equipaje rediseñado'!$C551</f>
        <v>1.5972222222222276E-2</v>
      </c>
      <c r="F551" s="52">
        <v>1.0041666666666667</v>
      </c>
      <c r="G551" s="53">
        <f t="shared" si="8"/>
        <v>9.0277777777777457E-3</v>
      </c>
      <c r="H551" s="54">
        <v>41724</v>
      </c>
      <c r="I551" s="55" t="s">
        <v>575</v>
      </c>
      <c r="J551" s="55" t="s">
        <v>554</v>
      </c>
      <c r="K551" s="55">
        <f>VLOOKUP(J551,'Validacion reclamo de equipaje'!L:M,2,0)</f>
        <v>189</v>
      </c>
      <c r="L551" s="55" t="str">
        <f>VLOOKUP(I551,'Validacion reclamo de equipaje'!H:I,2,0)</f>
        <v>Internacional</v>
      </c>
      <c r="M551" s="55" t="s">
        <v>522</v>
      </c>
    </row>
    <row r="552" spans="1:13" x14ac:dyDescent="0.25">
      <c r="A552">
        <v>722</v>
      </c>
      <c r="B552" s="47" t="str">
        <f>VLOOKUP(Tabla6[[#This Row],['# Vuelo]],'Validacion reclamo de equipaje'!P:Q,2,0)</f>
        <v>COPA</v>
      </c>
      <c r="C552" s="48">
        <v>0.96458333333333324</v>
      </c>
      <c r="D552" s="48">
        <v>0.98541666666666661</v>
      </c>
      <c r="E552" s="49">
        <f>'Reclamo de equipaje rediseñado'!$D552-'Reclamo de equipaje rediseñado'!$C552</f>
        <v>2.083333333333337E-2</v>
      </c>
      <c r="F552" s="48">
        <v>0.99097222222222225</v>
      </c>
      <c r="G552" s="49">
        <f t="shared" si="8"/>
        <v>5.5555555555556468E-3</v>
      </c>
      <c r="H552" s="50">
        <v>41725</v>
      </c>
      <c r="I552" s="51" t="s">
        <v>575</v>
      </c>
      <c r="J552" s="51" t="s">
        <v>554</v>
      </c>
      <c r="K552" s="51">
        <f>VLOOKUP(J552,'Validacion reclamo de equipaje'!L:M,2,0)</f>
        <v>189</v>
      </c>
      <c r="L552" s="51" t="str">
        <f>VLOOKUP(I552,'Validacion reclamo de equipaje'!H:I,2,0)</f>
        <v>Internacional</v>
      </c>
      <c r="M552" s="51" t="s">
        <v>522</v>
      </c>
    </row>
    <row r="553" spans="1:13" x14ac:dyDescent="0.25">
      <c r="A553">
        <v>722</v>
      </c>
      <c r="B553" s="47" t="str">
        <f>VLOOKUP(Tabla6[[#This Row],['# Vuelo]],'Validacion reclamo de equipaje'!P:Q,2,0)</f>
        <v>COPA</v>
      </c>
      <c r="C553" s="52">
        <v>0.93263888888888891</v>
      </c>
      <c r="D553" s="52">
        <v>0.94305555555555554</v>
      </c>
      <c r="E553" s="53">
        <f>'Reclamo de equipaje rediseñado'!$D553-'Reclamo de equipaje rediseñado'!$C553</f>
        <v>1.041666666666663E-2</v>
      </c>
      <c r="F553" s="52">
        <v>0.95138888888888884</v>
      </c>
      <c r="G553" s="53">
        <f t="shared" si="8"/>
        <v>8.3333333333333037E-3</v>
      </c>
      <c r="H553" s="54">
        <v>41727</v>
      </c>
      <c r="I553" s="55" t="s">
        <v>575</v>
      </c>
      <c r="J553" s="55" t="s">
        <v>554</v>
      </c>
      <c r="K553" s="55">
        <f>VLOOKUP(J553,'Validacion reclamo de equipaje'!L:M,2,0)</f>
        <v>189</v>
      </c>
      <c r="L553" s="55" t="str">
        <f>VLOOKUP(I553,'Validacion reclamo de equipaje'!H:I,2,0)</f>
        <v>Internacional</v>
      </c>
      <c r="M553" s="55" t="s">
        <v>522</v>
      </c>
    </row>
    <row r="554" spans="1:13" x14ac:dyDescent="0.25">
      <c r="A554">
        <v>722</v>
      </c>
      <c r="B554" s="47" t="str">
        <f>VLOOKUP(Tabla6[[#This Row],['# Vuelo]],'Validacion reclamo de equipaje'!P:Q,2,0)</f>
        <v>COPA</v>
      </c>
      <c r="C554" s="48">
        <v>0.97291666666666676</v>
      </c>
      <c r="D554" s="48">
        <v>0.98402777777777783</v>
      </c>
      <c r="E554" s="49">
        <f>'Reclamo de equipaje rediseñado'!$D554-'Reclamo de equipaje rediseñado'!$C554</f>
        <v>1.1111111111111072E-2</v>
      </c>
      <c r="F554" s="48">
        <v>0.99652777777777779</v>
      </c>
      <c r="G554" s="49">
        <f t="shared" si="8"/>
        <v>1.2499999999999956E-2</v>
      </c>
      <c r="H554" s="50">
        <v>41728</v>
      </c>
      <c r="I554" s="51" t="s">
        <v>575</v>
      </c>
      <c r="J554" s="51" t="s">
        <v>554</v>
      </c>
      <c r="K554" s="51">
        <f>VLOOKUP(J554,'Validacion reclamo de equipaje'!L:M,2,0)</f>
        <v>189</v>
      </c>
      <c r="L554" s="51" t="str">
        <f>VLOOKUP(I554,'Validacion reclamo de equipaje'!H:I,2,0)</f>
        <v>Internacional</v>
      </c>
      <c r="M554" s="51" t="s">
        <v>522</v>
      </c>
    </row>
    <row r="555" spans="1:13" x14ac:dyDescent="0.25">
      <c r="A555">
        <v>4560</v>
      </c>
      <c r="B555" s="47" t="str">
        <f>VLOOKUP(Tabla6[[#This Row],['# Vuelo]],'Validacion reclamo de equipaje'!P:Q,2,0)</f>
        <v>AVIONES ROJOS</v>
      </c>
      <c r="C555" s="52">
        <v>0.57361111111111118</v>
      </c>
      <c r="D555" s="52">
        <v>0.57916666666666672</v>
      </c>
      <c r="E555" s="53">
        <f>'Reclamo de equipaje rediseñado'!$D555-'Reclamo de equipaje rediseñado'!$C555</f>
        <v>5.5555555555555358E-3</v>
      </c>
      <c r="F555" s="52">
        <v>0.59166666666666667</v>
      </c>
      <c r="G555" s="53">
        <f t="shared" si="8"/>
        <v>1.2499999999999956E-2</v>
      </c>
      <c r="H555" s="54">
        <v>41720</v>
      </c>
      <c r="I555" s="55" t="s">
        <v>578</v>
      </c>
      <c r="J555" s="55" t="s">
        <v>577</v>
      </c>
      <c r="K555" s="55">
        <f>VLOOKUP(J555,'Validacion reclamo de equipaje'!L:M,2,0)</f>
        <v>78</v>
      </c>
      <c r="L555" s="55" t="str">
        <f>VLOOKUP(I555,'Validacion reclamo de equipaje'!H:I,2,0)</f>
        <v>Internacional</v>
      </c>
      <c r="M555" s="55" t="s">
        <v>522</v>
      </c>
    </row>
    <row r="556" spans="1:13" x14ac:dyDescent="0.25">
      <c r="A556">
        <v>4560</v>
      </c>
      <c r="B556" s="47" t="str">
        <f>VLOOKUP(Tabla6[[#This Row],['# Vuelo]],'Validacion reclamo de equipaje'!P:Q,2,0)</f>
        <v>AVIONES ROJOS</v>
      </c>
      <c r="C556" s="48">
        <v>0.57638888888888895</v>
      </c>
      <c r="D556" s="48">
        <v>0.58958333333333335</v>
      </c>
      <c r="E556" s="49">
        <f>'Reclamo de equipaje rediseñado'!$D556-'Reclamo de equipaje rediseñado'!$C556</f>
        <v>1.3194444444444398E-2</v>
      </c>
      <c r="F556" s="48">
        <v>0.59583333333333333</v>
      </c>
      <c r="G556" s="49">
        <f t="shared" si="8"/>
        <v>6.2499999999999778E-3</v>
      </c>
      <c r="H556" s="50">
        <v>41727</v>
      </c>
      <c r="I556" s="51" t="s">
        <v>578</v>
      </c>
      <c r="J556" s="51" t="s">
        <v>577</v>
      </c>
      <c r="K556" s="51">
        <f>VLOOKUP(J556,'Validacion reclamo de equipaje'!L:M,2,0)</f>
        <v>78</v>
      </c>
      <c r="L556" s="51" t="str">
        <f>VLOOKUP(I556,'Validacion reclamo de equipaje'!H:I,2,0)</f>
        <v>Internacional</v>
      </c>
      <c r="M556" s="51" t="s">
        <v>522</v>
      </c>
    </row>
    <row r="557" spans="1:13" x14ac:dyDescent="0.25">
      <c r="A557">
        <v>573</v>
      </c>
      <c r="B557" s="47" t="str">
        <f>VLOOKUP(Tabla6[[#This Row],['# Vuelo]],'Validacion reclamo de equipaje'!P:Q,2,0)</f>
        <v>AVIONES ROJOS</v>
      </c>
      <c r="C557" s="52">
        <v>0.24513888888888888</v>
      </c>
      <c r="D557" s="52">
        <v>0.25069444444444444</v>
      </c>
      <c r="E557" s="53">
        <f>'Reclamo de equipaje rediseñado'!$D557-'Reclamo de equipaje rediseñado'!$C557</f>
        <v>5.5555555555555636E-3</v>
      </c>
      <c r="F557" s="52">
        <v>0.27638888888888885</v>
      </c>
      <c r="G557" s="53">
        <f t="shared" si="8"/>
        <v>2.5694444444444409E-2</v>
      </c>
      <c r="H557" s="54">
        <v>41713</v>
      </c>
      <c r="I557" s="55" t="s">
        <v>555</v>
      </c>
      <c r="J557" s="55">
        <v>320</v>
      </c>
      <c r="K557" s="55">
        <f>VLOOKUP(J557,'Validacion reclamo de equipaje'!L:M,2,0)</f>
        <v>179</v>
      </c>
      <c r="L557" s="55" t="str">
        <f>VLOOKUP(I557,'Validacion reclamo de equipaje'!H:I,2,0)</f>
        <v>Internacional</v>
      </c>
      <c r="M557" s="55" t="s">
        <v>522</v>
      </c>
    </row>
    <row r="558" spans="1:13" x14ac:dyDescent="0.25">
      <c r="A558">
        <v>573</v>
      </c>
      <c r="B558" s="47" t="str">
        <f>VLOOKUP(Tabla6[[#This Row],['# Vuelo]],'Validacion reclamo de equipaje'!P:Q,2,0)</f>
        <v>AVIONES ROJOS</v>
      </c>
      <c r="C558" s="48">
        <v>0.23472222222222219</v>
      </c>
      <c r="D558" s="48">
        <v>0.24305555555555555</v>
      </c>
      <c r="E558" s="49">
        <f>'Reclamo de equipaje rediseñado'!$D558-'Reclamo de equipaje rediseñado'!$C558</f>
        <v>8.3333333333333592E-3</v>
      </c>
      <c r="F558" s="48">
        <v>0.26041666666666669</v>
      </c>
      <c r="G558" s="49">
        <f t="shared" si="8"/>
        <v>1.7361111111111133E-2</v>
      </c>
      <c r="H558" s="50">
        <v>41715</v>
      </c>
      <c r="I558" s="51" t="s">
        <v>555</v>
      </c>
      <c r="J558" s="51">
        <v>320</v>
      </c>
      <c r="K558" s="51">
        <f>VLOOKUP(J558,'Validacion reclamo de equipaje'!L:M,2,0)</f>
        <v>179</v>
      </c>
      <c r="L558" s="51" t="str">
        <f>VLOOKUP(I558,'Validacion reclamo de equipaje'!H:I,2,0)</f>
        <v>Internacional</v>
      </c>
      <c r="M558" s="51" t="s">
        <v>522</v>
      </c>
    </row>
    <row r="559" spans="1:13" x14ac:dyDescent="0.25">
      <c r="A559">
        <v>573</v>
      </c>
      <c r="B559" s="47" t="str">
        <f>VLOOKUP(Tabla6[[#This Row],['# Vuelo]],'Validacion reclamo de equipaje'!P:Q,2,0)</f>
        <v>AVIONES ROJOS</v>
      </c>
      <c r="C559" s="52">
        <v>0.24305555555555555</v>
      </c>
      <c r="D559" s="52">
        <v>0.25347222222222221</v>
      </c>
      <c r="E559" s="53">
        <f>'Reclamo de equipaje rediseñado'!$D559-'Reclamo de equipaje rediseñado'!$C559</f>
        <v>1.0416666666666657E-2</v>
      </c>
      <c r="F559" s="52">
        <v>0.28055555555555556</v>
      </c>
      <c r="G559" s="53">
        <f t="shared" si="8"/>
        <v>2.7083333333333348E-2</v>
      </c>
      <c r="H559" s="54">
        <v>41716</v>
      </c>
      <c r="I559" s="55" t="s">
        <v>555</v>
      </c>
      <c r="J559" s="55">
        <v>320</v>
      </c>
      <c r="K559" s="55">
        <f>VLOOKUP(J559,'Validacion reclamo de equipaje'!L:M,2,0)</f>
        <v>179</v>
      </c>
      <c r="L559" s="55" t="str">
        <f>VLOOKUP(I559,'Validacion reclamo de equipaje'!H:I,2,0)</f>
        <v>Internacional</v>
      </c>
      <c r="M559" s="55" t="s">
        <v>522</v>
      </c>
    </row>
    <row r="560" spans="1:13" x14ac:dyDescent="0.25">
      <c r="A560">
        <v>573</v>
      </c>
      <c r="B560" s="47" t="str">
        <f>VLOOKUP(Tabla6[[#This Row],['# Vuelo]],'Validacion reclamo de equipaje'!P:Q,2,0)</f>
        <v>AVIONES ROJOS</v>
      </c>
      <c r="C560" s="48">
        <v>0.23263888888888887</v>
      </c>
      <c r="D560" s="48">
        <v>0.23819444444444446</v>
      </c>
      <c r="E560" s="49">
        <f>'Reclamo de equipaje rediseñado'!$D560-'Reclamo de equipaje rediseñado'!$C560</f>
        <v>5.5555555555555913E-3</v>
      </c>
      <c r="F560" s="48">
        <v>0.25</v>
      </c>
      <c r="G560" s="49">
        <f t="shared" si="8"/>
        <v>1.1805555555555541E-2</v>
      </c>
      <c r="H560" s="50">
        <v>41717</v>
      </c>
      <c r="I560" s="51" t="s">
        <v>555</v>
      </c>
      <c r="J560" s="51">
        <v>320</v>
      </c>
      <c r="K560" s="51">
        <f>VLOOKUP(J560,'Validacion reclamo de equipaje'!L:M,2,0)</f>
        <v>179</v>
      </c>
      <c r="L560" s="51" t="str">
        <f>VLOOKUP(I560,'Validacion reclamo de equipaje'!H:I,2,0)</f>
        <v>Internacional</v>
      </c>
      <c r="M560" s="51" t="s">
        <v>522</v>
      </c>
    </row>
    <row r="561" spans="1:13" x14ac:dyDescent="0.25">
      <c r="A561">
        <v>573</v>
      </c>
      <c r="B561" s="47" t="str">
        <f>VLOOKUP(Tabla6[[#This Row],['# Vuelo]],'Validacion reclamo de equipaje'!P:Q,2,0)</f>
        <v>AVIONES ROJOS</v>
      </c>
      <c r="C561" s="52">
        <v>0.23263888888888887</v>
      </c>
      <c r="D561" s="52">
        <v>0.23680555555555557</v>
      </c>
      <c r="E561" s="53">
        <f>'Reclamo de equipaje rediseñado'!$D561-'Reclamo de equipaje rediseñado'!$C561</f>
        <v>4.1666666666667074E-3</v>
      </c>
      <c r="F561" s="52">
        <v>0.24791666666666667</v>
      </c>
      <c r="G561" s="53">
        <f t="shared" si="8"/>
        <v>1.1111111111111099E-2</v>
      </c>
      <c r="H561" s="54">
        <v>41719</v>
      </c>
      <c r="I561" s="55" t="s">
        <v>555</v>
      </c>
      <c r="J561" s="55">
        <v>320</v>
      </c>
      <c r="K561" s="55">
        <f>VLOOKUP(J561,'Validacion reclamo de equipaje'!L:M,2,0)</f>
        <v>179</v>
      </c>
      <c r="L561" s="55" t="str">
        <f>VLOOKUP(I561,'Validacion reclamo de equipaje'!H:I,2,0)</f>
        <v>Internacional</v>
      </c>
      <c r="M561" s="55" t="s">
        <v>522</v>
      </c>
    </row>
    <row r="562" spans="1:13" x14ac:dyDescent="0.25">
      <c r="A562">
        <v>573</v>
      </c>
      <c r="B562" s="47" t="str">
        <f>VLOOKUP(Tabla6[[#This Row],['# Vuelo]],'Validacion reclamo de equipaje'!P:Q,2,0)</f>
        <v>AVIONES ROJOS</v>
      </c>
      <c r="C562" s="48">
        <v>0.24305555555555555</v>
      </c>
      <c r="D562" s="48">
        <v>0.24513888888888888</v>
      </c>
      <c r="E562" s="49">
        <f>'Reclamo de equipaje rediseñado'!$D562-'Reclamo de equipaje rediseñado'!$C562</f>
        <v>2.0833333333333259E-3</v>
      </c>
      <c r="F562" s="48">
        <v>0.27152777777777776</v>
      </c>
      <c r="G562" s="49">
        <f t="shared" si="8"/>
        <v>2.6388888888888878E-2</v>
      </c>
      <c r="H562" s="50">
        <v>41719</v>
      </c>
      <c r="I562" s="51" t="s">
        <v>555</v>
      </c>
      <c r="J562" s="51">
        <v>320</v>
      </c>
      <c r="K562" s="51">
        <f>VLOOKUP(J562,'Validacion reclamo de equipaje'!L:M,2,0)</f>
        <v>179</v>
      </c>
      <c r="L562" s="51" t="str">
        <f>VLOOKUP(I562,'Validacion reclamo de equipaje'!H:I,2,0)</f>
        <v>Internacional</v>
      </c>
      <c r="M562" s="51" t="s">
        <v>522</v>
      </c>
    </row>
    <row r="563" spans="1:13" x14ac:dyDescent="0.25">
      <c r="A563">
        <v>573</v>
      </c>
      <c r="B563" s="47" t="str">
        <f>VLOOKUP(Tabla6[[#This Row],['# Vuelo]],'Validacion reclamo de equipaje'!P:Q,2,0)</f>
        <v>AVIONES ROJOS</v>
      </c>
      <c r="C563" s="52">
        <v>0.23194444444444443</v>
      </c>
      <c r="D563" s="52">
        <v>0.2388888888888889</v>
      </c>
      <c r="E563" s="53">
        <f>'Reclamo de equipaje rediseñado'!$D563-'Reclamo de equipaje rediseñado'!$C563</f>
        <v>6.9444444444444753E-3</v>
      </c>
      <c r="F563" s="52">
        <v>0.2638888888888889</v>
      </c>
      <c r="G563" s="53">
        <f t="shared" si="8"/>
        <v>2.4999999999999994E-2</v>
      </c>
      <c r="H563" s="54">
        <v>41721</v>
      </c>
      <c r="I563" s="55" t="s">
        <v>555</v>
      </c>
      <c r="J563" s="55">
        <v>320</v>
      </c>
      <c r="K563" s="55">
        <f>VLOOKUP(J563,'Validacion reclamo de equipaje'!L:M,2,0)</f>
        <v>179</v>
      </c>
      <c r="L563" s="55" t="str">
        <f>VLOOKUP(I563,'Validacion reclamo de equipaje'!H:I,2,0)</f>
        <v>Internacional</v>
      </c>
      <c r="M563" s="55" t="s">
        <v>522</v>
      </c>
    </row>
    <row r="564" spans="1:13" x14ac:dyDescent="0.25">
      <c r="A564">
        <v>573</v>
      </c>
      <c r="B564" s="47" t="str">
        <f>VLOOKUP(Tabla6[[#This Row],['# Vuelo]],'Validacion reclamo de equipaje'!P:Q,2,0)</f>
        <v>AVIONES ROJOS</v>
      </c>
      <c r="C564" s="48">
        <v>0.22916666666666666</v>
      </c>
      <c r="D564" s="48">
        <v>0.2388888888888889</v>
      </c>
      <c r="E564" s="49">
        <f>'Reclamo de equipaje rediseñado'!$D564-'Reclamo de equipaje rediseñado'!$C564</f>
        <v>9.7222222222222432E-3</v>
      </c>
      <c r="F564" s="48">
        <v>0.25833333333333336</v>
      </c>
      <c r="G564" s="49">
        <f t="shared" si="8"/>
        <v>1.9444444444444459E-2</v>
      </c>
      <c r="H564" s="50">
        <v>41722</v>
      </c>
      <c r="I564" s="51" t="s">
        <v>555</v>
      </c>
      <c r="J564" s="51">
        <v>320</v>
      </c>
      <c r="K564" s="51">
        <f>VLOOKUP(J564,'Validacion reclamo de equipaje'!L:M,2,0)</f>
        <v>179</v>
      </c>
      <c r="L564" s="51" t="str">
        <f>VLOOKUP(I564,'Validacion reclamo de equipaje'!H:I,2,0)</f>
        <v>Internacional</v>
      </c>
      <c r="M564" s="51" t="s">
        <v>522</v>
      </c>
    </row>
    <row r="565" spans="1:13" x14ac:dyDescent="0.25">
      <c r="A565">
        <v>573</v>
      </c>
      <c r="B565" s="47" t="str">
        <f>VLOOKUP(Tabla6[[#This Row],['# Vuelo]],'Validacion reclamo de equipaje'!P:Q,2,0)</f>
        <v>AVIONES ROJOS</v>
      </c>
      <c r="C565" s="52">
        <v>0.2388888888888889</v>
      </c>
      <c r="D565" s="52">
        <v>0.24444444444444446</v>
      </c>
      <c r="E565" s="53">
        <f>'Reclamo de equipaje rediseñado'!$D565-'Reclamo de equipaje rediseñado'!$C565</f>
        <v>5.5555555555555636E-3</v>
      </c>
      <c r="F565" s="52">
        <v>0.25069444444444444</v>
      </c>
      <c r="G565" s="53">
        <f t="shared" si="8"/>
        <v>6.2499999999999778E-3</v>
      </c>
      <c r="H565" s="54">
        <v>41723</v>
      </c>
      <c r="I565" s="55" t="s">
        <v>555</v>
      </c>
      <c r="J565" s="55">
        <v>320</v>
      </c>
      <c r="K565" s="55">
        <f>VLOOKUP(J565,'Validacion reclamo de equipaje'!L:M,2,0)</f>
        <v>179</v>
      </c>
      <c r="L565" s="55" t="str">
        <f>VLOOKUP(I565,'Validacion reclamo de equipaje'!H:I,2,0)</f>
        <v>Internacional</v>
      </c>
      <c r="M565" s="55" t="s">
        <v>522</v>
      </c>
    </row>
    <row r="566" spans="1:13" x14ac:dyDescent="0.25">
      <c r="A566">
        <v>573</v>
      </c>
      <c r="B566" s="47" t="str">
        <f>VLOOKUP(Tabla6[[#This Row],['# Vuelo]],'Validacion reclamo de equipaje'!P:Q,2,0)</f>
        <v>AVIONES ROJOS</v>
      </c>
      <c r="C566" s="48">
        <v>0.23333333333333331</v>
      </c>
      <c r="D566" s="48">
        <v>0.24513888888888888</v>
      </c>
      <c r="E566" s="49">
        <f>'Reclamo de equipaje rediseñado'!$D566-'Reclamo de equipaje rediseñado'!$C566</f>
        <v>1.1805555555555569E-2</v>
      </c>
      <c r="F566" s="48">
        <v>0.24930555555555556</v>
      </c>
      <c r="G566" s="49">
        <f t="shared" si="8"/>
        <v>4.1666666666666796E-3</v>
      </c>
      <c r="H566" s="50">
        <v>41724</v>
      </c>
      <c r="I566" s="51" t="s">
        <v>555</v>
      </c>
      <c r="J566" s="51">
        <v>320</v>
      </c>
      <c r="K566" s="51">
        <f>VLOOKUP(J566,'Validacion reclamo de equipaje'!L:M,2,0)</f>
        <v>179</v>
      </c>
      <c r="L566" s="51" t="str">
        <f>VLOOKUP(I566,'Validacion reclamo de equipaje'!H:I,2,0)</f>
        <v>Internacional</v>
      </c>
      <c r="M566" s="51" t="s">
        <v>522</v>
      </c>
    </row>
    <row r="567" spans="1:13" x14ac:dyDescent="0.25">
      <c r="A567">
        <v>573</v>
      </c>
      <c r="B567" s="47" t="str">
        <f>VLOOKUP(Tabla6[[#This Row],['# Vuelo]],'Validacion reclamo de equipaje'!P:Q,2,0)</f>
        <v>AVIONES ROJOS</v>
      </c>
      <c r="C567" s="52">
        <v>0.23055555555555554</v>
      </c>
      <c r="D567" s="52">
        <v>0.25486111111111109</v>
      </c>
      <c r="E567" s="53">
        <f>'Reclamo de equipaje rediseñado'!$D567-'Reclamo de equipaje rediseñado'!$C567</f>
        <v>2.4305555555555552E-2</v>
      </c>
      <c r="F567" s="52">
        <v>0.28055555555555556</v>
      </c>
      <c r="G567" s="53">
        <f t="shared" si="8"/>
        <v>2.5694444444444464E-2</v>
      </c>
      <c r="H567" s="54">
        <v>41725</v>
      </c>
      <c r="I567" s="55" t="s">
        <v>555</v>
      </c>
      <c r="J567" s="55">
        <v>320</v>
      </c>
      <c r="K567" s="55">
        <f>VLOOKUP(J567,'Validacion reclamo de equipaje'!L:M,2,0)</f>
        <v>179</v>
      </c>
      <c r="L567" s="55" t="str">
        <f>VLOOKUP(I567,'Validacion reclamo de equipaje'!H:I,2,0)</f>
        <v>Internacional</v>
      </c>
      <c r="M567" s="55" t="s">
        <v>522</v>
      </c>
    </row>
    <row r="568" spans="1:13" x14ac:dyDescent="0.25">
      <c r="A568">
        <v>573</v>
      </c>
      <c r="B568" s="47" t="str">
        <f>VLOOKUP(Tabla6[[#This Row],['# Vuelo]],'Validacion reclamo de equipaje'!P:Q,2,0)</f>
        <v>AVIONES ROJOS</v>
      </c>
      <c r="C568" s="48">
        <v>0.23333333333333331</v>
      </c>
      <c r="D568" s="48">
        <v>0.23750000000000002</v>
      </c>
      <c r="E568" s="49">
        <f>'Reclamo de equipaje rediseñado'!$D568-'Reclamo de equipaje rediseñado'!$C568</f>
        <v>4.1666666666667074E-3</v>
      </c>
      <c r="F568" s="48">
        <v>0.25208333333333333</v>
      </c>
      <c r="G568" s="49">
        <f t="shared" si="8"/>
        <v>1.4583333333333309E-2</v>
      </c>
      <c r="H568" s="50">
        <v>41727</v>
      </c>
      <c r="I568" s="51" t="s">
        <v>555</v>
      </c>
      <c r="J568" s="51">
        <v>320</v>
      </c>
      <c r="K568" s="51">
        <f>VLOOKUP(J568,'Validacion reclamo de equipaje'!L:M,2,0)</f>
        <v>179</v>
      </c>
      <c r="L568" s="51" t="str">
        <f>VLOOKUP(I568,'Validacion reclamo de equipaje'!H:I,2,0)</f>
        <v>Internacional</v>
      </c>
      <c r="M568" s="51" t="s">
        <v>522</v>
      </c>
    </row>
    <row r="569" spans="1:13" x14ac:dyDescent="0.25">
      <c r="A569">
        <v>573</v>
      </c>
      <c r="B569" s="47" t="str">
        <f>VLOOKUP(Tabla6[[#This Row],['# Vuelo]],'Validacion reclamo de equipaje'!P:Q,2,0)</f>
        <v>AVIONES ROJOS</v>
      </c>
      <c r="C569" s="52">
        <v>0.24097222222222223</v>
      </c>
      <c r="D569" s="52">
        <v>0.24861111111111112</v>
      </c>
      <c r="E569" s="53">
        <f>'Reclamo de equipaje rediseñado'!$D569-'Reclamo de equipaje rediseñado'!$C569</f>
        <v>7.6388888888888895E-3</v>
      </c>
      <c r="F569" s="52">
        <v>0.25763888888888892</v>
      </c>
      <c r="G569" s="53">
        <f t="shared" si="8"/>
        <v>9.0277777777778012E-3</v>
      </c>
      <c r="H569" s="54">
        <v>41728</v>
      </c>
      <c r="I569" s="55" t="s">
        <v>555</v>
      </c>
      <c r="J569" s="55">
        <v>320</v>
      </c>
      <c r="K569" s="55">
        <f>VLOOKUP(J569,'Validacion reclamo de equipaje'!L:M,2,0)</f>
        <v>179</v>
      </c>
      <c r="L569" s="55" t="str">
        <f>VLOOKUP(I569,'Validacion reclamo de equipaje'!H:I,2,0)</f>
        <v>Internacional</v>
      </c>
      <c r="M569" s="55" t="s">
        <v>522</v>
      </c>
    </row>
    <row r="570" spans="1:13" x14ac:dyDescent="0.25">
      <c r="A570">
        <v>573</v>
      </c>
      <c r="B570" s="47" t="str">
        <f>VLOOKUP(Tabla6[[#This Row],['# Vuelo]],'Validacion reclamo de equipaje'!P:Q,2,0)</f>
        <v>AVIONES ROJOS</v>
      </c>
      <c r="C570" s="48">
        <v>0.23124999999999998</v>
      </c>
      <c r="D570" s="48">
        <v>0.23680555555555557</v>
      </c>
      <c r="E570" s="49">
        <f>'Reclamo de equipaje rediseñado'!$D570-'Reclamo de equipaje rediseñado'!$C570</f>
        <v>5.5555555555555913E-3</v>
      </c>
      <c r="F570" s="48">
        <v>0.26250000000000001</v>
      </c>
      <c r="G570" s="49">
        <f t="shared" si="8"/>
        <v>2.5694444444444436E-2</v>
      </c>
      <c r="H570" s="50">
        <v>41724</v>
      </c>
      <c r="I570" s="51" t="s">
        <v>555</v>
      </c>
      <c r="J570" s="51">
        <v>320</v>
      </c>
      <c r="K570" s="51">
        <f>VLOOKUP(J570,'Validacion reclamo de equipaje'!L:M,2,0)</f>
        <v>179</v>
      </c>
      <c r="L570" s="51" t="str">
        <f>VLOOKUP(I570,'Validacion reclamo de equipaje'!H:I,2,0)</f>
        <v>Internacional</v>
      </c>
      <c r="M570" s="51" t="s">
        <v>522</v>
      </c>
    </row>
    <row r="571" spans="1:13" x14ac:dyDescent="0.25">
      <c r="A571">
        <v>109</v>
      </c>
      <c r="B571" s="47" t="str">
        <f>VLOOKUP(Tabla6[[#This Row],['# Vuelo]],'Validacion reclamo de equipaje'!P:Q,2,0)</f>
        <v>AVIONES ROJOS</v>
      </c>
      <c r="C571" s="52">
        <v>0.84444444444444444</v>
      </c>
      <c r="D571" s="52">
        <v>0.85</v>
      </c>
      <c r="E571" s="53">
        <f>'Reclamo de equipaje rediseñado'!$D571-'Reclamo de equipaje rediseñado'!$C571</f>
        <v>5.5555555555555358E-3</v>
      </c>
      <c r="F571" s="52">
        <v>0.875</v>
      </c>
      <c r="G571" s="53">
        <f t="shared" si="8"/>
        <v>2.5000000000000022E-2</v>
      </c>
      <c r="H571" s="54">
        <v>41715</v>
      </c>
      <c r="I571" s="55" t="s">
        <v>579</v>
      </c>
      <c r="J571" s="55">
        <v>320</v>
      </c>
      <c r="K571" s="55">
        <f>VLOOKUP(J571,'Validacion reclamo de equipaje'!L:M,2,0)</f>
        <v>179</v>
      </c>
      <c r="L571" s="55" t="str">
        <f>VLOOKUP(I571,'Validacion reclamo de equipaje'!H:I,2,0)</f>
        <v>Internacional</v>
      </c>
      <c r="M571" s="55" t="s">
        <v>522</v>
      </c>
    </row>
    <row r="572" spans="1:13" x14ac:dyDescent="0.25">
      <c r="A572">
        <v>109</v>
      </c>
      <c r="B572" s="47" t="str">
        <f>VLOOKUP(Tabla6[[#This Row],['# Vuelo]],'Validacion reclamo de equipaje'!P:Q,2,0)</f>
        <v>AVIONES ROJOS</v>
      </c>
      <c r="C572" s="48">
        <v>0.92291666666666661</v>
      </c>
      <c r="D572" s="48">
        <v>0.92708333333333337</v>
      </c>
      <c r="E572" s="49">
        <f>'Reclamo de equipaje rediseñado'!$D572-'Reclamo de equipaje rediseñado'!$C572</f>
        <v>4.1666666666667629E-3</v>
      </c>
      <c r="F572" s="48">
        <v>0.94305555555555554</v>
      </c>
      <c r="G572" s="49">
        <f t="shared" si="8"/>
        <v>1.5972222222222165E-2</v>
      </c>
      <c r="H572" s="50">
        <v>41717</v>
      </c>
      <c r="I572" s="51" t="s">
        <v>579</v>
      </c>
      <c r="J572" s="51">
        <v>320</v>
      </c>
      <c r="K572" s="51">
        <f>VLOOKUP(J572,'Validacion reclamo de equipaje'!L:M,2,0)</f>
        <v>179</v>
      </c>
      <c r="L572" s="51" t="str">
        <f>VLOOKUP(I572,'Validacion reclamo de equipaje'!H:I,2,0)</f>
        <v>Internacional</v>
      </c>
      <c r="M572" s="51" t="s">
        <v>522</v>
      </c>
    </row>
    <row r="573" spans="1:13" x14ac:dyDescent="0.25">
      <c r="A573">
        <v>109</v>
      </c>
      <c r="B573" s="47" t="str">
        <f>VLOOKUP(Tabla6[[#This Row],['# Vuelo]],'Validacion reclamo de equipaje'!P:Q,2,0)</f>
        <v>AVIONES ROJOS</v>
      </c>
      <c r="C573" s="52">
        <v>0.82638888888888884</v>
      </c>
      <c r="D573" s="52">
        <v>0.83819444444444446</v>
      </c>
      <c r="E573" s="53">
        <f>'Reclamo de equipaje rediseñado'!$D573-'Reclamo de equipaje rediseñado'!$C573</f>
        <v>1.1805555555555625E-2</v>
      </c>
      <c r="F573" s="52">
        <v>0.85069444444444453</v>
      </c>
      <c r="G573" s="53">
        <f t="shared" si="8"/>
        <v>1.2500000000000067E-2</v>
      </c>
      <c r="H573" s="54">
        <v>41719</v>
      </c>
      <c r="I573" s="55" t="s">
        <v>579</v>
      </c>
      <c r="J573" s="55">
        <v>320</v>
      </c>
      <c r="K573" s="55">
        <f>VLOOKUP(J573,'Validacion reclamo de equipaje'!L:M,2,0)</f>
        <v>179</v>
      </c>
      <c r="L573" s="55" t="str">
        <f>VLOOKUP(I573,'Validacion reclamo de equipaje'!H:I,2,0)</f>
        <v>Internacional</v>
      </c>
      <c r="M573" s="55" t="s">
        <v>522</v>
      </c>
    </row>
    <row r="574" spans="1:13" x14ac:dyDescent="0.25">
      <c r="A574">
        <v>109</v>
      </c>
      <c r="B574" s="47" t="str">
        <f>VLOOKUP(Tabla6[[#This Row],['# Vuelo]],'Validacion reclamo de equipaje'!P:Q,2,0)</f>
        <v>AVIONES ROJOS</v>
      </c>
      <c r="C574" s="48">
        <v>0.85416666666666663</v>
      </c>
      <c r="D574" s="48">
        <v>0.85833333333333339</v>
      </c>
      <c r="E574" s="49">
        <f>'Reclamo de equipaje rediseñado'!$D574-'Reclamo de equipaje rediseñado'!$C574</f>
        <v>4.1666666666667629E-3</v>
      </c>
      <c r="F574" s="48">
        <v>0.88541666666666663</v>
      </c>
      <c r="G574" s="49">
        <f t="shared" si="8"/>
        <v>2.7083333333333237E-2</v>
      </c>
      <c r="H574" s="50">
        <v>41721</v>
      </c>
      <c r="I574" s="51" t="s">
        <v>579</v>
      </c>
      <c r="J574" s="51">
        <v>320</v>
      </c>
      <c r="K574" s="51">
        <f>VLOOKUP(J574,'Validacion reclamo de equipaje'!L:M,2,0)</f>
        <v>179</v>
      </c>
      <c r="L574" s="51" t="str">
        <f>VLOOKUP(I574,'Validacion reclamo de equipaje'!H:I,2,0)</f>
        <v>Internacional</v>
      </c>
      <c r="M574" s="51" t="s">
        <v>522</v>
      </c>
    </row>
    <row r="575" spans="1:13" x14ac:dyDescent="0.25">
      <c r="A575">
        <v>109</v>
      </c>
      <c r="B575" s="47" t="str">
        <f>VLOOKUP(Tabla6[[#This Row],['# Vuelo]],'Validacion reclamo de equipaje'!P:Q,2,0)</f>
        <v>AVIONES ROJOS</v>
      </c>
      <c r="C575" s="52">
        <v>0.83888888888888891</v>
      </c>
      <c r="D575" s="52">
        <v>0.84791666666666676</v>
      </c>
      <c r="E575" s="53">
        <f>'Reclamo de equipaje rediseñado'!$D575-'Reclamo de equipaje rediseñado'!$C575</f>
        <v>9.0277777777778567E-3</v>
      </c>
      <c r="F575" s="52">
        <v>0.86458333333333337</v>
      </c>
      <c r="G575" s="53">
        <f t="shared" si="8"/>
        <v>1.6666666666666607E-2</v>
      </c>
      <c r="H575" s="54">
        <v>41721</v>
      </c>
      <c r="I575" s="55" t="s">
        <v>579</v>
      </c>
      <c r="J575" s="55">
        <v>320</v>
      </c>
      <c r="K575" s="55">
        <f>VLOOKUP(J575,'Validacion reclamo de equipaje'!L:M,2,0)</f>
        <v>179</v>
      </c>
      <c r="L575" s="55" t="str">
        <f>VLOOKUP(I575,'Validacion reclamo de equipaje'!H:I,2,0)</f>
        <v>Internacional</v>
      </c>
      <c r="M575" s="55" t="s">
        <v>522</v>
      </c>
    </row>
    <row r="576" spans="1:13" x14ac:dyDescent="0.25">
      <c r="A576">
        <v>109</v>
      </c>
      <c r="B576" s="47" t="str">
        <f>VLOOKUP(Tabla6[[#This Row],['# Vuelo]],'Validacion reclamo de equipaje'!P:Q,2,0)</f>
        <v>AVIONES ROJOS</v>
      </c>
      <c r="C576" s="48">
        <v>0.82361111111111107</v>
      </c>
      <c r="D576" s="48">
        <v>0.83333333333333337</v>
      </c>
      <c r="E576" s="49">
        <f>'Reclamo de equipaje rediseñado'!$D576-'Reclamo de equipaje rediseñado'!$C576</f>
        <v>9.7222222222222987E-3</v>
      </c>
      <c r="F576" s="48">
        <v>0.85763888888888884</v>
      </c>
      <c r="G576" s="49">
        <f t="shared" si="8"/>
        <v>2.4305555555555469E-2</v>
      </c>
      <c r="H576" s="50">
        <v>41724</v>
      </c>
      <c r="I576" s="51" t="s">
        <v>579</v>
      </c>
      <c r="J576" s="51">
        <v>320</v>
      </c>
      <c r="K576" s="51">
        <f>VLOOKUP(J576,'Validacion reclamo de equipaje'!L:M,2,0)</f>
        <v>179</v>
      </c>
      <c r="L576" s="51" t="str">
        <f>VLOOKUP(I576,'Validacion reclamo de equipaje'!H:I,2,0)</f>
        <v>Internacional</v>
      </c>
      <c r="M576" s="51" t="s">
        <v>522</v>
      </c>
    </row>
    <row r="577" spans="1:13" x14ac:dyDescent="0.25">
      <c r="A577">
        <v>109</v>
      </c>
      <c r="B577" s="47" t="str">
        <f>VLOOKUP(Tabla6[[#This Row],['# Vuelo]],'Validacion reclamo de equipaje'!P:Q,2,0)</f>
        <v>AVIONES ROJOS</v>
      </c>
      <c r="C577" s="52">
        <v>0.84027777777777779</v>
      </c>
      <c r="D577" s="52">
        <v>0.8520833333333333</v>
      </c>
      <c r="E577" s="53">
        <f>'Reclamo de equipaje rediseñado'!$D577-'Reclamo de equipaje rediseñado'!$C577</f>
        <v>1.1805555555555514E-2</v>
      </c>
      <c r="F577" s="52">
        <v>0.87291666666666667</v>
      </c>
      <c r="G577" s="53">
        <f t="shared" si="8"/>
        <v>2.083333333333337E-2</v>
      </c>
      <c r="H577" s="54">
        <v>41725</v>
      </c>
      <c r="I577" s="55" t="s">
        <v>579</v>
      </c>
      <c r="J577" s="55">
        <v>320</v>
      </c>
      <c r="K577" s="55">
        <f>VLOOKUP(J577,'Validacion reclamo de equipaje'!L:M,2,0)</f>
        <v>179</v>
      </c>
      <c r="L577" s="55" t="str">
        <f>VLOOKUP(I577,'Validacion reclamo de equipaje'!H:I,2,0)</f>
        <v>Internacional</v>
      </c>
      <c r="M577" s="55" t="s">
        <v>522</v>
      </c>
    </row>
    <row r="578" spans="1:13" x14ac:dyDescent="0.25">
      <c r="A578">
        <v>109</v>
      </c>
      <c r="B578" s="47" t="str">
        <f>VLOOKUP(Tabla6[[#This Row],['# Vuelo]],'Validacion reclamo de equipaje'!P:Q,2,0)</f>
        <v>AVIONES ROJOS</v>
      </c>
      <c r="C578" s="48">
        <v>0.81805555555555554</v>
      </c>
      <c r="D578" s="48">
        <v>0.81944444444444453</v>
      </c>
      <c r="E578" s="49">
        <f>'Reclamo de equipaje rediseñado'!$D578-'Reclamo de equipaje rediseñado'!$C578</f>
        <v>1.388888888888995E-3</v>
      </c>
      <c r="F578" s="48">
        <v>0.83680555555555547</v>
      </c>
      <c r="G578" s="49">
        <f t="shared" si="8"/>
        <v>1.7361111111110938E-2</v>
      </c>
      <c r="H578" s="50">
        <v>41727</v>
      </c>
      <c r="I578" s="51" t="s">
        <v>579</v>
      </c>
      <c r="J578" s="51">
        <v>320</v>
      </c>
      <c r="K578" s="51">
        <f>VLOOKUP(J578,'Validacion reclamo de equipaje'!L:M,2,0)</f>
        <v>179</v>
      </c>
      <c r="L578" s="51" t="str">
        <f>VLOOKUP(I578,'Validacion reclamo de equipaje'!H:I,2,0)</f>
        <v>Internacional</v>
      </c>
      <c r="M578" s="51" t="s">
        <v>522</v>
      </c>
    </row>
    <row r="579" spans="1:13" x14ac:dyDescent="0.25">
      <c r="A579">
        <v>109</v>
      </c>
      <c r="B579" s="47" t="str">
        <f>VLOOKUP(Tabla6[[#This Row],['# Vuelo]],'Validacion reclamo de equipaje'!P:Q,2,0)</f>
        <v>AVIONES ROJOS</v>
      </c>
      <c r="C579" s="52">
        <v>0.96736111111111101</v>
      </c>
      <c r="D579" s="52">
        <v>0.9784722222222223</v>
      </c>
      <c r="E579" s="53">
        <f>'Reclamo de equipaje rediseñado'!$D579-'Reclamo de equipaje rediseñado'!$C579</f>
        <v>1.1111111111111294E-2</v>
      </c>
      <c r="F579" s="52">
        <v>0.9916666666666667</v>
      </c>
      <c r="G579" s="53">
        <f t="shared" ref="G579:G642" si="9">F579-D579</f>
        <v>1.3194444444444398E-2</v>
      </c>
      <c r="H579" s="54">
        <v>41728</v>
      </c>
      <c r="I579" s="55" t="s">
        <v>579</v>
      </c>
      <c r="J579" s="55">
        <v>320</v>
      </c>
      <c r="K579" s="55">
        <f>VLOOKUP(J579,'Validacion reclamo de equipaje'!L:M,2,0)</f>
        <v>179</v>
      </c>
      <c r="L579" s="55" t="str">
        <f>VLOOKUP(I579,'Validacion reclamo de equipaje'!H:I,2,0)</f>
        <v>Internacional</v>
      </c>
      <c r="M579" s="55" t="s">
        <v>522</v>
      </c>
    </row>
    <row r="580" spans="1:13" x14ac:dyDescent="0.25">
      <c r="A580">
        <v>5214</v>
      </c>
      <c r="B580" s="47" t="str">
        <f>VLOOKUP(Tabla6[[#This Row],['# Vuelo]],'Validacion reclamo de equipaje'!P:Q,2,0)</f>
        <v>INTERAVIÓN</v>
      </c>
      <c r="C580" s="48">
        <v>0.50138888888888888</v>
      </c>
      <c r="D580" s="48">
        <v>0.50624999999999998</v>
      </c>
      <c r="E580" s="49">
        <f>'Reclamo de equipaje rediseñado'!$D580-'Reclamo de equipaje rediseñado'!$C580</f>
        <v>4.8611111111110938E-3</v>
      </c>
      <c r="F580" s="48">
        <v>0.50902777777777775</v>
      </c>
      <c r="G580" s="49">
        <f t="shared" si="9"/>
        <v>2.7777777777777679E-3</v>
      </c>
      <c r="H580" s="50">
        <v>41714</v>
      </c>
      <c r="I580" s="51" t="s">
        <v>536</v>
      </c>
      <c r="J580" s="51">
        <v>320</v>
      </c>
      <c r="K580" s="51">
        <f>VLOOKUP(J580,'Validacion reclamo de equipaje'!L:M,2,0)</f>
        <v>179</v>
      </c>
      <c r="L580" s="51" t="str">
        <f>VLOOKUP(I580,'Validacion reclamo de equipaje'!H:I,2,0)</f>
        <v>Nacional</v>
      </c>
      <c r="M580" s="51" t="s">
        <v>522</v>
      </c>
    </row>
    <row r="581" spans="1:13" x14ac:dyDescent="0.25">
      <c r="A581">
        <v>5214</v>
      </c>
      <c r="B581" s="47" t="str">
        <f>VLOOKUP(Tabla6[[#This Row],['# Vuelo]],'Validacion reclamo de equipaje'!P:Q,2,0)</f>
        <v>INTERAVIÓN</v>
      </c>
      <c r="C581" s="52">
        <v>0.49791666666666662</v>
      </c>
      <c r="D581" s="52">
        <v>0.50694444444444442</v>
      </c>
      <c r="E581" s="53">
        <f>'Reclamo de equipaje rediseñado'!$D581-'Reclamo de equipaje rediseñado'!$C581</f>
        <v>9.0277777777778012E-3</v>
      </c>
      <c r="F581" s="52">
        <v>0.51250000000000007</v>
      </c>
      <c r="G581" s="53">
        <f t="shared" si="9"/>
        <v>5.5555555555556468E-3</v>
      </c>
      <c r="H581" s="54">
        <v>41715</v>
      </c>
      <c r="I581" s="55" t="s">
        <v>536</v>
      </c>
      <c r="J581" s="55">
        <v>320</v>
      </c>
      <c r="K581" s="55">
        <f>VLOOKUP(J581,'Validacion reclamo de equipaje'!L:M,2,0)</f>
        <v>179</v>
      </c>
      <c r="L581" s="55" t="str">
        <f>VLOOKUP(I581,'Validacion reclamo de equipaje'!H:I,2,0)</f>
        <v>Nacional</v>
      </c>
      <c r="M581" s="55" t="s">
        <v>522</v>
      </c>
    </row>
    <row r="582" spans="1:13" x14ac:dyDescent="0.25">
      <c r="A582">
        <v>5214</v>
      </c>
      <c r="B582" s="47" t="str">
        <f>VLOOKUP(Tabla6[[#This Row],['# Vuelo]],'Validacion reclamo de equipaje'!P:Q,2,0)</f>
        <v>INTERAVIÓN</v>
      </c>
      <c r="C582" s="48">
        <v>0.50208333333333333</v>
      </c>
      <c r="D582" s="48">
        <v>0.5083333333333333</v>
      </c>
      <c r="E582" s="49">
        <f>'Reclamo de equipaje rediseñado'!$D582-'Reclamo de equipaje rediseñado'!$C582</f>
        <v>6.2499999999999778E-3</v>
      </c>
      <c r="F582" s="48">
        <v>0.51041666666666663</v>
      </c>
      <c r="G582" s="49">
        <f t="shared" si="9"/>
        <v>2.0833333333333259E-3</v>
      </c>
      <c r="H582" s="50">
        <v>41716</v>
      </c>
      <c r="I582" s="51" t="s">
        <v>536</v>
      </c>
      <c r="J582" s="51">
        <v>320</v>
      </c>
      <c r="K582" s="51">
        <f>VLOOKUP(J582,'Validacion reclamo de equipaje'!L:M,2,0)</f>
        <v>179</v>
      </c>
      <c r="L582" s="51" t="str">
        <f>VLOOKUP(I582,'Validacion reclamo de equipaje'!H:I,2,0)</f>
        <v>Nacional</v>
      </c>
      <c r="M582" s="51" t="s">
        <v>522</v>
      </c>
    </row>
    <row r="583" spans="1:13" x14ac:dyDescent="0.25">
      <c r="A583">
        <v>5214</v>
      </c>
      <c r="B583" s="47" t="str">
        <f>VLOOKUP(Tabla6[[#This Row],['# Vuelo]],'Validacion reclamo de equipaje'!P:Q,2,0)</f>
        <v>INTERAVIÓN</v>
      </c>
      <c r="C583" s="52">
        <v>0.52638888888888891</v>
      </c>
      <c r="D583" s="52">
        <v>0.53333333333333333</v>
      </c>
      <c r="E583" s="53">
        <f>'Reclamo de equipaje rediseñado'!$D583-'Reclamo de equipaje rediseñado'!$C583</f>
        <v>6.9444444444444198E-3</v>
      </c>
      <c r="F583" s="52">
        <v>0.53611111111111109</v>
      </c>
      <c r="G583" s="53">
        <f t="shared" si="9"/>
        <v>2.7777777777777679E-3</v>
      </c>
      <c r="H583" s="54">
        <v>41717</v>
      </c>
      <c r="I583" s="55" t="s">
        <v>536</v>
      </c>
      <c r="J583" s="55">
        <v>320</v>
      </c>
      <c r="K583" s="55">
        <f>VLOOKUP(J583,'Validacion reclamo de equipaje'!L:M,2,0)</f>
        <v>179</v>
      </c>
      <c r="L583" s="55" t="str">
        <f>VLOOKUP(I583,'Validacion reclamo de equipaje'!H:I,2,0)</f>
        <v>Nacional</v>
      </c>
      <c r="M583" s="55" t="s">
        <v>522</v>
      </c>
    </row>
    <row r="584" spans="1:13" x14ac:dyDescent="0.25">
      <c r="A584">
        <v>5214</v>
      </c>
      <c r="B584" s="47" t="str">
        <f>VLOOKUP(Tabla6[[#This Row],['# Vuelo]],'Validacion reclamo de equipaje'!P:Q,2,0)</f>
        <v>INTERAVIÓN</v>
      </c>
      <c r="C584" s="48">
        <v>0.50347222222222221</v>
      </c>
      <c r="D584" s="48">
        <v>0.50763888888888886</v>
      </c>
      <c r="E584" s="49">
        <f>'Reclamo de equipaje rediseñado'!$D584-'Reclamo de equipaje rediseñado'!$C584</f>
        <v>4.1666666666666519E-3</v>
      </c>
      <c r="F584" s="48">
        <v>0.5131944444444444</v>
      </c>
      <c r="G584" s="49">
        <f t="shared" si="9"/>
        <v>5.5555555555555358E-3</v>
      </c>
      <c r="H584" s="50">
        <v>41718</v>
      </c>
      <c r="I584" s="51" t="s">
        <v>536</v>
      </c>
      <c r="J584" s="51">
        <v>320</v>
      </c>
      <c r="K584" s="51">
        <f>VLOOKUP(J584,'Validacion reclamo de equipaje'!L:M,2,0)</f>
        <v>179</v>
      </c>
      <c r="L584" s="51" t="str">
        <f>VLOOKUP(I584,'Validacion reclamo de equipaje'!H:I,2,0)</f>
        <v>Nacional</v>
      </c>
      <c r="M584" s="51" t="s">
        <v>522</v>
      </c>
    </row>
    <row r="585" spans="1:13" x14ac:dyDescent="0.25">
      <c r="A585">
        <v>5214</v>
      </c>
      <c r="B585" s="47" t="str">
        <f>VLOOKUP(Tabla6[[#This Row],['# Vuelo]],'Validacion reclamo de equipaje'!P:Q,2,0)</f>
        <v>INTERAVIÓN</v>
      </c>
      <c r="C585" s="52">
        <v>0.49444444444444446</v>
      </c>
      <c r="D585" s="52">
        <v>0.50138888888888888</v>
      </c>
      <c r="E585" s="53">
        <f>'Reclamo de equipaje rediseñado'!$D585-'Reclamo de equipaje rediseñado'!$C585</f>
        <v>6.9444444444444198E-3</v>
      </c>
      <c r="F585" s="52">
        <v>0.50624999999999998</v>
      </c>
      <c r="G585" s="53">
        <f t="shared" si="9"/>
        <v>4.8611111111110938E-3</v>
      </c>
      <c r="H585" s="54">
        <v>41721</v>
      </c>
      <c r="I585" s="55" t="s">
        <v>536</v>
      </c>
      <c r="J585" s="55">
        <v>320</v>
      </c>
      <c r="K585" s="55">
        <f>VLOOKUP(J585,'Validacion reclamo de equipaje'!L:M,2,0)</f>
        <v>179</v>
      </c>
      <c r="L585" s="55" t="str">
        <f>VLOOKUP(I585,'Validacion reclamo de equipaje'!H:I,2,0)</f>
        <v>Nacional</v>
      </c>
      <c r="M585" s="55" t="s">
        <v>522</v>
      </c>
    </row>
    <row r="586" spans="1:13" x14ac:dyDescent="0.25">
      <c r="A586">
        <v>5214</v>
      </c>
      <c r="B586" s="47" t="str">
        <f>VLOOKUP(Tabla6[[#This Row],['# Vuelo]],'Validacion reclamo de equipaje'!P:Q,2,0)</f>
        <v>INTERAVIÓN</v>
      </c>
      <c r="C586" s="48">
        <v>0.50069444444444444</v>
      </c>
      <c r="D586" s="48">
        <v>0.50486111111111109</v>
      </c>
      <c r="E586" s="49">
        <f>'Reclamo de equipaje rediseñado'!$D586-'Reclamo de equipaje rediseñado'!$C586</f>
        <v>4.1666666666666519E-3</v>
      </c>
      <c r="F586" s="48">
        <v>0.50763888888888886</v>
      </c>
      <c r="G586" s="49">
        <f t="shared" si="9"/>
        <v>2.7777777777777679E-3</v>
      </c>
      <c r="H586" s="50">
        <v>41722</v>
      </c>
      <c r="I586" s="51" t="s">
        <v>536</v>
      </c>
      <c r="J586" s="51">
        <v>320</v>
      </c>
      <c r="K586" s="51">
        <f>VLOOKUP(J586,'Validacion reclamo de equipaje'!L:M,2,0)</f>
        <v>179</v>
      </c>
      <c r="L586" s="51" t="str">
        <f>VLOOKUP(I586,'Validacion reclamo de equipaje'!H:I,2,0)</f>
        <v>Nacional</v>
      </c>
      <c r="M586" s="51" t="s">
        <v>522</v>
      </c>
    </row>
    <row r="587" spans="1:13" x14ac:dyDescent="0.25">
      <c r="A587">
        <v>5214</v>
      </c>
      <c r="B587" s="47" t="str">
        <f>VLOOKUP(Tabla6[[#This Row],['# Vuelo]],'Validacion reclamo de equipaje'!P:Q,2,0)</f>
        <v>INTERAVIÓN</v>
      </c>
      <c r="C587" s="52">
        <v>0.50763888888888886</v>
      </c>
      <c r="D587" s="52">
        <v>0.5131944444444444</v>
      </c>
      <c r="E587" s="53">
        <f>'Reclamo de equipaje rediseñado'!$D587-'Reclamo de equipaje rediseñado'!$C587</f>
        <v>5.5555555555555358E-3</v>
      </c>
      <c r="F587" s="52">
        <v>0.51944444444444449</v>
      </c>
      <c r="G587" s="53">
        <f t="shared" si="9"/>
        <v>6.2500000000000888E-3</v>
      </c>
      <c r="H587" s="54">
        <v>41725</v>
      </c>
      <c r="I587" s="55" t="s">
        <v>536</v>
      </c>
      <c r="J587" s="55">
        <v>320</v>
      </c>
      <c r="K587" s="55">
        <f>VLOOKUP(J587,'Validacion reclamo de equipaje'!L:M,2,0)</f>
        <v>179</v>
      </c>
      <c r="L587" s="55" t="str">
        <f>VLOOKUP(I587,'Validacion reclamo de equipaje'!H:I,2,0)</f>
        <v>Nacional</v>
      </c>
      <c r="M587" s="55" t="s">
        <v>522</v>
      </c>
    </row>
    <row r="588" spans="1:13" x14ac:dyDescent="0.25">
      <c r="A588">
        <v>5214</v>
      </c>
      <c r="B588" s="47" t="str">
        <f>VLOOKUP(Tabla6[[#This Row],['# Vuelo]],'Validacion reclamo de equipaje'!P:Q,2,0)</f>
        <v>INTERAVIÓN</v>
      </c>
      <c r="C588" s="48">
        <v>0.49513888888888885</v>
      </c>
      <c r="D588" s="48">
        <v>0.50069444444444444</v>
      </c>
      <c r="E588" s="49">
        <f>'Reclamo de equipaje rediseñado'!$D588-'Reclamo de equipaje rediseñado'!$C588</f>
        <v>5.5555555555555913E-3</v>
      </c>
      <c r="F588" s="48">
        <v>0.50208333333333333</v>
      </c>
      <c r="G588" s="49">
        <f t="shared" si="9"/>
        <v>1.388888888888884E-3</v>
      </c>
      <c r="H588" s="50">
        <v>41725</v>
      </c>
      <c r="I588" s="51" t="s">
        <v>536</v>
      </c>
      <c r="J588" s="51">
        <v>320</v>
      </c>
      <c r="K588" s="51">
        <f>VLOOKUP(J588,'Validacion reclamo de equipaje'!L:M,2,0)</f>
        <v>179</v>
      </c>
      <c r="L588" s="51" t="str">
        <f>VLOOKUP(I588,'Validacion reclamo de equipaje'!H:I,2,0)</f>
        <v>Nacional</v>
      </c>
      <c r="M588" s="51" t="s">
        <v>522</v>
      </c>
    </row>
    <row r="589" spans="1:13" x14ac:dyDescent="0.25">
      <c r="A589">
        <v>5214</v>
      </c>
      <c r="B589" s="47" t="str">
        <f>VLOOKUP(Tabla6[[#This Row],['# Vuelo]],'Validacion reclamo de equipaje'!P:Q,2,0)</f>
        <v>INTERAVIÓN</v>
      </c>
      <c r="C589" s="52">
        <v>0.50138888888888888</v>
      </c>
      <c r="D589" s="52">
        <v>0.50694444444444442</v>
      </c>
      <c r="E589" s="53">
        <f>'Reclamo de equipaje rediseñado'!$D589-'Reclamo de equipaje rediseñado'!$C589</f>
        <v>5.5555555555555358E-3</v>
      </c>
      <c r="F589" s="52">
        <v>0.51041666666666663</v>
      </c>
      <c r="G589" s="53">
        <f t="shared" si="9"/>
        <v>3.4722222222222099E-3</v>
      </c>
      <c r="H589" s="54">
        <v>41726</v>
      </c>
      <c r="I589" s="55" t="s">
        <v>536</v>
      </c>
      <c r="J589" s="55">
        <v>320</v>
      </c>
      <c r="K589" s="55">
        <f>VLOOKUP(J589,'Validacion reclamo de equipaje'!L:M,2,0)</f>
        <v>179</v>
      </c>
      <c r="L589" s="55" t="str">
        <f>VLOOKUP(I589,'Validacion reclamo de equipaje'!H:I,2,0)</f>
        <v>Nacional</v>
      </c>
      <c r="M589" s="55" t="s">
        <v>522</v>
      </c>
    </row>
    <row r="590" spans="1:13" x14ac:dyDescent="0.25">
      <c r="A590">
        <v>5214</v>
      </c>
      <c r="B590" s="47" t="str">
        <f>VLOOKUP(Tabla6[[#This Row],['# Vuelo]],'Validacion reclamo de equipaje'!P:Q,2,0)</f>
        <v>INTERAVIÓN</v>
      </c>
      <c r="C590" s="48">
        <v>0.49444444444444446</v>
      </c>
      <c r="D590" s="48">
        <v>0.5</v>
      </c>
      <c r="E590" s="49">
        <f>'Reclamo de equipaje rediseñado'!$D590-'Reclamo de equipaje rediseñado'!$C590</f>
        <v>5.5555555555555358E-3</v>
      </c>
      <c r="F590" s="48">
        <v>0.50208333333333333</v>
      </c>
      <c r="G590" s="49">
        <f t="shared" si="9"/>
        <v>2.0833333333333259E-3</v>
      </c>
      <c r="H590" s="50">
        <v>41729</v>
      </c>
      <c r="I590" s="51" t="s">
        <v>536</v>
      </c>
      <c r="J590" s="51">
        <v>320</v>
      </c>
      <c r="K590" s="51">
        <f>VLOOKUP(J590,'Validacion reclamo de equipaje'!L:M,2,0)</f>
        <v>179</v>
      </c>
      <c r="L590" s="51" t="str">
        <f>VLOOKUP(I590,'Validacion reclamo de equipaje'!H:I,2,0)</f>
        <v>Nacional</v>
      </c>
      <c r="M590" s="51" t="s">
        <v>522</v>
      </c>
    </row>
    <row r="591" spans="1:13" x14ac:dyDescent="0.25">
      <c r="A591">
        <v>2840</v>
      </c>
      <c r="B591" s="47" t="str">
        <f>VLOOKUP(Tabla6[[#This Row],['# Vuelo]],'Validacion reclamo de equipaje'!P:Q,2,0)</f>
        <v>AEROLINEAS DE AMERICA</v>
      </c>
      <c r="C591" s="52">
        <v>0.7583333333333333</v>
      </c>
      <c r="D591" s="52">
        <v>0.76597222222222217</v>
      </c>
      <c r="E591" s="53">
        <f>'Reclamo de equipaje rediseñado'!$D591-'Reclamo de equipaje rediseñado'!$C591</f>
        <v>7.6388888888888618E-3</v>
      </c>
      <c r="F591" s="52">
        <v>0.76944444444444438</v>
      </c>
      <c r="G591" s="53">
        <f t="shared" si="9"/>
        <v>3.4722222222222099E-3</v>
      </c>
      <c r="H591" s="54">
        <v>41714</v>
      </c>
      <c r="I591" s="55" t="s">
        <v>570</v>
      </c>
      <c r="J591" s="55">
        <v>320</v>
      </c>
      <c r="K591" s="55">
        <f>VLOOKUP(J591,'Validacion reclamo de equipaje'!L:M,2,0)</f>
        <v>179</v>
      </c>
      <c r="L591" s="55" t="str">
        <f>VLOOKUP(I591,'Validacion reclamo de equipaje'!H:I,2,0)</f>
        <v>Internacional</v>
      </c>
      <c r="M591" s="55" t="s">
        <v>522</v>
      </c>
    </row>
    <row r="592" spans="1:13" x14ac:dyDescent="0.25">
      <c r="A592">
        <v>2840</v>
      </c>
      <c r="B592" s="47" t="str">
        <f>VLOOKUP(Tabla6[[#This Row],['# Vuelo]],'Validacion reclamo de equipaje'!P:Q,2,0)</f>
        <v>AEROLINEAS DE AMERICA</v>
      </c>
      <c r="C592" s="48">
        <v>0.68541666666666667</v>
      </c>
      <c r="D592" s="48">
        <v>0.69513888888888886</v>
      </c>
      <c r="E592" s="49">
        <f>'Reclamo de equipaje rediseñado'!$D592-'Reclamo de equipaje rediseñado'!$C592</f>
        <v>9.7222222222221877E-3</v>
      </c>
      <c r="F592" s="48">
        <v>0.71180555555555547</v>
      </c>
      <c r="G592" s="49">
        <f t="shared" si="9"/>
        <v>1.6666666666666607E-2</v>
      </c>
      <c r="H592" s="50">
        <v>41718</v>
      </c>
      <c r="I592" s="51" t="s">
        <v>570</v>
      </c>
      <c r="J592" s="51">
        <v>320</v>
      </c>
      <c r="K592" s="51">
        <f>VLOOKUP(J592,'Validacion reclamo de equipaje'!L:M,2,0)</f>
        <v>179</v>
      </c>
      <c r="L592" s="51" t="str">
        <f>VLOOKUP(I592,'Validacion reclamo de equipaje'!H:I,2,0)</f>
        <v>Internacional</v>
      </c>
      <c r="M592" s="51" t="s">
        <v>522</v>
      </c>
    </row>
    <row r="593" spans="1:13" x14ac:dyDescent="0.25">
      <c r="A593">
        <v>2840</v>
      </c>
      <c r="B593" s="47" t="str">
        <f>VLOOKUP(Tabla6[[#This Row],['# Vuelo]],'Validacion reclamo de equipaje'!P:Q,2,0)</f>
        <v>AEROLINEAS DE AMERICA</v>
      </c>
      <c r="C593" s="52">
        <v>0.76944444444444438</v>
      </c>
      <c r="D593" s="52">
        <v>0.77638888888888891</v>
      </c>
      <c r="E593" s="53">
        <f>'Reclamo de equipaje rediseñado'!$D593-'Reclamo de equipaje rediseñado'!$C593</f>
        <v>6.9444444444445308E-3</v>
      </c>
      <c r="F593" s="52">
        <v>0.78611111111111109</v>
      </c>
      <c r="G593" s="53">
        <f t="shared" si="9"/>
        <v>9.7222222222221877E-3</v>
      </c>
      <c r="H593" s="54">
        <v>41721</v>
      </c>
      <c r="I593" s="55" t="s">
        <v>570</v>
      </c>
      <c r="J593" s="55">
        <v>320</v>
      </c>
      <c r="K593" s="55">
        <f>VLOOKUP(J593,'Validacion reclamo de equipaje'!L:M,2,0)</f>
        <v>179</v>
      </c>
      <c r="L593" s="55" t="str">
        <f>VLOOKUP(I593,'Validacion reclamo de equipaje'!H:I,2,0)</f>
        <v>Internacional</v>
      </c>
      <c r="M593" s="55" t="s">
        <v>522</v>
      </c>
    </row>
    <row r="594" spans="1:13" x14ac:dyDescent="0.25">
      <c r="A594">
        <v>2840</v>
      </c>
      <c r="B594" s="47" t="str">
        <f>VLOOKUP(Tabla6[[#This Row],['# Vuelo]],'Validacion reclamo de equipaje'!P:Q,2,0)</f>
        <v>AEROLINEAS DE AMERICA</v>
      </c>
      <c r="C594" s="48">
        <v>0.68958333333333333</v>
      </c>
      <c r="D594" s="48">
        <v>0.69930555555555562</v>
      </c>
      <c r="E594" s="49">
        <f>'Reclamo de equipaje rediseñado'!$D594-'Reclamo de equipaje rediseñado'!$C594</f>
        <v>9.7222222222222987E-3</v>
      </c>
      <c r="F594" s="48">
        <v>0.71527777777777779</v>
      </c>
      <c r="G594" s="49">
        <f t="shared" si="9"/>
        <v>1.5972222222222165E-2</v>
      </c>
      <c r="H594" s="50">
        <v>41722</v>
      </c>
      <c r="I594" s="51" t="s">
        <v>570</v>
      </c>
      <c r="J594" s="51">
        <v>320</v>
      </c>
      <c r="K594" s="51">
        <f>VLOOKUP(J594,'Validacion reclamo de equipaje'!L:M,2,0)</f>
        <v>179</v>
      </c>
      <c r="L594" s="51" t="str">
        <f>VLOOKUP(I594,'Validacion reclamo de equipaje'!H:I,2,0)</f>
        <v>Internacional</v>
      </c>
      <c r="M594" s="51" t="s">
        <v>522</v>
      </c>
    </row>
    <row r="595" spans="1:13" x14ac:dyDescent="0.25">
      <c r="A595">
        <v>2840</v>
      </c>
      <c r="B595" s="47" t="str">
        <f>VLOOKUP(Tabla6[[#This Row],['# Vuelo]],'Validacion reclamo de equipaje'!P:Q,2,0)</f>
        <v>AEROLINEAS DE AMERICA</v>
      </c>
      <c r="C595" s="52">
        <v>0.6875</v>
      </c>
      <c r="D595" s="52">
        <v>0.69027777777777777</v>
      </c>
      <c r="E595" s="53">
        <f>'Reclamo de equipaje rediseñado'!$D595-'Reclamo de equipaje rediseñado'!$C595</f>
        <v>2.7777777777777679E-3</v>
      </c>
      <c r="F595" s="52">
        <v>0.71875</v>
      </c>
      <c r="G595" s="53">
        <f t="shared" si="9"/>
        <v>2.8472222222222232E-2</v>
      </c>
      <c r="H595" s="54">
        <v>41726</v>
      </c>
      <c r="I595" s="55" t="s">
        <v>570</v>
      </c>
      <c r="J595" s="55">
        <v>320</v>
      </c>
      <c r="K595" s="55">
        <f>VLOOKUP(J595,'Validacion reclamo de equipaje'!L:M,2,0)</f>
        <v>179</v>
      </c>
      <c r="L595" s="55" t="str">
        <f>VLOOKUP(I595,'Validacion reclamo de equipaje'!H:I,2,0)</f>
        <v>Internacional</v>
      </c>
      <c r="M595" s="55" t="s">
        <v>522</v>
      </c>
    </row>
    <row r="596" spans="1:13" x14ac:dyDescent="0.25">
      <c r="A596">
        <v>2840</v>
      </c>
      <c r="B596" s="47" t="str">
        <f>VLOOKUP(Tabla6[[#This Row],['# Vuelo]],'Validacion reclamo de equipaje'!P:Q,2,0)</f>
        <v>AEROLINEAS DE AMERICA</v>
      </c>
      <c r="C596" s="48">
        <v>0.76250000000000007</v>
      </c>
      <c r="D596" s="48">
        <v>0.76527777777777783</v>
      </c>
      <c r="E596" s="49">
        <f>'Reclamo de equipaje rediseñado'!$D596-'Reclamo de equipaje rediseñado'!$C596</f>
        <v>2.7777777777777679E-3</v>
      </c>
      <c r="F596" s="48">
        <v>0.76874999999999993</v>
      </c>
      <c r="G596" s="49">
        <f t="shared" si="9"/>
        <v>3.4722222222220989E-3</v>
      </c>
      <c r="H596" s="50">
        <v>41728</v>
      </c>
      <c r="I596" s="51" t="s">
        <v>570</v>
      </c>
      <c r="J596" s="51">
        <v>320</v>
      </c>
      <c r="K596" s="51">
        <f>VLOOKUP(J596,'Validacion reclamo de equipaje'!L:M,2,0)</f>
        <v>179</v>
      </c>
      <c r="L596" s="51" t="str">
        <f>VLOOKUP(I596,'Validacion reclamo de equipaje'!H:I,2,0)</f>
        <v>Internacional</v>
      </c>
      <c r="M596" s="51" t="s">
        <v>522</v>
      </c>
    </row>
    <row r="597" spans="1:13" x14ac:dyDescent="0.25">
      <c r="A597">
        <v>2840</v>
      </c>
      <c r="B597" s="47" t="str">
        <f>VLOOKUP(Tabla6[[#This Row],['# Vuelo]],'Validacion reclamo de equipaje'!P:Q,2,0)</f>
        <v>AEROLINEAS DE AMERICA</v>
      </c>
      <c r="C597" s="52">
        <v>0.69444444444444453</v>
      </c>
      <c r="D597" s="52">
        <v>0.70486111111111116</v>
      </c>
      <c r="E597" s="53">
        <f>'Reclamo de equipaje rediseñado'!$D597-'Reclamo de equipaje rediseñado'!$C597</f>
        <v>1.041666666666663E-2</v>
      </c>
      <c r="F597" s="52">
        <v>0.71388888888888891</v>
      </c>
      <c r="G597" s="53">
        <f t="shared" si="9"/>
        <v>9.0277777777777457E-3</v>
      </c>
      <c r="H597" s="54">
        <v>41729</v>
      </c>
      <c r="I597" s="55" t="s">
        <v>570</v>
      </c>
      <c r="J597" s="55">
        <v>320</v>
      </c>
      <c r="K597" s="55">
        <f>VLOOKUP(J597,'Validacion reclamo de equipaje'!L:M,2,0)</f>
        <v>179</v>
      </c>
      <c r="L597" s="55" t="str">
        <f>VLOOKUP(I597,'Validacion reclamo de equipaje'!H:I,2,0)</f>
        <v>Internacional</v>
      </c>
      <c r="M597" s="55" t="s">
        <v>522</v>
      </c>
    </row>
    <row r="598" spans="1:13" x14ac:dyDescent="0.25">
      <c r="A598">
        <v>2224</v>
      </c>
      <c r="B598" s="47" t="str">
        <f>VLOOKUP(Tabla6[[#This Row],['# Vuelo]],'Validacion reclamo de equipaje'!P:Q,2,0)</f>
        <v>INTERAVIÓN</v>
      </c>
      <c r="C598" s="48">
        <v>0.23263888888888887</v>
      </c>
      <c r="D598" s="48">
        <v>0.24652777777777779</v>
      </c>
      <c r="E598" s="49">
        <f>'Reclamo de equipaje rediseñado'!$D598-'Reclamo de equipaje rediseñado'!$C598</f>
        <v>1.3888888888888923E-2</v>
      </c>
      <c r="F598" s="48">
        <v>0.25</v>
      </c>
      <c r="G598" s="49">
        <f t="shared" si="9"/>
        <v>3.4722222222222099E-3</v>
      </c>
      <c r="H598" s="50">
        <v>41724</v>
      </c>
      <c r="I598" s="51" t="s">
        <v>536</v>
      </c>
      <c r="J598" s="51">
        <v>320</v>
      </c>
      <c r="K598" s="51">
        <f>VLOOKUP(J598,'Validacion reclamo de equipaje'!L:M,2,0)</f>
        <v>179</v>
      </c>
      <c r="L598" s="51" t="str">
        <f>VLOOKUP(I598,'Validacion reclamo de equipaje'!H:I,2,0)</f>
        <v>Nacional</v>
      </c>
      <c r="M598" s="51" t="s">
        <v>522</v>
      </c>
    </row>
    <row r="599" spans="1:13" x14ac:dyDescent="0.25">
      <c r="A599">
        <v>2224</v>
      </c>
      <c r="B599" s="47" t="str">
        <f>VLOOKUP(Tabla6[[#This Row],['# Vuelo]],'Validacion reclamo de equipaje'!P:Q,2,0)</f>
        <v>INTERAVIÓN</v>
      </c>
      <c r="C599" s="52">
        <v>0.59722222222222221</v>
      </c>
      <c r="D599" s="52">
        <v>0.6020833333333333</v>
      </c>
      <c r="E599" s="53">
        <f>'Reclamo de equipaje rediseñado'!$D599-'Reclamo de equipaje rediseñado'!$C599</f>
        <v>4.8611111111110938E-3</v>
      </c>
      <c r="F599" s="52">
        <v>0.60763888888888895</v>
      </c>
      <c r="G599" s="53">
        <f t="shared" si="9"/>
        <v>5.5555555555556468E-3</v>
      </c>
      <c r="H599" s="54">
        <v>41715</v>
      </c>
      <c r="I599" s="55" t="s">
        <v>536</v>
      </c>
      <c r="J599" s="55">
        <v>320</v>
      </c>
      <c r="K599" s="55">
        <f>VLOOKUP(J599,'Validacion reclamo de equipaje'!L:M,2,0)</f>
        <v>179</v>
      </c>
      <c r="L599" s="55" t="str">
        <f>VLOOKUP(I599,'Validacion reclamo de equipaje'!H:I,2,0)</f>
        <v>Nacional</v>
      </c>
      <c r="M599" s="55" t="s">
        <v>522</v>
      </c>
    </row>
    <row r="600" spans="1:13" x14ac:dyDescent="0.25">
      <c r="A600">
        <v>2224</v>
      </c>
      <c r="B600" s="47" t="str">
        <f>VLOOKUP(Tabla6[[#This Row],['# Vuelo]],'Validacion reclamo de equipaje'!P:Q,2,0)</f>
        <v>INTERAVIÓN</v>
      </c>
      <c r="C600" s="48">
        <v>0.58750000000000002</v>
      </c>
      <c r="D600" s="48">
        <v>0.59375</v>
      </c>
      <c r="E600" s="49">
        <f>'Reclamo de equipaje rediseñado'!$D600-'Reclamo de equipaje rediseñado'!$C600</f>
        <v>6.2499999999999778E-3</v>
      </c>
      <c r="F600" s="48">
        <v>0.59652777777777777</v>
      </c>
      <c r="G600" s="49">
        <f t="shared" si="9"/>
        <v>2.7777777777777679E-3</v>
      </c>
      <c r="H600" s="50">
        <v>41716</v>
      </c>
      <c r="I600" s="51" t="s">
        <v>536</v>
      </c>
      <c r="J600" s="51">
        <v>320</v>
      </c>
      <c r="K600" s="51">
        <f>VLOOKUP(J600,'Validacion reclamo de equipaje'!L:M,2,0)</f>
        <v>179</v>
      </c>
      <c r="L600" s="51" t="str">
        <f>VLOOKUP(I600,'Validacion reclamo de equipaje'!H:I,2,0)</f>
        <v>Nacional</v>
      </c>
      <c r="M600" s="51" t="s">
        <v>522</v>
      </c>
    </row>
    <row r="601" spans="1:13" x14ac:dyDescent="0.25">
      <c r="A601">
        <v>2224</v>
      </c>
      <c r="B601" s="47" t="str">
        <f>VLOOKUP(Tabla6[[#This Row],['# Vuelo]],'Validacion reclamo de equipaje'!P:Q,2,0)</f>
        <v>INTERAVIÓN</v>
      </c>
      <c r="C601" s="52">
        <v>0.58611111111111114</v>
      </c>
      <c r="D601" s="52">
        <v>0.59375</v>
      </c>
      <c r="E601" s="53">
        <f>'Reclamo de equipaje rediseñado'!$D601-'Reclamo de equipaje rediseñado'!$C601</f>
        <v>7.6388888888888618E-3</v>
      </c>
      <c r="F601" s="52">
        <v>0.60069444444444442</v>
      </c>
      <c r="G601" s="53">
        <f t="shared" si="9"/>
        <v>6.9444444444444198E-3</v>
      </c>
      <c r="H601" s="54">
        <v>41717</v>
      </c>
      <c r="I601" s="55" t="s">
        <v>536</v>
      </c>
      <c r="J601" s="55">
        <v>320</v>
      </c>
      <c r="K601" s="55">
        <f>VLOOKUP(J601,'Validacion reclamo de equipaje'!L:M,2,0)</f>
        <v>179</v>
      </c>
      <c r="L601" s="55" t="str">
        <f>VLOOKUP(I601,'Validacion reclamo de equipaje'!H:I,2,0)</f>
        <v>Nacional</v>
      </c>
      <c r="M601" s="55" t="s">
        <v>522</v>
      </c>
    </row>
    <row r="602" spans="1:13" x14ac:dyDescent="0.25">
      <c r="A602">
        <v>2224</v>
      </c>
      <c r="B602" s="47" t="str">
        <f>VLOOKUP(Tabla6[[#This Row],['# Vuelo]],'Validacion reclamo de equipaje'!P:Q,2,0)</f>
        <v>INTERAVIÓN</v>
      </c>
      <c r="C602" s="48">
        <v>0.59097222222222223</v>
      </c>
      <c r="D602" s="48">
        <v>0.59583333333333333</v>
      </c>
      <c r="E602" s="49">
        <f>'Reclamo de equipaje rediseñado'!$D602-'Reclamo de equipaje rediseñado'!$C602</f>
        <v>4.8611111111110938E-3</v>
      </c>
      <c r="F602" s="48">
        <v>0.60347222222222219</v>
      </c>
      <c r="G602" s="49">
        <f t="shared" si="9"/>
        <v>7.6388888888888618E-3</v>
      </c>
      <c r="H602" s="50">
        <v>41718</v>
      </c>
      <c r="I602" s="51" t="s">
        <v>536</v>
      </c>
      <c r="J602" s="51">
        <v>320</v>
      </c>
      <c r="K602" s="51">
        <f>VLOOKUP(J602,'Validacion reclamo de equipaje'!L:M,2,0)</f>
        <v>179</v>
      </c>
      <c r="L602" s="51" t="str">
        <f>VLOOKUP(I602,'Validacion reclamo de equipaje'!H:I,2,0)</f>
        <v>Nacional</v>
      </c>
      <c r="M602" s="51" t="s">
        <v>522</v>
      </c>
    </row>
    <row r="603" spans="1:13" x14ac:dyDescent="0.25">
      <c r="A603">
        <v>2224</v>
      </c>
      <c r="B603" s="47" t="str">
        <f>VLOOKUP(Tabla6[[#This Row],['# Vuelo]],'Validacion reclamo de equipaje'!P:Q,2,0)</f>
        <v>INTERAVIÓN</v>
      </c>
      <c r="C603" s="52">
        <v>0.59652777777777777</v>
      </c>
      <c r="D603" s="52">
        <v>0.6020833333333333</v>
      </c>
      <c r="E603" s="53">
        <f>'Reclamo de equipaje rediseñado'!$D603-'Reclamo de equipaje rediseñado'!$C603</f>
        <v>5.5555555555555358E-3</v>
      </c>
      <c r="F603" s="52">
        <v>0.60486111111111118</v>
      </c>
      <c r="G603" s="53">
        <f t="shared" si="9"/>
        <v>2.7777777777778789E-3</v>
      </c>
      <c r="H603" s="54">
        <v>41722</v>
      </c>
      <c r="I603" s="55" t="s">
        <v>536</v>
      </c>
      <c r="J603" s="55">
        <v>320</v>
      </c>
      <c r="K603" s="55">
        <f>VLOOKUP(J603,'Validacion reclamo de equipaje'!L:M,2,0)</f>
        <v>179</v>
      </c>
      <c r="L603" s="55" t="str">
        <f>VLOOKUP(I603,'Validacion reclamo de equipaje'!H:I,2,0)</f>
        <v>Nacional</v>
      </c>
      <c r="M603" s="55" t="s">
        <v>522</v>
      </c>
    </row>
    <row r="604" spans="1:13" x14ac:dyDescent="0.25">
      <c r="A604">
        <v>2224</v>
      </c>
      <c r="B604" s="47" t="str">
        <f>VLOOKUP(Tabla6[[#This Row],['# Vuelo]],'Validacion reclamo de equipaje'!P:Q,2,0)</f>
        <v>INTERAVIÓN</v>
      </c>
      <c r="C604" s="48">
        <v>0.59097222222222223</v>
      </c>
      <c r="D604" s="48">
        <v>0.59583333333333333</v>
      </c>
      <c r="E604" s="49">
        <f>'Reclamo de equipaje rediseñado'!$D604-'Reclamo de equipaje rediseñado'!$C604</f>
        <v>4.8611111111110938E-3</v>
      </c>
      <c r="F604" s="48">
        <v>0.6020833333333333</v>
      </c>
      <c r="G604" s="49">
        <f t="shared" si="9"/>
        <v>6.2499999999999778E-3</v>
      </c>
      <c r="H604" s="50">
        <v>41725</v>
      </c>
      <c r="I604" s="51" t="s">
        <v>536</v>
      </c>
      <c r="J604" s="51">
        <v>320</v>
      </c>
      <c r="K604" s="51">
        <f>VLOOKUP(J604,'Validacion reclamo de equipaje'!L:M,2,0)</f>
        <v>179</v>
      </c>
      <c r="L604" s="51" t="str">
        <f>VLOOKUP(I604,'Validacion reclamo de equipaje'!H:I,2,0)</f>
        <v>Nacional</v>
      </c>
      <c r="M604" s="51" t="s">
        <v>522</v>
      </c>
    </row>
    <row r="605" spans="1:13" x14ac:dyDescent="0.25">
      <c r="A605">
        <v>2224</v>
      </c>
      <c r="B605" s="47" t="str">
        <f>VLOOKUP(Tabla6[[#This Row],['# Vuelo]],'Validacion reclamo de equipaje'!P:Q,2,0)</f>
        <v>INTERAVIÓN</v>
      </c>
      <c r="C605" s="52">
        <v>0.58472222222222225</v>
      </c>
      <c r="D605" s="52">
        <v>0.59305555555555556</v>
      </c>
      <c r="E605" s="53">
        <f>'Reclamo de equipaje rediseñado'!$D605-'Reclamo de equipaje rediseñado'!$C605</f>
        <v>8.3333333333333037E-3</v>
      </c>
      <c r="F605" s="52">
        <v>0.59583333333333333</v>
      </c>
      <c r="G605" s="53">
        <f t="shared" si="9"/>
        <v>2.7777777777777679E-3</v>
      </c>
      <c r="H605" s="54">
        <v>41725</v>
      </c>
      <c r="I605" s="55" t="s">
        <v>536</v>
      </c>
      <c r="J605" s="55">
        <v>320</v>
      </c>
      <c r="K605" s="55">
        <f>VLOOKUP(J605,'Validacion reclamo de equipaje'!L:M,2,0)</f>
        <v>179</v>
      </c>
      <c r="L605" s="55" t="str">
        <f>VLOOKUP(I605,'Validacion reclamo de equipaje'!H:I,2,0)</f>
        <v>Nacional</v>
      </c>
      <c r="M605" s="55" t="s">
        <v>522</v>
      </c>
    </row>
    <row r="606" spans="1:13" x14ac:dyDescent="0.25">
      <c r="A606">
        <v>2224</v>
      </c>
      <c r="B606" s="47" t="str">
        <f>VLOOKUP(Tabla6[[#This Row],['# Vuelo]],'Validacion reclamo de equipaje'!P:Q,2,0)</f>
        <v>INTERAVIÓN</v>
      </c>
      <c r="C606" s="48">
        <v>0.59305555555555556</v>
      </c>
      <c r="D606" s="48">
        <v>0.59722222222222221</v>
      </c>
      <c r="E606" s="49">
        <f>'Reclamo de equipaje rediseñado'!$D606-'Reclamo de equipaje rediseñado'!$C606</f>
        <v>4.1666666666666519E-3</v>
      </c>
      <c r="F606" s="48">
        <v>0.60069444444444442</v>
      </c>
      <c r="G606" s="49">
        <f t="shared" si="9"/>
        <v>3.4722222222222099E-3</v>
      </c>
      <c r="H606" s="50">
        <v>41726</v>
      </c>
      <c r="I606" s="51" t="s">
        <v>536</v>
      </c>
      <c r="J606" s="51">
        <v>320</v>
      </c>
      <c r="K606" s="51">
        <f>VLOOKUP(J606,'Validacion reclamo de equipaje'!L:M,2,0)</f>
        <v>179</v>
      </c>
      <c r="L606" s="51" t="str">
        <f>VLOOKUP(I606,'Validacion reclamo de equipaje'!H:I,2,0)</f>
        <v>Nacional</v>
      </c>
      <c r="M606" s="51" t="s">
        <v>522</v>
      </c>
    </row>
    <row r="607" spans="1:13" x14ac:dyDescent="0.25">
      <c r="A607">
        <v>2224</v>
      </c>
      <c r="B607" s="47" t="str">
        <f>VLOOKUP(Tabla6[[#This Row],['# Vuelo]],'Validacion reclamo de equipaje'!P:Q,2,0)</f>
        <v>INTERAVIÓN</v>
      </c>
      <c r="C607" s="52">
        <v>0.58333333333333337</v>
      </c>
      <c r="D607" s="52">
        <v>0.58680555555555558</v>
      </c>
      <c r="E607" s="53">
        <f>'Reclamo de equipaje rediseñado'!$D607-'Reclamo de equipaje rediseñado'!$C607</f>
        <v>3.4722222222222099E-3</v>
      </c>
      <c r="F607" s="52">
        <v>0.59027777777777779</v>
      </c>
      <c r="G607" s="53">
        <f t="shared" si="9"/>
        <v>3.4722222222222099E-3</v>
      </c>
      <c r="H607" s="54">
        <v>41729</v>
      </c>
      <c r="I607" s="55" t="s">
        <v>536</v>
      </c>
      <c r="J607" s="55">
        <v>320</v>
      </c>
      <c r="K607" s="55">
        <f>VLOOKUP(J607,'Validacion reclamo de equipaje'!L:M,2,0)</f>
        <v>179</v>
      </c>
      <c r="L607" s="55" t="str">
        <f>VLOOKUP(I607,'Validacion reclamo de equipaje'!H:I,2,0)</f>
        <v>Nacional</v>
      </c>
      <c r="M607" s="55" t="s">
        <v>522</v>
      </c>
    </row>
    <row r="608" spans="1:13" x14ac:dyDescent="0.25">
      <c r="A608">
        <v>2222</v>
      </c>
      <c r="B608" s="47" t="str">
        <f>VLOOKUP(Tabla6[[#This Row],['# Vuelo]],'Validacion reclamo de equipaje'!P:Q,2,0)</f>
        <v>INTERAVIÓN</v>
      </c>
      <c r="C608" s="48">
        <v>0.24652777777777779</v>
      </c>
      <c r="D608" s="48">
        <v>0.25</v>
      </c>
      <c r="E608" s="49">
        <f>'Reclamo de equipaje rediseñado'!$D608-'Reclamo de equipaje rediseñado'!$C608</f>
        <v>3.4722222222222099E-3</v>
      </c>
      <c r="F608" s="48">
        <v>0.25763888888888892</v>
      </c>
      <c r="G608" s="49">
        <f t="shared" si="9"/>
        <v>7.6388888888889173E-3</v>
      </c>
      <c r="H608" s="50">
        <v>41715</v>
      </c>
      <c r="I608" s="51" t="s">
        <v>536</v>
      </c>
      <c r="J608" s="51">
        <v>320</v>
      </c>
      <c r="K608" s="51">
        <f>VLOOKUP(J608,'Validacion reclamo de equipaje'!L:M,2,0)</f>
        <v>179</v>
      </c>
      <c r="L608" s="51" t="str">
        <f>VLOOKUP(I608,'Validacion reclamo de equipaje'!H:I,2,0)</f>
        <v>Nacional</v>
      </c>
      <c r="M608" s="51" t="s">
        <v>522</v>
      </c>
    </row>
    <row r="609" spans="1:13" x14ac:dyDescent="0.25">
      <c r="A609">
        <v>2222</v>
      </c>
      <c r="B609" s="47" t="str">
        <f>VLOOKUP(Tabla6[[#This Row],['# Vuelo]],'Validacion reclamo de equipaje'!P:Q,2,0)</f>
        <v>INTERAVIÓN</v>
      </c>
      <c r="C609" s="52">
        <v>0.24166666666666667</v>
      </c>
      <c r="D609" s="52">
        <v>0.25</v>
      </c>
      <c r="E609" s="53">
        <f>'Reclamo de equipaje rediseñado'!$D609-'Reclamo de equipaje rediseñado'!$C609</f>
        <v>8.3333333333333315E-3</v>
      </c>
      <c r="F609" s="52">
        <v>0.25694444444444448</v>
      </c>
      <c r="G609" s="53">
        <f t="shared" si="9"/>
        <v>6.9444444444444753E-3</v>
      </c>
      <c r="H609" s="54">
        <v>41716</v>
      </c>
      <c r="I609" s="55" t="s">
        <v>536</v>
      </c>
      <c r="J609" s="55">
        <v>320</v>
      </c>
      <c r="K609" s="55">
        <f>VLOOKUP(J609,'Validacion reclamo de equipaje'!L:M,2,0)</f>
        <v>179</v>
      </c>
      <c r="L609" s="55" t="str">
        <f>VLOOKUP(I609,'Validacion reclamo de equipaje'!H:I,2,0)</f>
        <v>Nacional</v>
      </c>
      <c r="M609" s="55" t="s">
        <v>522</v>
      </c>
    </row>
    <row r="610" spans="1:13" x14ac:dyDescent="0.25">
      <c r="A610">
        <v>2222</v>
      </c>
      <c r="B610" s="47" t="str">
        <f>VLOOKUP(Tabla6[[#This Row],['# Vuelo]],'Validacion reclamo de equipaje'!P:Q,2,0)</f>
        <v>INTERAVIÓN</v>
      </c>
      <c r="C610" s="48">
        <v>0.24791666666666667</v>
      </c>
      <c r="D610" s="48">
        <v>0.25555555555555559</v>
      </c>
      <c r="E610" s="49">
        <f>'Reclamo de equipaje rediseñado'!$D610-'Reclamo de equipaje rediseñado'!$C610</f>
        <v>7.6388888888889173E-3</v>
      </c>
      <c r="F610" s="48">
        <v>0.2673611111111111</v>
      </c>
      <c r="G610" s="49">
        <f t="shared" si="9"/>
        <v>1.1805555555555514E-2</v>
      </c>
      <c r="H610" s="50">
        <v>41719</v>
      </c>
      <c r="I610" s="51" t="s">
        <v>536</v>
      </c>
      <c r="J610" s="51">
        <v>320</v>
      </c>
      <c r="K610" s="51">
        <f>VLOOKUP(J610,'Validacion reclamo de equipaje'!L:M,2,0)</f>
        <v>179</v>
      </c>
      <c r="L610" s="51" t="str">
        <f>VLOOKUP(I610,'Validacion reclamo de equipaje'!H:I,2,0)</f>
        <v>Nacional</v>
      </c>
      <c r="M610" s="51" t="s">
        <v>522</v>
      </c>
    </row>
    <row r="611" spans="1:13" x14ac:dyDescent="0.25">
      <c r="A611">
        <v>2222</v>
      </c>
      <c r="B611" s="47" t="str">
        <f>VLOOKUP(Tabla6[[#This Row],['# Vuelo]],'Validacion reclamo de equipaje'!P:Q,2,0)</f>
        <v>INTERAVIÓN</v>
      </c>
      <c r="C611" s="52">
        <v>0.24861111111111112</v>
      </c>
      <c r="D611" s="52">
        <v>0.25694444444444448</v>
      </c>
      <c r="E611" s="53">
        <f>'Reclamo de equipaje rediseñado'!$D611-'Reclamo de equipaje rediseñado'!$C611</f>
        <v>8.3333333333333592E-3</v>
      </c>
      <c r="F611" s="52">
        <v>0.26597222222222222</v>
      </c>
      <c r="G611" s="53">
        <f t="shared" si="9"/>
        <v>9.0277777777777457E-3</v>
      </c>
      <c r="H611" s="54">
        <v>41723</v>
      </c>
      <c r="I611" s="55" t="s">
        <v>536</v>
      </c>
      <c r="J611" s="55">
        <v>320</v>
      </c>
      <c r="K611" s="55">
        <f>VLOOKUP(J611,'Validacion reclamo de equipaje'!L:M,2,0)</f>
        <v>179</v>
      </c>
      <c r="L611" s="55" t="str">
        <f>VLOOKUP(I611,'Validacion reclamo de equipaje'!H:I,2,0)</f>
        <v>Nacional</v>
      </c>
      <c r="M611" s="55" t="s">
        <v>522</v>
      </c>
    </row>
    <row r="612" spans="1:13" x14ac:dyDescent="0.25">
      <c r="A612">
        <v>2222</v>
      </c>
      <c r="B612" s="47" t="str">
        <f>VLOOKUP(Tabla6[[#This Row],['# Vuelo]],'Validacion reclamo de equipaje'!P:Q,2,0)</f>
        <v>INTERAVIÓN</v>
      </c>
      <c r="C612" s="48">
        <v>0.25347222222222221</v>
      </c>
      <c r="D612" s="48">
        <v>0.25763888888888892</v>
      </c>
      <c r="E612" s="49">
        <f>'Reclamo de equipaje rediseñado'!$D612-'Reclamo de equipaje rediseñado'!$C612</f>
        <v>4.1666666666667074E-3</v>
      </c>
      <c r="F612" s="48">
        <v>0.26111111111111113</v>
      </c>
      <c r="G612" s="49">
        <f t="shared" si="9"/>
        <v>3.4722222222222099E-3</v>
      </c>
      <c r="H612" s="50">
        <v>41724</v>
      </c>
      <c r="I612" s="51" t="s">
        <v>536</v>
      </c>
      <c r="J612" s="51">
        <v>320</v>
      </c>
      <c r="K612" s="51">
        <f>VLOOKUP(J612,'Validacion reclamo de equipaje'!L:M,2,0)</f>
        <v>179</v>
      </c>
      <c r="L612" s="51" t="str">
        <f>VLOOKUP(I612,'Validacion reclamo de equipaje'!H:I,2,0)</f>
        <v>Nacional</v>
      </c>
      <c r="M612" s="51" t="s">
        <v>522</v>
      </c>
    </row>
    <row r="613" spans="1:13" x14ac:dyDescent="0.25">
      <c r="A613">
        <v>2222</v>
      </c>
      <c r="B613" s="47" t="str">
        <f>VLOOKUP(Tabla6[[#This Row],['# Vuelo]],'Validacion reclamo de equipaje'!P:Q,2,0)</f>
        <v>INTERAVIÓN</v>
      </c>
      <c r="C613" s="52">
        <v>0.24722222222222223</v>
      </c>
      <c r="D613" s="52">
        <v>0.25277777777777777</v>
      </c>
      <c r="E613" s="53">
        <f>'Reclamo de equipaje rediseñado'!$D613-'Reclamo de equipaje rediseñado'!$C613</f>
        <v>5.5555555555555358E-3</v>
      </c>
      <c r="F613" s="52">
        <v>0.25486111111111109</v>
      </c>
      <c r="G613" s="53">
        <f t="shared" si="9"/>
        <v>2.0833333333333259E-3</v>
      </c>
      <c r="H613" s="54">
        <v>41725</v>
      </c>
      <c r="I613" s="55" t="s">
        <v>536</v>
      </c>
      <c r="J613" s="55">
        <v>320</v>
      </c>
      <c r="K613" s="55">
        <f>VLOOKUP(J613,'Validacion reclamo de equipaje'!L:M,2,0)</f>
        <v>179</v>
      </c>
      <c r="L613" s="55" t="str">
        <f>VLOOKUP(I613,'Validacion reclamo de equipaje'!H:I,2,0)</f>
        <v>Nacional</v>
      </c>
      <c r="M613" s="55" t="s">
        <v>522</v>
      </c>
    </row>
    <row r="614" spans="1:13" x14ac:dyDescent="0.25">
      <c r="A614">
        <v>2220</v>
      </c>
      <c r="B614" s="47" t="str">
        <f>VLOOKUP(Tabla6[[#This Row],['# Vuelo]],'Validacion reclamo de equipaje'!P:Q,2,0)</f>
        <v>INTERAVIÓN</v>
      </c>
      <c r="C614" s="48">
        <v>0.80555555555555547</v>
      </c>
      <c r="D614" s="48">
        <v>0.81458333333333333</v>
      </c>
      <c r="E614" s="49">
        <f>'Reclamo de equipaje rediseñado'!$D614-'Reclamo de equipaje rediseñado'!$C614</f>
        <v>9.0277777777778567E-3</v>
      </c>
      <c r="F614" s="48">
        <v>0.81944444444444453</v>
      </c>
      <c r="G614" s="49">
        <f t="shared" si="9"/>
        <v>4.8611111111112049E-3</v>
      </c>
      <c r="H614" s="50">
        <v>41716</v>
      </c>
      <c r="I614" s="51" t="s">
        <v>536</v>
      </c>
      <c r="J614" s="51">
        <v>320</v>
      </c>
      <c r="K614" s="51">
        <f>VLOOKUP(J614,'Validacion reclamo de equipaje'!L:M,2,0)</f>
        <v>179</v>
      </c>
      <c r="L614" s="51" t="str">
        <f>VLOOKUP(I614,'Validacion reclamo de equipaje'!H:I,2,0)</f>
        <v>Nacional</v>
      </c>
      <c r="M614" s="51" t="s">
        <v>522</v>
      </c>
    </row>
    <row r="615" spans="1:13" x14ac:dyDescent="0.25">
      <c r="A615">
        <v>2220</v>
      </c>
      <c r="B615" s="47" t="str">
        <f>VLOOKUP(Tabla6[[#This Row],['# Vuelo]],'Validacion reclamo de equipaje'!P:Q,2,0)</f>
        <v>INTERAVIÓN</v>
      </c>
      <c r="C615" s="52">
        <v>0.8027777777777777</v>
      </c>
      <c r="D615" s="52">
        <v>0.80555555555555547</v>
      </c>
      <c r="E615" s="53">
        <f>'Reclamo de equipaje rediseñado'!$D615-'Reclamo de equipaje rediseñado'!$C615</f>
        <v>2.7777777777777679E-3</v>
      </c>
      <c r="F615" s="52">
        <v>0.81180555555555556</v>
      </c>
      <c r="G615" s="53">
        <f t="shared" si="9"/>
        <v>6.2500000000000888E-3</v>
      </c>
      <c r="H615" s="54">
        <v>41717</v>
      </c>
      <c r="I615" s="55" t="s">
        <v>536</v>
      </c>
      <c r="J615" s="55">
        <v>320</v>
      </c>
      <c r="K615" s="55">
        <f>VLOOKUP(J615,'Validacion reclamo de equipaje'!L:M,2,0)</f>
        <v>179</v>
      </c>
      <c r="L615" s="55" t="str">
        <f>VLOOKUP(I615,'Validacion reclamo de equipaje'!H:I,2,0)</f>
        <v>Nacional</v>
      </c>
      <c r="M615" s="55" t="s">
        <v>522</v>
      </c>
    </row>
    <row r="616" spans="1:13" x14ac:dyDescent="0.25">
      <c r="A616">
        <v>2220</v>
      </c>
      <c r="B616" s="47" t="str">
        <f>VLOOKUP(Tabla6[[#This Row],['# Vuelo]],'Validacion reclamo de equipaje'!P:Q,2,0)</f>
        <v>INTERAVIÓN</v>
      </c>
      <c r="C616" s="48">
        <v>0.70138888888888884</v>
      </c>
      <c r="D616" s="48">
        <v>0.70416666666666661</v>
      </c>
      <c r="E616" s="49">
        <f>'Reclamo de equipaje rediseñado'!$D616-'Reclamo de equipaje rediseñado'!$C616</f>
        <v>2.7777777777777679E-3</v>
      </c>
      <c r="F616" s="48">
        <v>0.71180555555555547</v>
      </c>
      <c r="G616" s="49">
        <f t="shared" si="9"/>
        <v>7.6388888888888618E-3</v>
      </c>
      <c r="H616" s="50">
        <v>41720</v>
      </c>
      <c r="I616" s="51" t="s">
        <v>536</v>
      </c>
      <c r="J616" s="51">
        <v>320</v>
      </c>
      <c r="K616" s="51">
        <f>VLOOKUP(J616,'Validacion reclamo de equipaje'!L:M,2,0)</f>
        <v>179</v>
      </c>
      <c r="L616" s="51" t="str">
        <f>VLOOKUP(I616,'Validacion reclamo de equipaje'!H:I,2,0)</f>
        <v>Nacional</v>
      </c>
      <c r="M616" s="51" t="s">
        <v>522</v>
      </c>
    </row>
    <row r="617" spans="1:13" x14ac:dyDescent="0.25">
      <c r="A617">
        <v>2220</v>
      </c>
      <c r="B617" s="47" t="str">
        <f>VLOOKUP(Tabla6[[#This Row],['# Vuelo]],'Validacion reclamo de equipaje'!P:Q,2,0)</f>
        <v>INTERAVIÓN</v>
      </c>
      <c r="C617" s="52">
        <v>0.70138888888888884</v>
      </c>
      <c r="D617" s="52">
        <v>0.70416666666666661</v>
      </c>
      <c r="E617" s="53">
        <f>'Reclamo de equipaje rediseñado'!$D617-'Reclamo de equipaje rediseñado'!$C617</f>
        <v>2.7777777777777679E-3</v>
      </c>
      <c r="F617" s="52">
        <v>0.71180555555555547</v>
      </c>
      <c r="G617" s="53">
        <f t="shared" si="9"/>
        <v>7.6388888888888618E-3</v>
      </c>
      <c r="H617" s="54">
        <v>41720</v>
      </c>
      <c r="I617" s="55" t="s">
        <v>536</v>
      </c>
      <c r="J617" s="55">
        <v>320</v>
      </c>
      <c r="K617" s="55">
        <f>VLOOKUP(J617,'Validacion reclamo de equipaje'!L:M,2,0)</f>
        <v>179</v>
      </c>
      <c r="L617" s="55" t="str">
        <f>VLOOKUP(I617,'Validacion reclamo de equipaje'!H:I,2,0)</f>
        <v>Nacional</v>
      </c>
      <c r="M617" s="55" t="s">
        <v>522</v>
      </c>
    </row>
    <row r="618" spans="1:13" x14ac:dyDescent="0.25">
      <c r="A618">
        <v>2220</v>
      </c>
      <c r="B618" s="47" t="str">
        <f>VLOOKUP(Tabla6[[#This Row],['# Vuelo]],'Validacion reclamo de equipaje'!P:Q,2,0)</f>
        <v>INTERAVIÓN</v>
      </c>
      <c r="C618" s="48">
        <v>0.84097222222222223</v>
      </c>
      <c r="D618" s="48">
        <v>0.84583333333333333</v>
      </c>
      <c r="E618" s="49">
        <f>'Reclamo de equipaje rediseñado'!$D618-'Reclamo de equipaje rediseñado'!$C618</f>
        <v>4.8611111111110938E-3</v>
      </c>
      <c r="F618" s="48">
        <v>0.85625000000000007</v>
      </c>
      <c r="G618" s="49">
        <f t="shared" si="9"/>
        <v>1.0416666666666741E-2</v>
      </c>
      <c r="H618" s="50">
        <v>41721</v>
      </c>
      <c r="I618" s="51" t="s">
        <v>536</v>
      </c>
      <c r="J618" s="51">
        <v>320</v>
      </c>
      <c r="K618" s="51">
        <f>VLOOKUP(J618,'Validacion reclamo de equipaje'!L:M,2,0)</f>
        <v>179</v>
      </c>
      <c r="L618" s="51" t="str">
        <f>VLOOKUP(I618,'Validacion reclamo de equipaje'!H:I,2,0)</f>
        <v>Nacional</v>
      </c>
      <c r="M618" s="51" t="s">
        <v>522</v>
      </c>
    </row>
    <row r="619" spans="1:13" x14ac:dyDescent="0.25">
      <c r="A619">
        <v>2220</v>
      </c>
      <c r="B619" s="47" t="str">
        <f>VLOOKUP(Tabla6[[#This Row],['# Vuelo]],'Validacion reclamo de equipaje'!P:Q,2,0)</f>
        <v>INTERAVIÓN</v>
      </c>
      <c r="C619" s="52">
        <v>0.83680555555555547</v>
      </c>
      <c r="D619" s="52">
        <v>0.84375</v>
      </c>
      <c r="E619" s="53">
        <f>'Reclamo de equipaje rediseñado'!$D619-'Reclamo de equipaje rediseñado'!$C619</f>
        <v>6.9444444444445308E-3</v>
      </c>
      <c r="F619" s="52">
        <v>0.84861111111111109</v>
      </c>
      <c r="G619" s="53">
        <f t="shared" si="9"/>
        <v>4.8611111111110938E-3</v>
      </c>
      <c r="H619" s="54">
        <v>41726</v>
      </c>
      <c r="I619" s="55" t="s">
        <v>536</v>
      </c>
      <c r="J619" s="55">
        <v>320</v>
      </c>
      <c r="K619" s="55">
        <f>VLOOKUP(J619,'Validacion reclamo de equipaje'!L:M,2,0)</f>
        <v>179</v>
      </c>
      <c r="L619" s="55" t="str">
        <f>VLOOKUP(I619,'Validacion reclamo de equipaje'!H:I,2,0)</f>
        <v>Nacional</v>
      </c>
      <c r="M619" s="55" t="s">
        <v>522</v>
      </c>
    </row>
    <row r="620" spans="1:13" x14ac:dyDescent="0.25">
      <c r="A620">
        <v>2220</v>
      </c>
      <c r="B620" s="47" t="str">
        <f>VLOOKUP(Tabla6[[#This Row],['# Vuelo]],'Validacion reclamo de equipaje'!P:Q,2,0)</f>
        <v>INTERAVIÓN</v>
      </c>
      <c r="C620" s="48">
        <v>0.69444444444444453</v>
      </c>
      <c r="D620" s="48">
        <v>0.69652777777777775</v>
      </c>
      <c r="E620" s="49">
        <f>'Reclamo de equipaje rediseñado'!$D620-'Reclamo de equipaje rediseñado'!$C620</f>
        <v>2.0833333333332149E-3</v>
      </c>
      <c r="F620" s="48">
        <v>0.70277777777777783</v>
      </c>
      <c r="G620" s="49">
        <f t="shared" si="9"/>
        <v>6.2500000000000888E-3</v>
      </c>
      <c r="H620" s="50">
        <v>41727</v>
      </c>
      <c r="I620" s="51" t="s">
        <v>536</v>
      </c>
      <c r="J620" s="51">
        <v>320</v>
      </c>
      <c r="K620" s="51">
        <f>VLOOKUP(J620,'Validacion reclamo de equipaje'!L:M,2,0)</f>
        <v>179</v>
      </c>
      <c r="L620" s="51" t="str">
        <f>VLOOKUP(I620,'Validacion reclamo de equipaje'!H:I,2,0)</f>
        <v>Nacional</v>
      </c>
      <c r="M620" s="51" t="s">
        <v>522</v>
      </c>
    </row>
    <row r="621" spans="1:13" x14ac:dyDescent="0.25">
      <c r="A621">
        <v>2218</v>
      </c>
      <c r="B621" s="47" t="str">
        <f>VLOOKUP(Tabla6[[#This Row],['# Vuelo]],'Validacion reclamo de equipaje'!P:Q,2,0)</f>
        <v>INTERAVIÓN</v>
      </c>
      <c r="C621" s="52">
        <v>0.93680555555555556</v>
      </c>
      <c r="D621" s="52">
        <v>0.94930555555555562</v>
      </c>
      <c r="E621" s="53">
        <f>'Reclamo de equipaje rediseñado'!$D621-'Reclamo de equipaje rediseñado'!$C621</f>
        <v>1.2500000000000067E-2</v>
      </c>
      <c r="F621" s="52">
        <v>0.95208333333333339</v>
      </c>
      <c r="G621" s="53">
        <f t="shared" si="9"/>
        <v>2.7777777777777679E-3</v>
      </c>
      <c r="H621" s="54">
        <v>41715</v>
      </c>
      <c r="I621" s="55" t="s">
        <v>536</v>
      </c>
      <c r="J621" s="55">
        <v>320</v>
      </c>
      <c r="K621" s="55">
        <f>VLOOKUP(J621,'Validacion reclamo de equipaje'!L:M,2,0)</f>
        <v>179</v>
      </c>
      <c r="L621" s="55" t="str">
        <f>VLOOKUP(I621,'Validacion reclamo de equipaje'!H:I,2,0)</f>
        <v>Nacional</v>
      </c>
      <c r="M621" s="55" t="s">
        <v>522</v>
      </c>
    </row>
    <row r="622" spans="1:13" x14ac:dyDescent="0.25">
      <c r="A622">
        <v>2218</v>
      </c>
      <c r="B622" s="47" t="str">
        <f>VLOOKUP(Tabla6[[#This Row],['# Vuelo]],'Validacion reclamo de equipaje'!P:Q,2,0)</f>
        <v>INTERAVIÓN</v>
      </c>
      <c r="C622" s="48">
        <v>0.87430555555555556</v>
      </c>
      <c r="D622" s="48">
        <v>0.88888888888888884</v>
      </c>
      <c r="E622" s="49">
        <f>'Reclamo de equipaje rediseñado'!$D622-'Reclamo de equipaje rediseñado'!$C622</f>
        <v>1.4583333333333282E-2</v>
      </c>
      <c r="F622" s="48">
        <v>0.8930555555555556</v>
      </c>
      <c r="G622" s="49">
        <f t="shared" si="9"/>
        <v>4.1666666666667629E-3</v>
      </c>
      <c r="H622" s="50">
        <v>41716</v>
      </c>
      <c r="I622" s="51" t="s">
        <v>536</v>
      </c>
      <c r="J622" s="51">
        <v>320</v>
      </c>
      <c r="K622" s="51">
        <f>VLOOKUP(J622,'Validacion reclamo de equipaje'!L:M,2,0)</f>
        <v>179</v>
      </c>
      <c r="L622" s="51" t="str">
        <f>VLOOKUP(I622,'Validacion reclamo de equipaje'!H:I,2,0)</f>
        <v>Nacional</v>
      </c>
      <c r="M622" s="51" t="s">
        <v>522</v>
      </c>
    </row>
    <row r="623" spans="1:13" x14ac:dyDescent="0.25">
      <c r="A623">
        <v>2218</v>
      </c>
      <c r="B623" s="47" t="str">
        <f>VLOOKUP(Tabla6[[#This Row],['# Vuelo]],'Validacion reclamo de equipaje'!P:Q,2,0)</f>
        <v>INTERAVIÓN</v>
      </c>
      <c r="C623" s="52">
        <v>0.9159722222222223</v>
      </c>
      <c r="D623" s="52">
        <v>0.92361111111111116</v>
      </c>
      <c r="E623" s="53">
        <f>'Reclamo de equipaje rediseñado'!$D623-'Reclamo de equipaje rediseñado'!$C623</f>
        <v>7.6388888888888618E-3</v>
      </c>
      <c r="F623" s="52">
        <v>0.9291666666666667</v>
      </c>
      <c r="G623" s="53">
        <f t="shared" si="9"/>
        <v>5.5555555555555358E-3</v>
      </c>
      <c r="H623" s="54">
        <v>41719</v>
      </c>
      <c r="I623" s="55" t="s">
        <v>536</v>
      </c>
      <c r="J623" s="55">
        <v>320</v>
      </c>
      <c r="K623" s="55">
        <f>VLOOKUP(J623,'Validacion reclamo de equipaje'!L:M,2,0)</f>
        <v>179</v>
      </c>
      <c r="L623" s="55" t="str">
        <f>VLOOKUP(I623,'Validacion reclamo de equipaje'!H:I,2,0)</f>
        <v>Nacional</v>
      </c>
      <c r="M623" s="55" t="s">
        <v>522</v>
      </c>
    </row>
    <row r="624" spans="1:13" x14ac:dyDescent="0.25">
      <c r="A624">
        <v>2218</v>
      </c>
      <c r="B624" s="47" t="str">
        <f>VLOOKUP(Tabla6[[#This Row],['# Vuelo]],'Validacion reclamo de equipaje'!P:Q,2,0)</f>
        <v>INTERAVIÓN</v>
      </c>
      <c r="C624" s="48">
        <v>0.90347222222222223</v>
      </c>
      <c r="D624" s="48">
        <v>0.90972222222222221</v>
      </c>
      <c r="E624" s="49">
        <f>'Reclamo de equipaje rediseñado'!$D624-'Reclamo de equipaje rediseñado'!$C624</f>
        <v>6.2499999999999778E-3</v>
      </c>
      <c r="F624" s="48">
        <v>0.92708333333333337</v>
      </c>
      <c r="G624" s="49">
        <f t="shared" si="9"/>
        <v>1.736111111111116E-2</v>
      </c>
      <c r="H624" s="50">
        <v>41721</v>
      </c>
      <c r="I624" s="51" t="s">
        <v>536</v>
      </c>
      <c r="J624" s="51">
        <v>320</v>
      </c>
      <c r="K624" s="51">
        <f>VLOOKUP(J624,'Validacion reclamo de equipaje'!L:M,2,0)</f>
        <v>179</v>
      </c>
      <c r="L624" s="51" t="str">
        <f>VLOOKUP(I624,'Validacion reclamo de equipaje'!H:I,2,0)</f>
        <v>Nacional</v>
      </c>
      <c r="M624" s="51" t="s">
        <v>522</v>
      </c>
    </row>
    <row r="625" spans="1:13" x14ac:dyDescent="0.25">
      <c r="A625">
        <v>2218</v>
      </c>
      <c r="B625" s="47" t="str">
        <f>VLOOKUP(Tabla6[[#This Row],['# Vuelo]],'Validacion reclamo de equipaje'!P:Q,2,0)</f>
        <v>INTERAVIÓN</v>
      </c>
      <c r="C625" s="52">
        <v>0.92222222222222217</v>
      </c>
      <c r="D625" s="52">
        <v>0.92986111111111114</v>
      </c>
      <c r="E625" s="53">
        <f>'Reclamo de equipaje rediseñado'!$D625-'Reclamo de equipaje rediseñado'!$C625</f>
        <v>7.6388888888889728E-3</v>
      </c>
      <c r="F625" s="52">
        <v>0.93541666666666667</v>
      </c>
      <c r="G625" s="53">
        <f t="shared" si="9"/>
        <v>5.5555555555555358E-3</v>
      </c>
      <c r="H625" s="54">
        <v>41723</v>
      </c>
      <c r="I625" s="55" t="s">
        <v>536</v>
      </c>
      <c r="J625" s="55">
        <v>320</v>
      </c>
      <c r="K625" s="55">
        <f>VLOOKUP(J625,'Validacion reclamo de equipaje'!L:M,2,0)</f>
        <v>179</v>
      </c>
      <c r="L625" s="55" t="str">
        <f>VLOOKUP(I625,'Validacion reclamo de equipaje'!H:I,2,0)</f>
        <v>Nacional</v>
      </c>
      <c r="M625" s="55" t="s">
        <v>522</v>
      </c>
    </row>
    <row r="626" spans="1:13" x14ac:dyDescent="0.25">
      <c r="A626">
        <v>2218</v>
      </c>
      <c r="B626" s="47" t="str">
        <f>VLOOKUP(Tabla6[[#This Row],['# Vuelo]],'Validacion reclamo de equipaje'!P:Q,2,0)</f>
        <v>INTERAVIÓN</v>
      </c>
      <c r="C626" s="48">
        <v>0.95694444444444438</v>
      </c>
      <c r="D626" s="48">
        <v>0.96875</v>
      </c>
      <c r="E626" s="49">
        <f>'Reclamo de equipaje rediseñado'!$D626-'Reclamo de equipaje rediseñado'!$C626</f>
        <v>1.1805555555555625E-2</v>
      </c>
      <c r="F626" s="48">
        <v>0.97291666666666676</v>
      </c>
      <c r="G626" s="49">
        <f t="shared" si="9"/>
        <v>4.1666666666667629E-3</v>
      </c>
      <c r="H626" s="50">
        <v>41724</v>
      </c>
      <c r="I626" s="51" t="s">
        <v>536</v>
      </c>
      <c r="J626" s="51">
        <v>320</v>
      </c>
      <c r="K626" s="51">
        <f>VLOOKUP(J626,'Validacion reclamo de equipaje'!L:M,2,0)</f>
        <v>179</v>
      </c>
      <c r="L626" s="51" t="str">
        <f>VLOOKUP(I626,'Validacion reclamo de equipaje'!H:I,2,0)</f>
        <v>Nacional</v>
      </c>
      <c r="M626" s="51" t="s">
        <v>522</v>
      </c>
    </row>
    <row r="627" spans="1:13" x14ac:dyDescent="0.25">
      <c r="A627">
        <v>2218</v>
      </c>
      <c r="B627" s="47" t="str">
        <f>VLOOKUP(Tabla6[[#This Row],['# Vuelo]],'Validacion reclamo de equipaje'!P:Q,2,0)</f>
        <v>INTERAVIÓN</v>
      </c>
      <c r="C627" s="52">
        <v>0.89236111111111116</v>
      </c>
      <c r="D627" s="52">
        <v>0.90069444444444446</v>
      </c>
      <c r="E627" s="53">
        <f>'Reclamo de equipaje rediseñado'!$D627-'Reclamo de equipaje rediseñado'!$C627</f>
        <v>8.3333333333333037E-3</v>
      </c>
      <c r="F627" s="52">
        <v>0.90416666666666667</v>
      </c>
      <c r="G627" s="53">
        <f t="shared" si="9"/>
        <v>3.4722222222222099E-3</v>
      </c>
      <c r="H627" s="54">
        <v>41724</v>
      </c>
      <c r="I627" s="55" t="s">
        <v>536</v>
      </c>
      <c r="J627" s="55">
        <v>320</v>
      </c>
      <c r="K627" s="55">
        <f>VLOOKUP(J627,'Validacion reclamo de equipaje'!L:M,2,0)</f>
        <v>179</v>
      </c>
      <c r="L627" s="55" t="str">
        <f>VLOOKUP(I627,'Validacion reclamo de equipaje'!H:I,2,0)</f>
        <v>Nacional</v>
      </c>
      <c r="M627" s="55" t="s">
        <v>522</v>
      </c>
    </row>
    <row r="628" spans="1:13" x14ac:dyDescent="0.25">
      <c r="A628">
        <v>2218</v>
      </c>
      <c r="B628" s="47" t="str">
        <f>VLOOKUP(Tabla6[[#This Row],['# Vuelo]],'Validacion reclamo de equipaje'!P:Q,2,0)</f>
        <v>INTERAVIÓN</v>
      </c>
      <c r="C628" s="48">
        <v>0.90208333333333324</v>
      </c>
      <c r="D628" s="48">
        <v>0.90902777777777777</v>
      </c>
      <c r="E628" s="49">
        <f>'Reclamo de equipaje rediseñado'!$D628-'Reclamo de equipaje rediseñado'!$C628</f>
        <v>6.9444444444445308E-3</v>
      </c>
      <c r="F628" s="48">
        <v>0.91388888888888886</v>
      </c>
      <c r="G628" s="49">
        <f t="shared" si="9"/>
        <v>4.8611111111110938E-3</v>
      </c>
      <c r="H628" s="50">
        <v>41725</v>
      </c>
      <c r="I628" s="51" t="s">
        <v>536</v>
      </c>
      <c r="J628" s="51">
        <v>320</v>
      </c>
      <c r="K628" s="51">
        <f>VLOOKUP(J628,'Validacion reclamo de equipaje'!L:M,2,0)</f>
        <v>179</v>
      </c>
      <c r="L628" s="51" t="str">
        <f>VLOOKUP(I628,'Validacion reclamo de equipaje'!H:I,2,0)</f>
        <v>Nacional</v>
      </c>
      <c r="M628" s="51" t="s">
        <v>522</v>
      </c>
    </row>
    <row r="629" spans="1:13" x14ac:dyDescent="0.25">
      <c r="A629">
        <v>2218</v>
      </c>
      <c r="B629" s="47" t="str">
        <f>VLOOKUP(Tabla6[[#This Row],['# Vuelo]],'Validacion reclamo de equipaje'!P:Q,2,0)</f>
        <v>INTERAVIÓN</v>
      </c>
      <c r="C629" s="52">
        <v>0.92499999999999993</v>
      </c>
      <c r="D629" s="52">
        <v>0.93611111111111101</v>
      </c>
      <c r="E629" s="53">
        <f>'Reclamo de equipaje rediseñado'!$D629-'Reclamo de equipaje rediseñado'!$C629</f>
        <v>1.1111111111111072E-2</v>
      </c>
      <c r="F629" s="52">
        <v>0.94097222222222221</v>
      </c>
      <c r="G629" s="53">
        <f t="shared" si="9"/>
        <v>4.8611111111112049E-3</v>
      </c>
      <c r="H629" s="54">
        <v>41726</v>
      </c>
      <c r="I629" s="55" t="s">
        <v>536</v>
      </c>
      <c r="J629" s="55">
        <v>320</v>
      </c>
      <c r="K629" s="55">
        <f>VLOOKUP(J629,'Validacion reclamo de equipaje'!L:M,2,0)</f>
        <v>179</v>
      </c>
      <c r="L629" s="55" t="str">
        <f>VLOOKUP(I629,'Validacion reclamo de equipaje'!H:I,2,0)</f>
        <v>Nacional</v>
      </c>
      <c r="M629" s="55" t="s">
        <v>522</v>
      </c>
    </row>
    <row r="630" spans="1:13" x14ac:dyDescent="0.25">
      <c r="A630">
        <v>2216</v>
      </c>
      <c r="B630" s="47" t="str">
        <f>VLOOKUP(Tabla6[[#This Row],['# Vuelo]],'Validacion reclamo de equipaje'!P:Q,2,0)</f>
        <v>INTERAVIÓN</v>
      </c>
      <c r="C630" s="48">
        <v>0.84513888888888899</v>
      </c>
      <c r="D630" s="48">
        <v>0.85</v>
      </c>
      <c r="E630" s="49">
        <f>'Reclamo de equipaje rediseñado'!$D630-'Reclamo de equipaje rediseñado'!$C630</f>
        <v>4.8611111111109828E-3</v>
      </c>
      <c r="F630" s="48">
        <v>0.85416666666666663</v>
      </c>
      <c r="G630" s="49">
        <f t="shared" si="9"/>
        <v>4.1666666666666519E-3</v>
      </c>
      <c r="H630" s="50">
        <v>41713</v>
      </c>
      <c r="I630" s="51" t="s">
        <v>536</v>
      </c>
      <c r="J630" s="51">
        <v>320</v>
      </c>
      <c r="K630" s="51">
        <f>VLOOKUP(J630,'Validacion reclamo de equipaje'!L:M,2,0)</f>
        <v>179</v>
      </c>
      <c r="L630" s="51" t="str">
        <f>VLOOKUP(I630,'Validacion reclamo de equipaje'!H:I,2,0)</f>
        <v>Nacional</v>
      </c>
      <c r="M630" s="51" t="s">
        <v>522</v>
      </c>
    </row>
    <row r="631" spans="1:13" x14ac:dyDescent="0.25">
      <c r="A631">
        <v>2216</v>
      </c>
      <c r="B631" s="47" t="str">
        <f>VLOOKUP(Tabla6[[#This Row],['# Vuelo]],'Validacion reclamo de equipaje'!P:Q,2,0)</f>
        <v>INTERAVIÓN</v>
      </c>
      <c r="C631" s="52">
        <v>0.68402777777777779</v>
      </c>
      <c r="D631" s="52">
        <v>0.68680555555555556</v>
      </c>
      <c r="E631" s="53">
        <f>'Reclamo de equipaje rediseñado'!$D631-'Reclamo de equipaje rediseñado'!$C631</f>
        <v>2.7777777777777679E-3</v>
      </c>
      <c r="F631" s="52">
        <v>0.69027777777777777</v>
      </c>
      <c r="G631" s="53">
        <f t="shared" si="9"/>
        <v>3.4722222222222099E-3</v>
      </c>
      <c r="H631" s="54">
        <v>41714</v>
      </c>
      <c r="I631" s="55" t="s">
        <v>536</v>
      </c>
      <c r="J631" s="55">
        <v>320</v>
      </c>
      <c r="K631" s="55">
        <f>VLOOKUP(J631,'Validacion reclamo de equipaje'!L:M,2,0)</f>
        <v>179</v>
      </c>
      <c r="L631" s="55" t="str">
        <f>VLOOKUP(I631,'Validacion reclamo de equipaje'!H:I,2,0)</f>
        <v>Nacional</v>
      </c>
      <c r="M631" s="55" t="s">
        <v>522</v>
      </c>
    </row>
    <row r="632" spans="1:13" x14ac:dyDescent="0.25">
      <c r="A632">
        <v>2216</v>
      </c>
      <c r="B632" s="47" t="str">
        <f>VLOOKUP(Tabla6[[#This Row],['# Vuelo]],'Validacion reclamo de equipaje'!P:Q,2,0)</f>
        <v>INTERAVIÓN</v>
      </c>
      <c r="C632" s="48">
        <v>0.87361111111111101</v>
      </c>
      <c r="D632" s="48">
        <v>0.88124999999999998</v>
      </c>
      <c r="E632" s="49">
        <f>'Reclamo de equipaje rediseñado'!$D632-'Reclamo de equipaje rediseñado'!$C632</f>
        <v>7.6388888888889728E-3</v>
      </c>
      <c r="F632" s="48">
        <v>0.88750000000000007</v>
      </c>
      <c r="G632" s="49">
        <f t="shared" si="9"/>
        <v>6.2500000000000888E-3</v>
      </c>
      <c r="H632" s="50">
        <v>41715</v>
      </c>
      <c r="I632" s="51" t="s">
        <v>536</v>
      </c>
      <c r="J632" s="51">
        <v>320</v>
      </c>
      <c r="K632" s="51">
        <f>VLOOKUP(J632,'Validacion reclamo de equipaje'!L:M,2,0)</f>
        <v>179</v>
      </c>
      <c r="L632" s="51" t="str">
        <f>VLOOKUP(I632,'Validacion reclamo de equipaje'!H:I,2,0)</f>
        <v>Nacional</v>
      </c>
      <c r="M632" s="51" t="s">
        <v>522</v>
      </c>
    </row>
    <row r="633" spans="1:13" x14ac:dyDescent="0.25">
      <c r="A633">
        <v>2216</v>
      </c>
      <c r="B633" s="47" t="str">
        <f>VLOOKUP(Tabla6[[#This Row],['# Vuelo]],'Validacion reclamo de equipaje'!P:Q,2,0)</f>
        <v>INTERAVIÓN</v>
      </c>
      <c r="C633" s="52">
        <v>0.84305555555555556</v>
      </c>
      <c r="D633" s="52">
        <v>0.85069444444444453</v>
      </c>
      <c r="E633" s="53">
        <f>'Reclamo de equipaje rediseñado'!$D633-'Reclamo de equipaje rediseñado'!$C633</f>
        <v>7.6388888888889728E-3</v>
      </c>
      <c r="F633" s="52">
        <v>0.85416666666666663</v>
      </c>
      <c r="G633" s="53">
        <f t="shared" si="9"/>
        <v>3.4722222222220989E-3</v>
      </c>
      <c r="H633" s="54">
        <v>41716</v>
      </c>
      <c r="I633" s="55" t="s">
        <v>536</v>
      </c>
      <c r="J633" s="55">
        <v>320</v>
      </c>
      <c r="K633" s="55">
        <f>VLOOKUP(J633,'Validacion reclamo de equipaje'!L:M,2,0)</f>
        <v>179</v>
      </c>
      <c r="L633" s="55" t="str">
        <f>VLOOKUP(I633,'Validacion reclamo de equipaje'!H:I,2,0)</f>
        <v>Nacional</v>
      </c>
      <c r="M633" s="55" t="s">
        <v>522</v>
      </c>
    </row>
    <row r="634" spans="1:13" x14ac:dyDescent="0.25">
      <c r="A634">
        <v>2216</v>
      </c>
      <c r="B634" s="47" t="str">
        <f>VLOOKUP(Tabla6[[#This Row],['# Vuelo]],'Validacion reclamo de equipaje'!P:Q,2,0)</f>
        <v>INTERAVIÓN</v>
      </c>
      <c r="C634" s="48">
        <v>0.88263888888888886</v>
      </c>
      <c r="D634" s="48">
        <v>0.88541666666666663</v>
      </c>
      <c r="E634" s="49">
        <f>'Reclamo de equipaje rediseñado'!$D634-'Reclamo de equipaje rediseñado'!$C634</f>
        <v>2.7777777777777679E-3</v>
      </c>
      <c r="F634" s="48">
        <v>0.88888888888888884</v>
      </c>
      <c r="G634" s="49">
        <f t="shared" si="9"/>
        <v>3.4722222222222099E-3</v>
      </c>
      <c r="H634" s="50">
        <v>41719</v>
      </c>
      <c r="I634" s="51" t="s">
        <v>536</v>
      </c>
      <c r="J634" s="51">
        <v>320</v>
      </c>
      <c r="K634" s="51">
        <f>VLOOKUP(J634,'Validacion reclamo de equipaje'!L:M,2,0)</f>
        <v>179</v>
      </c>
      <c r="L634" s="51" t="str">
        <f>VLOOKUP(I634,'Validacion reclamo de equipaje'!H:I,2,0)</f>
        <v>Nacional</v>
      </c>
      <c r="M634" s="51" t="s">
        <v>522</v>
      </c>
    </row>
    <row r="635" spans="1:13" x14ac:dyDescent="0.25">
      <c r="A635">
        <v>2216</v>
      </c>
      <c r="B635" s="47" t="str">
        <f>VLOOKUP(Tabla6[[#This Row],['# Vuelo]],'Validacion reclamo de equipaje'!P:Q,2,0)</f>
        <v>INTERAVIÓN</v>
      </c>
      <c r="C635" s="52">
        <v>0.65833333333333333</v>
      </c>
      <c r="D635" s="52">
        <v>0.66527777777777775</v>
      </c>
      <c r="E635" s="53">
        <f>'Reclamo de equipaje rediseñado'!$D635-'Reclamo de equipaje rediseñado'!$C635</f>
        <v>6.9444444444444198E-3</v>
      </c>
      <c r="F635" s="52">
        <v>0.6694444444444444</v>
      </c>
      <c r="G635" s="53">
        <f t="shared" si="9"/>
        <v>4.1666666666666519E-3</v>
      </c>
      <c r="H635" s="54">
        <v>41721</v>
      </c>
      <c r="I635" s="55" t="s">
        <v>536</v>
      </c>
      <c r="J635" s="55">
        <v>320</v>
      </c>
      <c r="K635" s="55">
        <f>VLOOKUP(J635,'Validacion reclamo de equipaje'!L:M,2,0)</f>
        <v>179</v>
      </c>
      <c r="L635" s="55" t="str">
        <f>VLOOKUP(I635,'Validacion reclamo de equipaje'!H:I,2,0)</f>
        <v>Nacional</v>
      </c>
      <c r="M635" s="55" t="s">
        <v>522</v>
      </c>
    </row>
    <row r="636" spans="1:13" x14ac:dyDescent="0.25">
      <c r="A636">
        <v>2216</v>
      </c>
      <c r="B636" s="47" t="str">
        <f>VLOOKUP(Tabla6[[#This Row],['# Vuelo]],'Validacion reclamo de equipaje'!P:Q,2,0)</f>
        <v>INTERAVIÓN</v>
      </c>
      <c r="C636" s="48">
        <v>0.85069444444444453</v>
      </c>
      <c r="D636" s="48">
        <v>0.85555555555555562</v>
      </c>
      <c r="E636" s="49">
        <f>'Reclamo de equipaje rediseñado'!$D636-'Reclamo de equipaje rediseñado'!$C636</f>
        <v>4.8611111111110938E-3</v>
      </c>
      <c r="F636" s="48">
        <v>0.85833333333333339</v>
      </c>
      <c r="G636" s="49">
        <f t="shared" si="9"/>
        <v>2.7777777777777679E-3</v>
      </c>
      <c r="H636" s="50">
        <v>41724</v>
      </c>
      <c r="I636" s="51" t="s">
        <v>536</v>
      </c>
      <c r="J636" s="51">
        <v>320</v>
      </c>
      <c r="K636" s="51">
        <f>VLOOKUP(J636,'Validacion reclamo de equipaje'!L:M,2,0)</f>
        <v>179</v>
      </c>
      <c r="L636" s="51" t="str">
        <f>VLOOKUP(I636,'Validacion reclamo de equipaje'!H:I,2,0)</f>
        <v>Nacional</v>
      </c>
      <c r="M636" s="51" t="s">
        <v>522</v>
      </c>
    </row>
    <row r="637" spans="1:13" x14ac:dyDescent="0.25">
      <c r="A637">
        <v>2216</v>
      </c>
      <c r="B637" s="47" t="str">
        <f>VLOOKUP(Tabla6[[#This Row],['# Vuelo]],'Validacion reclamo de equipaje'!P:Q,2,0)</f>
        <v>INTERAVIÓN</v>
      </c>
      <c r="C637" s="52">
        <v>0.83194444444444438</v>
      </c>
      <c r="D637" s="52">
        <v>0.83472222222222225</v>
      </c>
      <c r="E637" s="53">
        <f>'Reclamo de equipaje rediseñado'!$D637-'Reclamo de equipaje rediseñado'!$C637</f>
        <v>2.7777777777778789E-3</v>
      </c>
      <c r="F637" s="52">
        <v>0.84166666666666667</v>
      </c>
      <c r="G637" s="53">
        <f t="shared" si="9"/>
        <v>6.9444444444444198E-3</v>
      </c>
      <c r="H637" s="54">
        <v>41724</v>
      </c>
      <c r="I637" s="55" t="s">
        <v>536</v>
      </c>
      <c r="J637" s="55">
        <v>320</v>
      </c>
      <c r="K637" s="55">
        <f>VLOOKUP(J637,'Validacion reclamo de equipaje'!L:M,2,0)</f>
        <v>179</v>
      </c>
      <c r="L637" s="55" t="str">
        <f>VLOOKUP(I637,'Validacion reclamo de equipaje'!H:I,2,0)</f>
        <v>Nacional</v>
      </c>
      <c r="M637" s="55" t="s">
        <v>522</v>
      </c>
    </row>
    <row r="638" spans="1:13" x14ac:dyDescent="0.25">
      <c r="A638">
        <v>2216</v>
      </c>
      <c r="B638" s="47" t="str">
        <f>VLOOKUP(Tabla6[[#This Row],['# Vuelo]],'Validacion reclamo de equipaje'!P:Q,2,0)</f>
        <v>INTERAVIÓN</v>
      </c>
      <c r="C638" s="48">
        <v>0.85</v>
      </c>
      <c r="D638" s="48">
        <v>0.8534722222222223</v>
      </c>
      <c r="E638" s="49">
        <f>'Reclamo de equipaje rediseñado'!$D638-'Reclamo de equipaje rediseñado'!$C638</f>
        <v>3.4722222222223209E-3</v>
      </c>
      <c r="F638" s="48">
        <v>0.86319444444444438</v>
      </c>
      <c r="G638" s="49">
        <f t="shared" si="9"/>
        <v>9.7222222222220767E-3</v>
      </c>
      <c r="H638" s="50">
        <v>41725</v>
      </c>
      <c r="I638" s="51" t="s">
        <v>536</v>
      </c>
      <c r="J638" s="51">
        <v>320</v>
      </c>
      <c r="K638" s="51">
        <f>VLOOKUP(J638,'Validacion reclamo de equipaje'!L:M,2,0)</f>
        <v>179</v>
      </c>
      <c r="L638" s="51" t="str">
        <f>VLOOKUP(I638,'Validacion reclamo de equipaje'!H:I,2,0)</f>
        <v>Nacional</v>
      </c>
      <c r="M638" s="51" t="s">
        <v>522</v>
      </c>
    </row>
    <row r="639" spans="1:13" x14ac:dyDescent="0.25">
      <c r="A639">
        <v>2216</v>
      </c>
      <c r="B639" s="47" t="str">
        <f>VLOOKUP(Tabla6[[#This Row],['# Vuelo]],'Validacion reclamo de equipaje'!P:Q,2,0)</f>
        <v>INTERAVIÓN</v>
      </c>
      <c r="C639" s="52">
        <v>0.84722222222222221</v>
      </c>
      <c r="D639" s="52">
        <v>0.85902777777777783</v>
      </c>
      <c r="E639" s="53">
        <f>'Reclamo de equipaje rediseñado'!$D639-'Reclamo de equipaje rediseñado'!$C639</f>
        <v>1.1805555555555625E-2</v>
      </c>
      <c r="F639" s="52">
        <v>0.8618055555555556</v>
      </c>
      <c r="G639" s="53">
        <f t="shared" si="9"/>
        <v>2.7777777777777679E-3</v>
      </c>
      <c r="H639" s="54">
        <v>41726</v>
      </c>
      <c r="I639" s="55" t="s">
        <v>536</v>
      </c>
      <c r="J639" s="55">
        <v>320</v>
      </c>
      <c r="K639" s="55">
        <f>VLOOKUP(J639,'Validacion reclamo de equipaje'!L:M,2,0)</f>
        <v>179</v>
      </c>
      <c r="L639" s="55" t="str">
        <f>VLOOKUP(I639,'Validacion reclamo de equipaje'!H:I,2,0)</f>
        <v>Nacional</v>
      </c>
      <c r="M639" s="55" t="s">
        <v>522</v>
      </c>
    </row>
    <row r="640" spans="1:13" x14ac:dyDescent="0.25">
      <c r="A640">
        <v>2216</v>
      </c>
      <c r="B640" s="47" t="str">
        <f>VLOOKUP(Tabla6[[#This Row],['# Vuelo]],'Validacion reclamo de equipaje'!P:Q,2,0)</f>
        <v>INTERAVIÓN</v>
      </c>
      <c r="C640" s="48">
        <v>0.83333333333333337</v>
      </c>
      <c r="D640" s="48">
        <v>0.84375</v>
      </c>
      <c r="E640" s="49">
        <f>'Reclamo de equipaje rediseñado'!$D640-'Reclamo de equipaje rediseñado'!$C640</f>
        <v>1.041666666666663E-2</v>
      </c>
      <c r="F640" s="48">
        <v>0.84583333333333333</v>
      </c>
      <c r="G640" s="49">
        <f t="shared" si="9"/>
        <v>2.0833333333333259E-3</v>
      </c>
      <c r="H640" s="50">
        <v>41727</v>
      </c>
      <c r="I640" s="51" t="s">
        <v>536</v>
      </c>
      <c r="J640" s="51">
        <v>320</v>
      </c>
      <c r="K640" s="51">
        <f>VLOOKUP(J640,'Validacion reclamo de equipaje'!L:M,2,0)</f>
        <v>179</v>
      </c>
      <c r="L640" s="51" t="str">
        <f>VLOOKUP(I640,'Validacion reclamo de equipaje'!H:I,2,0)</f>
        <v>Nacional</v>
      </c>
      <c r="M640" s="51" t="s">
        <v>522</v>
      </c>
    </row>
    <row r="641" spans="1:13" x14ac:dyDescent="0.25">
      <c r="A641">
        <v>2214</v>
      </c>
      <c r="B641" s="47" t="str">
        <f>VLOOKUP(Tabla6[[#This Row],['# Vuelo]],'Validacion reclamo de equipaje'!P:Q,2,0)</f>
        <v>INTERAVIÓN</v>
      </c>
      <c r="C641" s="52">
        <v>0.3298611111111111</v>
      </c>
      <c r="D641" s="52">
        <v>0.33680555555555558</v>
      </c>
      <c r="E641" s="53">
        <f>'Reclamo de equipaje rediseñado'!$D641-'Reclamo de equipaje rediseñado'!$C641</f>
        <v>6.9444444444444753E-3</v>
      </c>
      <c r="F641" s="52">
        <v>0.33958333333333335</v>
      </c>
      <c r="G641" s="53">
        <f t="shared" si="9"/>
        <v>2.7777777777777679E-3</v>
      </c>
      <c r="H641" s="54">
        <v>41717</v>
      </c>
      <c r="I641" s="55" t="s">
        <v>536</v>
      </c>
      <c r="J641" s="55">
        <v>320</v>
      </c>
      <c r="K641" s="55">
        <f>VLOOKUP(J641,'Validacion reclamo de equipaje'!L:M,2,0)</f>
        <v>179</v>
      </c>
      <c r="L641" s="55" t="str">
        <f>VLOOKUP(I641,'Validacion reclamo de equipaje'!H:I,2,0)</f>
        <v>Nacional</v>
      </c>
      <c r="M641" s="55" t="s">
        <v>522</v>
      </c>
    </row>
    <row r="642" spans="1:13" x14ac:dyDescent="0.25">
      <c r="A642">
        <v>2214</v>
      </c>
      <c r="B642" s="47" t="str">
        <f>VLOOKUP(Tabla6[[#This Row],['# Vuelo]],'Validacion reclamo de equipaje'!P:Q,2,0)</f>
        <v>INTERAVIÓN</v>
      </c>
      <c r="C642" s="48">
        <v>0.3263888888888889</v>
      </c>
      <c r="D642" s="48">
        <v>0.33333333333333331</v>
      </c>
      <c r="E642" s="49">
        <f>'Reclamo de equipaje rediseñado'!$D642-'Reclamo de equipaje rediseñado'!$C642</f>
        <v>6.9444444444444198E-3</v>
      </c>
      <c r="F642" s="48">
        <v>0.34027777777777773</v>
      </c>
      <c r="G642" s="49">
        <f t="shared" si="9"/>
        <v>6.9444444444444198E-3</v>
      </c>
      <c r="H642" s="50">
        <v>41729</v>
      </c>
      <c r="I642" s="51" t="s">
        <v>536</v>
      </c>
      <c r="J642" s="51">
        <v>320</v>
      </c>
      <c r="K642" s="51">
        <f>VLOOKUP(J642,'Validacion reclamo de equipaje'!L:M,2,0)</f>
        <v>179</v>
      </c>
      <c r="L642" s="51" t="str">
        <f>VLOOKUP(I642,'Validacion reclamo de equipaje'!H:I,2,0)</f>
        <v>Nacional</v>
      </c>
      <c r="M642" s="51" t="s">
        <v>522</v>
      </c>
    </row>
    <row r="643" spans="1:13" x14ac:dyDescent="0.25">
      <c r="A643">
        <v>2212</v>
      </c>
      <c r="B643" s="47" t="str">
        <f>VLOOKUP(Tabla6[[#This Row],['# Vuelo]],'Validacion reclamo de equipaje'!P:Q,2,0)</f>
        <v>INTERAVIÓN</v>
      </c>
      <c r="C643" s="52">
        <v>0.94652777777777775</v>
      </c>
      <c r="D643" s="52">
        <v>0.95277777777777783</v>
      </c>
      <c r="E643" s="53">
        <f>'Reclamo de equipaje rediseñado'!$D643-'Reclamo de equipaje rediseñado'!$C643</f>
        <v>6.2500000000000888E-3</v>
      </c>
      <c r="F643" s="52">
        <v>0.95486111111111116</v>
      </c>
      <c r="G643" s="53">
        <f t="shared" ref="G643:G706" si="10">F643-D643</f>
        <v>2.0833333333333259E-3</v>
      </c>
      <c r="H643" s="54">
        <v>41715</v>
      </c>
      <c r="I643" s="55" t="s">
        <v>536</v>
      </c>
      <c r="J643" s="55">
        <v>320</v>
      </c>
      <c r="K643" s="55">
        <f>VLOOKUP(J643,'Validacion reclamo de equipaje'!L:M,2,0)</f>
        <v>179</v>
      </c>
      <c r="L643" s="55" t="str">
        <f>VLOOKUP(I643,'Validacion reclamo de equipaje'!H:I,2,0)</f>
        <v>Nacional</v>
      </c>
      <c r="M643" s="55" t="s">
        <v>522</v>
      </c>
    </row>
    <row r="644" spans="1:13" x14ac:dyDescent="0.25">
      <c r="A644">
        <v>2212</v>
      </c>
      <c r="B644" s="47" t="str">
        <f>VLOOKUP(Tabla6[[#This Row],['# Vuelo]],'Validacion reclamo de equipaje'!P:Q,2,0)</f>
        <v>INTERAVIÓN</v>
      </c>
      <c r="C644" s="48">
        <v>0.95000000000000007</v>
      </c>
      <c r="D644" s="48">
        <v>0.95624999999999993</v>
      </c>
      <c r="E644" s="49">
        <f>'Reclamo de equipaje rediseñado'!$D644-'Reclamo de equipaje rediseñado'!$C644</f>
        <v>6.2499999999998668E-3</v>
      </c>
      <c r="F644" s="48">
        <v>0.96388888888888891</v>
      </c>
      <c r="G644" s="49">
        <f t="shared" si="10"/>
        <v>7.6388888888889728E-3</v>
      </c>
      <c r="H644" s="50">
        <v>41719</v>
      </c>
      <c r="I644" s="51" t="s">
        <v>536</v>
      </c>
      <c r="J644" s="51">
        <v>320</v>
      </c>
      <c r="K644" s="51">
        <f>VLOOKUP(J644,'Validacion reclamo de equipaje'!L:M,2,0)</f>
        <v>179</v>
      </c>
      <c r="L644" s="51" t="str">
        <f>VLOOKUP(I644,'Validacion reclamo de equipaje'!H:I,2,0)</f>
        <v>Nacional</v>
      </c>
      <c r="M644" s="51" t="s">
        <v>522</v>
      </c>
    </row>
    <row r="645" spans="1:13" x14ac:dyDescent="0.25">
      <c r="A645">
        <v>2212</v>
      </c>
      <c r="B645" s="47" t="str">
        <f>VLOOKUP(Tabla6[[#This Row],['# Vuelo]],'Validacion reclamo de equipaje'!P:Q,2,0)</f>
        <v>INTERAVIÓN</v>
      </c>
      <c r="C645" s="52">
        <v>0.89236111111111116</v>
      </c>
      <c r="D645" s="52">
        <v>0.94374999999999998</v>
      </c>
      <c r="E645" s="53">
        <f>'Reclamo de equipaje rediseñado'!$D645-'Reclamo de equipaje rediseñado'!$C645</f>
        <v>5.1388888888888817E-2</v>
      </c>
      <c r="F645" s="52">
        <v>0.9458333333333333</v>
      </c>
      <c r="G645" s="53">
        <f t="shared" si="10"/>
        <v>2.0833333333333259E-3</v>
      </c>
      <c r="H645" s="54">
        <v>41721</v>
      </c>
      <c r="I645" s="55" t="s">
        <v>536</v>
      </c>
      <c r="J645" s="55">
        <v>320</v>
      </c>
      <c r="K645" s="55">
        <f>VLOOKUP(J645,'Validacion reclamo de equipaje'!L:M,2,0)</f>
        <v>179</v>
      </c>
      <c r="L645" s="55" t="str">
        <f>VLOOKUP(I645,'Validacion reclamo de equipaje'!H:I,2,0)</f>
        <v>Nacional</v>
      </c>
      <c r="M645" s="55" t="s">
        <v>522</v>
      </c>
    </row>
    <row r="646" spans="1:13" x14ac:dyDescent="0.25">
      <c r="A646">
        <v>2212</v>
      </c>
      <c r="B646" s="47" t="str">
        <f>VLOOKUP(Tabla6[[#This Row],['# Vuelo]],'Validacion reclamo de equipaje'!P:Q,2,0)</f>
        <v>INTERAVIÓN</v>
      </c>
      <c r="C646" s="48">
        <v>0.9458333333333333</v>
      </c>
      <c r="D646" s="48">
        <v>0.95347222222222217</v>
      </c>
      <c r="E646" s="49">
        <f>'Reclamo de equipaje rediseñado'!$D646-'Reclamo de equipaje rediseñado'!$C646</f>
        <v>7.6388888888888618E-3</v>
      </c>
      <c r="F646" s="48">
        <v>0.95763888888888893</v>
      </c>
      <c r="G646" s="49">
        <f t="shared" si="10"/>
        <v>4.1666666666667629E-3</v>
      </c>
      <c r="H646" s="50">
        <v>41723</v>
      </c>
      <c r="I646" s="51" t="s">
        <v>536</v>
      </c>
      <c r="J646" s="51">
        <v>320</v>
      </c>
      <c r="K646" s="51">
        <f>VLOOKUP(J646,'Validacion reclamo de equipaje'!L:M,2,0)</f>
        <v>179</v>
      </c>
      <c r="L646" s="51" t="str">
        <f>VLOOKUP(I646,'Validacion reclamo de equipaje'!H:I,2,0)</f>
        <v>Nacional</v>
      </c>
      <c r="M646" s="51" t="s">
        <v>522</v>
      </c>
    </row>
    <row r="647" spans="1:13" x14ac:dyDescent="0.25">
      <c r="A647">
        <v>2212</v>
      </c>
      <c r="B647" s="47" t="str">
        <f>VLOOKUP(Tabla6[[#This Row],['# Vuelo]],'Validacion reclamo de equipaje'!P:Q,2,0)</f>
        <v>INTERAVIÓN</v>
      </c>
      <c r="C647" s="52">
        <v>0.93055555555555547</v>
      </c>
      <c r="D647" s="52">
        <v>0.94930555555555562</v>
      </c>
      <c r="E647" s="53">
        <f>'Reclamo de equipaje rediseñado'!$D647-'Reclamo de equipaje rediseñado'!$C647</f>
        <v>1.8750000000000155E-2</v>
      </c>
      <c r="F647" s="52">
        <v>0.95416666666666661</v>
      </c>
      <c r="G647" s="53">
        <f t="shared" si="10"/>
        <v>4.8611111111109828E-3</v>
      </c>
      <c r="H647" s="54">
        <v>41725</v>
      </c>
      <c r="I647" s="55" t="s">
        <v>536</v>
      </c>
      <c r="J647" s="55">
        <v>320</v>
      </c>
      <c r="K647" s="55">
        <f>VLOOKUP(J647,'Validacion reclamo de equipaje'!L:M,2,0)</f>
        <v>179</v>
      </c>
      <c r="L647" s="55" t="str">
        <f>VLOOKUP(I647,'Validacion reclamo de equipaje'!H:I,2,0)</f>
        <v>Nacional</v>
      </c>
      <c r="M647" s="55" t="s">
        <v>522</v>
      </c>
    </row>
    <row r="648" spans="1:13" x14ac:dyDescent="0.25">
      <c r="A648">
        <v>2212</v>
      </c>
      <c r="B648" s="47" t="str">
        <f>VLOOKUP(Tabla6[[#This Row],['# Vuelo]],'Validacion reclamo de equipaje'!P:Q,2,0)</f>
        <v>INTERAVIÓN</v>
      </c>
      <c r="C648" s="48">
        <v>0.9555555555555556</v>
      </c>
      <c r="D648" s="48">
        <v>0.96319444444444446</v>
      </c>
      <c r="E648" s="49">
        <f>'Reclamo de equipaje rediseñado'!$D648-'Reclamo de equipaje rediseñado'!$C648</f>
        <v>7.6388888888888618E-3</v>
      </c>
      <c r="F648" s="48">
        <v>0.97083333333333333</v>
      </c>
      <c r="G648" s="49">
        <f t="shared" si="10"/>
        <v>7.6388888888888618E-3</v>
      </c>
      <c r="H648" s="50">
        <v>41726</v>
      </c>
      <c r="I648" s="51" t="s">
        <v>536</v>
      </c>
      <c r="J648" s="51">
        <v>320</v>
      </c>
      <c r="K648" s="51">
        <f>VLOOKUP(J648,'Validacion reclamo de equipaje'!L:M,2,0)</f>
        <v>179</v>
      </c>
      <c r="L648" s="51" t="str">
        <f>VLOOKUP(I648,'Validacion reclamo de equipaje'!H:I,2,0)</f>
        <v>Nacional</v>
      </c>
      <c r="M648" s="51" t="s">
        <v>522</v>
      </c>
    </row>
    <row r="649" spans="1:13" x14ac:dyDescent="0.25">
      <c r="A649">
        <v>2210</v>
      </c>
      <c r="B649" s="47" t="str">
        <f>VLOOKUP(Tabla6[[#This Row],['# Vuelo]],'Validacion reclamo de equipaje'!P:Q,2,0)</f>
        <v>INTERAVIÓN</v>
      </c>
      <c r="C649" s="52">
        <v>0.45763888888888887</v>
      </c>
      <c r="D649" s="52">
        <v>0.46527777777777773</v>
      </c>
      <c r="E649" s="53">
        <f>'Reclamo de equipaje rediseñado'!$D649-'Reclamo de equipaje rediseñado'!$C649</f>
        <v>7.6388888888888618E-3</v>
      </c>
      <c r="F649" s="52">
        <v>0.46875</v>
      </c>
      <c r="G649" s="53">
        <f t="shared" si="10"/>
        <v>3.4722222222222654E-3</v>
      </c>
      <c r="H649" s="54">
        <v>41716</v>
      </c>
      <c r="I649" s="55" t="s">
        <v>536</v>
      </c>
      <c r="J649" s="55">
        <v>320</v>
      </c>
      <c r="K649" s="55">
        <f>VLOOKUP(J649,'Validacion reclamo de equipaje'!L:M,2,0)</f>
        <v>179</v>
      </c>
      <c r="L649" s="55" t="str">
        <f>VLOOKUP(I649,'Validacion reclamo de equipaje'!H:I,2,0)</f>
        <v>Nacional</v>
      </c>
      <c r="M649" s="55" t="s">
        <v>522</v>
      </c>
    </row>
    <row r="650" spans="1:13" x14ac:dyDescent="0.25">
      <c r="A650">
        <v>2210</v>
      </c>
      <c r="B650" s="47" t="str">
        <f>VLOOKUP(Tabla6[[#This Row],['# Vuelo]],'Validacion reclamo de equipaje'!P:Q,2,0)</f>
        <v>INTERAVIÓN</v>
      </c>
      <c r="C650" s="48">
        <v>0.4375</v>
      </c>
      <c r="D650" s="48">
        <v>0.44444444444444442</v>
      </c>
      <c r="E650" s="49">
        <f>'Reclamo de equipaje rediseñado'!$D650-'Reclamo de equipaje rediseñado'!$C650</f>
        <v>6.9444444444444198E-3</v>
      </c>
      <c r="F650" s="48">
        <v>0.44861111111111113</v>
      </c>
      <c r="G650" s="49">
        <f t="shared" si="10"/>
        <v>4.1666666666667074E-3</v>
      </c>
      <c r="H650" s="50">
        <v>41717</v>
      </c>
      <c r="I650" s="51" t="s">
        <v>536</v>
      </c>
      <c r="J650" s="51">
        <v>320</v>
      </c>
      <c r="K650" s="51">
        <f>VLOOKUP(J650,'Validacion reclamo de equipaje'!L:M,2,0)</f>
        <v>179</v>
      </c>
      <c r="L650" s="51" t="str">
        <f>VLOOKUP(I650,'Validacion reclamo de equipaje'!H:I,2,0)</f>
        <v>Nacional</v>
      </c>
      <c r="M650" s="51" t="s">
        <v>522</v>
      </c>
    </row>
    <row r="651" spans="1:13" x14ac:dyDescent="0.25">
      <c r="A651">
        <v>2210</v>
      </c>
      <c r="B651" s="47" t="str">
        <f>VLOOKUP(Tabla6[[#This Row],['# Vuelo]],'Validacion reclamo de equipaje'!P:Q,2,0)</f>
        <v>INTERAVIÓN</v>
      </c>
      <c r="C651" s="52">
        <v>0.44305555555555554</v>
      </c>
      <c r="D651" s="52">
        <v>0.45555555555555555</v>
      </c>
      <c r="E651" s="53">
        <f>'Reclamo de equipaje rediseñado'!$D651-'Reclamo de equipaje rediseñado'!$C651</f>
        <v>1.2500000000000011E-2</v>
      </c>
      <c r="F651" s="52">
        <v>0.46666666666666662</v>
      </c>
      <c r="G651" s="53">
        <f t="shared" si="10"/>
        <v>1.1111111111111072E-2</v>
      </c>
      <c r="H651" s="54">
        <v>41718</v>
      </c>
      <c r="I651" s="55" t="s">
        <v>536</v>
      </c>
      <c r="J651" s="55">
        <v>320</v>
      </c>
      <c r="K651" s="55">
        <f>VLOOKUP(J651,'Validacion reclamo de equipaje'!L:M,2,0)</f>
        <v>179</v>
      </c>
      <c r="L651" s="55" t="str">
        <f>VLOOKUP(I651,'Validacion reclamo de equipaje'!H:I,2,0)</f>
        <v>Nacional</v>
      </c>
      <c r="M651" s="55" t="s">
        <v>522</v>
      </c>
    </row>
    <row r="652" spans="1:13" x14ac:dyDescent="0.25">
      <c r="A652">
        <v>2210</v>
      </c>
      <c r="B652" s="47" t="str">
        <f>VLOOKUP(Tabla6[[#This Row],['# Vuelo]],'Validacion reclamo de equipaje'!P:Q,2,0)</f>
        <v>INTERAVIÓN</v>
      </c>
      <c r="C652" s="48">
        <v>0.4291666666666667</v>
      </c>
      <c r="D652" s="48">
        <v>0.44097222222222227</v>
      </c>
      <c r="E652" s="49">
        <f>'Reclamo de equipaje rediseñado'!$D652-'Reclamo de equipaje rediseñado'!$C652</f>
        <v>1.1805555555555569E-2</v>
      </c>
      <c r="F652" s="48">
        <v>0.44791666666666669</v>
      </c>
      <c r="G652" s="49">
        <f t="shared" si="10"/>
        <v>6.9444444444444198E-3</v>
      </c>
      <c r="H652" s="50">
        <v>41721</v>
      </c>
      <c r="I652" s="51" t="s">
        <v>536</v>
      </c>
      <c r="J652" s="51">
        <v>320</v>
      </c>
      <c r="K652" s="51">
        <f>VLOOKUP(J652,'Validacion reclamo de equipaje'!L:M,2,0)</f>
        <v>179</v>
      </c>
      <c r="L652" s="51" t="str">
        <f>VLOOKUP(I652,'Validacion reclamo de equipaje'!H:I,2,0)</f>
        <v>Nacional</v>
      </c>
      <c r="M652" s="51" t="s">
        <v>522</v>
      </c>
    </row>
    <row r="653" spans="1:13" x14ac:dyDescent="0.25">
      <c r="A653">
        <v>2210</v>
      </c>
      <c r="B653" s="47" t="str">
        <f>VLOOKUP(Tabla6[[#This Row],['# Vuelo]],'Validacion reclamo de equipaje'!P:Q,2,0)</f>
        <v>INTERAVIÓN</v>
      </c>
      <c r="C653" s="52">
        <v>0.4375</v>
      </c>
      <c r="D653" s="52">
        <v>0.43958333333333338</v>
      </c>
      <c r="E653" s="53">
        <f>'Reclamo de equipaje rediseñado'!$D653-'Reclamo de equipaje rediseñado'!$C653</f>
        <v>2.0833333333333814E-3</v>
      </c>
      <c r="F653" s="52">
        <v>0.44236111111111115</v>
      </c>
      <c r="G653" s="53">
        <f t="shared" si="10"/>
        <v>2.7777777777777679E-3</v>
      </c>
      <c r="H653" s="54">
        <v>41722</v>
      </c>
      <c r="I653" s="55" t="s">
        <v>536</v>
      </c>
      <c r="J653" s="55">
        <v>320</v>
      </c>
      <c r="K653" s="55">
        <f>VLOOKUP(J653,'Validacion reclamo de equipaje'!L:M,2,0)</f>
        <v>179</v>
      </c>
      <c r="L653" s="55" t="str">
        <f>VLOOKUP(I653,'Validacion reclamo de equipaje'!H:I,2,0)</f>
        <v>Nacional</v>
      </c>
      <c r="M653" s="55" t="s">
        <v>522</v>
      </c>
    </row>
    <row r="654" spans="1:13" x14ac:dyDescent="0.25">
      <c r="A654">
        <v>2210</v>
      </c>
      <c r="B654" s="47" t="str">
        <f>VLOOKUP(Tabla6[[#This Row],['# Vuelo]],'Validacion reclamo de equipaje'!P:Q,2,0)</f>
        <v>INTERAVIÓN</v>
      </c>
      <c r="C654" s="48">
        <v>0.43611111111111112</v>
      </c>
      <c r="D654" s="48">
        <v>0.44097222222222227</v>
      </c>
      <c r="E654" s="49">
        <f>'Reclamo de equipaje rediseñado'!$D654-'Reclamo de equipaje rediseñado'!$C654</f>
        <v>4.8611111111111494E-3</v>
      </c>
      <c r="F654" s="48">
        <v>0.4465277777777778</v>
      </c>
      <c r="G654" s="49">
        <f t="shared" si="10"/>
        <v>5.5555555555555358E-3</v>
      </c>
      <c r="H654" s="50">
        <v>41725</v>
      </c>
      <c r="I654" s="51" t="s">
        <v>536</v>
      </c>
      <c r="J654" s="51">
        <v>320</v>
      </c>
      <c r="K654" s="51">
        <f>VLOOKUP(J654,'Validacion reclamo de equipaje'!L:M,2,0)</f>
        <v>179</v>
      </c>
      <c r="L654" s="51" t="str">
        <f>VLOOKUP(I654,'Validacion reclamo de equipaje'!H:I,2,0)</f>
        <v>Nacional</v>
      </c>
      <c r="M654" s="51" t="s">
        <v>522</v>
      </c>
    </row>
    <row r="655" spans="1:13" x14ac:dyDescent="0.25">
      <c r="A655">
        <v>2210</v>
      </c>
      <c r="B655" s="47" t="str">
        <f>VLOOKUP(Tabla6[[#This Row],['# Vuelo]],'Validacion reclamo de equipaje'!P:Q,2,0)</f>
        <v>INTERAVIÓN</v>
      </c>
      <c r="C655" s="52">
        <v>0.4465277777777778</v>
      </c>
      <c r="D655" s="52">
        <v>0.45208333333333334</v>
      </c>
      <c r="E655" s="53">
        <f>'Reclamo de equipaje rediseñado'!$D655-'Reclamo de equipaje rediseñado'!$C655</f>
        <v>5.5555555555555358E-3</v>
      </c>
      <c r="F655" s="52">
        <v>0.45416666666666666</v>
      </c>
      <c r="G655" s="53">
        <f t="shared" si="10"/>
        <v>2.0833333333333259E-3</v>
      </c>
      <c r="H655" s="54">
        <v>41725</v>
      </c>
      <c r="I655" s="55" t="s">
        <v>536</v>
      </c>
      <c r="J655" s="55">
        <v>320</v>
      </c>
      <c r="K655" s="55">
        <f>VLOOKUP(J655,'Validacion reclamo de equipaje'!L:M,2,0)</f>
        <v>179</v>
      </c>
      <c r="L655" s="55" t="str">
        <f>VLOOKUP(I655,'Validacion reclamo de equipaje'!H:I,2,0)</f>
        <v>Nacional</v>
      </c>
      <c r="M655" s="55" t="s">
        <v>522</v>
      </c>
    </row>
    <row r="656" spans="1:13" x14ac:dyDescent="0.25">
      <c r="A656">
        <v>2210</v>
      </c>
      <c r="B656" s="47" t="str">
        <f>VLOOKUP(Tabla6[[#This Row],['# Vuelo]],'Validacion reclamo de equipaje'!P:Q,2,0)</f>
        <v>INTERAVIÓN</v>
      </c>
      <c r="C656" s="48">
        <v>0.4375</v>
      </c>
      <c r="D656" s="48">
        <v>0.44444444444444442</v>
      </c>
      <c r="E656" s="49">
        <f>'Reclamo de equipaje rediseñado'!$D656-'Reclamo de equipaje rediseñado'!$C656</f>
        <v>6.9444444444444198E-3</v>
      </c>
      <c r="F656" s="48">
        <v>0.44861111111111113</v>
      </c>
      <c r="G656" s="49">
        <f t="shared" si="10"/>
        <v>4.1666666666667074E-3</v>
      </c>
      <c r="H656" s="50">
        <v>41726</v>
      </c>
      <c r="I656" s="51" t="s">
        <v>536</v>
      </c>
      <c r="J656" s="51">
        <v>320</v>
      </c>
      <c r="K656" s="51">
        <f>VLOOKUP(J656,'Validacion reclamo de equipaje'!L:M,2,0)</f>
        <v>179</v>
      </c>
      <c r="L656" s="51" t="str">
        <f>VLOOKUP(I656,'Validacion reclamo de equipaje'!H:I,2,0)</f>
        <v>Nacional</v>
      </c>
      <c r="M656" s="51" t="s">
        <v>522</v>
      </c>
    </row>
    <row r="657" spans="1:13" x14ac:dyDescent="0.25">
      <c r="A657">
        <v>2210</v>
      </c>
      <c r="B657" s="47" t="str">
        <f>VLOOKUP(Tabla6[[#This Row],['# Vuelo]],'Validacion reclamo de equipaje'!P:Q,2,0)</f>
        <v>INTERAVIÓN</v>
      </c>
      <c r="C657" s="52">
        <v>0.43541666666666662</v>
      </c>
      <c r="D657" s="52">
        <v>0.44027777777777777</v>
      </c>
      <c r="E657" s="53">
        <f>'Reclamo de equipaje rediseñado'!$D657-'Reclamo de equipaje rediseñado'!$C657</f>
        <v>4.8611111111111494E-3</v>
      </c>
      <c r="F657" s="52">
        <v>0.44375000000000003</v>
      </c>
      <c r="G657" s="53">
        <f t="shared" si="10"/>
        <v>3.4722222222222654E-3</v>
      </c>
      <c r="H657" s="54">
        <v>41727</v>
      </c>
      <c r="I657" s="55" t="s">
        <v>536</v>
      </c>
      <c r="J657" s="55">
        <v>320</v>
      </c>
      <c r="K657" s="55">
        <f>VLOOKUP(J657,'Validacion reclamo de equipaje'!L:M,2,0)</f>
        <v>179</v>
      </c>
      <c r="L657" s="55" t="str">
        <f>VLOOKUP(I657,'Validacion reclamo de equipaje'!H:I,2,0)</f>
        <v>Nacional</v>
      </c>
      <c r="M657" s="55" t="s">
        <v>522</v>
      </c>
    </row>
    <row r="658" spans="1:13" x14ac:dyDescent="0.25">
      <c r="A658">
        <v>2210</v>
      </c>
      <c r="B658" s="47" t="str">
        <f>VLOOKUP(Tabla6[[#This Row],['# Vuelo]],'Validacion reclamo de equipaje'!P:Q,2,0)</f>
        <v>INTERAVIÓN</v>
      </c>
      <c r="C658" s="48">
        <v>0.43055555555555558</v>
      </c>
      <c r="D658" s="48">
        <v>0.43402777777777773</v>
      </c>
      <c r="E658" s="49">
        <f>'Reclamo de equipaje rediseñado'!$D658-'Reclamo de equipaje rediseñado'!$C658</f>
        <v>3.4722222222221544E-3</v>
      </c>
      <c r="F658" s="48">
        <v>0.43888888888888888</v>
      </c>
      <c r="G658" s="49">
        <f t="shared" si="10"/>
        <v>4.8611111111111494E-3</v>
      </c>
      <c r="H658" s="50">
        <v>41729</v>
      </c>
      <c r="I658" s="51" t="s">
        <v>536</v>
      </c>
      <c r="J658" s="51">
        <v>320</v>
      </c>
      <c r="K658" s="51">
        <f>VLOOKUP(J658,'Validacion reclamo de equipaje'!L:M,2,0)</f>
        <v>179</v>
      </c>
      <c r="L658" s="51" t="str">
        <f>VLOOKUP(I658,'Validacion reclamo de equipaje'!H:I,2,0)</f>
        <v>Nacional</v>
      </c>
      <c r="M658" s="51" t="s">
        <v>522</v>
      </c>
    </row>
    <row r="659" spans="1:13" x14ac:dyDescent="0.25">
      <c r="A659">
        <v>2208</v>
      </c>
      <c r="B659" s="47" t="str">
        <f>VLOOKUP(Tabla6[[#This Row],['# Vuelo]],'Validacion reclamo de equipaje'!P:Q,2,0)</f>
        <v>INTERAVIÓN</v>
      </c>
      <c r="C659" s="52">
        <v>0.38055555555555554</v>
      </c>
      <c r="D659" s="52">
        <v>0.39097222222222222</v>
      </c>
      <c r="E659" s="53">
        <f>'Reclamo de equipaje rediseñado'!$D659-'Reclamo de equipaje rediseñado'!$C659</f>
        <v>1.0416666666666685E-2</v>
      </c>
      <c r="F659" s="52">
        <v>0.39930555555555558</v>
      </c>
      <c r="G659" s="53">
        <f t="shared" si="10"/>
        <v>8.3333333333333592E-3</v>
      </c>
      <c r="H659" s="54">
        <v>41715</v>
      </c>
      <c r="I659" s="55" t="s">
        <v>536</v>
      </c>
      <c r="J659" s="55">
        <v>320</v>
      </c>
      <c r="K659" s="55">
        <f>VLOOKUP(J659,'Validacion reclamo de equipaje'!L:M,2,0)</f>
        <v>179</v>
      </c>
      <c r="L659" s="55" t="str">
        <f>VLOOKUP(I659,'Validacion reclamo de equipaje'!H:I,2,0)</f>
        <v>Nacional</v>
      </c>
      <c r="M659" s="55" t="s">
        <v>522</v>
      </c>
    </row>
    <row r="660" spans="1:13" x14ac:dyDescent="0.25">
      <c r="A660">
        <v>2208</v>
      </c>
      <c r="B660" s="47" t="str">
        <f>VLOOKUP(Tabla6[[#This Row],['# Vuelo]],'Validacion reclamo de equipaje'!P:Q,2,0)</f>
        <v>INTERAVIÓN</v>
      </c>
      <c r="C660" s="48">
        <v>0.39097222222222222</v>
      </c>
      <c r="D660" s="48">
        <v>0.39583333333333331</v>
      </c>
      <c r="E660" s="49">
        <f>'Reclamo de equipaje rediseñado'!$D660-'Reclamo de equipaje rediseñado'!$C660</f>
        <v>4.8611111111110938E-3</v>
      </c>
      <c r="F660" s="48">
        <v>0.39999999999999997</v>
      </c>
      <c r="G660" s="49">
        <f t="shared" si="10"/>
        <v>4.1666666666666519E-3</v>
      </c>
      <c r="H660" s="50">
        <v>41716</v>
      </c>
      <c r="I660" s="51" t="s">
        <v>536</v>
      </c>
      <c r="J660" s="51">
        <v>320</v>
      </c>
      <c r="K660" s="51">
        <f>VLOOKUP(J660,'Validacion reclamo de equipaje'!L:M,2,0)</f>
        <v>179</v>
      </c>
      <c r="L660" s="51" t="str">
        <f>VLOOKUP(I660,'Validacion reclamo de equipaje'!H:I,2,0)</f>
        <v>Nacional</v>
      </c>
      <c r="M660" s="51" t="s">
        <v>522</v>
      </c>
    </row>
    <row r="661" spans="1:13" x14ac:dyDescent="0.25">
      <c r="A661">
        <v>2208</v>
      </c>
      <c r="B661" s="47" t="str">
        <f>VLOOKUP(Tabla6[[#This Row],['# Vuelo]],'Validacion reclamo de equipaje'!P:Q,2,0)</f>
        <v>INTERAVIÓN</v>
      </c>
      <c r="C661" s="52">
        <v>0.38541666666666669</v>
      </c>
      <c r="D661" s="52">
        <v>0.3923611111111111</v>
      </c>
      <c r="E661" s="53">
        <f>'Reclamo de equipaje rediseñado'!$D661-'Reclamo de equipaje rediseñado'!$C661</f>
        <v>6.9444444444444198E-3</v>
      </c>
      <c r="F661" s="52">
        <v>0.39583333333333331</v>
      </c>
      <c r="G661" s="53">
        <f t="shared" si="10"/>
        <v>3.4722222222222099E-3</v>
      </c>
      <c r="H661" s="54">
        <v>41717</v>
      </c>
      <c r="I661" s="55" t="s">
        <v>536</v>
      </c>
      <c r="J661" s="55">
        <v>320</v>
      </c>
      <c r="K661" s="55">
        <f>VLOOKUP(J661,'Validacion reclamo de equipaje'!L:M,2,0)</f>
        <v>179</v>
      </c>
      <c r="L661" s="55" t="str">
        <f>VLOOKUP(I661,'Validacion reclamo de equipaje'!H:I,2,0)</f>
        <v>Nacional</v>
      </c>
      <c r="M661" s="55" t="s">
        <v>522</v>
      </c>
    </row>
    <row r="662" spans="1:13" x14ac:dyDescent="0.25">
      <c r="A662">
        <v>2208</v>
      </c>
      <c r="B662" s="47" t="str">
        <f>VLOOKUP(Tabla6[[#This Row],['# Vuelo]],'Validacion reclamo de equipaje'!P:Q,2,0)</f>
        <v>INTERAVIÓN</v>
      </c>
      <c r="C662" s="48">
        <v>0.38680555555555557</v>
      </c>
      <c r="D662" s="48">
        <v>0.39861111111111108</v>
      </c>
      <c r="E662" s="49">
        <f>'Reclamo de equipaje rediseñado'!$D662-'Reclamo de equipaje rediseñado'!$C662</f>
        <v>1.1805555555555514E-2</v>
      </c>
      <c r="F662" s="48">
        <v>0.40416666666666662</v>
      </c>
      <c r="G662" s="49">
        <f t="shared" si="10"/>
        <v>5.5555555555555358E-3</v>
      </c>
      <c r="H662" s="50">
        <v>41718</v>
      </c>
      <c r="I662" s="51" t="s">
        <v>536</v>
      </c>
      <c r="J662" s="51">
        <v>320</v>
      </c>
      <c r="K662" s="51">
        <f>VLOOKUP(J662,'Validacion reclamo de equipaje'!L:M,2,0)</f>
        <v>179</v>
      </c>
      <c r="L662" s="51" t="str">
        <f>VLOOKUP(I662,'Validacion reclamo de equipaje'!H:I,2,0)</f>
        <v>Nacional</v>
      </c>
      <c r="M662" s="51" t="s">
        <v>522</v>
      </c>
    </row>
    <row r="663" spans="1:13" x14ac:dyDescent="0.25">
      <c r="A663">
        <v>2208</v>
      </c>
      <c r="B663" s="47" t="str">
        <f>VLOOKUP(Tabla6[[#This Row],['# Vuelo]],'Validacion reclamo de equipaje'!P:Q,2,0)</f>
        <v>INTERAVIÓN</v>
      </c>
      <c r="C663" s="52">
        <v>0.38680555555555557</v>
      </c>
      <c r="D663" s="52">
        <v>0.39166666666666666</v>
      </c>
      <c r="E663" s="53">
        <f>'Reclamo de equipaje rediseñado'!$D663-'Reclamo de equipaje rediseñado'!$C663</f>
        <v>4.8611111111110938E-3</v>
      </c>
      <c r="F663" s="52">
        <v>0.39444444444444443</v>
      </c>
      <c r="G663" s="53">
        <f t="shared" si="10"/>
        <v>2.7777777777777679E-3</v>
      </c>
      <c r="H663" s="54">
        <v>41722</v>
      </c>
      <c r="I663" s="55" t="s">
        <v>536</v>
      </c>
      <c r="J663" s="55">
        <v>320</v>
      </c>
      <c r="K663" s="55">
        <f>VLOOKUP(J663,'Validacion reclamo de equipaje'!L:M,2,0)</f>
        <v>179</v>
      </c>
      <c r="L663" s="55" t="str">
        <f>VLOOKUP(I663,'Validacion reclamo de equipaje'!H:I,2,0)</f>
        <v>Nacional</v>
      </c>
      <c r="M663" s="55" t="s">
        <v>522</v>
      </c>
    </row>
    <row r="664" spans="1:13" x14ac:dyDescent="0.25">
      <c r="A664">
        <v>2208</v>
      </c>
      <c r="B664" s="47" t="str">
        <f>VLOOKUP(Tabla6[[#This Row],['# Vuelo]],'Validacion reclamo de equipaje'!P:Q,2,0)</f>
        <v>INTERAVIÓN</v>
      </c>
      <c r="C664" s="48">
        <v>0.38541666666666669</v>
      </c>
      <c r="D664" s="48">
        <v>0.39305555555555555</v>
      </c>
      <c r="E664" s="49">
        <f>'Reclamo de equipaje rediseñado'!$D664-'Reclamo de equipaje rediseñado'!$C664</f>
        <v>7.6388888888888618E-3</v>
      </c>
      <c r="F664" s="48">
        <v>0.3972222222222222</v>
      </c>
      <c r="G664" s="49">
        <f t="shared" si="10"/>
        <v>4.1666666666666519E-3</v>
      </c>
      <c r="H664" s="50">
        <v>41725</v>
      </c>
      <c r="I664" s="51" t="s">
        <v>536</v>
      </c>
      <c r="J664" s="51">
        <v>320</v>
      </c>
      <c r="K664" s="51">
        <f>VLOOKUP(J664,'Validacion reclamo de equipaje'!L:M,2,0)</f>
        <v>179</v>
      </c>
      <c r="L664" s="51" t="str">
        <f>VLOOKUP(I664,'Validacion reclamo de equipaje'!H:I,2,0)</f>
        <v>Nacional</v>
      </c>
      <c r="M664" s="51" t="s">
        <v>522</v>
      </c>
    </row>
    <row r="665" spans="1:13" x14ac:dyDescent="0.25">
      <c r="A665">
        <v>2208</v>
      </c>
      <c r="B665" s="47" t="str">
        <f>VLOOKUP(Tabla6[[#This Row],['# Vuelo]],'Validacion reclamo de equipaje'!P:Q,2,0)</f>
        <v>INTERAVIÓN</v>
      </c>
      <c r="C665" s="52">
        <v>0.39444444444444443</v>
      </c>
      <c r="D665" s="52">
        <v>0.40069444444444446</v>
      </c>
      <c r="E665" s="53">
        <f>'Reclamo de equipaje rediseñado'!$D665-'Reclamo de equipaje rediseñado'!$C665</f>
        <v>6.2500000000000333E-3</v>
      </c>
      <c r="F665" s="52">
        <v>0.4069444444444445</v>
      </c>
      <c r="G665" s="53">
        <f t="shared" si="10"/>
        <v>6.2500000000000333E-3</v>
      </c>
      <c r="H665" s="54">
        <v>41725</v>
      </c>
      <c r="I665" s="55" t="s">
        <v>536</v>
      </c>
      <c r="J665" s="55">
        <v>320</v>
      </c>
      <c r="K665" s="55">
        <f>VLOOKUP(J665,'Validacion reclamo de equipaje'!L:M,2,0)</f>
        <v>179</v>
      </c>
      <c r="L665" s="55" t="str">
        <f>VLOOKUP(I665,'Validacion reclamo de equipaje'!H:I,2,0)</f>
        <v>Nacional</v>
      </c>
      <c r="M665" s="55" t="s">
        <v>522</v>
      </c>
    </row>
    <row r="666" spans="1:13" x14ac:dyDescent="0.25">
      <c r="A666">
        <v>2208</v>
      </c>
      <c r="B666" s="47" t="str">
        <f>VLOOKUP(Tabla6[[#This Row],['# Vuelo]],'Validacion reclamo de equipaje'!P:Q,2,0)</f>
        <v>INTERAVIÓN</v>
      </c>
      <c r="C666" s="48">
        <v>0.39374999999999999</v>
      </c>
      <c r="D666" s="48">
        <v>0.39861111111111108</v>
      </c>
      <c r="E666" s="49">
        <f>'Reclamo de equipaje rediseñado'!$D666-'Reclamo de equipaje rediseñado'!$C666</f>
        <v>4.8611111111110938E-3</v>
      </c>
      <c r="F666" s="48">
        <v>0.40972222222222227</v>
      </c>
      <c r="G666" s="49">
        <f t="shared" si="10"/>
        <v>1.1111111111111183E-2</v>
      </c>
      <c r="H666" s="50">
        <v>41726</v>
      </c>
      <c r="I666" s="51" t="s">
        <v>536</v>
      </c>
      <c r="J666" s="51">
        <v>320</v>
      </c>
      <c r="K666" s="51">
        <f>VLOOKUP(J666,'Validacion reclamo de equipaje'!L:M,2,0)</f>
        <v>179</v>
      </c>
      <c r="L666" s="51" t="str">
        <f>VLOOKUP(I666,'Validacion reclamo de equipaje'!H:I,2,0)</f>
        <v>Nacional</v>
      </c>
      <c r="M666" s="51" t="s">
        <v>522</v>
      </c>
    </row>
    <row r="667" spans="1:13" x14ac:dyDescent="0.25">
      <c r="A667">
        <v>2208</v>
      </c>
      <c r="B667" s="47" t="str">
        <f>VLOOKUP(Tabla6[[#This Row],['# Vuelo]],'Validacion reclamo de equipaje'!P:Q,2,0)</f>
        <v>INTERAVIÓN</v>
      </c>
      <c r="C667" s="52">
        <v>0.38055555555555554</v>
      </c>
      <c r="D667" s="52">
        <v>0.38611111111111113</v>
      </c>
      <c r="E667" s="53">
        <f>'Reclamo de equipaje rediseñado'!$D667-'Reclamo de equipaje rediseñado'!$C667</f>
        <v>5.5555555555555913E-3</v>
      </c>
      <c r="F667" s="52">
        <v>0.38958333333333334</v>
      </c>
      <c r="G667" s="53">
        <f t="shared" si="10"/>
        <v>3.4722222222222099E-3</v>
      </c>
      <c r="H667" s="54">
        <v>41727</v>
      </c>
      <c r="I667" s="55" t="s">
        <v>536</v>
      </c>
      <c r="J667" s="55">
        <v>320</v>
      </c>
      <c r="K667" s="55">
        <f>VLOOKUP(J667,'Validacion reclamo de equipaje'!L:M,2,0)</f>
        <v>179</v>
      </c>
      <c r="L667" s="55" t="str">
        <f>VLOOKUP(I667,'Validacion reclamo de equipaje'!H:I,2,0)</f>
        <v>Nacional</v>
      </c>
      <c r="M667" s="55" t="s">
        <v>522</v>
      </c>
    </row>
    <row r="668" spans="1:13" x14ac:dyDescent="0.25">
      <c r="A668">
        <v>2208</v>
      </c>
      <c r="B668" s="47" t="str">
        <f>VLOOKUP(Tabla6[[#This Row],['# Vuelo]],'Validacion reclamo de equipaje'!P:Q,2,0)</f>
        <v>INTERAVIÓN</v>
      </c>
      <c r="C668" s="48">
        <v>0.37847222222222227</v>
      </c>
      <c r="D668" s="48">
        <v>0.3833333333333333</v>
      </c>
      <c r="E668" s="49">
        <f>'Reclamo de equipaje rediseñado'!$D668-'Reclamo de equipaje rediseñado'!$C668</f>
        <v>4.8611111111110383E-3</v>
      </c>
      <c r="F668" s="48">
        <v>0.38680555555555557</v>
      </c>
      <c r="G668" s="49">
        <f t="shared" si="10"/>
        <v>3.4722222222222654E-3</v>
      </c>
      <c r="H668" s="50">
        <v>41729</v>
      </c>
      <c r="I668" s="51" t="s">
        <v>536</v>
      </c>
      <c r="J668" s="51">
        <v>320</v>
      </c>
      <c r="K668" s="51">
        <f>VLOOKUP(J668,'Validacion reclamo de equipaje'!L:M,2,0)</f>
        <v>179</v>
      </c>
      <c r="L668" s="51" t="str">
        <f>VLOOKUP(I668,'Validacion reclamo de equipaje'!H:I,2,0)</f>
        <v>Nacional</v>
      </c>
      <c r="M668" s="51" t="s">
        <v>522</v>
      </c>
    </row>
    <row r="669" spans="1:13" x14ac:dyDescent="0.25">
      <c r="A669">
        <v>2206</v>
      </c>
      <c r="B669" s="47" t="str">
        <f>VLOOKUP(Tabla6[[#This Row],['# Vuelo]],'Validacion reclamo de equipaje'!P:Q,2,0)</f>
        <v>INTERAVIÓN</v>
      </c>
      <c r="C669" s="52">
        <v>0.47083333333333338</v>
      </c>
      <c r="D669" s="52">
        <v>0.47847222222222219</v>
      </c>
      <c r="E669" s="53">
        <f>'Reclamo de equipaje rediseñado'!$D669-'Reclamo de equipaje rediseñado'!$C669</f>
        <v>7.6388888888888062E-3</v>
      </c>
      <c r="F669" s="52">
        <v>0.48333333333333334</v>
      </c>
      <c r="G669" s="53">
        <f t="shared" si="10"/>
        <v>4.8611111111111494E-3</v>
      </c>
      <c r="H669" s="54">
        <v>41715</v>
      </c>
      <c r="I669" s="55" t="s">
        <v>536</v>
      </c>
      <c r="J669" s="55">
        <v>320</v>
      </c>
      <c r="K669" s="55">
        <f>VLOOKUP(J669,'Validacion reclamo de equipaje'!L:M,2,0)</f>
        <v>179</v>
      </c>
      <c r="L669" s="55" t="str">
        <f>VLOOKUP(I669,'Validacion reclamo de equipaje'!H:I,2,0)</f>
        <v>Nacional</v>
      </c>
      <c r="M669" s="55" t="s">
        <v>522</v>
      </c>
    </row>
    <row r="670" spans="1:13" x14ac:dyDescent="0.25">
      <c r="A670">
        <v>2206</v>
      </c>
      <c r="B670" s="47" t="str">
        <f>VLOOKUP(Tabla6[[#This Row],['# Vuelo]],'Validacion reclamo de equipaje'!P:Q,2,0)</f>
        <v>INTERAVIÓN</v>
      </c>
      <c r="C670" s="48">
        <v>0.48402777777777778</v>
      </c>
      <c r="D670" s="48">
        <v>0.49027777777777781</v>
      </c>
      <c r="E670" s="49">
        <f>'Reclamo de equipaje rediseñado'!$D670-'Reclamo de equipaje rediseñado'!$C670</f>
        <v>6.2500000000000333E-3</v>
      </c>
      <c r="F670" s="48">
        <v>0.49236111111111108</v>
      </c>
      <c r="G670" s="49">
        <f t="shared" si="10"/>
        <v>2.0833333333332704E-3</v>
      </c>
      <c r="H670" s="50">
        <v>41716</v>
      </c>
      <c r="I670" s="51" t="s">
        <v>536</v>
      </c>
      <c r="J670" s="51">
        <v>320</v>
      </c>
      <c r="K670" s="51">
        <f>VLOOKUP(J670,'Validacion reclamo de equipaje'!L:M,2,0)</f>
        <v>179</v>
      </c>
      <c r="L670" s="51" t="str">
        <f>VLOOKUP(I670,'Validacion reclamo de equipaje'!H:I,2,0)</f>
        <v>Nacional</v>
      </c>
      <c r="M670" s="51" t="s">
        <v>522</v>
      </c>
    </row>
    <row r="671" spans="1:13" x14ac:dyDescent="0.25">
      <c r="A671">
        <v>2206</v>
      </c>
      <c r="B671" s="47" t="str">
        <f>VLOOKUP(Tabla6[[#This Row],['# Vuelo]],'Validacion reclamo de equipaje'!P:Q,2,0)</f>
        <v>INTERAVIÓN</v>
      </c>
      <c r="C671" s="52">
        <v>0.47083333333333338</v>
      </c>
      <c r="D671" s="52">
        <v>0.47638888888888892</v>
      </c>
      <c r="E671" s="53">
        <f>'Reclamo de equipaje rediseñado'!$D671-'Reclamo de equipaje rediseñado'!$C671</f>
        <v>5.5555555555555358E-3</v>
      </c>
      <c r="F671" s="52">
        <v>0.48194444444444445</v>
      </c>
      <c r="G671" s="53">
        <f t="shared" si="10"/>
        <v>5.5555555555555358E-3</v>
      </c>
      <c r="H671" s="54">
        <v>41717</v>
      </c>
      <c r="I671" s="55" t="s">
        <v>536</v>
      </c>
      <c r="J671" s="55">
        <v>320</v>
      </c>
      <c r="K671" s="55">
        <f>VLOOKUP(J671,'Validacion reclamo de equipaje'!L:M,2,0)</f>
        <v>179</v>
      </c>
      <c r="L671" s="55" t="str">
        <f>VLOOKUP(I671,'Validacion reclamo de equipaje'!H:I,2,0)</f>
        <v>Nacional</v>
      </c>
      <c r="M671" s="55" t="s">
        <v>522</v>
      </c>
    </row>
    <row r="672" spans="1:13" x14ac:dyDescent="0.25">
      <c r="A672">
        <v>2206</v>
      </c>
      <c r="B672" s="47" t="str">
        <f>VLOOKUP(Tabla6[[#This Row],['# Vuelo]],'Validacion reclamo de equipaje'!P:Q,2,0)</f>
        <v>INTERAVIÓN</v>
      </c>
      <c r="C672" s="48">
        <v>0.47638888888888892</v>
      </c>
      <c r="D672" s="48">
        <v>0.48125000000000001</v>
      </c>
      <c r="E672" s="49">
        <f>'Reclamo de equipaje rediseñado'!$D672-'Reclamo de equipaje rediseñado'!$C672</f>
        <v>4.8611111111110938E-3</v>
      </c>
      <c r="F672" s="48">
        <v>0.48541666666666666</v>
      </c>
      <c r="G672" s="49">
        <f t="shared" si="10"/>
        <v>4.1666666666666519E-3</v>
      </c>
      <c r="H672" s="50">
        <v>41718</v>
      </c>
      <c r="I672" s="51" t="s">
        <v>536</v>
      </c>
      <c r="J672" s="51">
        <v>320</v>
      </c>
      <c r="K672" s="51">
        <f>VLOOKUP(J672,'Validacion reclamo de equipaje'!L:M,2,0)</f>
        <v>179</v>
      </c>
      <c r="L672" s="51" t="str">
        <f>VLOOKUP(I672,'Validacion reclamo de equipaje'!H:I,2,0)</f>
        <v>Nacional</v>
      </c>
      <c r="M672" s="51" t="s">
        <v>522</v>
      </c>
    </row>
    <row r="673" spans="1:13" x14ac:dyDescent="0.25">
      <c r="A673">
        <v>2206</v>
      </c>
      <c r="B673" s="47" t="str">
        <f>VLOOKUP(Tabla6[[#This Row],['# Vuelo]],'Validacion reclamo de equipaje'!P:Q,2,0)</f>
        <v>INTERAVIÓN</v>
      </c>
      <c r="C673" s="52">
        <v>0.47152777777777777</v>
      </c>
      <c r="D673" s="52">
        <v>0.47847222222222219</v>
      </c>
      <c r="E673" s="53">
        <f>'Reclamo de equipaje rediseñado'!$D673-'Reclamo de equipaje rediseñado'!$C673</f>
        <v>6.9444444444444198E-3</v>
      </c>
      <c r="F673" s="52">
        <v>0.48125000000000001</v>
      </c>
      <c r="G673" s="53">
        <f t="shared" si="10"/>
        <v>2.7777777777778234E-3</v>
      </c>
      <c r="H673" s="54">
        <v>41722</v>
      </c>
      <c r="I673" s="55" t="s">
        <v>536</v>
      </c>
      <c r="J673" s="55">
        <v>320</v>
      </c>
      <c r="K673" s="55">
        <f>VLOOKUP(J673,'Validacion reclamo de equipaje'!L:M,2,0)</f>
        <v>179</v>
      </c>
      <c r="L673" s="55" t="str">
        <f>VLOOKUP(I673,'Validacion reclamo de equipaje'!H:I,2,0)</f>
        <v>Nacional</v>
      </c>
      <c r="M673" s="55" t="s">
        <v>522</v>
      </c>
    </row>
    <row r="674" spans="1:13" x14ac:dyDescent="0.25">
      <c r="A674">
        <v>2206</v>
      </c>
      <c r="B674" s="47" t="str">
        <f>VLOOKUP(Tabla6[[#This Row],['# Vuelo]],'Validacion reclamo de equipaje'!P:Q,2,0)</f>
        <v>INTERAVIÓN</v>
      </c>
      <c r="C674" s="48">
        <v>0.50347222222222221</v>
      </c>
      <c r="D674" s="48">
        <v>0.51527777777777783</v>
      </c>
      <c r="E674" s="49">
        <f>'Reclamo de equipaje rediseñado'!$D674-'Reclamo de equipaje rediseñado'!$C674</f>
        <v>1.1805555555555625E-2</v>
      </c>
      <c r="F674" s="48">
        <v>0.52361111111111114</v>
      </c>
      <c r="G674" s="49">
        <f t="shared" si="10"/>
        <v>8.3333333333333037E-3</v>
      </c>
      <c r="H674" s="50">
        <v>41725</v>
      </c>
      <c r="I674" s="51" t="s">
        <v>536</v>
      </c>
      <c r="J674" s="51">
        <v>320</v>
      </c>
      <c r="K674" s="51">
        <f>VLOOKUP(J674,'Validacion reclamo de equipaje'!L:M,2,0)</f>
        <v>179</v>
      </c>
      <c r="L674" s="51" t="str">
        <f>VLOOKUP(I674,'Validacion reclamo de equipaje'!H:I,2,0)</f>
        <v>Nacional</v>
      </c>
      <c r="M674" s="51" t="s">
        <v>522</v>
      </c>
    </row>
    <row r="675" spans="1:13" x14ac:dyDescent="0.25">
      <c r="A675">
        <v>2206</v>
      </c>
      <c r="B675" s="47" t="str">
        <f>VLOOKUP(Tabla6[[#This Row],['# Vuelo]],'Validacion reclamo de equipaje'!P:Q,2,0)</f>
        <v>INTERAVIÓN</v>
      </c>
      <c r="C675" s="52">
        <v>0.47361111111111115</v>
      </c>
      <c r="D675" s="52">
        <v>0.4777777777777778</v>
      </c>
      <c r="E675" s="53">
        <f>'Reclamo de equipaje rediseñado'!$D675-'Reclamo de equipaje rediseñado'!$C675</f>
        <v>4.1666666666666519E-3</v>
      </c>
      <c r="F675" s="52">
        <v>0.48125000000000001</v>
      </c>
      <c r="G675" s="53">
        <f t="shared" si="10"/>
        <v>3.4722222222222099E-3</v>
      </c>
      <c r="H675" s="54">
        <v>41726</v>
      </c>
      <c r="I675" s="55" t="s">
        <v>536</v>
      </c>
      <c r="J675" s="55">
        <v>320</v>
      </c>
      <c r="K675" s="55">
        <f>VLOOKUP(J675,'Validacion reclamo de equipaje'!L:M,2,0)</f>
        <v>179</v>
      </c>
      <c r="L675" s="55" t="str">
        <f>VLOOKUP(I675,'Validacion reclamo de equipaje'!H:I,2,0)</f>
        <v>Nacional</v>
      </c>
      <c r="M675" s="55" t="s">
        <v>522</v>
      </c>
    </row>
    <row r="676" spans="1:13" x14ac:dyDescent="0.25">
      <c r="A676">
        <v>2206</v>
      </c>
      <c r="B676" s="47" t="str">
        <f>VLOOKUP(Tabla6[[#This Row],['# Vuelo]],'Validacion reclamo de equipaje'!P:Q,2,0)</f>
        <v>INTERAVIÓN</v>
      </c>
      <c r="C676" s="48">
        <v>0.47916666666666669</v>
      </c>
      <c r="D676" s="48">
        <v>0.48333333333333334</v>
      </c>
      <c r="E676" s="49">
        <f>'Reclamo de equipaje rediseñado'!$D676-'Reclamo de equipaje rediseñado'!$C676</f>
        <v>4.1666666666666519E-3</v>
      </c>
      <c r="F676" s="48">
        <v>0.48680555555555555</v>
      </c>
      <c r="G676" s="49">
        <f t="shared" si="10"/>
        <v>3.4722222222222099E-3</v>
      </c>
      <c r="H676" s="50">
        <v>41729</v>
      </c>
      <c r="I676" s="51" t="s">
        <v>536</v>
      </c>
      <c r="J676" s="51">
        <v>320</v>
      </c>
      <c r="K676" s="51">
        <f>VLOOKUP(J676,'Validacion reclamo de equipaje'!L:M,2,0)</f>
        <v>179</v>
      </c>
      <c r="L676" s="51" t="str">
        <f>VLOOKUP(I676,'Validacion reclamo de equipaje'!H:I,2,0)</f>
        <v>Nacional</v>
      </c>
      <c r="M676" s="51" t="s">
        <v>522</v>
      </c>
    </row>
    <row r="677" spans="1:13" x14ac:dyDescent="0.25">
      <c r="A677">
        <v>2204</v>
      </c>
      <c r="B677" s="47" t="str">
        <f>VLOOKUP(Tabla6[[#This Row],['# Vuelo]],'Validacion reclamo de equipaje'!P:Q,2,0)</f>
        <v>INTERAVIÓN</v>
      </c>
      <c r="C677" s="52">
        <v>0.34027777777777773</v>
      </c>
      <c r="D677" s="52">
        <v>0.35416666666666669</v>
      </c>
      <c r="E677" s="53">
        <f>'Reclamo de equipaje rediseñado'!$D677-'Reclamo de equipaje rediseñado'!$C677</f>
        <v>1.3888888888888951E-2</v>
      </c>
      <c r="F677" s="52">
        <v>0.35694444444444445</v>
      </c>
      <c r="G677" s="53">
        <f t="shared" si="10"/>
        <v>2.7777777777777679E-3</v>
      </c>
      <c r="H677" s="54">
        <v>41715</v>
      </c>
      <c r="I677" s="55" t="s">
        <v>536</v>
      </c>
      <c r="J677" s="55">
        <v>320</v>
      </c>
      <c r="K677" s="55">
        <f>VLOOKUP(J677,'Validacion reclamo de equipaje'!L:M,2,0)</f>
        <v>179</v>
      </c>
      <c r="L677" s="55" t="str">
        <f>VLOOKUP(I677,'Validacion reclamo de equipaje'!H:I,2,0)</f>
        <v>Nacional</v>
      </c>
      <c r="M677" s="55" t="s">
        <v>522</v>
      </c>
    </row>
    <row r="678" spans="1:13" x14ac:dyDescent="0.25">
      <c r="A678">
        <v>2204</v>
      </c>
      <c r="B678" s="47" t="str">
        <f>VLOOKUP(Tabla6[[#This Row],['# Vuelo]],'Validacion reclamo de equipaje'!P:Q,2,0)</f>
        <v>INTERAVIÓN</v>
      </c>
      <c r="C678" s="48">
        <v>0.35625000000000001</v>
      </c>
      <c r="D678" s="48">
        <v>0.36041666666666666</v>
      </c>
      <c r="E678" s="49">
        <f>'Reclamo de equipaje rediseñado'!$D678-'Reclamo de equipaje rediseñado'!$C678</f>
        <v>4.1666666666666519E-3</v>
      </c>
      <c r="F678" s="48">
        <v>0.36458333333333331</v>
      </c>
      <c r="G678" s="49">
        <f t="shared" si="10"/>
        <v>4.1666666666666519E-3</v>
      </c>
      <c r="H678" s="50">
        <v>41716</v>
      </c>
      <c r="I678" s="51" t="s">
        <v>536</v>
      </c>
      <c r="J678" s="51">
        <v>320</v>
      </c>
      <c r="K678" s="51">
        <f>VLOOKUP(J678,'Validacion reclamo de equipaje'!L:M,2,0)</f>
        <v>179</v>
      </c>
      <c r="L678" s="51" t="str">
        <f>VLOOKUP(I678,'Validacion reclamo de equipaje'!H:I,2,0)</f>
        <v>Nacional</v>
      </c>
      <c r="M678" s="51" t="s">
        <v>522</v>
      </c>
    </row>
    <row r="679" spans="1:13" x14ac:dyDescent="0.25">
      <c r="A679">
        <v>2204</v>
      </c>
      <c r="B679" s="47" t="str">
        <f>VLOOKUP(Tabla6[[#This Row],['# Vuelo]],'Validacion reclamo de equipaje'!P:Q,2,0)</f>
        <v>INTERAVIÓN</v>
      </c>
      <c r="C679" s="52">
        <v>0.36805555555555558</v>
      </c>
      <c r="D679" s="52">
        <v>0.37291666666666662</v>
      </c>
      <c r="E679" s="53">
        <f>'Reclamo de equipaje rediseñado'!$D679-'Reclamo de equipaje rediseñado'!$C679</f>
        <v>4.8611111111110383E-3</v>
      </c>
      <c r="F679" s="52">
        <v>0.37638888888888888</v>
      </c>
      <c r="G679" s="53">
        <f t="shared" si="10"/>
        <v>3.4722222222222654E-3</v>
      </c>
      <c r="H679" s="54">
        <v>41717</v>
      </c>
      <c r="I679" s="55" t="s">
        <v>536</v>
      </c>
      <c r="J679" s="55">
        <v>320</v>
      </c>
      <c r="K679" s="55">
        <f>VLOOKUP(J679,'Validacion reclamo de equipaje'!L:M,2,0)</f>
        <v>179</v>
      </c>
      <c r="L679" s="55" t="str">
        <f>VLOOKUP(I679,'Validacion reclamo de equipaje'!H:I,2,0)</f>
        <v>Nacional</v>
      </c>
      <c r="M679" s="55" t="s">
        <v>522</v>
      </c>
    </row>
    <row r="680" spans="1:13" x14ac:dyDescent="0.25">
      <c r="A680">
        <v>2204</v>
      </c>
      <c r="B680" s="47" t="str">
        <f>VLOOKUP(Tabla6[[#This Row],['# Vuelo]],'Validacion reclamo de equipaje'!P:Q,2,0)</f>
        <v>INTERAVIÓN</v>
      </c>
      <c r="C680" s="48">
        <v>0.3520833333333333</v>
      </c>
      <c r="D680" s="48">
        <v>0.35833333333333334</v>
      </c>
      <c r="E680" s="49">
        <f>'Reclamo de equipaje rediseñado'!$D680-'Reclamo de equipaje rediseñado'!$C680</f>
        <v>6.2500000000000333E-3</v>
      </c>
      <c r="F680" s="48">
        <v>0.36388888888888887</v>
      </c>
      <c r="G680" s="49">
        <f t="shared" si="10"/>
        <v>5.5555555555555358E-3</v>
      </c>
      <c r="H680" s="50">
        <v>41718</v>
      </c>
      <c r="I680" s="51" t="s">
        <v>536</v>
      </c>
      <c r="J680" s="51">
        <v>320</v>
      </c>
      <c r="K680" s="51">
        <f>VLOOKUP(J680,'Validacion reclamo de equipaje'!L:M,2,0)</f>
        <v>179</v>
      </c>
      <c r="L680" s="51" t="str">
        <f>VLOOKUP(I680,'Validacion reclamo de equipaje'!H:I,2,0)</f>
        <v>Nacional</v>
      </c>
      <c r="M680" s="51" t="s">
        <v>522</v>
      </c>
    </row>
    <row r="681" spans="1:13" x14ac:dyDescent="0.25">
      <c r="A681">
        <v>2204</v>
      </c>
      <c r="B681" s="47" t="str">
        <f>VLOOKUP(Tabla6[[#This Row],['# Vuelo]],'Validacion reclamo de equipaje'!P:Q,2,0)</f>
        <v>INTERAVIÓN</v>
      </c>
      <c r="C681" s="52">
        <v>0.3666666666666667</v>
      </c>
      <c r="D681" s="52">
        <v>0.37013888888888885</v>
      </c>
      <c r="E681" s="53">
        <f>'Reclamo de equipaje rediseñado'!$D681-'Reclamo de equipaje rediseñado'!$C681</f>
        <v>3.4722222222221544E-3</v>
      </c>
      <c r="F681" s="52">
        <v>0.3743055555555555</v>
      </c>
      <c r="G681" s="53">
        <f t="shared" si="10"/>
        <v>4.1666666666666519E-3</v>
      </c>
      <c r="H681" s="54">
        <v>41722</v>
      </c>
      <c r="I681" s="55" t="s">
        <v>536</v>
      </c>
      <c r="J681" s="55">
        <v>320</v>
      </c>
      <c r="K681" s="55">
        <f>VLOOKUP(J681,'Validacion reclamo de equipaje'!L:M,2,0)</f>
        <v>179</v>
      </c>
      <c r="L681" s="55" t="str">
        <f>VLOOKUP(I681,'Validacion reclamo de equipaje'!H:I,2,0)</f>
        <v>Nacional</v>
      </c>
      <c r="M681" s="55" t="s">
        <v>522</v>
      </c>
    </row>
    <row r="682" spans="1:13" x14ac:dyDescent="0.25">
      <c r="A682">
        <v>2204</v>
      </c>
      <c r="B682" s="47" t="str">
        <f>VLOOKUP(Tabla6[[#This Row],['# Vuelo]],'Validacion reclamo de equipaje'!P:Q,2,0)</f>
        <v>INTERAVIÓN</v>
      </c>
      <c r="C682" s="48">
        <v>0.35833333333333334</v>
      </c>
      <c r="D682" s="48">
        <v>0.3666666666666667</v>
      </c>
      <c r="E682" s="49">
        <f>'Reclamo de equipaje rediseñado'!$D682-'Reclamo de equipaje rediseñado'!$C682</f>
        <v>8.3333333333333592E-3</v>
      </c>
      <c r="F682" s="48">
        <v>0.37083333333333335</v>
      </c>
      <c r="G682" s="49">
        <f t="shared" si="10"/>
        <v>4.1666666666666519E-3</v>
      </c>
      <c r="H682" s="50">
        <v>41725</v>
      </c>
      <c r="I682" s="51" t="s">
        <v>536</v>
      </c>
      <c r="J682" s="51">
        <v>320</v>
      </c>
      <c r="K682" s="51">
        <f>VLOOKUP(J682,'Validacion reclamo de equipaje'!L:M,2,0)</f>
        <v>179</v>
      </c>
      <c r="L682" s="51" t="str">
        <f>VLOOKUP(I682,'Validacion reclamo de equipaje'!H:I,2,0)</f>
        <v>Nacional</v>
      </c>
      <c r="M682" s="51" t="s">
        <v>522</v>
      </c>
    </row>
    <row r="683" spans="1:13" x14ac:dyDescent="0.25">
      <c r="A683">
        <v>2204</v>
      </c>
      <c r="B683" s="47" t="str">
        <f>VLOOKUP(Tabla6[[#This Row],['# Vuelo]],'Validacion reclamo de equipaje'!P:Q,2,0)</f>
        <v>INTERAVIÓN</v>
      </c>
      <c r="C683" s="52">
        <v>0.35555555555555557</v>
      </c>
      <c r="D683" s="52">
        <v>0.36180555555555555</v>
      </c>
      <c r="E683" s="53">
        <f>'Reclamo de equipaje rediseñado'!$D683-'Reclamo de equipaje rediseñado'!$C683</f>
        <v>6.2499999999999778E-3</v>
      </c>
      <c r="F683" s="52">
        <v>0.36458333333333331</v>
      </c>
      <c r="G683" s="53">
        <f t="shared" si="10"/>
        <v>2.7777777777777679E-3</v>
      </c>
      <c r="H683" s="54">
        <v>41725</v>
      </c>
      <c r="I683" s="55" t="s">
        <v>536</v>
      </c>
      <c r="J683" s="55">
        <v>320</v>
      </c>
      <c r="K683" s="55">
        <f>VLOOKUP(J683,'Validacion reclamo de equipaje'!L:M,2,0)</f>
        <v>179</v>
      </c>
      <c r="L683" s="55" t="str">
        <f>VLOOKUP(I683,'Validacion reclamo de equipaje'!H:I,2,0)</f>
        <v>Nacional</v>
      </c>
      <c r="M683" s="55" t="s">
        <v>522</v>
      </c>
    </row>
    <row r="684" spans="1:13" x14ac:dyDescent="0.25">
      <c r="A684">
        <v>2204</v>
      </c>
      <c r="B684" s="47" t="str">
        <f>VLOOKUP(Tabla6[[#This Row],['# Vuelo]],'Validacion reclamo de equipaje'!P:Q,2,0)</f>
        <v>INTERAVIÓN</v>
      </c>
      <c r="C684" s="48">
        <v>0.36319444444444443</v>
      </c>
      <c r="D684" s="48">
        <v>0.37222222222222223</v>
      </c>
      <c r="E684" s="49">
        <f>'Reclamo de equipaje rediseñado'!$D684-'Reclamo de equipaje rediseñado'!$C684</f>
        <v>9.0277777777778012E-3</v>
      </c>
      <c r="F684" s="48">
        <v>0.3756944444444445</v>
      </c>
      <c r="G684" s="49">
        <f t="shared" si="10"/>
        <v>3.4722222222222654E-3</v>
      </c>
      <c r="H684" s="50">
        <v>41726</v>
      </c>
      <c r="I684" s="51" t="s">
        <v>536</v>
      </c>
      <c r="J684" s="51">
        <v>320</v>
      </c>
      <c r="K684" s="51">
        <f>VLOOKUP(J684,'Validacion reclamo de equipaje'!L:M,2,0)</f>
        <v>179</v>
      </c>
      <c r="L684" s="51" t="str">
        <f>VLOOKUP(I684,'Validacion reclamo de equipaje'!H:I,2,0)</f>
        <v>Nacional</v>
      </c>
      <c r="M684" s="51" t="s">
        <v>522</v>
      </c>
    </row>
    <row r="685" spans="1:13" x14ac:dyDescent="0.25">
      <c r="A685">
        <v>2204</v>
      </c>
      <c r="B685" s="47" t="str">
        <f>VLOOKUP(Tabla6[[#This Row],['# Vuelo]],'Validacion reclamo de equipaje'!P:Q,2,0)</f>
        <v>INTERAVIÓN</v>
      </c>
      <c r="C685" s="52">
        <v>0.35000000000000003</v>
      </c>
      <c r="D685" s="52">
        <v>0.35555555555555557</v>
      </c>
      <c r="E685" s="53">
        <f>'Reclamo de equipaje rediseñado'!$D685-'Reclamo de equipaje rediseñado'!$C685</f>
        <v>5.5555555555555358E-3</v>
      </c>
      <c r="F685" s="52">
        <v>0.35902777777777778</v>
      </c>
      <c r="G685" s="53">
        <f t="shared" si="10"/>
        <v>3.4722222222222099E-3</v>
      </c>
      <c r="H685" s="54">
        <v>41729</v>
      </c>
      <c r="I685" s="55" t="s">
        <v>536</v>
      </c>
      <c r="J685" s="55">
        <v>320</v>
      </c>
      <c r="K685" s="55">
        <f>VLOOKUP(J685,'Validacion reclamo de equipaje'!L:M,2,0)</f>
        <v>179</v>
      </c>
      <c r="L685" s="55" t="str">
        <f>VLOOKUP(I685,'Validacion reclamo de equipaje'!H:I,2,0)</f>
        <v>Nacional</v>
      </c>
      <c r="M685" s="55" t="s">
        <v>522</v>
      </c>
    </row>
    <row r="686" spans="1:13" x14ac:dyDescent="0.25">
      <c r="A686">
        <v>2202</v>
      </c>
      <c r="B686" s="47" t="str">
        <f>VLOOKUP(Tabla6[[#This Row],['# Vuelo]],'Validacion reclamo de equipaje'!P:Q,2,0)</f>
        <v>INTERAVIÓN</v>
      </c>
      <c r="C686" s="48">
        <v>0.55347222222222225</v>
      </c>
      <c r="D686" s="48">
        <v>0.55555555555555558</v>
      </c>
      <c r="E686" s="49">
        <f>'Reclamo de equipaje rediseñado'!$D686-'Reclamo de equipaje rediseñado'!$C686</f>
        <v>2.0833333333333259E-3</v>
      </c>
      <c r="F686" s="48">
        <v>0.55763888888888891</v>
      </c>
      <c r="G686" s="49">
        <f t="shared" si="10"/>
        <v>2.0833333333333259E-3</v>
      </c>
      <c r="H686" s="50">
        <v>41714</v>
      </c>
      <c r="I686" s="51" t="s">
        <v>536</v>
      </c>
      <c r="J686" s="51">
        <v>320</v>
      </c>
      <c r="K686" s="51">
        <f>VLOOKUP(J686,'Validacion reclamo de equipaje'!L:M,2,0)</f>
        <v>179</v>
      </c>
      <c r="L686" s="51" t="str">
        <f>VLOOKUP(I686,'Validacion reclamo de equipaje'!H:I,2,0)</f>
        <v>Nacional</v>
      </c>
      <c r="M686" s="51" t="s">
        <v>522</v>
      </c>
    </row>
    <row r="687" spans="1:13" x14ac:dyDescent="0.25">
      <c r="A687">
        <v>2202</v>
      </c>
      <c r="B687" s="47" t="str">
        <f>VLOOKUP(Tabla6[[#This Row],['# Vuelo]],'Validacion reclamo de equipaje'!P:Q,2,0)</f>
        <v>INTERAVIÓN</v>
      </c>
      <c r="C687" s="52">
        <v>0.55555555555555558</v>
      </c>
      <c r="D687" s="52">
        <v>0.56319444444444444</v>
      </c>
      <c r="E687" s="53">
        <f>'Reclamo de equipaje rediseñado'!$D687-'Reclamo de equipaje rediseñado'!$C687</f>
        <v>7.6388888888888618E-3</v>
      </c>
      <c r="F687" s="52">
        <v>0.5708333333333333</v>
      </c>
      <c r="G687" s="53">
        <f t="shared" si="10"/>
        <v>7.6388888888888618E-3</v>
      </c>
      <c r="H687" s="54">
        <v>41715</v>
      </c>
      <c r="I687" s="55" t="s">
        <v>536</v>
      </c>
      <c r="J687" s="55">
        <v>320</v>
      </c>
      <c r="K687" s="55">
        <f>VLOOKUP(J687,'Validacion reclamo de equipaje'!L:M,2,0)</f>
        <v>179</v>
      </c>
      <c r="L687" s="55" t="str">
        <f>VLOOKUP(I687,'Validacion reclamo de equipaje'!H:I,2,0)</f>
        <v>Nacional</v>
      </c>
      <c r="M687" s="55" t="s">
        <v>522</v>
      </c>
    </row>
    <row r="688" spans="1:13" x14ac:dyDescent="0.25">
      <c r="A688">
        <v>2202</v>
      </c>
      <c r="B688" s="47" t="str">
        <f>VLOOKUP(Tabla6[[#This Row],['# Vuelo]],'Validacion reclamo de equipaje'!P:Q,2,0)</f>
        <v>INTERAVIÓN</v>
      </c>
      <c r="C688" s="48">
        <v>0.55069444444444449</v>
      </c>
      <c r="D688" s="48">
        <v>0.55763888888888891</v>
      </c>
      <c r="E688" s="49">
        <f>'Reclamo de equipaje rediseñado'!$D688-'Reclamo de equipaje rediseñado'!$C688</f>
        <v>6.9444444444444198E-3</v>
      </c>
      <c r="F688" s="48">
        <v>0.56111111111111112</v>
      </c>
      <c r="G688" s="49">
        <f t="shared" si="10"/>
        <v>3.4722222222222099E-3</v>
      </c>
      <c r="H688" s="50">
        <v>41717</v>
      </c>
      <c r="I688" s="51" t="s">
        <v>536</v>
      </c>
      <c r="J688" s="51">
        <v>320</v>
      </c>
      <c r="K688" s="51">
        <f>VLOOKUP(J688,'Validacion reclamo de equipaje'!L:M,2,0)</f>
        <v>179</v>
      </c>
      <c r="L688" s="51" t="str">
        <f>VLOOKUP(I688,'Validacion reclamo de equipaje'!H:I,2,0)</f>
        <v>Nacional</v>
      </c>
      <c r="M688" s="51" t="s">
        <v>522</v>
      </c>
    </row>
    <row r="689" spans="1:13" x14ac:dyDescent="0.25">
      <c r="A689">
        <v>2202</v>
      </c>
      <c r="B689" s="47" t="str">
        <f>VLOOKUP(Tabla6[[#This Row],['# Vuelo]],'Validacion reclamo de equipaje'!P:Q,2,0)</f>
        <v>INTERAVIÓN</v>
      </c>
      <c r="C689" s="52">
        <v>0.55694444444444446</v>
      </c>
      <c r="D689" s="52">
        <v>0.56527777777777777</v>
      </c>
      <c r="E689" s="53">
        <f>'Reclamo de equipaje rediseñado'!$D689-'Reclamo de equipaje rediseñado'!$C689</f>
        <v>8.3333333333333037E-3</v>
      </c>
      <c r="F689" s="52">
        <v>0.5756944444444444</v>
      </c>
      <c r="G689" s="53">
        <f t="shared" si="10"/>
        <v>1.041666666666663E-2</v>
      </c>
      <c r="H689" s="54">
        <v>41718</v>
      </c>
      <c r="I689" s="55" t="s">
        <v>536</v>
      </c>
      <c r="J689" s="55">
        <v>320</v>
      </c>
      <c r="K689" s="55">
        <f>VLOOKUP(J689,'Validacion reclamo de equipaje'!L:M,2,0)</f>
        <v>179</v>
      </c>
      <c r="L689" s="55" t="str">
        <f>VLOOKUP(I689,'Validacion reclamo de equipaje'!H:I,2,0)</f>
        <v>Nacional</v>
      </c>
      <c r="M689" s="55" t="s">
        <v>522</v>
      </c>
    </row>
    <row r="690" spans="1:13" x14ac:dyDescent="0.25">
      <c r="A690">
        <v>2202</v>
      </c>
      <c r="B690" s="47" t="str">
        <f>VLOOKUP(Tabla6[[#This Row],['# Vuelo]],'Validacion reclamo de equipaje'!P:Q,2,0)</f>
        <v>INTERAVIÓN</v>
      </c>
      <c r="C690" s="48">
        <v>0.55069444444444449</v>
      </c>
      <c r="D690" s="48">
        <v>0.56111111111111112</v>
      </c>
      <c r="E690" s="49">
        <f>'Reclamo de equipaje rediseñado'!$D690-'Reclamo de equipaje rediseñado'!$C690</f>
        <v>1.041666666666663E-2</v>
      </c>
      <c r="F690" s="48">
        <v>0.56319444444444444</v>
      </c>
      <c r="G690" s="49">
        <f t="shared" si="10"/>
        <v>2.0833333333333259E-3</v>
      </c>
      <c r="H690" s="50">
        <v>41721</v>
      </c>
      <c r="I690" s="51" t="s">
        <v>536</v>
      </c>
      <c r="J690" s="51">
        <v>320</v>
      </c>
      <c r="K690" s="51">
        <f>VLOOKUP(J690,'Validacion reclamo de equipaje'!L:M,2,0)</f>
        <v>179</v>
      </c>
      <c r="L690" s="51" t="str">
        <f>VLOOKUP(I690,'Validacion reclamo de equipaje'!H:I,2,0)</f>
        <v>Nacional</v>
      </c>
      <c r="M690" s="51" t="s">
        <v>522</v>
      </c>
    </row>
    <row r="691" spans="1:13" x14ac:dyDescent="0.25">
      <c r="A691">
        <v>2202</v>
      </c>
      <c r="B691" s="47" t="str">
        <f>VLOOKUP(Tabla6[[#This Row],['# Vuelo]],'Validacion reclamo de equipaje'!P:Q,2,0)</f>
        <v>INTERAVIÓN</v>
      </c>
      <c r="C691" s="52">
        <v>0.5541666666666667</v>
      </c>
      <c r="D691" s="52">
        <v>0.56527777777777777</v>
      </c>
      <c r="E691" s="53">
        <f>'Reclamo de equipaje rediseñado'!$D691-'Reclamo de equipaje rediseñado'!$C691</f>
        <v>1.1111111111111072E-2</v>
      </c>
      <c r="F691" s="52">
        <v>0.57361111111111118</v>
      </c>
      <c r="G691" s="53">
        <f t="shared" si="10"/>
        <v>8.3333333333334147E-3</v>
      </c>
      <c r="H691" s="54">
        <v>41725</v>
      </c>
      <c r="I691" s="55" t="s">
        <v>536</v>
      </c>
      <c r="J691" s="55">
        <v>320</v>
      </c>
      <c r="K691" s="55">
        <f>VLOOKUP(J691,'Validacion reclamo de equipaje'!L:M,2,0)</f>
        <v>179</v>
      </c>
      <c r="L691" s="55" t="str">
        <f>VLOOKUP(I691,'Validacion reclamo de equipaje'!H:I,2,0)</f>
        <v>Nacional</v>
      </c>
      <c r="M691" s="55" t="s">
        <v>522</v>
      </c>
    </row>
    <row r="692" spans="1:13" x14ac:dyDescent="0.25">
      <c r="A692">
        <v>2202</v>
      </c>
      <c r="B692" s="47" t="str">
        <f>VLOOKUP(Tabla6[[#This Row],['# Vuelo]],'Validacion reclamo de equipaje'!P:Q,2,0)</f>
        <v>INTERAVIÓN</v>
      </c>
      <c r="C692" s="48">
        <v>0.56111111111111112</v>
      </c>
      <c r="D692" s="48">
        <v>0.56805555555555554</v>
      </c>
      <c r="E692" s="49">
        <f>'Reclamo de equipaje rediseñado'!$D692-'Reclamo de equipaje rediseñado'!$C692</f>
        <v>6.9444444444444198E-3</v>
      </c>
      <c r="F692" s="48">
        <v>0.57291666666666663</v>
      </c>
      <c r="G692" s="49">
        <f t="shared" si="10"/>
        <v>4.8611111111110938E-3</v>
      </c>
      <c r="H692" s="50">
        <v>41725</v>
      </c>
      <c r="I692" s="51" t="s">
        <v>536</v>
      </c>
      <c r="J692" s="51">
        <v>320</v>
      </c>
      <c r="K692" s="51">
        <f>VLOOKUP(J692,'Validacion reclamo de equipaje'!L:M,2,0)</f>
        <v>179</v>
      </c>
      <c r="L692" s="51" t="str">
        <f>VLOOKUP(I692,'Validacion reclamo de equipaje'!H:I,2,0)</f>
        <v>Nacional</v>
      </c>
      <c r="M692" s="51" t="s">
        <v>522</v>
      </c>
    </row>
    <row r="693" spans="1:13" x14ac:dyDescent="0.25">
      <c r="A693">
        <v>2202</v>
      </c>
      <c r="B693" s="47" t="str">
        <f>VLOOKUP(Tabla6[[#This Row],['# Vuelo]],'Validacion reclamo de equipaje'!P:Q,2,0)</f>
        <v>INTERAVIÓN</v>
      </c>
      <c r="C693" s="52">
        <v>0.5444444444444444</v>
      </c>
      <c r="D693" s="52">
        <v>0.5493055555555556</v>
      </c>
      <c r="E693" s="53">
        <f>'Reclamo de equipaje rediseñado'!$D693-'Reclamo de equipaje rediseñado'!$C693</f>
        <v>4.8611111111112049E-3</v>
      </c>
      <c r="F693" s="52">
        <v>0.55625000000000002</v>
      </c>
      <c r="G693" s="53">
        <f t="shared" si="10"/>
        <v>6.9444444444444198E-3</v>
      </c>
      <c r="H693" s="54">
        <v>41726</v>
      </c>
      <c r="I693" s="55" t="s">
        <v>536</v>
      </c>
      <c r="J693" s="55">
        <v>320</v>
      </c>
      <c r="K693" s="55">
        <f>VLOOKUP(J693,'Validacion reclamo de equipaje'!L:M,2,0)</f>
        <v>179</v>
      </c>
      <c r="L693" s="55" t="str">
        <f>VLOOKUP(I693,'Validacion reclamo de equipaje'!H:I,2,0)</f>
        <v>Nacional</v>
      </c>
      <c r="M693" s="55" t="s">
        <v>522</v>
      </c>
    </row>
    <row r="694" spans="1:13" x14ac:dyDescent="0.25">
      <c r="A694">
        <v>2202</v>
      </c>
      <c r="B694" s="47" t="str">
        <f>VLOOKUP(Tabla6[[#This Row],['# Vuelo]],'Validacion reclamo de equipaje'!P:Q,2,0)</f>
        <v>INTERAVIÓN</v>
      </c>
      <c r="C694" s="48">
        <v>0.55208333333333337</v>
      </c>
      <c r="D694" s="48">
        <v>0.55694444444444446</v>
      </c>
      <c r="E694" s="49">
        <f>'Reclamo de equipaje rediseñado'!$D694-'Reclamo de equipaje rediseñado'!$C694</f>
        <v>4.8611111111110938E-3</v>
      </c>
      <c r="F694" s="48">
        <v>0.58124999999999993</v>
      </c>
      <c r="G694" s="49">
        <f t="shared" si="10"/>
        <v>2.4305555555555469E-2</v>
      </c>
      <c r="H694" s="50">
        <v>41729</v>
      </c>
      <c r="I694" s="51" t="s">
        <v>536</v>
      </c>
      <c r="J694" s="51">
        <v>320</v>
      </c>
      <c r="K694" s="51">
        <f>VLOOKUP(J694,'Validacion reclamo de equipaje'!L:M,2,0)</f>
        <v>179</v>
      </c>
      <c r="L694" s="51" t="str">
        <f>VLOOKUP(I694,'Validacion reclamo de equipaje'!H:I,2,0)</f>
        <v>Nacional</v>
      </c>
      <c r="M694" s="51" t="s">
        <v>522</v>
      </c>
    </row>
    <row r="695" spans="1:13" x14ac:dyDescent="0.25">
      <c r="A695">
        <v>2200</v>
      </c>
      <c r="B695" s="47" t="str">
        <f>VLOOKUP(Tabla6[[#This Row],['# Vuelo]],'Validacion reclamo de equipaje'!P:Q,2,0)</f>
        <v>INTERAVIÓN</v>
      </c>
      <c r="C695" s="52">
        <v>0.75555555555555554</v>
      </c>
      <c r="D695" s="52">
        <v>0.76180555555555562</v>
      </c>
      <c r="E695" s="53">
        <f>'Reclamo de equipaje rediseñado'!$D695-'Reclamo de equipaje rediseñado'!$C695</f>
        <v>6.2500000000000888E-3</v>
      </c>
      <c r="F695" s="52">
        <v>0.76736111111111116</v>
      </c>
      <c r="G695" s="53">
        <f t="shared" si="10"/>
        <v>5.5555555555555358E-3</v>
      </c>
      <c r="H695" s="54">
        <v>41718</v>
      </c>
      <c r="I695" s="55" t="s">
        <v>536</v>
      </c>
      <c r="J695" s="55">
        <v>320</v>
      </c>
      <c r="K695" s="55">
        <f>VLOOKUP(J695,'Validacion reclamo de equipaje'!L:M,2,0)</f>
        <v>179</v>
      </c>
      <c r="L695" s="55" t="str">
        <f>VLOOKUP(I695,'Validacion reclamo de equipaje'!H:I,2,0)</f>
        <v>Nacional</v>
      </c>
      <c r="M695" s="55" t="s">
        <v>522</v>
      </c>
    </row>
    <row r="696" spans="1:13" x14ac:dyDescent="0.25">
      <c r="A696">
        <v>2200</v>
      </c>
      <c r="B696" s="47" t="str">
        <f>VLOOKUP(Tabla6[[#This Row],['# Vuelo]],'Validacion reclamo de equipaje'!P:Q,2,0)</f>
        <v>INTERAVIÓN</v>
      </c>
      <c r="C696" s="48">
        <v>0.76250000000000007</v>
      </c>
      <c r="D696" s="48">
        <v>0.76736111111111116</v>
      </c>
      <c r="E696" s="49">
        <f>'Reclamo de equipaje rediseñado'!$D696-'Reclamo de equipaje rediseñado'!$C696</f>
        <v>4.8611111111110938E-3</v>
      </c>
      <c r="F696" s="48">
        <v>0.77222222222222225</v>
      </c>
      <c r="G696" s="49">
        <f t="shared" si="10"/>
        <v>4.8611111111110938E-3</v>
      </c>
      <c r="H696" s="50">
        <v>41725</v>
      </c>
      <c r="I696" s="51" t="s">
        <v>536</v>
      </c>
      <c r="J696" s="51">
        <v>320</v>
      </c>
      <c r="K696" s="51">
        <f>VLOOKUP(J696,'Validacion reclamo de equipaje'!L:M,2,0)</f>
        <v>179</v>
      </c>
      <c r="L696" s="51" t="str">
        <f>VLOOKUP(I696,'Validacion reclamo de equipaje'!H:I,2,0)</f>
        <v>Nacional</v>
      </c>
      <c r="M696" s="51" t="s">
        <v>522</v>
      </c>
    </row>
    <row r="697" spans="1:13" x14ac:dyDescent="0.25">
      <c r="A697">
        <v>2200</v>
      </c>
      <c r="B697" s="47" t="str">
        <f>VLOOKUP(Tabla6[[#This Row],['# Vuelo]],'Validacion reclamo de equipaje'!P:Q,2,0)</f>
        <v>INTERAVIÓN</v>
      </c>
      <c r="C697" s="52">
        <v>0.77916666666666667</v>
      </c>
      <c r="D697" s="52">
        <v>0.78611111111111109</v>
      </c>
      <c r="E697" s="53">
        <f>'Reclamo de equipaje rediseñado'!$D697-'Reclamo de equipaje rediseñado'!$C697</f>
        <v>6.9444444444444198E-3</v>
      </c>
      <c r="F697" s="52">
        <v>0.79375000000000007</v>
      </c>
      <c r="G697" s="53">
        <f t="shared" si="10"/>
        <v>7.6388888888889728E-3</v>
      </c>
      <c r="H697" s="54">
        <v>41726</v>
      </c>
      <c r="I697" s="55" t="s">
        <v>536</v>
      </c>
      <c r="J697" s="55">
        <v>320</v>
      </c>
      <c r="K697" s="55">
        <f>VLOOKUP(J697,'Validacion reclamo de equipaje'!L:M,2,0)</f>
        <v>179</v>
      </c>
      <c r="L697" s="55" t="str">
        <f>VLOOKUP(I697,'Validacion reclamo de equipaje'!H:I,2,0)</f>
        <v>Nacional</v>
      </c>
      <c r="M697" s="55" t="s">
        <v>522</v>
      </c>
    </row>
    <row r="698" spans="1:13" x14ac:dyDescent="0.25">
      <c r="A698">
        <v>957</v>
      </c>
      <c r="B698" s="47" t="str">
        <f>VLOOKUP(Tabla6[[#This Row],['# Vuelo]],'Validacion reclamo de equipaje'!P:Q,2,0)</f>
        <v>INTERAVIÓN</v>
      </c>
      <c r="C698" s="48">
        <v>0.63402777777777775</v>
      </c>
      <c r="D698" s="48">
        <v>0.64444444444444449</v>
      </c>
      <c r="E698" s="49">
        <f>'Reclamo de equipaje rediseñado'!$D698-'Reclamo de equipaje rediseñado'!$C698</f>
        <v>1.0416666666666741E-2</v>
      </c>
      <c r="F698" s="48">
        <v>0.65277777777777779</v>
      </c>
      <c r="G698" s="49">
        <f t="shared" si="10"/>
        <v>8.3333333333333037E-3</v>
      </c>
      <c r="H698" s="50">
        <v>41714</v>
      </c>
      <c r="I698" s="51" t="s">
        <v>547</v>
      </c>
      <c r="J698" s="51">
        <v>320</v>
      </c>
      <c r="K698" s="51">
        <f>VLOOKUP(J698,'Validacion reclamo de equipaje'!L:M,2,0)</f>
        <v>179</v>
      </c>
      <c r="L698" s="51" t="str">
        <f>VLOOKUP(I698,'Validacion reclamo de equipaje'!H:I,2,0)</f>
        <v>Nacional</v>
      </c>
      <c r="M698" s="51" t="s">
        <v>522</v>
      </c>
    </row>
    <row r="699" spans="1:13" x14ac:dyDescent="0.25">
      <c r="A699">
        <v>957</v>
      </c>
      <c r="B699" s="47" t="str">
        <f>VLOOKUP(Tabla6[[#This Row],['# Vuelo]],'Validacion reclamo de equipaje'!P:Q,2,0)</f>
        <v>INTERAVIÓN</v>
      </c>
      <c r="C699" s="52">
        <v>0.6694444444444444</v>
      </c>
      <c r="D699" s="52">
        <v>0.6777777777777777</v>
      </c>
      <c r="E699" s="53">
        <f>'Reclamo de equipaje rediseñado'!$D699-'Reclamo de equipaje rediseñado'!$C699</f>
        <v>8.3333333333333037E-3</v>
      </c>
      <c r="F699" s="52">
        <v>0.68888888888888899</v>
      </c>
      <c r="G699" s="53">
        <f t="shared" si="10"/>
        <v>1.1111111111111294E-2</v>
      </c>
      <c r="H699" s="54">
        <v>41718</v>
      </c>
      <c r="I699" s="55" t="s">
        <v>547</v>
      </c>
      <c r="J699" s="55">
        <v>320</v>
      </c>
      <c r="K699" s="55">
        <f>VLOOKUP(J699,'Validacion reclamo de equipaje'!L:M,2,0)</f>
        <v>179</v>
      </c>
      <c r="L699" s="55" t="str">
        <f>VLOOKUP(I699,'Validacion reclamo de equipaje'!H:I,2,0)</f>
        <v>Nacional</v>
      </c>
      <c r="M699" s="55" t="s">
        <v>522</v>
      </c>
    </row>
    <row r="700" spans="1:13" x14ac:dyDescent="0.25">
      <c r="A700">
        <v>957</v>
      </c>
      <c r="B700" s="47" t="str">
        <f>VLOOKUP(Tabla6[[#This Row],['# Vuelo]],'Validacion reclamo de equipaje'!P:Q,2,0)</f>
        <v>INTERAVIÓN</v>
      </c>
      <c r="C700" s="48">
        <v>0.63055555555555554</v>
      </c>
      <c r="D700" s="48">
        <v>0.64236111111111105</v>
      </c>
      <c r="E700" s="49">
        <f>'Reclamo de equipaje rediseñado'!$D700-'Reclamo de equipaje rediseñado'!$C700</f>
        <v>1.1805555555555514E-2</v>
      </c>
      <c r="F700" s="48">
        <v>0.65277777777777779</v>
      </c>
      <c r="G700" s="49">
        <f t="shared" si="10"/>
        <v>1.0416666666666741E-2</v>
      </c>
      <c r="H700" s="50">
        <v>41721</v>
      </c>
      <c r="I700" s="51" t="s">
        <v>547</v>
      </c>
      <c r="J700" s="51">
        <v>320</v>
      </c>
      <c r="K700" s="51">
        <f>VLOOKUP(J700,'Validacion reclamo de equipaje'!L:M,2,0)</f>
        <v>179</v>
      </c>
      <c r="L700" s="51" t="str">
        <f>VLOOKUP(I700,'Validacion reclamo de equipaje'!H:I,2,0)</f>
        <v>Nacional</v>
      </c>
      <c r="M700" s="51" t="s">
        <v>522</v>
      </c>
    </row>
    <row r="701" spans="1:13" x14ac:dyDescent="0.25">
      <c r="A701">
        <v>957</v>
      </c>
      <c r="B701" s="47" t="str">
        <f>VLOOKUP(Tabla6[[#This Row],['# Vuelo]],'Validacion reclamo de equipaje'!P:Q,2,0)</f>
        <v>INTERAVIÓN</v>
      </c>
      <c r="C701" s="52">
        <v>0.62430555555555556</v>
      </c>
      <c r="D701" s="52">
        <v>0.6333333333333333</v>
      </c>
      <c r="E701" s="53">
        <f>'Reclamo de equipaje rediseñado'!$D701-'Reclamo de equipaje rediseñado'!$C701</f>
        <v>9.0277777777777457E-3</v>
      </c>
      <c r="F701" s="52">
        <v>0.63680555555555551</v>
      </c>
      <c r="G701" s="53">
        <f t="shared" si="10"/>
        <v>3.4722222222222099E-3</v>
      </c>
      <c r="H701" s="54">
        <v>41728</v>
      </c>
      <c r="I701" s="55" t="s">
        <v>547</v>
      </c>
      <c r="J701" s="55">
        <v>320</v>
      </c>
      <c r="K701" s="55">
        <f>VLOOKUP(J701,'Validacion reclamo de equipaje'!L:M,2,0)</f>
        <v>179</v>
      </c>
      <c r="L701" s="55" t="str">
        <f>VLOOKUP(I701,'Validacion reclamo de equipaje'!H:I,2,0)</f>
        <v>Nacional</v>
      </c>
      <c r="M701" s="55" t="s">
        <v>522</v>
      </c>
    </row>
    <row r="702" spans="1:13" x14ac:dyDescent="0.25">
      <c r="A702">
        <v>810</v>
      </c>
      <c r="B702" s="47" t="str">
        <f>VLOOKUP(Tabla6[[#This Row],['# Vuelo]],'Validacion reclamo de equipaje'!P:Q,2,0)</f>
        <v>INTERAVIÓN</v>
      </c>
      <c r="C702" s="48">
        <v>0.61597222222222225</v>
      </c>
      <c r="D702" s="48">
        <v>0.62152777777777779</v>
      </c>
      <c r="E702" s="49">
        <f>'Reclamo de equipaje rediseñado'!$D702-'Reclamo de equipaje rediseñado'!$C702</f>
        <v>5.5555555555555358E-3</v>
      </c>
      <c r="F702" s="48">
        <v>0.62986111111111109</v>
      </c>
      <c r="G702" s="49">
        <f t="shared" si="10"/>
        <v>8.3333333333333037E-3</v>
      </c>
      <c r="H702" s="50">
        <v>41715</v>
      </c>
      <c r="I702" s="51" t="s">
        <v>581</v>
      </c>
      <c r="J702" s="51">
        <v>320</v>
      </c>
      <c r="K702" s="51">
        <f>VLOOKUP(J702,'Validacion reclamo de equipaje'!L:M,2,0)</f>
        <v>179</v>
      </c>
      <c r="L702" s="51" t="str">
        <f>VLOOKUP(I702,'Validacion reclamo de equipaje'!H:I,2,0)</f>
        <v>Nacional</v>
      </c>
      <c r="M702" s="51" t="s">
        <v>522</v>
      </c>
    </row>
    <row r="703" spans="1:13" x14ac:dyDescent="0.25">
      <c r="A703">
        <v>810</v>
      </c>
      <c r="B703" s="47" t="str">
        <f>VLOOKUP(Tabla6[[#This Row],['# Vuelo]],'Validacion reclamo de equipaje'!P:Q,2,0)</f>
        <v>INTERAVIÓN</v>
      </c>
      <c r="C703" s="52">
        <v>0.60833333333333328</v>
      </c>
      <c r="D703" s="52">
        <v>0.61319444444444449</v>
      </c>
      <c r="E703" s="53">
        <f>'Reclamo de equipaje rediseñado'!$D703-'Reclamo de equipaje rediseñado'!$C703</f>
        <v>4.8611111111112049E-3</v>
      </c>
      <c r="F703" s="52">
        <v>0.62430555555555556</v>
      </c>
      <c r="G703" s="53">
        <f t="shared" si="10"/>
        <v>1.1111111111111072E-2</v>
      </c>
      <c r="H703" s="54">
        <v>41718</v>
      </c>
      <c r="I703" s="55" t="s">
        <v>581</v>
      </c>
      <c r="J703" s="55">
        <v>320</v>
      </c>
      <c r="K703" s="55">
        <f>VLOOKUP(J703,'Validacion reclamo de equipaje'!L:M,2,0)</f>
        <v>179</v>
      </c>
      <c r="L703" s="55" t="str">
        <f>VLOOKUP(I703,'Validacion reclamo de equipaje'!H:I,2,0)</f>
        <v>Nacional</v>
      </c>
      <c r="M703" s="55" t="s">
        <v>522</v>
      </c>
    </row>
    <row r="704" spans="1:13" x14ac:dyDescent="0.25">
      <c r="A704">
        <v>810</v>
      </c>
      <c r="B704" s="47" t="str">
        <f>VLOOKUP(Tabla6[[#This Row],['# Vuelo]],'Validacion reclamo de equipaje'!P:Q,2,0)</f>
        <v>INTERAVIÓN</v>
      </c>
      <c r="C704" s="48">
        <v>0.60486111111111118</v>
      </c>
      <c r="D704" s="48">
        <v>0.61041666666666672</v>
      </c>
      <c r="E704" s="49">
        <f>'Reclamo de equipaje rediseñado'!$D704-'Reclamo de equipaje rediseñado'!$C704</f>
        <v>5.5555555555555358E-3</v>
      </c>
      <c r="F704" s="48">
        <v>0.61319444444444449</v>
      </c>
      <c r="G704" s="49">
        <f t="shared" si="10"/>
        <v>2.7777777777777679E-3</v>
      </c>
      <c r="H704" s="50">
        <v>41722</v>
      </c>
      <c r="I704" s="51" t="s">
        <v>581</v>
      </c>
      <c r="J704" s="51">
        <v>320</v>
      </c>
      <c r="K704" s="51">
        <f>VLOOKUP(J704,'Validacion reclamo de equipaje'!L:M,2,0)</f>
        <v>179</v>
      </c>
      <c r="L704" s="51" t="str">
        <f>VLOOKUP(I704,'Validacion reclamo de equipaje'!H:I,2,0)</f>
        <v>Nacional</v>
      </c>
      <c r="M704" s="51" t="s">
        <v>522</v>
      </c>
    </row>
    <row r="705" spans="1:13" x14ac:dyDescent="0.25">
      <c r="A705">
        <v>810</v>
      </c>
      <c r="B705" s="47" t="str">
        <f>VLOOKUP(Tabla6[[#This Row],['# Vuelo]],'Validacion reclamo de equipaje'!P:Q,2,0)</f>
        <v>INTERAVIÓN</v>
      </c>
      <c r="C705" s="52">
        <v>0.6118055555555556</v>
      </c>
      <c r="D705" s="52">
        <v>0.61805555555555558</v>
      </c>
      <c r="E705" s="53">
        <f>'Reclamo de equipaje rediseñado'!$D705-'Reclamo de equipaje rediseñado'!$C705</f>
        <v>6.2499999999999778E-3</v>
      </c>
      <c r="F705" s="52">
        <v>0.62361111111111112</v>
      </c>
      <c r="G705" s="53">
        <f t="shared" si="10"/>
        <v>5.5555555555555358E-3</v>
      </c>
      <c r="H705" s="54">
        <v>41725</v>
      </c>
      <c r="I705" s="55" t="s">
        <v>581</v>
      </c>
      <c r="J705" s="55">
        <v>320</v>
      </c>
      <c r="K705" s="55">
        <f>VLOOKUP(J705,'Validacion reclamo de equipaje'!L:M,2,0)</f>
        <v>179</v>
      </c>
      <c r="L705" s="55" t="str">
        <f>VLOOKUP(I705,'Validacion reclamo de equipaje'!H:I,2,0)</f>
        <v>Nacional</v>
      </c>
      <c r="M705" s="55" t="s">
        <v>522</v>
      </c>
    </row>
    <row r="706" spans="1:13" x14ac:dyDescent="0.25">
      <c r="A706">
        <v>810</v>
      </c>
      <c r="B706" s="47" t="str">
        <f>VLOOKUP(Tabla6[[#This Row],['# Vuelo]],'Validacion reclamo de equipaje'!P:Q,2,0)</f>
        <v>INTERAVIÓN</v>
      </c>
      <c r="C706" s="48">
        <v>0.60972222222222217</v>
      </c>
      <c r="D706" s="48">
        <v>0.61249999999999993</v>
      </c>
      <c r="E706" s="49">
        <f>'Reclamo de equipaje rediseñado'!$D706-'Reclamo de equipaje rediseñado'!$C706</f>
        <v>2.7777777777777679E-3</v>
      </c>
      <c r="F706" s="48">
        <v>0.61875000000000002</v>
      </c>
      <c r="G706" s="49">
        <f t="shared" si="10"/>
        <v>6.2500000000000888E-3</v>
      </c>
      <c r="H706" s="50">
        <v>41726</v>
      </c>
      <c r="I706" s="51" t="s">
        <v>581</v>
      </c>
      <c r="J706" s="51">
        <v>320</v>
      </c>
      <c r="K706" s="51">
        <f>VLOOKUP(J706,'Validacion reclamo de equipaje'!L:M,2,0)</f>
        <v>179</v>
      </c>
      <c r="L706" s="51" t="str">
        <f>VLOOKUP(I706,'Validacion reclamo de equipaje'!H:I,2,0)</f>
        <v>Nacional</v>
      </c>
      <c r="M706" s="51" t="s">
        <v>522</v>
      </c>
    </row>
    <row r="707" spans="1:13" x14ac:dyDescent="0.25">
      <c r="A707">
        <v>810</v>
      </c>
      <c r="B707" s="47" t="str">
        <f>VLOOKUP(Tabla6[[#This Row],['# Vuelo]],'Validacion reclamo de equipaje'!P:Q,2,0)</f>
        <v>INTERAVIÓN</v>
      </c>
      <c r="C707" s="52">
        <v>0.61805555555555558</v>
      </c>
      <c r="D707" s="52">
        <v>0.62083333333333335</v>
      </c>
      <c r="E707" s="53">
        <f>'Reclamo de equipaje rediseñado'!$D707-'Reclamo de equipaje rediseñado'!$C707</f>
        <v>2.7777777777777679E-3</v>
      </c>
      <c r="F707" s="52">
        <v>0.62777777777777777</v>
      </c>
      <c r="G707" s="53">
        <f t="shared" ref="G707:G770" si="11">F707-D707</f>
        <v>6.9444444444444198E-3</v>
      </c>
      <c r="H707" s="54">
        <v>41729</v>
      </c>
      <c r="I707" s="55" t="s">
        <v>581</v>
      </c>
      <c r="J707" s="55">
        <v>320</v>
      </c>
      <c r="K707" s="55">
        <f>VLOOKUP(J707,'Validacion reclamo de equipaje'!L:M,2,0)</f>
        <v>179</v>
      </c>
      <c r="L707" s="55" t="str">
        <f>VLOOKUP(I707,'Validacion reclamo de equipaje'!H:I,2,0)</f>
        <v>Nacional</v>
      </c>
      <c r="M707" s="55" t="s">
        <v>522</v>
      </c>
    </row>
    <row r="708" spans="1:13" x14ac:dyDescent="0.25">
      <c r="A708">
        <v>808</v>
      </c>
      <c r="B708" s="47" t="str">
        <f>VLOOKUP(Tabla6[[#This Row],['# Vuelo]],'Validacion reclamo de equipaje'!P:Q,2,0)</f>
        <v>INTERAVIÓN</v>
      </c>
      <c r="C708" s="48">
        <v>0.7006944444444444</v>
      </c>
      <c r="D708" s="48">
        <v>0.70694444444444438</v>
      </c>
      <c r="E708" s="49">
        <f>'Reclamo de equipaje rediseñado'!$D708-'Reclamo de equipaje rediseñado'!$C708</f>
        <v>6.2499999999999778E-3</v>
      </c>
      <c r="F708" s="48">
        <v>0.71805555555555556</v>
      </c>
      <c r="G708" s="49">
        <f t="shared" si="11"/>
        <v>1.1111111111111183E-2</v>
      </c>
      <c r="H708" s="50">
        <v>41715</v>
      </c>
      <c r="I708" s="51" t="s">
        <v>581</v>
      </c>
      <c r="J708" s="51">
        <v>320</v>
      </c>
      <c r="K708" s="51">
        <f>VLOOKUP(J708,'Validacion reclamo de equipaje'!L:M,2,0)</f>
        <v>179</v>
      </c>
      <c r="L708" s="51" t="str">
        <f>VLOOKUP(I708,'Validacion reclamo de equipaje'!H:I,2,0)</f>
        <v>Nacional</v>
      </c>
      <c r="M708" s="51" t="s">
        <v>522</v>
      </c>
    </row>
    <row r="709" spans="1:13" x14ac:dyDescent="0.25">
      <c r="A709">
        <v>808</v>
      </c>
      <c r="B709" s="47" t="str">
        <f>VLOOKUP(Tabla6[[#This Row],['# Vuelo]],'Validacion reclamo de equipaje'!P:Q,2,0)</f>
        <v>INTERAVIÓN</v>
      </c>
      <c r="C709" s="52">
        <v>0.70763888888888893</v>
      </c>
      <c r="D709" s="52">
        <v>0.71388888888888891</v>
      </c>
      <c r="E709" s="53">
        <f>'Reclamo de equipaje rediseñado'!$D709-'Reclamo de equipaje rediseñado'!$C709</f>
        <v>6.2499999999999778E-3</v>
      </c>
      <c r="F709" s="52">
        <v>0.72083333333333333</v>
      </c>
      <c r="G709" s="53">
        <f t="shared" si="11"/>
        <v>6.9444444444444198E-3</v>
      </c>
      <c r="H709" s="54">
        <v>41716</v>
      </c>
      <c r="I709" s="55" t="s">
        <v>581</v>
      </c>
      <c r="J709" s="55">
        <v>320</v>
      </c>
      <c r="K709" s="55">
        <f>VLOOKUP(J709,'Validacion reclamo de equipaje'!L:M,2,0)</f>
        <v>179</v>
      </c>
      <c r="L709" s="55" t="str">
        <f>VLOOKUP(I709,'Validacion reclamo de equipaje'!H:I,2,0)</f>
        <v>Nacional</v>
      </c>
      <c r="M709" s="55" t="s">
        <v>522</v>
      </c>
    </row>
    <row r="710" spans="1:13" x14ac:dyDescent="0.25">
      <c r="A710">
        <v>808</v>
      </c>
      <c r="B710" s="47" t="str">
        <f>VLOOKUP(Tabla6[[#This Row],['# Vuelo]],'Validacion reclamo de equipaje'!P:Q,2,0)</f>
        <v>INTERAVIÓN</v>
      </c>
      <c r="C710" s="48">
        <v>0.70763888888888893</v>
      </c>
      <c r="D710" s="48">
        <v>0.71180555555555547</v>
      </c>
      <c r="E710" s="49">
        <f>'Reclamo de equipaje rediseñado'!$D710-'Reclamo de equipaje rediseñado'!$C710</f>
        <v>4.1666666666665408E-3</v>
      </c>
      <c r="F710" s="48">
        <v>0.71875</v>
      </c>
      <c r="G710" s="49">
        <f t="shared" si="11"/>
        <v>6.9444444444445308E-3</v>
      </c>
      <c r="H710" s="50">
        <v>41717</v>
      </c>
      <c r="I710" s="51" t="s">
        <v>581</v>
      </c>
      <c r="J710" s="51">
        <v>320</v>
      </c>
      <c r="K710" s="51">
        <f>VLOOKUP(J710,'Validacion reclamo de equipaje'!L:M,2,0)</f>
        <v>179</v>
      </c>
      <c r="L710" s="51" t="str">
        <f>VLOOKUP(I710,'Validacion reclamo de equipaje'!H:I,2,0)</f>
        <v>Nacional</v>
      </c>
      <c r="M710" s="51" t="s">
        <v>522</v>
      </c>
    </row>
    <row r="711" spans="1:13" x14ac:dyDescent="0.25">
      <c r="A711">
        <v>808</v>
      </c>
      <c r="B711" s="47" t="str">
        <f>VLOOKUP(Tabla6[[#This Row],['# Vuelo]],'Validacion reclamo de equipaje'!P:Q,2,0)</f>
        <v>INTERAVIÓN</v>
      </c>
      <c r="C711" s="52">
        <v>0.72986111111111107</v>
      </c>
      <c r="D711" s="52">
        <v>0.73472222222222217</v>
      </c>
      <c r="E711" s="53">
        <f>'Reclamo de equipaje rediseñado'!$D711-'Reclamo de equipaje rediseñado'!$C711</f>
        <v>4.8611111111110938E-3</v>
      </c>
      <c r="F711" s="52">
        <v>0.74236111111111114</v>
      </c>
      <c r="G711" s="53">
        <f t="shared" si="11"/>
        <v>7.6388888888889728E-3</v>
      </c>
      <c r="H711" s="54">
        <v>41718</v>
      </c>
      <c r="I711" s="55" t="s">
        <v>581</v>
      </c>
      <c r="J711" s="55">
        <v>320</v>
      </c>
      <c r="K711" s="55">
        <f>VLOOKUP(J711,'Validacion reclamo de equipaje'!L:M,2,0)</f>
        <v>179</v>
      </c>
      <c r="L711" s="55" t="str">
        <f>VLOOKUP(I711,'Validacion reclamo de equipaje'!H:I,2,0)</f>
        <v>Nacional</v>
      </c>
      <c r="M711" s="55" t="s">
        <v>522</v>
      </c>
    </row>
    <row r="712" spans="1:13" x14ac:dyDescent="0.25">
      <c r="A712">
        <v>808</v>
      </c>
      <c r="B712" s="47" t="str">
        <f>VLOOKUP(Tabla6[[#This Row],['# Vuelo]],'Validacion reclamo de equipaje'!P:Q,2,0)</f>
        <v>INTERAVIÓN</v>
      </c>
      <c r="C712" s="48">
        <v>0.70763888888888893</v>
      </c>
      <c r="D712" s="48">
        <v>0.71388888888888891</v>
      </c>
      <c r="E712" s="49">
        <f>'Reclamo de equipaje rediseñado'!$D712-'Reclamo de equipaje rediseñado'!$C712</f>
        <v>6.2499999999999778E-3</v>
      </c>
      <c r="F712" s="48">
        <v>0.72013888888888899</v>
      </c>
      <c r="G712" s="49">
        <f t="shared" si="11"/>
        <v>6.2500000000000888E-3</v>
      </c>
      <c r="H712" s="50">
        <v>41721</v>
      </c>
      <c r="I712" s="51" t="s">
        <v>581</v>
      </c>
      <c r="J712" s="51">
        <v>320</v>
      </c>
      <c r="K712" s="51">
        <f>VLOOKUP(J712,'Validacion reclamo de equipaje'!L:M,2,0)</f>
        <v>179</v>
      </c>
      <c r="L712" s="51" t="str">
        <f>VLOOKUP(I712,'Validacion reclamo de equipaje'!H:I,2,0)</f>
        <v>Nacional</v>
      </c>
      <c r="M712" s="51" t="s">
        <v>522</v>
      </c>
    </row>
    <row r="713" spans="1:13" x14ac:dyDescent="0.25">
      <c r="A713">
        <v>808</v>
      </c>
      <c r="B713" s="47" t="str">
        <f>VLOOKUP(Tabla6[[#This Row],['# Vuelo]],'Validacion reclamo de equipaje'!P:Q,2,0)</f>
        <v>INTERAVIÓN</v>
      </c>
      <c r="C713" s="52">
        <v>0.69513888888888886</v>
      </c>
      <c r="D713" s="52">
        <v>0.70486111111111116</v>
      </c>
      <c r="E713" s="53">
        <f>'Reclamo de equipaje rediseñado'!$D713-'Reclamo de equipaje rediseñado'!$C713</f>
        <v>9.7222222222222987E-3</v>
      </c>
      <c r="F713" s="52">
        <v>0.7090277777777777</v>
      </c>
      <c r="G713" s="53">
        <f t="shared" si="11"/>
        <v>4.1666666666665408E-3</v>
      </c>
      <c r="H713" s="54">
        <v>41725</v>
      </c>
      <c r="I713" s="55" t="s">
        <v>581</v>
      </c>
      <c r="J713" s="55">
        <v>320</v>
      </c>
      <c r="K713" s="55">
        <f>VLOOKUP(J713,'Validacion reclamo de equipaje'!L:M,2,0)</f>
        <v>179</v>
      </c>
      <c r="L713" s="55" t="str">
        <f>VLOOKUP(I713,'Validacion reclamo de equipaje'!H:I,2,0)</f>
        <v>Nacional</v>
      </c>
      <c r="M713" s="55" t="s">
        <v>522</v>
      </c>
    </row>
    <row r="714" spans="1:13" x14ac:dyDescent="0.25">
      <c r="A714">
        <v>808</v>
      </c>
      <c r="B714" s="47" t="str">
        <f>VLOOKUP(Tabla6[[#This Row],['# Vuelo]],'Validacion reclamo de equipaje'!P:Q,2,0)</f>
        <v>INTERAVIÓN</v>
      </c>
      <c r="C714" s="48">
        <v>0.70624999999999993</v>
      </c>
      <c r="D714" s="48">
        <v>0.71250000000000002</v>
      </c>
      <c r="E714" s="49">
        <f>'Reclamo de equipaje rediseñado'!$D714-'Reclamo de equipaje rediseñado'!$C714</f>
        <v>6.2500000000000888E-3</v>
      </c>
      <c r="F714" s="48">
        <v>0.71875</v>
      </c>
      <c r="G714" s="49">
        <f t="shared" si="11"/>
        <v>6.2499999999999778E-3</v>
      </c>
      <c r="H714" s="50">
        <v>41726</v>
      </c>
      <c r="I714" s="51" t="s">
        <v>581</v>
      </c>
      <c r="J714" s="51">
        <v>320</v>
      </c>
      <c r="K714" s="51">
        <f>VLOOKUP(J714,'Validacion reclamo de equipaje'!L:M,2,0)</f>
        <v>179</v>
      </c>
      <c r="L714" s="51" t="str">
        <f>VLOOKUP(I714,'Validacion reclamo de equipaje'!H:I,2,0)</f>
        <v>Nacional</v>
      </c>
      <c r="M714" s="51" t="s">
        <v>522</v>
      </c>
    </row>
    <row r="715" spans="1:13" x14ac:dyDescent="0.25">
      <c r="A715">
        <v>808</v>
      </c>
      <c r="B715" s="47" t="str">
        <f>VLOOKUP(Tabla6[[#This Row],['# Vuelo]],'Validacion reclamo de equipaje'!P:Q,2,0)</f>
        <v>INTERAVIÓN</v>
      </c>
      <c r="C715" s="52">
        <v>0.70208333333333339</v>
      </c>
      <c r="D715" s="52">
        <v>0.70833333333333337</v>
      </c>
      <c r="E715" s="53">
        <f>'Reclamo de equipaje rediseñado'!$D715-'Reclamo de equipaje rediseñado'!$C715</f>
        <v>6.2499999999999778E-3</v>
      </c>
      <c r="F715" s="52">
        <v>0.71736111111111101</v>
      </c>
      <c r="G715" s="53">
        <f t="shared" si="11"/>
        <v>9.0277777777776347E-3</v>
      </c>
      <c r="H715" s="54">
        <v>41727</v>
      </c>
      <c r="I715" s="55" t="s">
        <v>581</v>
      </c>
      <c r="J715" s="55">
        <v>320</v>
      </c>
      <c r="K715" s="55">
        <f>VLOOKUP(J715,'Validacion reclamo de equipaje'!L:M,2,0)</f>
        <v>179</v>
      </c>
      <c r="L715" s="55" t="str">
        <f>VLOOKUP(I715,'Validacion reclamo de equipaje'!H:I,2,0)</f>
        <v>Nacional</v>
      </c>
      <c r="M715" s="55" t="s">
        <v>522</v>
      </c>
    </row>
    <row r="716" spans="1:13" x14ac:dyDescent="0.25">
      <c r="A716">
        <v>808</v>
      </c>
      <c r="B716" s="47" t="str">
        <f>VLOOKUP(Tabla6[[#This Row],['# Vuelo]],'Validacion reclamo de equipaje'!P:Q,2,0)</f>
        <v>INTERAVIÓN</v>
      </c>
      <c r="C716" s="48">
        <v>0.70833333333333337</v>
      </c>
      <c r="D716" s="48">
        <v>0.71180555555555547</v>
      </c>
      <c r="E716" s="49">
        <f>'Reclamo de equipaje rediseñado'!$D716-'Reclamo de equipaje rediseñado'!$C716</f>
        <v>3.4722222222220989E-3</v>
      </c>
      <c r="F716" s="48">
        <v>0.71875</v>
      </c>
      <c r="G716" s="49">
        <f t="shared" si="11"/>
        <v>6.9444444444445308E-3</v>
      </c>
      <c r="H716" s="50">
        <v>41729</v>
      </c>
      <c r="I716" s="51" t="s">
        <v>581</v>
      </c>
      <c r="J716" s="51">
        <v>320</v>
      </c>
      <c r="K716" s="51">
        <f>VLOOKUP(J716,'Validacion reclamo de equipaje'!L:M,2,0)</f>
        <v>179</v>
      </c>
      <c r="L716" s="51" t="str">
        <f>VLOOKUP(I716,'Validacion reclamo de equipaje'!H:I,2,0)</f>
        <v>Nacional</v>
      </c>
      <c r="M716" s="51" t="s">
        <v>522</v>
      </c>
    </row>
    <row r="717" spans="1:13" x14ac:dyDescent="0.25">
      <c r="A717">
        <v>623</v>
      </c>
      <c r="B717" s="47" t="str">
        <f>VLOOKUP(Tabla6[[#This Row],['# Vuelo]],'Validacion reclamo de equipaje'!P:Q,2,0)</f>
        <v>INTERAVIÓN</v>
      </c>
      <c r="C717" s="52">
        <v>0.55555555555555558</v>
      </c>
      <c r="D717" s="52">
        <v>0.56319444444444444</v>
      </c>
      <c r="E717" s="53">
        <f>'Reclamo de equipaje rediseñado'!$D717-'Reclamo de equipaje rediseñado'!$C717</f>
        <v>7.6388888888888618E-3</v>
      </c>
      <c r="F717" s="52">
        <v>0.56597222222222221</v>
      </c>
      <c r="G717" s="53">
        <f t="shared" si="11"/>
        <v>2.7777777777777679E-3</v>
      </c>
      <c r="H717" s="54">
        <v>41716</v>
      </c>
      <c r="I717" s="55" t="s">
        <v>582</v>
      </c>
      <c r="J717" s="55">
        <v>320</v>
      </c>
      <c r="K717" s="55">
        <f>VLOOKUP(J717,'Validacion reclamo de equipaje'!L:M,2,0)</f>
        <v>179</v>
      </c>
      <c r="L717" s="55" t="str">
        <f>VLOOKUP(I717,'Validacion reclamo de equipaje'!H:I,2,0)</f>
        <v>Nacional</v>
      </c>
      <c r="M717" s="55" t="s">
        <v>522</v>
      </c>
    </row>
    <row r="718" spans="1:13" x14ac:dyDescent="0.25">
      <c r="A718">
        <v>417</v>
      </c>
      <c r="B718" s="47" t="str">
        <f>VLOOKUP(Tabla6[[#This Row],['# Vuelo]],'Validacion reclamo de equipaje'!P:Q,2,0)</f>
        <v>INTERAVIÓN</v>
      </c>
      <c r="C718" s="48">
        <v>0.14097222222222222</v>
      </c>
      <c r="D718" s="48">
        <v>0.14652777777777778</v>
      </c>
      <c r="E718" s="49">
        <f>'Reclamo de equipaje rediseñado'!$D718-'Reclamo de equipaje rediseñado'!$C718</f>
        <v>5.5555555555555636E-3</v>
      </c>
      <c r="F718" s="48">
        <v>0.15208333333333332</v>
      </c>
      <c r="G718" s="49">
        <f t="shared" si="11"/>
        <v>5.5555555555555358E-3</v>
      </c>
      <c r="H718" s="50">
        <v>41713</v>
      </c>
      <c r="I718" s="51" t="s">
        <v>549</v>
      </c>
      <c r="J718" s="51">
        <v>320</v>
      </c>
      <c r="K718" s="51">
        <f>VLOOKUP(J718,'Validacion reclamo de equipaje'!L:M,2,0)</f>
        <v>179</v>
      </c>
      <c r="L718" s="51" t="str">
        <f>VLOOKUP(I718,'Validacion reclamo de equipaje'!H:I,2,0)</f>
        <v>Nacional</v>
      </c>
      <c r="M718" s="51" t="s">
        <v>522</v>
      </c>
    </row>
    <row r="719" spans="1:13" x14ac:dyDescent="0.25">
      <c r="A719">
        <v>417</v>
      </c>
      <c r="B719" s="47" t="str">
        <f>VLOOKUP(Tabla6[[#This Row],['# Vuelo]],'Validacion reclamo de equipaje'!P:Q,2,0)</f>
        <v>INTERAVIÓN</v>
      </c>
      <c r="C719" s="52">
        <v>0.22916666666666666</v>
      </c>
      <c r="D719" s="52">
        <v>0.23611111111111113</v>
      </c>
      <c r="E719" s="53">
        <f>'Reclamo de equipaje rediseñado'!$D719-'Reclamo de equipaje rediseñado'!$C719</f>
        <v>6.9444444444444753E-3</v>
      </c>
      <c r="F719" s="52">
        <v>0.25</v>
      </c>
      <c r="G719" s="53">
        <f t="shared" si="11"/>
        <v>1.3888888888888867E-2</v>
      </c>
      <c r="H719" s="54">
        <v>41719</v>
      </c>
      <c r="I719" s="55" t="s">
        <v>549</v>
      </c>
      <c r="J719" s="55">
        <v>320</v>
      </c>
      <c r="K719" s="55">
        <f>VLOOKUP(J719,'Validacion reclamo de equipaje'!L:M,2,0)</f>
        <v>179</v>
      </c>
      <c r="L719" s="55" t="str">
        <f>VLOOKUP(I719,'Validacion reclamo de equipaje'!H:I,2,0)</f>
        <v>Nacional</v>
      </c>
      <c r="M719" s="55" t="s">
        <v>522</v>
      </c>
    </row>
    <row r="720" spans="1:13" x14ac:dyDescent="0.25">
      <c r="A720">
        <v>417</v>
      </c>
      <c r="B720" s="47" t="str">
        <f>VLOOKUP(Tabla6[[#This Row],['# Vuelo]],'Validacion reclamo de equipaje'!P:Q,2,0)</f>
        <v>INTERAVIÓN</v>
      </c>
      <c r="C720" s="48">
        <v>0.22222222222222221</v>
      </c>
      <c r="D720" s="48">
        <v>0.2298611111111111</v>
      </c>
      <c r="E720" s="49">
        <f>'Reclamo de equipaje rediseñado'!$D720-'Reclamo de equipaje rediseñado'!$C720</f>
        <v>7.6388888888888895E-3</v>
      </c>
      <c r="F720" s="48">
        <v>0.23333333333333331</v>
      </c>
      <c r="G720" s="49">
        <f t="shared" si="11"/>
        <v>3.4722222222222099E-3</v>
      </c>
      <c r="H720" s="50">
        <v>41724</v>
      </c>
      <c r="I720" s="51" t="s">
        <v>549</v>
      </c>
      <c r="J720" s="51">
        <v>320</v>
      </c>
      <c r="K720" s="51">
        <f>VLOOKUP(J720,'Validacion reclamo de equipaje'!L:M,2,0)</f>
        <v>179</v>
      </c>
      <c r="L720" s="51" t="str">
        <f>VLOOKUP(I720,'Validacion reclamo de equipaje'!H:I,2,0)</f>
        <v>Nacional</v>
      </c>
      <c r="M720" s="51" t="s">
        <v>522</v>
      </c>
    </row>
    <row r="721" spans="1:13" x14ac:dyDescent="0.25">
      <c r="A721">
        <v>417</v>
      </c>
      <c r="B721" s="47" t="str">
        <f>VLOOKUP(Tabla6[[#This Row],['# Vuelo]],'Validacion reclamo de equipaje'!P:Q,2,0)</f>
        <v>INTERAVIÓN</v>
      </c>
      <c r="C721" s="52">
        <v>0.21527777777777779</v>
      </c>
      <c r="D721" s="52">
        <v>0.22013888888888888</v>
      </c>
      <c r="E721" s="53">
        <f>'Reclamo de equipaje rediseñado'!$D721-'Reclamo de equipaje rediseñado'!$C721</f>
        <v>4.8611111111110938E-3</v>
      </c>
      <c r="F721" s="52">
        <v>0.23124999999999998</v>
      </c>
      <c r="G721" s="53">
        <f t="shared" si="11"/>
        <v>1.1111111111111099E-2</v>
      </c>
      <c r="H721" s="54">
        <v>41725</v>
      </c>
      <c r="I721" s="55" t="s">
        <v>549</v>
      </c>
      <c r="J721" s="55">
        <v>320</v>
      </c>
      <c r="K721" s="55">
        <f>VLOOKUP(J721,'Validacion reclamo de equipaje'!L:M,2,0)</f>
        <v>179</v>
      </c>
      <c r="L721" s="55" t="str">
        <f>VLOOKUP(I721,'Validacion reclamo de equipaje'!H:I,2,0)</f>
        <v>Nacional</v>
      </c>
      <c r="M721" s="55" t="s">
        <v>522</v>
      </c>
    </row>
    <row r="722" spans="1:13" x14ac:dyDescent="0.25">
      <c r="A722">
        <v>417</v>
      </c>
      <c r="B722" s="47" t="str">
        <f>VLOOKUP(Tabla6[[#This Row],['# Vuelo]],'Validacion reclamo de equipaje'!P:Q,2,0)</f>
        <v>INTERAVIÓN</v>
      </c>
      <c r="C722" s="48">
        <v>0.15625</v>
      </c>
      <c r="D722" s="48">
        <v>0.17222222222222225</v>
      </c>
      <c r="E722" s="49">
        <f>'Reclamo de equipaje rediseñado'!$D722-'Reclamo de equipaje rediseñado'!$C722</f>
        <v>1.5972222222222249E-2</v>
      </c>
      <c r="F722" s="48">
        <v>0.17708333333333334</v>
      </c>
      <c r="G722" s="49">
        <f t="shared" si="11"/>
        <v>4.8611111111110938E-3</v>
      </c>
      <c r="H722" s="50">
        <v>41727</v>
      </c>
      <c r="I722" s="51" t="s">
        <v>549</v>
      </c>
      <c r="J722" s="51">
        <v>320</v>
      </c>
      <c r="K722" s="51">
        <f>VLOOKUP(J722,'Validacion reclamo de equipaje'!L:M,2,0)</f>
        <v>179</v>
      </c>
      <c r="L722" s="51" t="str">
        <f>VLOOKUP(I722,'Validacion reclamo de equipaje'!H:I,2,0)</f>
        <v>Nacional</v>
      </c>
      <c r="M722" s="51" t="s">
        <v>522</v>
      </c>
    </row>
    <row r="723" spans="1:13" x14ac:dyDescent="0.25">
      <c r="A723">
        <v>415</v>
      </c>
      <c r="B723" s="47" t="str">
        <f>VLOOKUP(Tabla6[[#This Row],['# Vuelo]],'Validacion reclamo de equipaje'!P:Q,2,0)</f>
        <v>INTERAVIÓN</v>
      </c>
      <c r="C723" s="52">
        <v>0.21597222222222223</v>
      </c>
      <c r="D723" s="52">
        <v>0.22083333333333333</v>
      </c>
      <c r="E723" s="53">
        <f>'Reclamo de equipaje rediseñado'!$D723-'Reclamo de equipaje rediseñado'!$C723</f>
        <v>4.8611111111110938E-3</v>
      </c>
      <c r="F723" s="52">
        <v>0.22430555555555556</v>
      </c>
      <c r="G723" s="53">
        <f t="shared" si="11"/>
        <v>3.4722222222222376E-3</v>
      </c>
      <c r="H723" s="54">
        <v>41715</v>
      </c>
      <c r="I723" s="55" t="s">
        <v>549</v>
      </c>
      <c r="J723" s="55">
        <v>320</v>
      </c>
      <c r="K723" s="55">
        <f>VLOOKUP(J723,'Validacion reclamo de equipaje'!L:M,2,0)</f>
        <v>179</v>
      </c>
      <c r="L723" s="55" t="str">
        <f>VLOOKUP(I723,'Validacion reclamo de equipaje'!H:I,2,0)</f>
        <v>Nacional</v>
      </c>
      <c r="M723" s="55" t="s">
        <v>522</v>
      </c>
    </row>
    <row r="724" spans="1:13" x14ac:dyDescent="0.25">
      <c r="A724">
        <v>415</v>
      </c>
      <c r="B724" s="47" t="str">
        <f>VLOOKUP(Tabla6[[#This Row],['# Vuelo]],'Validacion reclamo de equipaje'!P:Q,2,0)</f>
        <v>INTERAVIÓN</v>
      </c>
      <c r="C724" s="48">
        <v>0.24791666666666667</v>
      </c>
      <c r="D724" s="48">
        <v>0.25694444444444448</v>
      </c>
      <c r="E724" s="49">
        <f>'Reclamo de equipaje rediseñado'!$D724-'Reclamo de equipaje rediseñado'!$C724</f>
        <v>9.0277777777778012E-3</v>
      </c>
      <c r="F724" s="48">
        <v>0.2638888888888889</v>
      </c>
      <c r="G724" s="49">
        <f t="shared" si="11"/>
        <v>6.9444444444444198E-3</v>
      </c>
      <c r="H724" s="50">
        <v>41724</v>
      </c>
      <c r="I724" s="51" t="s">
        <v>549</v>
      </c>
      <c r="J724" s="51">
        <v>320</v>
      </c>
      <c r="K724" s="51">
        <f>VLOOKUP(J724,'Validacion reclamo de equipaje'!L:M,2,0)</f>
        <v>179</v>
      </c>
      <c r="L724" s="51" t="str">
        <f>VLOOKUP(I724,'Validacion reclamo de equipaje'!H:I,2,0)</f>
        <v>Nacional</v>
      </c>
      <c r="M724" s="51" t="s">
        <v>522</v>
      </c>
    </row>
    <row r="725" spans="1:13" x14ac:dyDescent="0.25">
      <c r="A725">
        <v>415</v>
      </c>
      <c r="B725" s="47" t="str">
        <f>VLOOKUP(Tabla6[[#This Row],['# Vuelo]],'Validacion reclamo de equipaje'!P:Q,2,0)</f>
        <v>INTERAVIÓN</v>
      </c>
      <c r="C725" s="52">
        <v>0.22569444444444445</v>
      </c>
      <c r="D725" s="52">
        <v>0.23124999999999998</v>
      </c>
      <c r="E725" s="53">
        <f>'Reclamo de equipaje rediseñado'!$D725-'Reclamo de equipaje rediseñado'!$C725</f>
        <v>5.5555555555555358E-3</v>
      </c>
      <c r="F725" s="52">
        <v>0.24236111111111111</v>
      </c>
      <c r="G725" s="53">
        <f t="shared" si="11"/>
        <v>1.1111111111111127E-2</v>
      </c>
      <c r="H725" s="54">
        <v>41726</v>
      </c>
      <c r="I725" s="55" t="s">
        <v>549</v>
      </c>
      <c r="J725" s="55">
        <v>320</v>
      </c>
      <c r="K725" s="55">
        <f>VLOOKUP(J725,'Validacion reclamo de equipaje'!L:M,2,0)</f>
        <v>179</v>
      </c>
      <c r="L725" s="55" t="str">
        <f>VLOOKUP(I725,'Validacion reclamo de equipaje'!H:I,2,0)</f>
        <v>Nacional</v>
      </c>
      <c r="M725" s="55" t="s">
        <v>522</v>
      </c>
    </row>
    <row r="726" spans="1:13" x14ac:dyDescent="0.25">
      <c r="A726">
        <v>411</v>
      </c>
      <c r="B726" s="47" t="str">
        <f>VLOOKUP(Tabla6[[#This Row],['# Vuelo]],'Validacion reclamo de equipaje'!P:Q,2,0)</f>
        <v>INTERAVIÓN</v>
      </c>
      <c r="C726" s="48">
        <v>0.83124999999999993</v>
      </c>
      <c r="D726" s="48">
        <v>0.83680555555555547</v>
      </c>
      <c r="E726" s="49">
        <f>'Reclamo de equipaje rediseñado'!$D726-'Reclamo de equipaje rediseñado'!$C726</f>
        <v>5.5555555555555358E-3</v>
      </c>
      <c r="F726" s="48">
        <v>0.84375</v>
      </c>
      <c r="G726" s="49">
        <f t="shared" si="11"/>
        <v>6.9444444444445308E-3</v>
      </c>
      <c r="H726" s="50">
        <v>41713</v>
      </c>
      <c r="I726" s="51" t="s">
        <v>549</v>
      </c>
      <c r="J726" s="51">
        <v>320</v>
      </c>
      <c r="K726" s="51">
        <f>VLOOKUP(J726,'Validacion reclamo de equipaje'!L:M,2,0)</f>
        <v>179</v>
      </c>
      <c r="L726" s="51" t="str">
        <f>VLOOKUP(I726,'Validacion reclamo de equipaje'!H:I,2,0)</f>
        <v>Nacional</v>
      </c>
      <c r="M726" s="51" t="s">
        <v>522</v>
      </c>
    </row>
    <row r="727" spans="1:13" x14ac:dyDescent="0.25">
      <c r="A727">
        <v>411</v>
      </c>
      <c r="B727" s="47" t="str">
        <f>VLOOKUP(Tabla6[[#This Row],['# Vuelo]],'Validacion reclamo de equipaje'!P:Q,2,0)</f>
        <v>INTERAVIÓN</v>
      </c>
      <c r="C727" s="52">
        <v>0.83750000000000002</v>
      </c>
      <c r="D727" s="52">
        <v>0.84375</v>
      </c>
      <c r="E727" s="53">
        <f>'Reclamo de equipaje rediseñado'!$D727-'Reclamo de equipaje rediseñado'!$C727</f>
        <v>6.2499999999999778E-3</v>
      </c>
      <c r="F727" s="52">
        <v>0.85069444444444453</v>
      </c>
      <c r="G727" s="53">
        <f t="shared" si="11"/>
        <v>6.9444444444445308E-3</v>
      </c>
      <c r="H727" s="54">
        <v>41715</v>
      </c>
      <c r="I727" s="55" t="s">
        <v>549</v>
      </c>
      <c r="J727" s="55">
        <v>320</v>
      </c>
      <c r="K727" s="55">
        <f>VLOOKUP(J727,'Validacion reclamo de equipaje'!L:M,2,0)</f>
        <v>179</v>
      </c>
      <c r="L727" s="55" t="str">
        <f>VLOOKUP(I727,'Validacion reclamo de equipaje'!H:I,2,0)</f>
        <v>Nacional</v>
      </c>
      <c r="M727" s="55" t="s">
        <v>522</v>
      </c>
    </row>
    <row r="728" spans="1:13" x14ac:dyDescent="0.25">
      <c r="A728">
        <v>411</v>
      </c>
      <c r="B728" s="47" t="str">
        <f>VLOOKUP(Tabla6[[#This Row],['# Vuelo]],'Validacion reclamo de equipaje'!P:Q,2,0)</f>
        <v>INTERAVIÓN</v>
      </c>
      <c r="C728" s="48">
        <v>0.8534722222222223</v>
      </c>
      <c r="D728" s="48">
        <v>0.86041666666666661</v>
      </c>
      <c r="E728" s="49">
        <f>'Reclamo de equipaje rediseñado'!$D728-'Reclamo de equipaje rediseñado'!$C728</f>
        <v>6.9444444444443088E-3</v>
      </c>
      <c r="F728" s="48">
        <v>0.8618055555555556</v>
      </c>
      <c r="G728" s="49">
        <f t="shared" si="11"/>
        <v>1.388888888888995E-3</v>
      </c>
      <c r="H728" s="50">
        <v>41716</v>
      </c>
      <c r="I728" s="51" t="s">
        <v>549</v>
      </c>
      <c r="J728" s="51">
        <v>320</v>
      </c>
      <c r="K728" s="51">
        <f>VLOOKUP(J728,'Validacion reclamo de equipaje'!L:M,2,0)</f>
        <v>179</v>
      </c>
      <c r="L728" s="51" t="str">
        <f>VLOOKUP(I728,'Validacion reclamo de equipaje'!H:I,2,0)</f>
        <v>Nacional</v>
      </c>
      <c r="M728" s="51" t="s">
        <v>522</v>
      </c>
    </row>
    <row r="729" spans="1:13" x14ac:dyDescent="0.25">
      <c r="A729">
        <v>411</v>
      </c>
      <c r="B729" s="47" t="str">
        <f>VLOOKUP(Tabla6[[#This Row],['# Vuelo]],'Validacion reclamo de equipaje'!P:Q,2,0)</f>
        <v>INTERAVIÓN</v>
      </c>
      <c r="C729" s="52">
        <v>0.84027777777777779</v>
      </c>
      <c r="D729" s="52">
        <v>0.85625000000000007</v>
      </c>
      <c r="E729" s="53">
        <f>'Reclamo de equipaje rediseñado'!$D729-'Reclamo de equipaje rediseñado'!$C729</f>
        <v>1.5972222222222276E-2</v>
      </c>
      <c r="F729" s="52">
        <v>0.85833333333333339</v>
      </c>
      <c r="G729" s="53">
        <f t="shared" si="11"/>
        <v>2.0833333333333259E-3</v>
      </c>
      <c r="H729" s="54">
        <v>41719</v>
      </c>
      <c r="I729" s="55" t="s">
        <v>549</v>
      </c>
      <c r="J729" s="55">
        <v>320</v>
      </c>
      <c r="K729" s="55">
        <f>VLOOKUP(J729,'Validacion reclamo de equipaje'!L:M,2,0)</f>
        <v>179</v>
      </c>
      <c r="L729" s="55" t="str">
        <f>VLOOKUP(I729,'Validacion reclamo de equipaje'!H:I,2,0)</f>
        <v>Nacional</v>
      </c>
      <c r="M729" s="55" t="s">
        <v>522</v>
      </c>
    </row>
    <row r="730" spans="1:13" x14ac:dyDescent="0.25">
      <c r="A730">
        <v>411</v>
      </c>
      <c r="B730" s="47" t="str">
        <f>VLOOKUP(Tabla6[[#This Row],['# Vuelo]],'Validacion reclamo de equipaje'!P:Q,2,0)</f>
        <v>INTERAVIÓN</v>
      </c>
      <c r="C730" s="48">
        <v>0.83819444444444446</v>
      </c>
      <c r="D730" s="48">
        <v>0.84652777777777777</v>
      </c>
      <c r="E730" s="49">
        <f>'Reclamo de equipaje rediseñado'!$D730-'Reclamo de equipaje rediseñado'!$C730</f>
        <v>8.3333333333333037E-3</v>
      </c>
      <c r="F730" s="48">
        <v>0.85625000000000007</v>
      </c>
      <c r="G730" s="49">
        <f t="shared" si="11"/>
        <v>9.7222222222222987E-3</v>
      </c>
      <c r="H730" s="50">
        <v>41721</v>
      </c>
      <c r="I730" s="51" t="s">
        <v>549</v>
      </c>
      <c r="J730" s="51">
        <v>320</v>
      </c>
      <c r="K730" s="51">
        <f>VLOOKUP(J730,'Validacion reclamo de equipaje'!L:M,2,0)</f>
        <v>179</v>
      </c>
      <c r="L730" s="51" t="str">
        <f>VLOOKUP(I730,'Validacion reclamo de equipaje'!H:I,2,0)</f>
        <v>Nacional</v>
      </c>
      <c r="M730" s="51" t="s">
        <v>522</v>
      </c>
    </row>
    <row r="731" spans="1:13" x14ac:dyDescent="0.25">
      <c r="A731">
        <v>411</v>
      </c>
      <c r="B731" s="47" t="str">
        <f>VLOOKUP(Tabla6[[#This Row],['# Vuelo]],'Validacion reclamo de equipaje'!P:Q,2,0)</f>
        <v>INTERAVIÓN</v>
      </c>
      <c r="C731" s="52">
        <v>0.83750000000000002</v>
      </c>
      <c r="D731" s="52">
        <v>0.84027777777777779</v>
      </c>
      <c r="E731" s="53">
        <f>'Reclamo de equipaje rediseñado'!$D731-'Reclamo de equipaje rediseñado'!$C731</f>
        <v>2.7777777777777679E-3</v>
      </c>
      <c r="F731" s="52">
        <v>0.86875000000000002</v>
      </c>
      <c r="G731" s="53">
        <f t="shared" si="11"/>
        <v>2.8472222222222232E-2</v>
      </c>
      <c r="H731" s="54">
        <v>41721</v>
      </c>
      <c r="I731" s="55" t="s">
        <v>549</v>
      </c>
      <c r="J731" s="55">
        <v>320</v>
      </c>
      <c r="K731" s="55">
        <f>VLOOKUP(J731,'Validacion reclamo de equipaje'!L:M,2,0)</f>
        <v>179</v>
      </c>
      <c r="L731" s="55" t="str">
        <f>VLOOKUP(I731,'Validacion reclamo de equipaje'!H:I,2,0)</f>
        <v>Nacional</v>
      </c>
      <c r="M731" s="55" t="s">
        <v>522</v>
      </c>
    </row>
    <row r="732" spans="1:13" x14ac:dyDescent="0.25">
      <c r="A732">
        <v>411</v>
      </c>
      <c r="B732" s="47" t="str">
        <f>VLOOKUP(Tabla6[[#This Row],['# Vuelo]],'Validacion reclamo de equipaje'!P:Q,2,0)</f>
        <v>INTERAVIÓN</v>
      </c>
      <c r="C732" s="48">
        <v>0.84375</v>
      </c>
      <c r="D732" s="48">
        <v>0.84652777777777777</v>
      </c>
      <c r="E732" s="49">
        <f>'Reclamo de equipaje rediseñado'!$D732-'Reclamo de equipaje rediseñado'!$C732</f>
        <v>2.7777777777777679E-3</v>
      </c>
      <c r="F732" s="48">
        <v>0.8534722222222223</v>
      </c>
      <c r="G732" s="49">
        <f t="shared" si="11"/>
        <v>6.9444444444445308E-3</v>
      </c>
      <c r="H732" s="50">
        <v>41724</v>
      </c>
      <c r="I732" s="51" t="s">
        <v>549</v>
      </c>
      <c r="J732" s="51">
        <v>320</v>
      </c>
      <c r="K732" s="51">
        <f>VLOOKUP(J732,'Validacion reclamo de equipaje'!L:M,2,0)</f>
        <v>179</v>
      </c>
      <c r="L732" s="51" t="str">
        <f>VLOOKUP(I732,'Validacion reclamo de equipaje'!H:I,2,0)</f>
        <v>Nacional</v>
      </c>
      <c r="M732" s="51" t="s">
        <v>522</v>
      </c>
    </row>
    <row r="733" spans="1:13" x14ac:dyDescent="0.25">
      <c r="A733">
        <v>411</v>
      </c>
      <c r="B733" s="47" t="str">
        <f>VLOOKUP(Tabla6[[#This Row],['# Vuelo]],'Validacion reclamo de equipaje'!P:Q,2,0)</f>
        <v>INTERAVIÓN</v>
      </c>
      <c r="C733" s="52">
        <v>0.84166666666666667</v>
      </c>
      <c r="D733" s="52">
        <v>0.84513888888888899</v>
      </c>
      <c r="E733" s="53">
        <f>'Reclamo de equipaje rediseñado'!$D733-'Reclamo de equipaje rediseñado'!$C733</f>
        <v>3.4722222222223209E-3</v>
      </c>
      <c r="F733" s="52">
        <v>0.85277777777777775</v>
      </c>
      <c r="G733" s="53">
        <f t="shared" si="11"/>
        <v>7.6388888888887507E-3</v>
      </c>
      <c r="H733" s="54">
        <v>41725</v>
      </c>
      <c r="I733" s="55" t="s">
        <v>549</v>
      </c>
      <c r="J733" s="55">
        <v>320</v>
      </c>
      <c r="K733" s="55">
        <f>VLOOKUP(J733,'Validacion reclamo de equipaje'!L:M,2,0)</f>
        <v>179</v>
      </c>
      <c r="L733" s="55" t="str">
        <f>VLOOKUP(I733,'Validacion reclamo de equipaje'!H:I,2,0)</f>
        <v>Nacional</v>
      </c>
      <c r="M733" s="55" t="s">
        <v>522</v>
      </c>
    </row>
    <row r="734" spans="1:13" x14ac:dyDescent="0.25">
      <c r="A734">
        <v>411</v>
      </c>
      <c r="B734" s="47" t="str">
        <f>VLOOKUP(Tabla6[[#This Row],['# Vuelo]],'Validacion reclamo de equipaje'!P:Q,2,0)</f>
        <v>INTERAVIÓN</v>
      </c>
      <c r="C734" s="48">
        <v>0.84513888888888899</v>
      </c>
      <c r="D734" s="48">
        <v>0.85416666666666663</v>
      </c>
      <c r="E734" s="49">
        <f>'Reclamo de equipaje rediseñado'!$D734-'Reclamo de equipaje rediseñado'!$C734</f>
        <v>9.0277777777776347E-3</v>
      </c>
      <c r="F734" s="48">
        <v>0.8666666666666667</v>
      </c>
      <c r="G734" s="49">
        <f t="shared" si="11"/>
        <v>1.2500000000000067E-2</v>
      </c>
      <c r="H734" s="50">
        <v>41726</v>
      </c>
      <c r="I734" s="51" t="s">
        <v>549</v>
      </c>
      <c r="J734" s="51">
        <v>320</v>
      </c>
      <c r="K734" s="51">
        <f>VLOOKUP(J734,'Validacion reclamo de equipaje'!L:M,2,0)</f>
        <v>179</v>
      </c>
      <c r="L734" s="51" t="str">
        <f>VLOOKUP(I734,'Validacion reclamo de equipaje'!H:I,2,0)</f>
        <v>Nacional</v>
      </c>
      <c r="M734" s="51" t="s">
        <v>522</v>
      </c>
    </row>
    <row r="735" spans="1:13" x14ac:dyDescent="0.25">
      <c r="A735">
        <v>411</v>
      </c>
      <c r="B735" s="47" t="str">
        <f>VLOOKUP(Tabla6[[#This Row],['# Vuelo]],'Validacion reclamo de equipaje'!P:Q,2,0)</f>
        <v>INTERAVIÓN</v>
      </c>
      <c r="C735" s="52">
        <v>0.83680555555555547</v>
      </c>
      <c r="D735" s="52">
        <v>0.84375</v>
      </c>
      <c r="E735" s="53">
        <f>'Reclamo de equipaje rediseñado'!$D735-'Reclamo de equipaje rediseñado'!$C735</f>
        <v>6.9444444444445308E-3</v>
      </c>
      <c r="F735" s="52">
        <v>0.8520833333333333</v>
      </c>
      <c r="G735" s="53">
        <f t="shared" si="11"/>
        <v>8.3333333333333037E-3</v>
      </c>
      <c r="H735" s="54">
        <v>41727</v>
      </c>
      <c r="I735" s="55" t="s">
        <v>549</v>
      </c>
      <c r="J735" s="55">
        <v>320</v>
      </c>
      <c r="K735" s="55">
        <f>VLOOKUP(J735,'Validacion reclamo de equipaje'!L:M,2,0)</f>
        <v>179</v>
      </c>
      <c r="L735" s="55" t="str">
        <f>VLOOKUP(I735,'Validacion reclamo de equipaje'!H:I,2,0)</f>
        <v>Nacional</v>
      </c>
      <c r="M735" s="55" t="s">
        <v>522</v>
      </c>
    </row>
    <row r="736" spans="1:13" x14ac:dyDescent="0.25">
      <c r="A736">
        <v>248</v>
      </c>
      <c r="B736" s="47" t="str">
        <f>VLOOKUP(Tabla6[[#This Row],['# Vuelo]],'Validacion reclamo de equipaje'!P:Q,2,0)</f>
        <v>VUELOS AL NORTE</v>
      </c>
      <c r="C736" s="48">
        <v>0.48402777777777778</v>
      </c>
      <c r="D736" s="48">
        <v>0.4916666666666667</v>
      </c>
      <c r="E736" s="49">
        <f>'Reclamo de equipaje rediseñado'!$D736-'Reclamo de equipaje rediseñado'!$C736</f>
        <v>7.6388888888889173E-3</v>
      </c>
      <c r="F736" s="48">
        <v>0.51666666666666672</v>
      </c>
      <c r="G736" s="49">
        <f t="shared" si="11"/>
        <v>2.5000000000000022E-2</v>
      </c>
      <c r="H736" s="50">
        <v>41715</v>
      </c>
      <c r="I736" s="51" t="s">
        <v>583</v>
      </c>
      <c r="J736" s="51" t="s">
        <v>554</v>
      </c>
      <c r="K736" s="51">
        <f>VLOOKUP(J736,'Validacion reclamo de equipaje'!L:M,2,0)</f>
        <v>189</v>
      </c>
      <c r="L736" s="51" t="str">
        <f>VLOOKUP(I736,'Validacion reclamo de equipaje'!H:I,2,0)</f>
        <v>Internacional</v>
      </c>
      <c r="M736" s="51" t="s">
        <v>522</v>
      </c>
    </row>
    <row r="737" spans="1:13" x14ac:dyDescent="0.25">
      <c r="A737">
        <v>236</v>
      </c>
      <c r="B737" s="47" t="str">
        <f>VLOOKUP(Tabla6[[#This Row],['# Vuelo]],'Validacion reclamo de equipaje'!P:Q,2,0)</f>
        <v>INTERAVIÓN</v>
      </c>
      <c r="C737" s="52">
        <v>0.88888888888888884</v>
      </c>
      <c r="D737" s="52">
        <v>0.90277777777777779</v>
      </c>
      <c r="E737" s="53">
        <f>'Reclamo de equipaje rediseñado'!$D737-'Reclamo de equipaje rediseñado'!$C737</f>
        <v>1.3888888888888951E-2</v>
      </c>
      <c r="F737" s="52">
        <v>0.91249999999999998</v>
      </c>
      <c r="G737" s="53">
        <f t="shared" si="11"/>
        <v>9.7222222222221877E-3</v>
      </c>
      <c r="H737" s="54">
        <v>41715</v>
      </c>
      <c r="I737" s="55" t="s">
        <v>543</v>
      </c>
      <c r="J737" s="55">
        <v>320</v>
      </c>
      <c r="K737" s="55">
        <f>VLOOKUP(J737,'Validacion reclamo de equipaje'!L:M,2,0)</f>
        <v>179</v>
      </c>
      <c r="L737" s="55" t="str">
        <f>VLOOKUP(I737,'Validacion reclamo de equipaje'!H:I,2,0)</f>
        <v>Nacional</v>
      </c>
      <c r="M737" s="55" t="s">
        <v>522</v>
      </c>
    </row>
    <row r="738" spans="1:13" x14ac:dyDescent="0.25">
      <c r="A738">
        <v>236</v>
      </c>
      <c r="B738" s="47" t="str">
        <f>VLOOKUP(Tabla6[[#This Row],['# Vuelo]],'Validacion reclamo de equipaje'!P:Q,2,0)</f>
        <v>INTERAVIÓN</v>
      </c>
      <c r="C738" s="48">
        <v>0.87083333333333324</v>
      </c>
      <c r="D738" s="48">
        <v>0.87986111111111109</v>
      </c>
      <c r="E738" s="49">
        <f>'Reclamo de equipaje rediseñado'!$D738-'Reclamo de equipaje rediseñado'!$C738</f>
        <v>9.0277777777778567E-3</v>
      </c>
      <c r="F738" s="48">
        <v>0.88888888888888884</v>
      </c>
      <c r="G738" s="49">
        <f t="shared" si="11"/>
        <v>9.0277777777777457E-3</v>
      </c>
      <c r="H738" s="50">
        <v>41716</v>
      </c>
      <c r="I738" s="51" t="s">
        <v>543</v>
      </c>
      <c r="J738" s="51">
        <v>320</v>
      </c>
      <c r="K738" s="51">
        <f>VLOOKUP(J738,'Validacion reclamo de equipaje'!L:M,2,0)</f>
        <v>179</v>
      </c>
      <c r="L738" s="51" t="str">
        <f>VLOOKUP(I738,'Validacion reclamo de equipaje'!H:I,2,0)</f>
        <v>Nacional</v>
      </c>
      <c r="M738" s="51" t="s">
        <v>522</v>
      </c>
    </row>
    <row r="739" spans="1:13" x14ac:dyDescent="0.25">
      <c r="A739">
        <v>236</v>
      </c>
      <c r="B739" s="47" t="str">
        <f>VLOOKUP(Tabla6[[#This Row],['# Vuelo]],'Validacion reclamo de equipaje'!P:Q,2,0)</f>
        <v>INTERAVIÓN</v>
      </c>
      <c r="C739" s="52">
        <v>0.88750000000000007</v>
      </c>
      <c r="D739" s="52">
        <v>0.89583333333333337</v>
      </c>
      <c r="E739" s="53">
        <f>'Reclamo de equipaje rediseñado'!$D739-'Reclamo de equipaje rediseñado'!$C739</f>
        <v>8.3333333333333037E-3</v>
      </c>
      <c r="F739" s="52">
        <v>0.90138888888888891</v>
      </c>
      <c r="G739" s="53">
        <f t="shared" si="11"/>
        <v>5.5555555555555358E-3</v>
      </c>
      <c r="H739" s="54">
        <v>41721</v>
      </c>
      <c r="I739" s="55" t="s">
        <v>543</v>
      </c>
      <c r="J739" s="55">
        <v>320</v>
      </c>
      <c r="K739" s="55">
        <f>VLOOKUP(J739,'Validacion reclamo de equipaje'!L:M,2,0)</f>
        <v>179</v>
      </c>
      <c r="L739" s="55" t="str">
        <f>VLOOKUP(I739,'Validacion reclamo de equipaje'!H:I,2,0)</f>
        <v>Nacional</v>
      </c>
      <c r="M739" s="55" t="s">
        <v>522</v>
      </c>
    </row>
    <row r="740" spans="1:13" x14ac:dyDescent="0.25">
      <c r="A740">
        <v>236</v>
      </c>
      <c r="B740" s="47" t="str">
        <f>VLOOKUP(Tabla6[[#This Row],['# Vuelo]],'Validacion reclamo de equipaje'!P:Q,2,0)</f>
        <v>INTERAVIÓN</v>
      </c>
      <c r="C740" s="48">
        <v>0.88611111111111107</v>
      </c>
      <c r="D740" s="48">
        <v>0.8930555555555556</v>
      </c>
      <c r="E740" s="49">
        <f>'Reclamo de equipaje rediseñado'!$D740-'Reclamo de equipaje rediseñado'!$C740</f>
        <v>6.9444444444445308E-3</v>
      </c>
      <c r="F740" s="48">
        <v>0.9</v>
      </c>
      <c r="G740" s="49">
        <f t="shared" si="11"/>
        <v>6.9444444444444198E-3</v>
      </c>
      <c r="H740" s="50">
        <v>41723</v>
      </c>
      <c r="I740" s="51" t="s">
        <v>543</v>
      </c>
      <c r="J740" s="51">
        <v>320</v>
      </c>
      <c r="K740" s="51">
        <f>VLOOKUP(J740,'Validacion reclamo de equipaje'!L:M,2,0)</f>
        <v>179</v>
      </c>
      <c r="L740" s="51" t="str">
        <f>VLOOKUP(I740,'Validacion reclamo de equipaje'!H:I,2,0)</f>
        <v>Nacional</v>
      </c>
      <c r="M740" s="51" t="s">
        <v>522</v>
      </c>
    </row>
    <row r="741" spans="1:13" x14ac:dyDescent="0.25">
      <c r="A741">
        <v>236</v>
      </c>
      <c r="B741" s="47" t="str">
        <f>VLOOKUP(Tabla6[[#This Row],['# Vuelo]],'Validacion reclamo de equipaje'!P:Q,2,0)</f>
        <v>INTERAVIÓN</v>
      </c>
      <c r="C741" s="52">
        <v>0.8930555555555556</v>
      </c>
      <c r="D741" s="52">
        <v>0.90277777777777779</v>
      </c>
      <c r="E741" s="53">
        <f>'Reclamo de equipaje rediseñado'!$D741-'Reclamo de equipaje rediseñado'!$C741</f>
        <v>9.7222222222221877E-3</v>
      </c>
      <c r="F741" s="52">
        <v>0.9159722222222223</v>
      </c>
      <c r="G741" s="53">
        <f t="shared" si="11"/>
        <v>1.3194444444444509E-2</v>
      </c>
      <c r="H741" s="54">
        <v>41724</v>
      </c>
      <c r="I741" s="55" t="s">
        <v>543</v>
      </c>
      <c r="J741" s="55">
        <v>320</v>
      </c>
      <c r="K741" s="55">
        <f>VLOOKUP(J741,'Validacion reclamo de equipaje'!L:M,2,0)</f>
        <v>179</v>
      </c>
      <c r="L741" s="55" t="str">
        <f>VLOOKUP(I741,'Validacion reclamo de equipaje'!H:I,2,0)</f>
        <v>Nacional</v>
      </c>
      <c r="M741" s="55" t="s">
        <v>522</v>
      </c>
    </row>
    <row r="742" spans="1:13" x14ac:dyDescent="0.25">
      <c r="A742">
        <v>236</v>
      </c>
      <c r="B742" s="47" t="str">
        <f>VLOOKUP(Tabla6[[#This Row],['# Vuelo]],'Validacion reclamo de equipaje'!P:Q,2,0)</f>
        <v>INTERAVIÓN</v>
      </c>
      <c r="C742" s="48">
        <v>0.89583333333333337</v>
      </c>
      <c r="D742" s="48">
        <v>0.89861111111111114</v>
      </c>
      <c r="E742" s="49">
        <f>'Reclamo de equipaje rediseñado'!$D742-'Reclamo de equipaje rediseñado'!$C742</f>
        <v>2.7777777777777679E-3</v>
      </c>
      <c r="F742" s="48">
        <v>0.91527777777777775</v>
      </c>
      <c r="G742" s="49">
        <f t="shared" si="11"/>
        <v>1.6666666666666607E-2</v>
      </c>
      <c r="H742" s="50">
        <v>41724</v>
      </c>
      <c r="I742" s="51" t="s">
        <v>543</v>
      </c>
      <c r="J742" s="51">
        <v>320</v>
      </c>
      <c r="K742" s="51">
        <f>VLOOKUP(J742,'Validacion reclamo de equipaje'!L:M,2,0)</f>
        <v>179</v>
      </c>
      <c r="L742" s="51" t="str">
        <f>VLOOKUP(I742,'Validacion reclamo de equipaje'!H:I,2,0)</f>
        <v>Nacional</v>
      </c>
      <c r="M742" s="51" t="s">
        <v>522</v>
      </c>
    </row>
    <row r="743" spans="1:13" x14ac:dyDescent="0.25">
      <c r="A743">
        <v>236</v>
      </c>
      <c r="B743" s="47" t="str">
        <f>VLOOKUP(Tabla6[[#This Row],['# Vuelo]],'Validacion reclamo de equipaje'!P:Q,2,0)</f>
        <v>INTERAVIÓN</v>
      </c>
      <c r="C743" s="52">
        <v>0.8930555555555556</v>
      </c>
      <c r="D743" s="52">
        <v>0.90486111111111101</v>
      </c>
      <c r="E743" s="53">
        <f>'Reclamo de equipaje rediseñado'!$D743-'Reclamo de equipaje rediseñado'!$C743</f>
        <v>1.1805555555555403E-2</v>
      </c>
      <c r="F743" s="52">
        <v>0.90972222222222221</v>
      </c>
      <c r="G743" s="53">
        <f t="shared" si="11"/>
        <v>4.8611111111112049E-3</v>
      </c>
      <c r="H743" s="54">
        <v>41725</v>
      </c>
      <c r="I743" s="55" t="s">
        <v>543</v>
      </c>
      <c r="J743" s="55">
        <v>320</v>
      </c>
      <c r="K743" s="55">
        <f>VLOOKUP(J743,'Validacion reclamo de equipaje'!L:M,2,0)</f>
        <v>179</v>
      </c>
      <c r="L743" s="55" t="str">
        <f>VLOOKUP(I743,'Validacion reclamo de equipaje'!H:I,2,0)</f>
        <v>Nacional</v>
      </c>
      <c r="M743" s="55" t="s">
        <v>522</v>
      </c>
    </row>
    <row r="744" spans="1:13" x14ac:dyDescent="0.25">
      <c r="A744">
        <v>236</v>
      </c>
      <c r="B744" s="47" t="str">
        <f>VLOOKUP(Tabla6[[#This Row],['# Vuelo]],'Validacion reclamo de equipaje'!P:Q,2,0)</f>
        <v>INTERAVIÓN</v>
      </c>
      <c r="C744" s="48">
        <v>0.88541666666666663</v>
      </c>
      <c r="D744" s="48">
        <v>0.89374999999999993</v>
      </c>
      <c r="E744" s="49">
        <f>'Reclamo de equipaje rediseñado'!$D744-'Reclamo de equipaje rediseñado'!$C744</f>
        <v>8.3333333333333037E-3</v>
      </c>
      <c r="F744" s="48">
        <v>0.90555555555555556</v>
      </c>
      <c r="G744" s="49">
        <f t="shared" si="11"/>
        <v>1.1805555555555625E-2</v>
      </c>
      <c r="H744" s="50">
        <v>41726</v>
      </c>
      <c r="I744" s="51" t="s">
        <v>543</v>
      </c>
      <c r="J744" s="51">
        <v>320</v>
      </c>
      <c r="K744" s="51">
        <f>VLOOKUP(J744,'Validacion reclamo de equipaje'!L:M,2,0)</f>
        <v>179</v>
      </c>
      <c r="L744" s="51" t="str">
        <f>VLOOKUP(I744,'Validacion reclamo de equipaje'!H:I,2,0)</f>
        <v>Nacional</v>
      </c>
      <c r="M744" s="51" t="s">
        <v>522</v>
      </c>
    </row>
    <row r="745" spans="1:13" x14ac:dyDescent="0.25">
      <c r="A745">
        <v>236</v>
      </c>
      <c r="B745" s="47" t="str">
        <f>VLOOKUP(Tabla6[[#This Row],['# Vuelo]],'Validacion reclamo de equipaje'!P:Q,2,0)</f>
        <v>INTERAVIÓN</v>
      </c>
      <c r="C745" s="52">
        <v>0.88541666666666663</v>
      </c>
      <c r="D745" s="52">
        <v>0.89374999999999993</v>
      </c>
      <c r="E745" s="53">
        <f>'Reclamo de equipaje rediseñado'!$D745-'Reclamo de equipaje rediseñado'!$C745</f>
        <v>8.3333333333333037E-3</v>
      </c>
      <c r="F745" s="52">
        <v>0.90555555555555556</v>
      </c>
      <c r="G745" s="53">
        <f t="shared" si="11"/>
        <v>1.1805555555555625E-2</v>
      </c>
      <c r="H745" s="54">
        <v>41726</v>
      </c>
      <c r="I745" s="55" t="s">
        <v>543</v>
      </c>
      <c r="J745" s="55">
        <v>320</v>
      </c>
      <c r="K745" s="55">
        <f>VLOOKUP(J745,'Validacion reclamo de equipaje'!L:M,2,0)</f>
        <v>179</v>
      </c>
      <c r="L745" s="55" t="str">
        <f>VLOOKUP(I745,'Validacion reclamo de equipaje'!H:I,2,0)</f>
        <v>Nacional</v>
      </c>
      <c r="M745" s="55" t="s">
        <v>522</v>
      </c>
    </row>
    <row r="746" spans="1:13" x14ac:dyDescent="0.25">
      <c r="A746">
        <v>230</v>
      </c>
      <c r="B746" s="47" t="str">
        <f>VLOOKUP(Tabla6[[#This Row],['# Vuelo]],'Validacion reclamo de equipaje'!P:Q,2,0)</f>
        <v>INTERAVIÓN</v>
      </c>
      <c r="C746" s="48">
        <v>0.32777777777777778</v>
      </c>
      <c r="D746" s="48">
        <v>0.34027777777777773</v>
      </c>
      <c r="E746" s="49">
        <f>'Reclamo de equipaje rediseñado'!$D746-'Reclamo de equipaje rediseñado'!$C746</f>
        <v>1.2499999999999956E-2</v>
      </c>
      <c r="F746" s="48">
        <v>0.34236111111111112</v>
      </c>
      <c r="G746" s="49">
        <f t="shared" si="11"/>
        <v>2.0833333333333814E-3</v>
      </c>
      <c r="H746" s="50">
        <v>41716</v>
      </c>
      <c r="I746" s="51" t="s">
        <v>548</v>
      </c>
      <c r="J746" s="51" t="s">
        <v>535</v>
      </c>
      <c r="K746" s="51">
        <f>VLOOKUP(J746,'Validacion reclamo de equipaje'!L:M,2,0)</f>
        <v>50</v>
      </c>
      <c r="L746" s="51" t="str">
        <f>VLOOKUP(I746,'Validacion reclamo de equipaje'!H:I,2,0)</f>
        <v>Nacional</v>
      </c>
      <c r="M746" s="51" t="s">
        <v>522</v>
      </c>
    </row>
    <row r="747" spans="1:13" x14ac:dyDescent="0.25">
      <c r="A747">
        <v>230</v>
      </c>
      <c r="B747" s="47" t="str">
        <f>VLOOKUP(Tabla6[[#This Row],['# Vuelo]],'Validacion reclamo de equipaje'!P:Q,2,0)</f>
        <v>INTERAVIÓN</v>
      </c>
      <c r="C747" s="52">
        <v>0.31944444444444448</v>
      </c>
      <c r="D747" s="52">
        <v>0.3298611111111111</v>
      </c>
      <c r="E747" s="53">
        <f>'Reclamo de equipaje rediseñado'!$D747-'Reclamo de equipaje rediseñado'!$C747</f>
        <v>1.041666666666663E-2</v>
      </c>
      <c r="F747" s="52">
        <v>0.33749999999999997</v>
      </c>
      <c r="G747" s="53">
        <f t="shared" si="11"/>
        <v>7.6388888888888618E-3</v>
      </c>
      <c r="H747" s="54">
        <v>41717</v>
      </c>
      <c r="I747" s="55" t="s">
        <v>548</v>
      </c>
      <c r="J747" s="55" t="s">
        <v>535</v>
      </c>
      <c r="K747" s="55">
        <f>VLOOKUP(J747,'Validacion reclamo de equipaje'!L:M,2,0)</f>
        <v>50</v>
      </c>
      <c r="L747" s="55" t="str">
        <f>VLOOKUP(I747,'Validacion reclamo de equipaje'!H:I,2,0)</f>
        <v>Nacional</v>
      </c>
      <c r="M747" s="55" t="s">
        <v>522</v>
      </c>
    </row>
    <row r="748" spans="1:13" x14ac:dyDescent="0.25">
      <c r="A748">
        <v>230</v>
      </c>
      <c r="B748" s="47" t="str">
        <f>VLOOKUP(Tabla6[[#This Row],['# Vuelo]],'Validacion reclamo de equipaje'!P:Q,2,0)</f>
        <v>INTERAVIÓN</v>
      </c>
      <c r="C748" s="48">
        <v>0.3430555555555555</v>
      </c>
      <c r="D748" s="48">
        <v>0.34791666666666665</v>
      </c>
      <c r="E748" s="49">
        <f>'Reclamo de equipaje rediseñado'!$D748-'Reclamo de equipaje rediseñado'!$C748</f>
        <v>4.8611111111111494E-3</v>
      </c>
      <c r="F748" s="48">
        <v>0.35625000000000001</v>
      </c>
      <c r="G748" s="49">
        <f t="shared" si="11"/>
        <v>8.3333333333333592E-3</v>
      </c>
      <c r="H748" s="50">
        <v>41718</v>
      </c>
      <c r="I748" s="51" t="s">
        <v>548</v>
      </c>
      <c r="J748" s="51" t="s">
        <v>535</v>
      </c>
      <c r="K748" s="51">
        <f>VLOOKUP(J748,'Validacion reclamo de equipaje'!L:M,2,0)</f>
        <v>50</v>
      </c>
      <c r="L748" s="51" t="str">
        <f>VLOOKUP(I748,'Validacion reclamo de equipaje'!H:I,2,0)</f>
        <v>Nacional</v>
      </c>
      <c r="M748" s="51" t="s">
        <v>522</v>
      </c>
    </row>
    <row r="749" spans="1:13" x14ac:dyDescent="0.25">
      <c r="A749">
        <v>230</v>
      </c>
      <c r="B749" s="47" t="str">
        <f>VLOOKUP(Tabla6[[#This Row],['# Vuelo]],'Validacion reclamo de equipaje'!P:Q,2,0)</f>
        <v>INTERAVIÓN</v>
      </c>
      <c r="C749" s="52">
        <v>0.43402777777777773</v>
      </c>
      <c r="D749" s="52">
        <v>0.44097222222222227</v>
      </c>
      <c r="E749" s="53">
        <f>'Reclamo de equipaje rediseñado'!$D749-'Reclamo de equipaje rediseñado'!$C749</f>
        <v>6.9444444444445308E-3</v>
      </c>
      <c r="F749" s="52">
        <v>0.44444444444444442</v>
      </c>
      <c r="G749" s="53">
        <f t="shared" si="11"/>
        <v>3.4722222222221544E-3</v>
      </c>
      <c r="H749" s="54">
        <v>41720</v>
      </c>
      <c r="I749" s="55" t="s">
        <v>548</v>
      </c>
      <c r="J749" s="55" t="s">
        <v>535</v>
      </c>
      <c r="K749" s="55">
        <f>VLOOKUP(J749,'Validacion reclamo de equipaje'!L:M,2,0)</f>
        <v>50</v>
      </c>
      <c r="L749" s="55" t="str">
        <f>VLOOKUP(I749,'Validacion reclamo de equipaje'!H:I,2,0)</f>
        <v>Nacional</v>
      </c>
      <c r="M749" s="55" t="s">
        <v>522</v>
      </c>
    </row>
    <row r="750" spans="1:13" x14ac:dyDescent="0.25">
      <c r="A750">
        <v>230</v>
      </c>
      <c r="B750" s="47" t="str">
        <f>VLOOKUP(Tabla6[[#This Row],['# Vuelo]],'Validacion reclamo de equipaje'!P:Q,2,0)</f>
        <v>INTERAVIÓN</v>
      </c>
      <c r="C750" s="48">
        <v>0.33402777777777781</v>
      </c>
      <c r="D750" s="48">
        <v>0.34166666666666662</v>
      </c>
      <c r="E750" s="49">
        <f>'Reclamo de equipaje rediseñado'!$D750-'Reclamo de equipaje rediseñado'!$C750</f>
        <v>7.6388888888888062E-3</v>
      </c>
      <c r="F750" s="48">
        <v>0.34375</v>
      </c>
      <c r="G750" s="49">
        <f t="shared" si="11"/>
        <v>2.0833333333333814E-3</v>
      </c>
      <c r="H750" s="50">
        <v>41725</v>
      </c>
      <c r="I750" s="51" t="s">
        <v>548</v>
      </c>
      <c r="J750" s="51" t="s">
        <v>535</v>
      </c>
      <c r="K750" s="51">
        <f>VLOOKUP(J750,'Validacion reclamo de equipaje'!L:M,2,0)</f>
        <v>50</v>
      </c>
      <c r="L750" s="51" t="str">
        <f>VLOOKUP(I750,'Validacion reclamo de equipaje'!H:I,2,0)</f>
        <v>Nacional</v>
      </c>
      <c r="M750" s="51" t="s">
        <v>522</v>
      </c>
    </row>
    <row r="751" spans="1:13" x14ac:dyDescent="0.25">
      <c r="A751">
        <v>230</v>
      </c>
      <c r="B751" s="47" t="str">
        <f>VLOOKUP(Tabla6[[#This Row],['# Vuelo]],'Validacion reclamo de equipaje'!P:Q,2,0)</f>
        <v>INTERAVIÓN</v>
      </c>
      <c r="C751" s="52">
        <v>0.4152777777777778</v>
      </c>
      <c r="D751" s="52">
        <v>0.42291666666666666</v>
      </c>
      <c r="E751" s="53">
        <f>'Reclamo de equipaje rediseñado'!$D751-'Reclamo de equipaje rediseñado'!$C751</f>
        <v>7.6388888888888618E-3</v>
      </c>
      <c r="F751" s="52">
        <v>0.42499999999999999</v>
      </c>
      <c r="G751" s="53">
        <f t="shared" si="11"/>
        <v>2.0833333333333259E-3</v>
      </c>
      <c r="H751" s="54">
        <v>41727</v>
      </c>
      <c r="I751" s="55" t="s">
        <v>548</v>
      </c>
      <c r="J751" s="55" t="s">
        <v>535</v>
      </c>
      <c r="K751" s="55">
        <f>VLOOKUP(J751,'Validacion reclamo de equipaje'!L:M,2,0)</f>
        <v>50</v>
      </c>
      <c r="L751" s="55" t="str">
        <f>VLOOKUP(I751,'Validacion reclamo de equipaje'!H:I,2,0)</f>
        <v>Nacional</v>
      </c>
      <c r="M751" s="55" t="s">
        <v>522</v>
      </c>
    </row>
    <row r="752" spans="1:13" x14ac:dyDescent="0.25">
      <c r="A752">
        <v>221</v>
      </c>
      <c r="B752" s="47" t="str">
        <f>VLOOKUP(Tabla6[[#This Row],['# Vuelo]],'Validacion reclamo de equipaje'!P:Q,2,0)</f>
        <v>INTERAVIÓN</v>
      </c>
      <c r="C752" s="48">
        <v>0.44027777777777777</v>
      </c>
      <c r="D752" s="48">
        <v>0.45277777777777778</v>
      </c>
      <c r="E752" s="49">
        <f>'Reclamo de equipaje rediseñado'!$D752-'Reclamo de equipaje rediseñado'!$C752</f>
        <v>1.2500000000000011E-2</v>
      </c>
      <c r="F752" s="48">
        <v>0.46111111111111108</v>
      </c>
      <c r="G752" s="49">
        <f t="shared" si="11"/>
        <v>8.3333333333333037E-3</v>
      </c>
      <c r="H752" s="50">
        <v>41718</v>
      </c>
      <c r="I752" s="51" t="s">
        <v>548</v>
      </c>
      <c r="J752" s="51" t="s">
        <v>535</v>
      </c>
      <c r="K752" s="51">
        <f>VLOOKUP(J752,'Validacion reclamo de equipaje'!L:M,2,0)</f>
        <v>50</v>
      </c>
      <c r="L752" s="51" t="str">
        <f>VLOOKUP(I752,'Validacion reclamo de equipaje'!H:I,2,0)</f>
        <v>Nacional</v>
      </c>
      <c r="M752" s="51" t="s">
        <v>522</v>
      </c>
    </row>
    <row r="753" spans="1:13" x14ac:dyDescent="0.25">
      <c r="A753">
        <v>585</v>
      </c>
      <c r="B753" s="47" t="str">
        <f>VLOOKUP(Tabla6[[#This Row],['# Vuelo]],'Validacion reclamo de equipaje'!P:Q,2,0)</f>
        <v>MEXICO AEREO</v>
      </c>
      <c r="C753" s="52">
        <v>0.76666666666666661</v>
      </c>
      <c r="D753" s="52">
        <v>0.77638888888888891</v>
      </c>
      <c r="E753" s="53">
        <f>'Reclamo de equipaje rediseñado'!$D753-'Reclamo de equipaje rediseñado'!$C753</f>
        <v>9.7222222222222987E-3</v>
      </c>
      <c r="F753" s="52">
        <v>0.78472222222222221</v>
      </c>
      <c r="G753" s="53">
        <f t="shared" si="11"/>
        <v>8.3333333333333037E-3</v>
      </c>
      <c r="H753" s="54">
        <v>41715</v>
      </c>
      <c r="I753" s="55" t="s">
        <v>561</v>
      </c>
      <c r="J753" s="55" t="s">
        <v>554</v>
      </c>
      <c r="K753" s="55">
        <f>VLOOKUP(J753,'Validacion reclamo de equipaje'!L:M,2,0)</f>
        <v>189</v>
      </c>
      <c r="L753" s="55" t="str">
        <f>VLOOKUP(I753,'Validacion reclamo de equipaje'!H:I,2,0)</f>
        <v>Nacional</v>
      </c>
      <c r="M753" s="55" t="s">
        <v>522</v>
      </c>
    </row>
    <row r="754" spans="1:13" x14ac:dyDescent="0.25">
      <c r="A754">
        <v>585</v>
      </c>
      <c r="B754" s="47" t="str">
        <f>VLOOKUP(Tabla6[[#This Row],['# Vuelo]],'Validacion reclamo de equipaje'!P:Q,2,0)</f>
        <v>MEXICO AEREO</v>
      </c>
      <c r="C754" s="48">
        <v>0.71180555555555547</v>
      </c>
      <c r="D754" s="48">
        <v>0.72152777777777777</v>
      </c>
      <c r="E754" s="49">
        <f>'Reclamo de equipaje rediseñado'!$D754-'Reclamo de equipaje rediseñado'!$C754</f>
        <v>9.7222222222222987E-3</v>
      </c>
      <c r="F754" s="48">
        <v>0.72569444444444453</v>
      </c>
      <c r="G754" s="49">
        <f t="shared" si="11"/>
        <v>4.1666666666667629E-3</v>
      </c>
      <c r="H754" s="50">
        <v>41716</v>
      </c>
      <c r="I754" s="51" t="s">
        <v>561</v>
      </c>
      <c r="J754" s="51" t="s">
        <v>554</v>
      </c>
      <c r="K754" s="51">
        <f>VLOOKUP(J754,'Validacion reclamo de equipaje'!L:M,2,0)</f>
        <v>189</v>
      </c>
      <c r="L754" s="51" t="str">
        <f>VLOOKUP(I754,'Validacion reclamo de equipaje'!H:I,2,0)</f>
        <v>Nacional</v>
      </c>
      <c r="M754" s="51" t="s">
        <v>522</v>
      </c>
    </row>
    <row r="755" spans="1:13" x14ac:dyDescent="0.25">
      <c r="A755">
        <v>585</v>
      </c>
      <c r="B755" s="47" t="str">
        <f>VLOOKUP(Tabla6[[#This Row],['# Vuelo]],'Validacion reclamo de equipaje'!P:Q,2,0)</f>
        <v>MEXICO AEREO</v>
      </c>
      <c r="C755" s="52">
        <v>0.71666666666666667</v>
      </c>
      <c r="D755" s="52">
        <v>0.72430555555555554</v>
      </c>
      <c r="E755" s="53">
        <f>'Reclamo de equipaje rediseñado'!$D755-'Reclamo de equipaje rediseñado'!$C755</f>
        <v>7.6388888888888618E-3</v>
      </c>
      <c r="F755" s="52">
        <v>0.72916666666666663</v>
      </c>
      <c r="G755" s="53">
        <f t="shared" si="11"/>
        <v>4.8611111111110938E-3</v>
      </c>
      <c r="H755" s="54">
        <v>41717</v>
      </c>
      <c r="I755" s="55" t="s">
        <v>561</v>
      </c>
      <c r="J755" s="55" t="s">
        <v>554</v>
      </c>
      <c r="K755" s="55">
        <f>VLOOKUP(J755,'Validacion reclamo de equipaje'!L:M,2,0)</f>
        <v>189</v>
      </c>
      <c r="L755" s="55" t="str">
        <f>VLOOKUP(I755,'Validacion reclamo de equipaje'!H:I,2,0)</f>
        <v>Nacional</v>
      </c>
      <c r="M755" s="55" t="s">
        <v>522</v>
      </c>
    </row>
    <row r="756" spans="1:13" x14ac:dyDescent="0.25">
      <c r="A756">
        <v>585</v>
      </c>
      <c r="B756" s="47" t="str">
        <f>VLOOKUP(Tabla6[[#This Row],['# Vuelo]],'Validacion reclamo de equipaje'!P:Q,2,0)</f>
        <v>MEXICO AEREO</v>
      </c>
      <c r="C756" s="48">
        <v>0.87847222222222221</v>
      </c>
      <c r="D756" s="48">
        <v>0.8881944444444444</v>
      </c>
      <c r="E756" s="49">
        <f>'Reclamo de equipaje rediseñado'!$D756-'Reclamo de equipaje rediseñado'!$C756</f>
        <v>9.7222222222221877E-3</v>
      </c>
      <c r="F756" s="48">
        <v>0.8979166666666667</v>
      </c>
      <c r="G756" s="49">
        <f t="shared" si="11"/>
        <v>9.7222222222222987E-3</v>
      </c>
      <c r="H756" s="50">
        <v>41719</v>
      </c>
      <c r="I756" s="51" t="s">
        <v>561</v>
      </c>
      <c r="J756" s="51" t="s">
        <v>554</v>
      </c>
      <c r="K756" s="51">
        <f>VLOOKUP(J756,'Validacion reclamo de equipaje'!L:M,2,0)</f>
        <v>189</v>
      </c>
      <c r="L756" s="51" t="str">
        <f>VLOOKUP(I756,'Validacion reclamo de equipaje'!H:I,2,0)</f>
        <v>Nacional</v>
      </c>
      <c r="M756" s="51" t="s">
        <v>522</v>
      </c>
    </row>
    <row r="757" spans="1:13" x14ac:dyDescent="0.25">
      <c r="A757">
        <v>585</v>
      </c>
      <c r="B757" s="47" t="str">
        <f>VLOOKUP(Tabla6[[#This Row],['# Vuelo]],'Validacion reclamo de equipaje'!P:Q,2,0)</f>
        <v>MEXICO AEREO</v>
      </c>
      <c r="C757" s="52">
        <v>0.63402777777777775</v>
      </c>
      <c r="D757" s="52">
        <v>0.64236111111111105</v>
      </c>
      <c r="E757" s="53">
        <f>'Reclamo de equipaje rediseñado'!$D757-'Reclamo de equipaje rediseñado'!$C757</f>
        <v>8.3333333333333037E-3</v>
      </c>
      <c r="F757" s="52">
        <v>0.64583333333333337</v>
      </c>
      <c r="G757" s="53">
        <f t="shared" si="11"/>
        <v>3.4722222222223209E-3</v>
      </c>
      <c r="H757" s="54">
        <v>41720</v>
      </c>
      <c r="I757" s="55" t="s">
        <v>561</v>
      </c>
      <c r="J757" s="55" t="s">
        <v>554</v>
      </c>
      <c r="K757" s="55">
        <f>VLOOKUP(J757,'Validacion reclamo de equipaje'!L:M,2,0)</f>
        <v>189</v>
      </c>
      <c r="L757" s="55" t="str">
        <f>VLOOKUP(I757,'Validacion reclamo de equipaje'!H:I,2,0)</f>
        <v>Nacional</v>
      </c>
      <c r="M757" s="55" t="s">
        <v>522</v>
      </c>
    </row>
    <row r="758" spans="1:13" x14ac:dyDescent="0.25">
      <c r="A758">
        <v>585</v>
      </c>
      <c r="B758" s="47" t="str">
        <f>VLOOKUP(Tabla6[[#This Row],['# Vuelo]],'Validacion reclamo de equipaje'!P:Q,2,0)</f>
        <v>MEXICO AEREO</v>
      </c>
      <c r="C758" s="48">
        <v>0.8833333333333333</v>
      </c>
      <c r="D758" s="48">
        <v>0.89583333333333337</v>
      </c>
      <c r="E758" s="49">
        <f>'Reclamo de equipaje rediseñado'!$D758-'Reclamo de equipaje rediseñado'!$C758</f>
        <v>1.2500000000000067E-2</v>
      </c>
      <c r="F758" s="48">
        <v>0.9</v>
      </c>
      <c r="G758" s="49">
        <f t="shared" si="11"/>
        <v>4.1666666666666519E-3</v>
      </c>
      <c r="H758" s="50">
        <v>41721</v>
      </c>
      <c r="I758" s="51" t="s">
        <v>561</v>
      </c>
      <c r="J758" s="51" t="s">
        <v>554</v>
      </c>
      <c r="K758" s="51">
        <f>VLOOKUP(J758,'Validacion reclamo de equipaje'!L:M,2,0)</f>
        <v>189</v>
      </c>
      <c r="L758" s="51" t="str">
        <f>VLOOKUP(I758,'Validacion reclamo de equipaje'!H:I,2,0)</f>
        <v>Nacional</v>
      </c>
      <c r="M758" s="51" t="s">
        <v>522</v>
      </c>
    </row>
    <row r="759" spans="1:13" x14ac:dyDescent="0.25">
      <c r="A759">
        <v>585</v>
      </c>
      <c r="B759" s="47" t="str">
        <f>VLOOKUP(Tabla6[[#This Row],['# Vuelo]],'Validacion reclamo de equipaje'!P:Q,2,0)</f>
        <v>MEXICO AEREO</v>
      </c>
      <c r="C759" s="52">
        <v>0.70000000000000007</v>
      </c>
      <c r="D759" s="52">
        <v>0.70624999999999993</v>
      </c>
      <c r="E759" s="53">
        <f>'Reclamo de equipaje rediseñado'!$D759-'Reclamo de equipaje rediseñado'!$C759</f>
        <v>6.2499999999998668E-3</v>
      </c>
      <c r="F759" s="52">
        <v>0.7104166666666667</v>
      </c>
      <c r="G759" s="53">
        <f t="shared" si="11"/>
        <v>4.1666666666667629E-3</v>
      </c>
      <c r="H759" s="54">
        <v>41722</v>
      </c>
      <c r="I759" s="55" t="s">
        <v>561</v>
      </c>
      <c r="J759" s="55" t="s">
        <v>554</v>
      </c>
      <c r="K759" s="55">
        <f>VLOOKUP(J759,'Validacion reclamo de equipaje'!L:M,2,0)</f>
        <v>189</v>
      </c>
      <c r="L759" s="55" t="str">
        <f>VLOOKUP(I759,'Validacion reclamo de equipaje'!H:I,2,0)</f>
        <v>Nacional</v>
      </c>
      <c r="M759" s="55" t="s">
        <v>522</v>
      </c>
    </row>
    <row r="760" spans="1:13" x14ac:dyDescent="0.25">
      <c r="A760">
        <v>585</v>
      </c>
      <c r="B760" s="47" t="str">
        <f>VLOOKUP(Tabla6[[#This Row],['# Vuelo]],'Validacion reclamo de equipaje'!P:Q,2,0)</f>
        <v>MEXICO AEREO</v>
      </c>
      <c r="C760" s="48">
        <v>0.70972222222222225</v>
      </c>
      <c r="D760" s="48">
        <v>0.72152777777777777</v>
      </c>
      <c r="E760" s="49">
        <f>'Reclamo de equipaje rediseñado'!$D760-'Reclamo de equipaje rediseñado'!$C760</f>
        <v>1.1805555555555514E-2</v>
      </c>
      <c r="F760" s="48">
        <v>0.72638888888888886</v>
      </c>
      <c r="G760" s="49">
        <f t="shared" si="11"/>
        <v>4.8611111111110938E-3</v>
      </c>
      <c r="H760" s="50">
        <v>41725</v>
      </c>
      <c r="I760" s="51" t="s">
        <v>561</v>
      </c>
      <c r="J760" s="51" t="s">
        <v>554</v>
      </c>
      <c r="K760" s="51">
        <f>VLOOKUP(J760,'Validacion reclamo de equipaje'!L:M,2,0)</f>
        <v>189</v>
      </c>
      <c r="L760" s="51" t="str">
        <f>VLOOKUP(I760,'Validacion reclamo de equipaje'!H:I,2,0)</f>
        <v>Nacional</v>
      </c>
      <c r="M760" s="51" t="s">
        <v>522</v>
      </c>
    </row>
    <row r="761" spans="1:13" x14ac:dyDescent="0.25">
      <c r="A761">
        <v>585</v>
      </c>
      <c r="B761" s="47" t="str">
        <f>VLOOKUP(Tabla6[[#This Row],['# Vuelo]],'Validacion reclamo de equipaje'!P:Q,2,0)</f>
        <v>MEXICO AEREO</v>
      </c>
      <c r="C761" s="52">
        <v>0.88194444444444453</v>
      </c>
      <c r="D761" s="52">
        <v>0.89444444444444438</v>
      </c>
      <c r="E761" s="53">
        <f>'Reclamo de equipaje rediseñado'!$D761-'Reclamo de equipaje rediseñado'!$C761</f>
        <v>1.2499999999999845E-2</v>
      </c>
      <c r="F761" s="52">
        <v>0.8979166666666667</v>
      </c>
      <c r="G761" s="53">
        <f t="shared" si="11"/>
        <v>3.4722222222223209E-3</v>
      </c>
      <c r="H761" s="54">
        <v>41725</v>
      </c>
      <c r="I761" s="55" t="s">
        <v>561</v>
      </c>
      <c r="J761" s="55" t="s">
        <v>554</v>
      </c>
      <c r="K761" s="55">
        <f>VLOOKUP(J761,'Validacion reclamo de equipaje'!L:M,2,0)</f>
        <v>189</v>
      </c>
      <c r="L761" s="55" t="str">
        <f>VLOOKUP(I761,'Validacion reclamo de equipaje'!H:I,2,0)</f>
        <v>Nacional</v>
      </c>
      <c r="M761" s="55" t="s">
        <v>522</v>
      </c>
    </row>
    <row r="762" spans="1:13" x14ac:dyDescent="0.25">
      <c r="A762">
        <v>585</v>
      </c>
      <c r="B762" s="47" t="str">
        <f>VLOOKUP(Tabla6[[#This Row],['# Vuelo]],'Validacion reclamo de equipaje'!P:Q,2,0)</f>
        <v>MEXICO AEREO</v>
      </c>
      <c r="C762" s="48">
        <v>0.71111111111111114</v>
      </c>
      <c r="D762" s="48">
        <v>0.71666666666666667</v>
      </c>
      <c r="E762" s="49">
        <f>'Reclamo de equipaje rediseñado'!$D762-'Reclamo de equipaje rediseñado'!$C762</f>
        <v>5.5555555555555358E-3</v>
      </c>
      <c r="F762" s="48">
        <v>0.7284722222222223</v>
      </c>
      <c r="G762" s="49">
        <f t="shared" si="11"/>
        <v>1.1805555555555625E-2</v>
      </c>
      <c r="H762" s="50">
        <v>41726</v>
      </c>
      <c r="I762" s="51" t="s">
        <v>561</v>
      </c>
      <c r="J762" s="51" t="s">
        <v>554</v>
      </c>
      <c r="K762" s="51">
        <f>VLOOKUP(J762,'Validacion reclamo de equipaje'!L:M,2,0)</f>
        <v>189</v>
      </c>
      <c r="L762" s="51" t="str">
        <f>VLOOKUP(I762,'Validacion reclamo de equipaje'!H:I,2,0)</f>
        <v>Nacional</v>
      </c>
      <c r="M762" s="51" t="s">
        <v>522</v>
      </c>
    </row>
    <row r="763" spans="1:13" x14ac:dyDescent="0.25">
      <c r="A763">
        <v>585</v>
      </c>
      <c r="B763" s="47" t="str">
        <f>VLOOKUP(Tabla6[[#This Row],['# Vuelo]],'Validacion reclamo de equipaje'!P:Q,2,0)</f>
        <v>MEXICO AEREO</v>
      </c>
      <c r="C763" s="52">
        <v>0.70000000000000007</v>
      </c>
      <c r="D763" s="52">
        <v>0.70416666666666661</v>
      </c>
      <c r="E763" s="53">
        <f>'Reclamo de equipaje rediseñado'!$D763-'Reclamo de equipaje rediseñado'!$C763</f>
        <v>4.1666666666665408E-3</v>
      </c>
      <c r="F763" s="52">
        <v>0.71180555555555547</v>
      </c>
      <c r="G763" s="53">
        <f t="shared" si="11"/>
        <v>7.6388888888888618E-3</v>
      </c>
      <c r="H763" s="54">
        <v>41729</v>
      </c>
      <c r="I763" s="55" t="s">
        <v>561</v>
      </c>
      <c r="J763" s="55" t="s">
        <v>554</v>
      </c>
      <c r="K763" s="55">
        <f>VLOOKUP(J763,'Validacion reclamo de equipaje'!L:M,2,0)</f>
        <v>189</v>
      </c>
      <c r="L763" s="55" t="str">
        <f>VLOOKUP(I763,'Validacion reclamo de equipaje'!H:I,2,0)</f>
        <v>Nacional</v>
      </c>
      <c r="M763" s="55" t="s">
        <v>522</v>
      </c>
    </row>
    <row r="764" spans="1:13" x14ac:dyDescent="0.25">
      <c r="A764">
        <v>21</v>
      </c>
      <c r="B764" s="47" t="str">
        <f>VLOOKUP(Tabla6[[#This Row],['# Vuelo]],'Validacion reclamo de equipaje'!P:Q,2,0)</f>
        <v>TOR</v>
      </c>
      <c r="C764" s="48">
        <v>0.84375</v>
      </c>
      <c r="D764" s="48">
        <v>0.85416666666666663</v>
      </c>
      <c r="E764" s="49">
        <f>'Reclamo de equipaje rediseñado'!$D764-'Reclamo de equipaje rediseñado'!$C764</f>
        <v>1.041666666666663E-2</v>
      </c>
      <c r="F764" s="48">
        <v>0.86458333333333337</v>
      </c>
      <c r="G764" s="49">
        <f t="shared" si="11"/>
        <v>1.0416666666666741E-2</v>
      </c>
      <c r="H764" s="50">
        <v>41715</v>
      </c>
      <c r="I764" s="51" t="s">
        <v>539</v>
      </c>
      <c r="J764" s="51" t="s">
        <v>535</v>
      </c>
      <c r="K764" s="51">
        <f>VLOOKUP(J764,'Validacion reclamo de equipaje'!L:M,2,0)</f>
        <v>50</v>
      </c>
      <c r="L764" s="51" t="str">
        <f>VLOOKUP(I764,'Validacion reclamo de equipaje'!H:I,2,0)</f>
        <v>Nacional</v>
      </c>
      <c r="M764" s="51" t="s">
        <v>522</v>
      </c>
    </row>
    <row r="765" spans="1:13" x14ac:dyDescent="0.25">
      <c r="A765">
        <v>21</v>
      </c>
      <c r="B765" s="47" t="str">
        <f>VLOOKUP(Tabla6[[#This Row],['# Vuelo]],'Validacion reclamo de equipaje'!P:Q,2,0)</f>
        <v>TOR</v>
      </c>
      <c r="C765" s="52">
        <v>0.83333333333333337</v>
      </c>
      <c r="D765" s="52">
        <v>0.85069444444444453</v>
      </c>
      <c r="E765" s="53">
        <f>'Reclamo de equipaje rediseñado'!$D765-'Reclamo de equipaje rediseñado'!$C765</f>
        <v>1.736111111111116E-2</v>
      </c>
      <c r="F765" s="52">
        <v>0.85416666666666663</v>
      </c>
      <c r="G765" s="53">
        <f t="shared" si="11"/>
        <v>3.4722222222220989E-3</v>
      </c>
      <c r="H765" s="54">
        <v>41716</v>
      </c>
      <c r="I765" s="55" t="s">
        <v>539</v>
      </c>
      <c r="J765" s="55" t="s">
        <v>535</v>
      </c>
      <c r="K765" s="55">
        <f>VLOOKUP(J765,'Validacion reclamo de equipaje'!L:M,2,0)</f>
        <v>50</v>
      </c>
      <c r="L765" s="55" t="str">
        <f>VLOOKUP(I765,'Validacion reclamo de equipaje'!H:I,2,0)</f>
        <v>Nacional</v>
      </c>
      <c r="M765" s="55" t="s">
        <v>522</v>
      </c>
    </row>
    <row r="766" spans="1:13" x14ac:dyDescent="0.25">
      <c r="A766">
        <v>21</v>
      </c>
      <c r="B766" s="47" t="str">
        <f>VLOOKUP(Tabla6[[#This Row],['# Vuelo]],'Validacion reclamo de equipaje'!P:Q,2,0)</f>
        <v>TOR</v>
      </c>
      <c r="C766" s="48">
        <v>0.84652777777777777</v>
      </c>
      <c r="D766" s="48">
        <v>0.8520833333333333</v>
      </c>
      <c r="E766" s="49">
        <f>'Reclamo de equipaje rediseñado'!$D766-'Reclamo de equipaje rediseñado'!$C766</f>
        <v>5.5555555555555358E-3</v>
      </c>
      <c r="F766" s="48">
        <v>0.85486111111111107</v>
      </c>
      <c r="G766" s="49">
        <f t="shared" si="11"/>
        <v>2.7777777777777679E-3</v>
      </c>
      <c r="H766" s="50">
        <v>41724</v>
      </c>
      <c r="I766" s="51" t="s">
        <v>539</v>
      </c>
      <c r="J766" s="51" t="s">
        <v>535</v>
      </c>
      <c r="K766" s="51">
        <f>VLOOKUP(J766,'Validacion reclamo de equipaje'!L:M,2,0)</f>
        <v>50</v>
      </c>
      <c r="L766" s="51" t="str">
        <f>VLOOKUP(I766,'Validacion reclamo de equipaje'!H:I,2,0)</f>
        <v>Nacional</v>
      </c>
      <c r="M766" s="51" t="s">
        <v>522</v>
      </c>
    </row>
    <row r="767" spans="1:13" x14ac:dyDescent="0.25">
      <c r="A767">
        <v>21</v>
      </c>
      <c r="B767" s="47" t="str">
        <f>VLOOKUP(Tabla6[[#This Row],['# Vuelo]],'Validacion reclamo de equipaje'!P:Q,2,0)</f>
        <v>TOR</v>
      </c>
      <c r="C767" s="52">
        <v>1.0111111111111111</v>
      </c>
      <c r="D767" s="52">
        <v>1.0159722222222223</v>
      </c>
      <c r="E767" s="53">
        <f>'Reclamo de equipaje rediseñado'!$D767-'Reclamo de equipaje rediseñado'!$C767</f>
        <v>4.8611111111112049E-3</v>
      </c>
      <c r="F767" s="52">
        <v>1.0180555555555555</v>
      </c>
      <c r="G767" s="53">
        <f t="shared" si="11"/>
        <v>2.0833333333332149E-3</v>
      </c>
      <c r="H767" s="54">
        <v>41725</v>
      </c>
      <c r="I767" s="55" t="s">
        <v>539</v>
      </c>
      <c r="J767" s="55" t="s">
        <v>535</v>
      </c>
      <c r="K767" s="55">
        <f>VLOOKUP(J767,'Validacion reclamo de equipaje'!L:M,2,0)</f>
        <v>50</v>
      </c>
      <c r="L767" s="55" t="str">
        <f>VLOOKUP(I767,'Validacion reclamo de equipaje'!H:I,2,0)</f>
        <v>Nacional</v>
      </c>
      <c r="M767" s="55" t="s">
        <v>522</v>
      </c>
    </row>
    <row r="768" spans="1:13" x14ac:dyDescent="0.25">
      <c r="A768">
        <v>21</v>
      </c>
      <c r="B768" s="47" t="str">
        <f>VLOOKUP(Tabla6[[#This Row],['# Vuelo]],'Validacion reclamo de equipaje'!P:Q,2,0)</f>
        <v>TOR</v>
      </c>
      <c r="C768" s="48">
        <v>0.83611111111111114</v>
      </c>
      <c r="D768" s="48">
        <v>0.84166666666666667</v>
      </c>
      <c r="E768" s="49">
        <f>'Reclamo de equipaje rediseñado'!$D768-'Reclamo de equipaje rediseñado'!$C768</f>
        <v>5.5555555555555358E-3</v>
      </c>
      <c r="F768" s="48">
        <v>0.84375</v>
      </c>
      <c r="G768" s="49">
        <f t="shared" si="11"/>
        <v>2.0833333333333259E-3</v>
      </c>
      <c r="H768" s="50">
        <v>41726</v>
      </c>
      <c r="I768" s="51" t="s">
        <v>539</v>
      </c>
      <c r="J768" s="51" t="s">
        <v>535</v>
      </c>
      <c r="K768" s="51">
        <f>VLOOKUP(J768,'Validacion reclamo de equipaje'!L:M,2,0)</f>
        <v>50</v>
      </c>
      <c r="L768" s="51" t="str">
        <f>VLOOKUP(I768,'Validacion reclamo de equipaje'!H:I,2,0)</f>
        <v>Nacional</v>
      </c>
      <c r="M768" s="51" t="s">
        <v>522</v>
      </c>
    </row>
    <row r="769" spans="1:13" x14ac:dyDescent="0.25">
      <c r="A769">
        <v>21</v>
      </c>
      <c r="B769" s="47" t="str">
        <f>VLOOKUP(Tabla6[[#This Row],['# Vuelo]],'Validacion reclamo de equipaje'!P:Q,2,0)</f>
        <v>TOR</v>
      </c>
      <c r="C769" s="52">
        <v>0.35416666666666669</v>
      </c>
      <c r="D769" s="52">
        <v>0.36041666666666666</v>
      </c>
      <c r="E769" s="53">
        <f>'Reclamo de equipaje rediseñado'!$D769-'Reclamo de equipaje rediseñado'!$C769</f>
        <v>6.2499999999999778E-3</v>
      </c>
      <c r="F769" s="52">
        <v>0.36388888888888887</v>
      </c>
      <c r="G769" s="53">
        <f t="shared" si="11"/>
        <v>3.4722222222222099E-3</v>
      </c>
      <c r="H769" s="54">
        <v>41716</v>
      </c>
      <c r="I769" s="55" t="s">
        <v>539</v>
      </c>
      <c r="J769" s="55" t="s">
        <v>535</v>
      </c>
      <c r="K769" s="55">
        <f>VLOOKUP(J769,'Validacion reclamo de equipaje'!L:M,2,0)</f>
        <v>50</v>
      </c>
      <c r="L769" s="55" t="str">
        <f>VLOOKUP(I769,'Validacion reclamo de equipaje'!H:I,2,0)</f>
        <v>Nacional</v>
      </c>
      <c r="M769" s="55" t="s">
        <v>522</v>
      </c>
    </row>
    <row r="770" spans="1:13" x14ac:dyDescent="0.25">
      <c r="A770">
        <v>21</v>
      </c>
      <c r="B770" s="47" t="str">
        <f>VLOOKUP(Tabla6[[#This Row],['# Vuelo]],'Validacion reclamo de equipaje'!P:Q,2,0)</f>
        <v>TOR</v>
      </c>
      <c r="C770" s="48">
        <v>0.35000000000000003</v>
      </c>
      <c r="D770" s="48">
        <v>0.35625000000000001</v>
      </c>
      <c r="E770" s="49">
        <f>'Reclamo de equipaje rediseñado'!$D770-'Reclamo de equipaje rediseñado'!$C770</f>
        <v>6.2499999999999778E-3</v>
      </c>
      <c r="F770" s="48">
        <v>0.36041666666666666</v>
      </c>
      <c r="G770" s="49">
        <f t="shared" si="11"/>
        <v>4.1666666666666519E-3</v>
      </c>
      <c r="H770" s="50">
        <v>41726</v>
      </c>
      <c r="I770" s="51" t="s">
        <v>539</v>
      </c>
      <c r="J770" s="51" t="s">
        <v>535</v>
      </c>
      <c r="K770" s="51">
        <f>VLOOKUP(J770,'Validacion reclamo de equipaje'!L:M,2,0)</f>
        <v>50</v>
      </c>
      <c r="L770" s="51" t="str">
        <f>VLOOKUP(I770,'Validacion reclamo de equipaje'!H:I,2,0)</f>
        <v>Nacional</v>
      </c>
      <c r="M770" s="51" t="s">
        <v>522</v>
      </c>
    </row>
    <row r="771" spans="1:13" x14ac:dyDescent="0.25">
      <c r="A771">
        <v>29</v>
      </c>
      <c r="B771" s="47" t="str">
        <f>VLOOKUP(Tabla6[[#This Row],['# Vuelo]],'Validacion reclamo de equipaje'!P:Q,2,0)</f>
        <v>TOR</v>
      </c>
      <c r="C771" s="52">
        <v>0.41180555555555554</v>
      </c>
      <c r="D771" s="52">
        <v>0.42638888888888887</v>
      </c>
      <c r="E771" s="53">
        <f>'Reclamo de equipaje rediseñado'!$D771-'Reclamo de equipaje rediseñado'!$C771</f>
        <v>1.4583333333333337E-2</v>
      </c>
      <c r="F771" s="52">
        <v>0.44305555555555554</v>
      </c>
      <c r="G771" s="53">
        <f t="shared" ref="G771:G834" si="12">F771-D771</f>
        <v>1.6666666666666663E-2</v>
      </c>
      <c r="H771" s="54">
        <v>41718</v>
      </c>
      <c r="I771" s="55" t="s">
        <v>539</v>
      </c>
      <c r="J771" s="55" t="s">
        <v>535</v>
      </c>
      <c r="K771" s="55">
        <f>VLOOKUP(J771,'Validacion reclamo de equipaje'!L:M,2,0)</f>
        <v>50</v>
      </c>
      <c r="L771" s="55" t="str">
        <f>VLOOKUP(I771,'Validacion reclamo de equipaje'!H:I,2,0)</f>
        <v>Nacional</v>
      </c>
      <c r="M771" s="55" t="s">
        <v>522</v>
      </c>
    </row>
    <row r="772" spans="1:13" x14ac:dyDescent="0.25">
      <c r="A772">
        <v>29</v>
      </c>
      <c r="B772" s="47" t="str">
        <f>VLOOKUP(Tabla6[[#This Row],['# Vuelo]],'Validacion reclamo de equipaje'!P:Q,2,0)</f>
        <v>TOR</v>
      </c>
      <c r="C772" s="48">
        <v>0.4375</v>
      </c>
      <c r="D772" s="48">
        <v>0.44444444444444442</v>
      </c>
      <c r="E772" s="49">
        <f>'Reclamo de equipaje rediseñado'!$D772-'Reclamo de equipaje rediseñado'!$C772</f>
        <v>6.9444444444444198E-3</v>
      </c>
      <c r="F772" s="48">
        <v>0.4548611111111111</v>
      </c>
      <c r="G772" s="49">
        <f t="shared" si="12"/>
        <v>1.0416666666666685E-2</v>
      </c>
      <c r="H772" s="50">
        <v>41726</v>
      </c>
      <c r="I772" s="51" t="s">
        <v>539</v>
      </c>
      <c r="J772" s="51" t="s">
        <v>535</v>
      </c>
      <c r="K772" s="51">
        <f>VLOOKUP(J772,'Validacion reclamo de equipaje'!L:M,2,0)</f>
        <v>50</v>
      </c>
      <c r="L772" s="51" t="str">
        <f>VLOOKUP(I772,'Validacion reclamo de equipaje'!H:I,2,0)</f>
        <v>Nacional</v>
      </c>
      <c r="M772" s="51" t="s">
        <v>522</v>
      </c>
    </row>
    <row r="773" spans="1:13" x14ac:dyDescent="0.25">
      <c r="A773">
        <v>28</v>
      </c>
      <c r="B773" s="47" t="str">
        <f>VLOOKUP(Tabla6[[#This Row],['# Vuelo]],'Validacion reclamo de equipaje'!P:Q,2,0)</f>
        <v>TOR</v>
      </c>
      <c r="C773" s="52">
        <v>0.50069444444444444</v>
      </c>
      <c r="D773" s="52">
        <v>0.5493055555555556</v>
      </c>
      <c r="E773" s="53">
        <f>'Reclamo de equipaje rediseñado'!$D773-'Reclamo de equipaje rediseñado'!$C773</f>
        <v>4.861111111111116E-2</v>
      </c>
      <c r="F773" s="52">
        <v>0.55069444444444449</v>
      </c>
      <c r="G773" s="53">
        <f t="shared" si="12"/>
        <v>1.388888888888884E-3</v>
      </c>
      <c r="H773" s="54">
        <v>41725</v>
      </c>
      <c r="I773" s="55" t="s">
        <v>544</v>
      </c>
      <c r="J773" s="55" t="s">
        <v>535</v>
      </c>
      <c r="K773" s="55">
        <f>VLOOKUP(J773,'Validacion reclamo de equipaje'!L:M,2,0)</f>
        <v>50</v>
      </c>
      <c r="L773" s="55" t="str">
        <f>VLOOKUP(I773,'Validacion reclamo de equipaje'!H:I,2,0)</f>
        <v>Nacional</v>
      </c>
      <c r="M773" s="55" t="s">
        <v>522</v>
      </c>
    </row>
    <row r="774" spans="1:13" x14ac:dyDescent="0.25">
      <c r="A774">
        <v>28</v>
      </c>
      <c r="B774" s="47" t="str">
        <f>VLOOKUP(Tabla6[[#This Row],['# Vuelo]],'Validacion reclamo de equipaje'!P:Q,2,0)</f>
        <v>TOR</v>
      </c>
      <c r="C774" s="48">
        <v>0.55833333333333335</v>
      </c>
      <c r="D774" s="48">
        <v>0.56041666666666667</v>
      </c>
      <c r="E774" s="49">
        <f>'Reclamo de equipaje rediseñado'!$D774-'Reclamo de equipaje rediseñado'!$C774</f>
        <v>2.0833333333333259E-3</v>
      </c>
      <c r="F774" s="48">
        <v>0.56458333333333333</v>
      </c>
      <c r="G774" s="49">
        <f t="shared" si="12"/>
        <v>4.1666666666666519E-3</v>
      </c>
      <c r="H774" s="50">
        <v>41726</v>
      </c>
      <c r="I774" s="51" t="s">
        <v>544</v>
      </c>
      <c r="J774" s="51" t="s">
        <v>535</v>
      </c>
      <c r="K774" s="51">
        <f>VLOOKUP(J774,'Validacion reclamo de equipaje'!L:M,2,0)</f>
        <v>50</v>
      </c>
      <c r="L774" s="51" t="str">
        <f>VLOOKUP(I774,'Validacion reclamo de equipaje'!H:I,2,0)</f>
        <v>Nacional</v>
      </c>
      <c r="M774" s="51" t="s">
        <v>522</v>
      </c>
    </row>
    <row r="775" spans="1:13" x14ac:dyDescent="0.25">
      <c r="A775">
        <v>26</v>
      </c>
      <c r="B775" s="47" t="str">
        <f>VLOOKUP(Tabla6[[#This Row],['# Vuelo]],'Validacion reclamo de equipaje'!P:Q,2,0)</f>
        <v>TOR</v>
      </c>
      <c r="C775" s="52">
        <v>0.7284722222222223</v>
      </c>
      <c r="D775" s="52">
        <v>0.73055555555555562</v>
      </c>
      <c r="E775" s="53">
        <f>'Reclamo de equipaje rediseñado'!$D775-'Reclamo de equipaje rediseñado'!$C775</f>
        <v>2.0833333333333259E-3</v>
      </c>
      <c r="F775" s="52">
        <v>0.73263888888888884</v>
      </c>
      <c r="G775" s="53">
        <f t="shared" si="12"/>
        <v>2.0833333333332149E-3</v>
      </c>
      <c r="H775" s="54">
        <v>41720</v>
      </c>
      <c r="I775" s="55" t="s">
        <v>544</v>
      </c>
      <c r="J775" s="55" t="s">
        <v>535</v>
      </c>
      <c r="K775" s="55">
        <f>VLOOKUP(J775,'Validacion reclamo de equipaje'!L:M,2,0)</f>
        <v>50</v>
      </c>
      <c r="L775" s="55" t="str">
        <f>VLOOKUP(I775,'Validacion reclamo de equipaje'!H:I,2,0)</f>
        <v>Nacional</v>
      </c>
      <c r="M775" s="55" t="s">
        <v>522</v>
      </c>
    </row>
    <row r="776" spans="1:13" x14ac:dyDescent="0.25">
      <c r="A776">
        <v>26</v>
      </c>
      <c r="B776" s="47" t="str">
        <f>VLOOKUP(Tabla6[[#This Row],['# Vuelo]],'Validacion reclamo de equipaje'!P:Q,2,0)</f>
        <v>TOR</v>
      </c>
      <c r="C776" s="48">
        <v>0.73055555555555562</v>
      </c>
      <c r="D776" s="48">
        <v>0.73611111111111116</v>
      </c>
      <c r="E776" s="49">
        <f>'Reclamo de equipaje rediseñado'!$D776-'Reclamo de equipaje rediseñado'!$C776</f>
        <v>5.5555555555555358E-3</v>
      </c>
      <c r="F776" s="48">
        <v>0.73749999999999993</v>
      </c>
      <c r="G776" s="49">
        <f t="shared" si="12"/>
        <v>1.3888888888887729E-3</v>
      </c>
      <c r="H776" s="50">
        <v>41721</v>
      </c>
      <c r="I776" s="51" t="s">
        <v>544</v>
      </c>
      <c r="J776" s="51" t="s">
        <v>535</v>
      </c>
      <c r="K776" s="51">
        <f>VLOOKUP(J776,'Validacion reclamo de equipaje'!L:M,2,0)</f>
        <v>50</v>
      </c>
      <c r="L776" s="51" t="str">
        <f>VLOOKUP(I776,'Validacion reclamo de equipaje'!H:I,2,0)</f>
        <v>Nacional</v>
      </c>
      <c r="M776" s="51" t="s">
        <v>522</v>
      </c>
    </row>
    <row r="777" spans="1:13" x14ac:dyDescent="0.25">
      <c r="A777">
        <v>26</v>
      </c>
      <c r="B777" s="47" t="str">
        <f>VLOOKUP(Tabla6[[#This Row],['# Vuelo]],'Validacion reclamo de equipaje'!P:Q,2,0)</f>
        <v>TOR</v>
      </c>
      <c r="C777" s="52">
        <v>0.72361111111111109</v>
      </c>
      <c r="D777" s="52">
        <v>0.7270833333333333</v>
      </c>
      <c r="E777" s="53">
        <f>'Reclamo de equipaje rediseñado'!$D777-'Reclamo de equipaje rediseñado'!$C777</f>
        <v>3.4722222222222099E-3</v>
      </c>
      <c r="F777" s="52">
        <v>0.73263888888888884</v>
      </c>
      <c r="G777" s="53">
        <f t="shared" si="12"/>
        <v>5.5555555555555358E-3</v>
      </c>
      <c r="H777" s="54">
        <v>41722</v>
      </c>
      <c r="I777" s="55" t="s">
        <v>544</v>
      </c>
      <c r="J777" s="55" t="s">
        <v>535</v>
      </c>
      <c r="K777" s="55">
        <f>VLOOKUP(J777,'Validacion reclamo de equipaje'!L:M,2,0)</f>
        <v>50</v>
      </c>
      <c r="L777" s="55" t="str">
        <f>VLOOKUP(I777,'Validacion reclamo de equipaje'!H:I,2,0)</f>
        <v>Nacional</v>
      </c>
      <c r="M777" s="55" t="s">
        <v>522</v>
      </c>
    </row>
    <row r="778" spans="1:13" x14ac:dyDescent="0.25">
      <c r="A778">
        <v>26</v>
      </c>
      <c r="B778" s="47" t="str">
        <f>VLOOKUP(Tabla6[[#This Row],['# Vuelo]],'Validacion reclamo de equipaje'!P:Q,2,0)</f>
        <v>TOR</v>
      </c>
      <c r="C778" s="48">
        <v>0.72569444444444453</v>
      </c>
      <c r="D778" s="48">
        <v>0.73333333333333339</v>
      </c>
      <c r="E778" s="49">
        <f>'Reclamo de equipaje rediseñado'!$D778-'Reclamo de equipaje rediseñado'!$C778</f>
        <v>7.6388888888888618E-3</v>
      </c>
      <c r="F778" s="48">
        <v>0.73541666666666661</v>
      </c>
      <c r="G778" s="49">
        <f t="shared" si="12"/>
        <v>2.0833333333332149E-3</v>
      </c>
      <c r="H778" s="50">
        <v>41725</v>
      </c>
      <c r="I778" s="51" t="s">
        <v>544</v>
      </c>
      <c r="J778" s="51" t="s">
        <v>535</v>
      </c>
      <c r="K778" s="51">
        <f>VLOOKUP(J778,'Validacion reclamo de equipaje'!L:M,2,0)</f>
        <v>50</v>
      </c>
      <c r="L778" s="51" t="str">
        <f>VLOOKUP(I778,'Validacion reclamo de equipaje'!H:I,2,0)</f>
        <v>Nacional</v>
      </c>
      <c r="M778" s="51" t="s">
        <v>522</v>
      </c>
    </row>
    <row r="779" spans="1:13" x14ac:dyDescent="0.25">
      <c r="A779">
        <v>26</v>
      </c>
      <c r="B779" s="47" t="str">
        <f>VLOOKUP(Tabla6[[#This Row],['# Vuelo]],'Validacion reclamo de equipaje'!P:Q,2,0)</f>
        <v>TOR</v>
      </c>
      <c r="C779" s="52">
        <v>0.72569444444444453</v>
      </c>
      <c r="D779" s="52">
        <v>0.72916666666666663</v>
      </c>
      <c r="E779" s="53">
        <f>'Reclamo de equipaje rediseñado'!$D779-'Reclamo de equipaje rediseñado'!$C779</f>
        <v>3.4722222222220989E-3</v>
      </c>
      <c r="F779" s="52">
        <v>0.73263888888888884</v>
      </c>
      <c r="G779" s="53">
        <f t="shared" si="12"/>
        <v>3.4722222222222099E-3</v>
      </c>
      <c r="H779" s="54">
        <v>41729</v>
      </c>
      <c r="I779" s="55" t="s">
        <v>544</v>
      </c>
      <c r="J779" s="55" t="s">
        <v>535</v>
      </c>
      <c r="K779" s="55">
        <f>VLOOKUP(J779,'Validacion reclamo de equipaje'!L:M,2,0)</f>
        <v>50</v>
      </c>
      <c r="L779" s="55" t="str">
        <f>VLOOKUP(I779,'Validacion reclamo de equipaje'!H:I,2,0)</f>
        <v>Nacional</v>
      </c>
      <c r="M779" s="55" t="s">
        <v>522</v>
      </c>
    </row>
    <row r="780" spans="1:13" x14ac:dyDescent="0.25">
      <c r="A780">
        <v>25</v>
      </c>
      <c r="B780" s="47" t="str">
        <f>VLOOKUP(Tabla6[[#This Row],['# Vuelo]],'Validacion reclamo de equipaje'!P:Q,2,0)</f>
        <v>TOR</v>
      </c>
      <c r="C780" s="48">
        <v>0.56041666666666667</v>
      </c>
      <c r="D780" s="48">
        <v>0.56597222222222221</v>
      </c>
      <c r="E780" s="49">
        <f>'Reclamo de equipaje rediseñado'!$D780-'Reclamo de equipaje rediseñado'!$C780</f>
        <v>5.5555555555555358E-3</v>
      </c>
      <c r="F780" s="48">
        <v>0.57847222222222217</v>
      </c>
      <c r="G780" s="49">
        <f t="shared" si="12"/>
        <v>1.2499999999999956E-2</v>
      </c>
      <c r="H780" s="50">
        <v>41717</v>
      </c>
      <c r="I780" s="51" t="s">
        <v>539</v>
      </c>
      <c r="J780" s="51" t="s">
        <v>535</v>
      </c>
      <c r="K780" s="51">
        <f>VLOOKUP(J780,'Validacion reclamo de equipaje'!L:M,2,0)</f>
        <v>50</v>
      </c>
      <c r="L780" s="51" t="str">
        <f>VLOOKUP(I780,'Validacion reclamo de equipaje'!H:I,2,0)</f>
        <v>Nacional</v>
      </c>
      <c r="M780" s="51" t="s">
        <v>522</v>
      </c>
    </row>
    <row r="781" spans="1:13" x14ac:dyDescent="0.25">
      <c r="A781">
        <v>25</v>
      </c>
      <c r="B781" s="47" t="str">
        <f>VLOOKUP(Tabla6[[#This Row],['# Vuelo]],'Validacion reclamo de equipaje'!P:Q,2,0)</f>
        <v>TOR</v>
      </c>
      <c r="C781" s="52">
        <v>0.55208333333333337</v>
      </c>
      <c r="D781" s="52">
        <v>0.55555555555555558</v>
      </c>
      <c r="E781" s="53">
        <f>'Reclamo de equipaje rediseñado'!$D781-'Reclamo de equipaje rediseñado'!$C781</f>
        <v>3.4722222222222099E-3</v>
      </c>
      <c r="F781" s="52">
        <v>0.55902777777777779</v>
      </c>
      <c r="G781" s="53">
        <f t="shared" si="12"/>
        <v>3.4722222222222099E-3</v>
      </c>
      <c r="H781" s="54">
        <v>41720</v>
      </c>
      <c r="I781" s="55" t="s">
        <v>539</v>
      </c>
      <c r="J781" s="55" t="s">
        <v>535</v>
      </c>
      <c r="K781" s="55">
        <f>VLOOKUP(J781,'Validacion reclamo de equipaje'!L:M,2,0)</f>
        <v>50</v>
      </c>
      <c r="L781" s="55" t="str">
        <f>VLOOKUP(I781,'Validacion reclamo de equipaje'!H:I,2,0)</f>
        <v>Nacional</v>
      </c>
      <c r="M781" s="55" t="s">
        <v>522</v>
      </c>
    </row>
    <row r="782" spans="1:13" x14ac:dyDescent="0.25">
      <c r="A782">
        <v>25</v>
      </c>
      <c r="B782" s="47" t="str">
        <f>VLOOKUP(Tabla6[[#This Row],['# Vuelo]],'Validacion reclamo de equipaje'!P:Q,2,0)</f>
        <v>TOR</v>
      </c>
      <c r="C782" s="48">
        <v>0.5493055555555556</v>
      </c>
      <c r="D782" s="48">
        <v>0.55277777777777781</v>
      </c>
      <c r="E782" s="49">
        <f>'Reclamo de equipaje rediseñado'!$D782-'Reclamo de equipaje rediseñado'!$C782</f>
        <v>3.4722222222222099E-3</v>
      </c>
      <c r="F782" s="48">
        <v>0.5541666666666667</v>
      </c>
      <c r="G782" s="49">
        <f t="shared" si="12"/>
        <v>1.388888888888884E-3</v>
      </c>
      <c r="H782" s="50">
        <v>41721</v>
      </c>
      <c r="I782" s="51" t="s">
        <v>539</v>
      </c>
      <c r="J782" s="51" t="s">
        <v>535</v>
      </c>
      <c r="K782" s="51">
        <f>VLOOKUP(J782,'Validacion reclamo de equipaje'!L:M,2,0)</f>
        <v>50</v>
      </c>
      <c r="L782" s="51" t="str">
        <f>VLOOKUP(I782,'Validacion reclamo de equipaje'!H:I,2,0)</f>
        <v>Nacional</v>
      </c>
      <c r="M782" s="51" t="s">
        <v>522</v>
      </c>
    </row>
    <row r="783" spans="1:13" x14ac:dyDescent="0.25">
      <c r="A783">
        <v>25</v>
      </c>
      <c r="B783" s="47" t="str">
        <f>VLOOKUP(Tabla6[[#This Row],['# Vuelo]],'Validacion reclamo de equipaje'!P:Q,2,0)</f>
        <v>TOR</v>
      </c>
      <c r="C783" s="52">
        <v>0.54652777777777783</v>
      </c>
      <c r="D783" s="52">
        <v>0.55138888888888882</v>
      </c>
      <c r="E783" s="53">
        <f>'Reclamo de equipaje rediseñado'!$D783-'Reclamo de equipaje rediseñado'!$C783</f>
        <v>4.8611111111109828E-3</v>
      </c>
      <c r="F783" s="52">
        <v>0.55208333333333337</v>
      </c>
      <c r="G783" s="53">
        <f t="shared" si="12"/>
        <v>6.94444444444553E-4</v>
      </c>
      <c r="H783" s="54">
        <v>41722</v>
      </c>
      <c r="I783" s="55" t="s">
        <v>539</v>
      </c>
      <c r="J783" s="55" t="s">
        <v>535</v>
      </c>
      <c r="K783" s="55">
        <f>VLOOKUP(J783,'Validacion reclamo de equipaje'!L:M,2,0)</f>
        <v>50</v>
      </c>
      <c r="L783" s="55" t="str">
        <f>VLOOKUP(I783,'Validacion reclamo de equipaje'!H:I,2,0)</f>
        <v>Nacional</v>
      </c>
      <c r="M783" s="55" t="s">
        <v>522</v>
      </c>
    </row>
    <row r="784" spans="1:13" x14ac:dyDescent="0.25">
      <c r="A784">
        <v>25</v>
      </c>
      <c r="B784" s="47" t="str">
        <f>VLOOKUP(Tabla6[[#This Row],['# Vuelo]],'Validacion reclamo de equipaje'!P:Q,2,0)</f>
        <v>TOR</v>
      </c>
      <c r="C784" s="48">
        <v>0.55694444444444446</v>
      </c>
      <c r="D784" s="48">
        <v>0.56527777777777777</v>
      </c>
      <c r="E784" s="49">
        <f>'Reclamo de equipaje rediseñado'!$D784-'Reclamo de equipaje rediseñado'!$C784</f>
        <v>8.3333333333333037E-3</v>
      </c>
      <c r="F784" s="48">
        <v>0.56805555555555554</v>
      </c>
      <c r="G784" s="49">
        <f t="shared" si="12"/>
        <v>2.7777777777777679E-3</v>
      </c>
      <c r="H784" s="50">
        <v>41725</v>
      </c>
      <c r="I784" s="51" t="s">
        <v>539</v>
      </c>
      <c r="J784" s="51" t="s">
        <v>535</v>
      </c>
      <c r="K784" s="51">
        <f>VLOOKUP(J784,'Validacion reclamo de equipaje'!L:M,2,0)</f>
        <v>50</v>
      </c>
      <c r="L784" s="51" t="str">
        <f>VLOOKUP(I784,'Validacion reclamo de equipaje'!H:I,2,0)</f>
        <v>Nacional</v>
      </c>
      <c r="M784" s="51" t="s">
        <v>522</v>
      </c>
    </row>
    <row r="785" spans="1:13" x14ac:dyDescent="0.25">
      <c r="A785">
        <v>25</v>
      </c>
      <c r="B785" s="47" t="str">
        <f>VLOOKUP(Tabla6[[#This Row],['# Vuelo]],'Validacion reclamo de equipaje'!P:Q,2,0)</f>
        <v>TOR</v>
      </c>
      <c r="C785" s="52">
        <v>0.55694444444444446</v>
      </c>
      <c r="D785" s="52">
        <v>0.56111111111111112</v>
      </c>
      <c r="E785" s="53">
        <f>'Reclamo de equipaje rediseñado'!$D785-'Reclamo de equipaje rediseñado'!$C785</f>
        <v>4.1666666666666519E-3</v>
      </c>
      <c r="F785" s="52">
        <v>0.5625</v>
      </c>
      <c r="G785" s="53">
        <f t="shared" si="12"/>
        <v>1.388888888888884E-3</v>
      </c>
      <c r="H785" s="54">
        <v>41727</v>
      </c>
      <c r="I785" s="55" t="s">
        <v>539</v>
      </c>
      <c r="J785" s="55" t="s">
        <v>535</v>
      </c>
      <c r="K785" s="55">
        <f>VLOOKUP(J785,'Validacion reclamo de equipaje'!L:M,2,0)</f>
        <v>50</v>
      </c>
      <c r="L785" s="55" t="str">
        <f>VLOOKUP(I785,'Validacion reclamo de equipaje'!H:I,2,0)</f>
        <v>Nacional</v>
      </c>
      <c r="M785" s="55" t="s">
        <v>522</v>
      </c>
    </row>
    <row r="786" spans="1:13" x14ac:dyDescent="0.25">
      <c r="A786">
        <v>25</v>
      </c>
      <c r="B786" s="47" t="str">
        <f>VLOOKUP(Tabla6[[#This Row],['# Vuelo]],'Validacion reclamo de equipaje'!P:Q,2,0)</f>
        <v>TOR</v>
      </c>
      <c r="C786" s="48">
        <v>0.55555555555555558</v>
      </c>
      <c r="D786" s="48">
        <v>0.55902777777777779</v>
      </c>
      <c r="E786" s="49">
        <f>'Reclamo de equipaje rediseñado'!$D786-'Reclamo de equipaje rediseñado'!$C786</f>
        <v>3.4722222222222099E-3</v>
      </c>
      <c r="F786" s="48">
        <v>0.56180555555555556</v>
      </c>
      <c r="G786" s="49">
        <f t="shared" si="12"/>
        <v>2.7777777777777679E-3</v>
      </c>
      <c r="H786" s="50">
        <v>41729</v>
      </c>
      <c r="I786" s="51" t="s">
        <v>539</v>
      </c>
      <c r="J786" s="51" t="s">
        <v>535</v>
      </c>
      <c r="K786" s="51">
        <f>VLOOKUP(J786,'Validacion reclamo de equipaje'!L:M,2,0)</f>
        <v>50</v>
      </c>
      <c r="L786" s="51" t="str">
        <f>VLOOKUP(I786,'Validacion reclamo de equipaje'!H:I,2,0)</f>
        <v>Nacional</v>
      </c>
      <c r="M786" s="51" t="s">
        <v>522</v>
      </c>
    </row>
    <row r="787" spans="1:13" x14ac:dyDescent="0.25">
      <c r="A787">
        <v>4525</v>
      </c>
      <c r="B787" s="47" t="str">
        <f>VLOOKUP(Tabla6[[#This Row],['# Vuelo]],'Validacion reclamo de equipaje'!P:Q,2,0)</f>
        <v>AEROLINEAS DE AMERICA</v>
      </c>
      <c r="C787" s="52">
        <v>0.68472222222222223</v>
      </c>
      <c r="D787" s="52">
        <v>0.6958333333333333</v>
      </c>
      <c r="E787" s="53">
        <f>'Reclamo de equipaje rediseñado'!$D787-'Reclamo de equipaje rediseñado'!$C787</f>
        <v>1.1111111111111072E-2</v>
      </c>
      <c r="F787" s="52">
        <v>0.70208333333333339</v>
      </c>
      <c r="G787" s="53">
        <f t="shared" si="12"/>
        <v>6.2500000000000888E-3</v>
      </c>
      <c r="H787" s="54">
        <v>41714</v>
      </c>
      <c r="I787" s="55" t="s">
        <v>569</v>
      </c>
      <c r="J787" s="55" t="s">
        <v>535</v>
      </c>
      <c r="K787" s="55">
        <f>VLOOKUP(J787,'Validacion reclamo de equipaje'!L:M,2,0)</f>
        <v>50</v>
      </c>
      <c r="L787" s="55" t="str">
        <f>VLOOKUP(I787,'Validacion reclamo de equipaje'!H:I,2,0)</f>
        <v>Internacional</v>
      </c>
      <c r="M787" s="55" t="s">
        <v>522</v>
      </c>
    </row>
    <row r="788" spans="1:13" x14ac:dyDescent="0.25">
      <c r="A788">
        <v>4525</v>
      </c>
      <c r="B788" s="47" t="str">
        <f>VLOOKUP(Tabla6[[#This Row],['# Vuelo]],'Validacion reclamo de equipaje'!P:Q,2,0)</f>
        <v>AEROLINEAS DE AMERICA</v>
      </c>
      <c r="C788" s="48">
        <v>0.70416666666666661</v>
      </c>
      <c r="D788" s="48">
        <v>0.72083333333333333</v>
      </c>
      <c r="E788" s="49">
        <f>'Reclamo de equipaje rediseñado'!$D788-'Reclamo de equipaje rediseñado'!$C788</f>
        <v>1.6666666666666718E-2</v>
      </c>
      <c r="F788" s="48">
        <v>0.73125000000000007</v>
      </c>
      <c r="G788" s="49">
        <f t="shared" si="12"/>
        <v>1.0416666666666741E-2</v>
      </c>
      <c r="H788" s="50">
        <v>41715</v>
      </c>
      <c r="I788" s="51" t="s">
        <v>569</v>
      </c>
      <c r="J788" s="51" t="s">
        <v>535</v>
      </c>
      <c r="K788" s="51">
        <f>VLOOKUP(J788,'Validacion reclamo de equipaje'!L:M,2,0)</f>
        <v>50</v>
      </c>
      <c r="L788" s="51" t="str">
        <f>VLOOKUP(I788,'Validacion reclamo de equipaje'!H:I,2,0)</f>
        <v>Internacional</v>
      </c>
      <c r="M788" s="51" t="s">
        <v>522</v>
      </c>
    </row>
    <row r="789" spans="1:13" x14ac:dyDescent="0.25">
      <c r="A789">
        <v>4525</v>
      </c>
      <c r="B789" s="47" t="str">
        <f>VLOOKUP(Tabla6[[#This Row],['# Vuelo]],'Validacion reclamo de equipaje'!P:Q,2,0)</f>
        <v>AEROLINEAS DE AMERICA</v>
      </c>
      <c r="C789" s="52">
        <v>0.66805555555555562</v>
      </c>
      <c r="D789" s="52">
        <v>0.67638888888888893</v>
      </c>
      <c r="E789" s="53">
        <f>'Reclamo de equipaje rediseñado'!$D789-'Reclamo de equipaje rediseñado'!$C789</f>
        <v>8.3333333333333037E-3</v>
      </c>
      <c r="F789" s="52">
        <v>0.68263888888888891</v>
      </c>
      <c r="G789" s="53">
        <f t="shared" si="12"/>
        <v>6.2499999999999778E-3</v>
      </c>
      <c r="H789" s="54">
        <v>41717</v>
      </c>
      <c r="I789" s="55" t="s">
        <v>569</v>
      </c>
      <c r="J789" s="55" t="s">
        <v>535</v>
      </c>
      <c r="K789" s="55">
        <f>VLOOKUP(J789,'Validacion reclamo de equipaje'!L:M,2,0)</f>
        <v>50</v>
      </c>
      <c r="L789" s="55" t="str">
        <f>VLOOKUP(I789,'Validacion reclamo de equipaje'!H:I,2,0)</f>
        <v>Internacional</v>
      </c>
      <c r="M789" s="55" t="s">
        <v>522</v>
      </c>
    </row>
    <row r="790" spans="1:13" x14ac:dyDescent="0.25">
      <c r="A790">
        <v>4525</v>
      </c>
      <c r="B790" s="47" t="str">
        <f>VLOOKUP(Tabla6[[#This Row],['# Vuelo]],'Validacion reclamo de equipaje'!P:Q,2,0)</f>
        <v>AEROLINEAS DE AMERICA</v>
      </c>
      <c r="C790" s="48">
        <v>0.67499999999999993</v>
      </c>
      <c r="D790" s="48">
        <v>0.68263888888888891</v>
      </c>
      <c r="E790" s="49">
        <f>'Reclamo de equipaje rediseñado'!$D790-'Reclamo de equipaje rediseñado'!$C790</f>
        <v>7.6388888888889728E-3</v>
      </c>
      <c r="F790" s="48">
        <v>0.69513888888888886</v>
      </c>
      <c r="G790" s="49">
        <f t="shared" si="12"/>
        <v>1.2499999999999956E-2</v>
      </c>
      <c r="H790" s="50">
        <v>41720</v>
      </c>
      <c r="I790" s="51" t="s">
        <v>569</v>
      </c>
      <c r="J790" s="51" t="s">
        <v>535</v>
      </c>
      <c r="K790" s="51">
        <f>VLOOKUP(J790,'Validacion reclamo de equipaje'!L:M,2,0)</f>
        <v>50</v>
      </c>
      <c r="L790" s="51" t="str">
        <f>VLOOKUP(I790,'Validacion reclamo de equipaje'!H:I,2,0)</f>
        <v>Internacional</v>
      </c>
      <c r="M790" s="51" t="s">
        <v>522</v>
      </c>
    </row>
    <row r="791" spans="1:13" x14ac:dyDescent="0.25">
      <c r="A791">
        <v>4525</v>
      </c>
      <c r="B791" s="47" t="str">
        <f>VLOOKUP(Tabla6[[#This Row],['# Vuelo]],'Validacion reclamo de equipaje'!P:Q,2,0)</f>
        <v>AEROLINEAS DE AMERICA</v>
      </c>
      <c r="C791" s="52">
        <v>0.67638888888888893</v>
      </c>
      <c r="D791" s="52">
        <v>0.6875</v>
      </c>
      <c r="E791" s="53">
        <f>'Reclamo de equipaje rediseñado'!$D791-'Reclamo de equipaje rediseñado'!$C791</f>
        <v>1.1111111111111072E-2</v>
      </c>
      <c r="F791" s="52">
        <v>0.69930555555555562</v>
      </c>
      <c r="G791" s="53">
        <f t="shared" si="12"/>
        <v>1.1805555555555625E-2</v>
      </c>
      <c r="H791" s="54">
        <v>41721</v>
      </c>
      <c r="I791" s="55" t="s">
        <v>569</v>
      </c>
      <c r="J791" s="55" t="s">
        <v>535</v>
      </c>
      <c r="K791" s="55">
        <f>VLOOKUP(J791,'Validacion reclamo de equipaje'!L:M,2,0)</f>
        <v>50</v>
      </c>
      <c r="L791" s="55" t="str">
        <f>VLOOKUP(I791,'Validacion reclamo de equipaje'!H:I,2,0)</f>
        <v>Internacional</v>
      </c>
      <c r="M791" s="55" t="s">
        <v>522</v>
      </c>
    </row>
    <row r="792" spans="1:13" x14ac:dyDescent="0.25">
      <c r="A792">
        <v>4525</v>
      </c>
      <c r="B792" s="47" t="str">
        <f>VLOOKUP(Tabla6[[#This Row],['# Vuelo]],'Validacion reclamo de equipaje'!P:Q,2,0)</f>
        <v>AEROLINEAS DE AMERICA</v>
      </c>
      <c r="C792" s="48">
        <v>0.68611111111111101</v>
      </c>
      <c r="D792" s="48">
        <v>0.6958333333333333</v>
      </c>
      <c r="E792" s="49">
        <f>'Reclamo de equipaje rediseñado'!$D792-'Reclamo de equipaje rediseñado'!$C792</f>
        <v>9.7222222222222987E-3</v>
      </c>
      <c r="F792" s="48">
        <v>0.71805555555555556</v>
      </c>
      <c r="G792" s="49">
        <f t="shared" si="12"/>
        <v>2.2222222222222254E-2</v>
      </c>
      <c r="H792" s="50">
        <v>41722</v>
      </c>
      <c r="I792" s="51" t="s">
        <v>569</v>
      </c>
      <c r="J792" s="51" t="s">
        <v>535</v>
      </c>
      <c r="K792" s="51">
        <f>VLOOKUP(J792,'Validacion reclamo de equipaje'!L:M,2,0)</f>
        <v>50</v>
      </c>
      <c r="L792" s="51" t="str">
        <f>VLOOKUP(I792,'Validacion reclamo de equipaje'!H:I,2,0)</f>
        <v>Internacional</v>
      </c>
      <c r="M792" s="51" t="s">
        <v>522</v>
      </c>
    </row>
    <row r="793" spans="1:13" x14ac:dyDescent="0.25">
      <c r="A793">
        <v>4525</v>
      </c>
      <c r="B793" s="47" t="str">
        <f>VLOOKUP(Tabla6[[#This Row],['# Vuelo]],'Validacion reclamo de equipaje'!P:Q,2,0)</f>
        <v>AEROLINEAS DE AMERICA</v>
      </c>
      <c r="C793" s="52">
        <v>0.65208333333333335</v>
      </c>
      <c r="D793" s="52">
        <v>0.66319444444444442</v>
      </c>
      <c r="E793" s="53">
        <f>'Reclamo de equipaje rediseñado'!$D793-'Reclamo de equipaje rediseñado'!$C793</f>
        <v>1.1111111111111072E-2</v>
      </c>
      <c r="F793" s="52">
        <v>0.66597222222222219</v>
      </c>
      <c r="G793" s="53">
        <f t="shared" si="12"/>
        <v>2.7777777777777679E-3</v>
      </c>
      <c r="H793" s="54">
        <v>41723</v>
      </c>
      <c r="I793" s="55" t="s">
        <v>569</v>
      </c>
      <c r="J793" s="55" t="s">
        <v>535</v>
      </c>
      <c r="K793" s="55">
        <f>VLOOKUP(J793,'Validacion reclamo de equipaje'!L:M,2,0)</f>
        <v>50</v>
      </c>
      <c r="L793" s="55" t="str">
        <f>VLOOKUP(I793,'Validacion reclamo de equipaje'!H:I,2,0)</f>
        <v>Internacional</v>
      </c>
      <c r="M793" s="55" t="s">
        <v>522</v>
      </c>
    </row>
    <row r="794" spans="1:13" x14ac:dyDescent="0.25">
      <c r="A794">
        <v>4525</v>
      </c>
      <c r="B794" s="47" t="str">
        <f>VLOOKUP(Tabla6[[#This Row],['# Vuelo]],'Validacion reclamo de equipaje'!P:Q,2,0)</f>
        <v>AEROLINEAS DE AMERICA</v>
      </c>
      <c r="C794" s="48">
        <v>0.6694444444444444</v>
      </c>
      <c r="D794" s="48">
        <v>0.67847222222222225</v>
      </c>
      <c r="E794" s="49">
        <f>'Reclamo de equipaje rediseñado'!$D794-'Reclamo de equipaje rediseñado'!$C794</f>
        <v>9.0277777777778567E-3</v>
      </c>
      <c r="F794" s="48">
        <v>0.69374999999999998</v>
      </c>
      <c r="G794" s="49">
        <f t="shared" si="12"/>
        <v>1.5277777777777724E-2</v>
      </c>
      <c r="H794" s="50">
        <v>41725</v>
      </c>
      <c r="I794" s="51" t="s">
        <v>569</v>
      </c>
      <c r="J794" s="51" t="s">
        <v>535</v>
      </c>
      <c r="K794" s="51">
        <f>VLOOKUP(J794,'Validacion reclamo de equipaje'!L:M,2,0)</f>
        <v>50</v>
      </c>
      <c r="L794" s="51" t="str">
        <f>VLOOKUP(I794,'Validacion reclamo de equipaje'!H:I,2,0)</f>
        <v>Internacional</v>
      </c>
      <c r="M794" s="51" t="s">
        <v>522</v>
      </c>
    </row>
    <row r="795" spans="1:13" x14ac:dyDescent="0.25">
      <c r="A795">
        <v>4525</v>
      </c>
      <c r="B795" s="47" t="str">
        <f>VLOOKUP(Tabla6[[#This Row],['# Vuelo]],'Validacion reclamo de equipaje'!P:Q,2,0)</f>
        <v>AEROLINEAS DE AMERICA</v>
      </c>
      <c r="C795" s="52">
        <v>0.68194444444444446</v>
      </c>
      <c r="D795" s="52">
        <v>0.69236111111111109</v>
      </c>
      <c r="E795" s="53">
        <f>'Reclamo de equipaje rediseñado'!$D795-'Reclamo de equipaje rediseñado'!$C795</f>
        <v>1.041666666666663E-2</v>
      </c>
      <c r="F795" s="52">
        <v>0.69444444444444453</v>
      </c>
      <c r="G795" s="53">
        <f t="shared" si="12"/>
        <v>2.083333333333437E-3</v>
      </c>
      <c r="H795" s="54">
        <v>41727</v>
      </c>
      <c r="I795" s="55" t="s">
        <v>569</v>
      </c>
      <c r="J795" s="55" t="s">
        <v>535</v>
      </c>
      <c r="K795" s="55">
        <f>VLOOKUP(J795,'Validacion reclamo de equipaje'!L:M,2,0)</f>
        <v>50</v>
      </c>
      <c r="L795" s="55" t="str">
        <f>VLOOKUP(I795,'Validacion reclamo de equipaje'!H:I,2,0)</f>
        <v>Internacional</v>
      </c>
      <c r="M795" s="55" t="s">
        <v>522</v>
      </c>
    </row>
    <row r="796" spans="1:13" x14ac:dyDescent="0.25">
      <c r="A796">
        <v>4525</v>
      </c>
      <c r="B796" s="47" t="str">
        <f>VLOOKUP(Tabla6[[#This Row],['# Vuelo]],'Validacion reclamo de equipaje'!P:Q,2,0)</f>
        <v>AEROLINEAS DE AMERICA</v>
      </c>
      <c r="C796" s="48">
        <v>0.68194444444444446</v>
      </c>
      <c r="D796" s="48">
        <v>0.69513888888888886</v>
      </c>
      <c r="E796" s="49">
        <f>'Reclamo de equipaje rediseñado'!$D796-'Reclamo de equipaje rediseñado'!$C796</f>
        <v>1.3194444444444398E-2</v>
      </c>
      <c r="F796" s="48">
        <v>0.69791666666666663</v>
      </c>
      <c r="G796" s="49">
        <f t="shared" si="12"/>
        <v>2.7777777777777679E-3</v>
      </c>
      <c r="H796" s="50">
        <v>41728</v>
      </c>
      <c r="I796" s="51" t="s">
        <v>569</v>
      </c>
      <c r="J796" s="51" t="s">
        <v>535</v>
      </c>
      <c r="K796" s="51">
        <f>VLOOKUP(J796,'Validacion reclamo de equipaje'!L:M,2,0)</f>
        <v>50</v>
      </c>
      <c r="L796" s="51" t="str">
        <f>VLOOKUP(I796,'Validacion reclamo de equipaje'!H:I,2,0)</f>
        <v>Internacional</v>
      </c>
      <c r="M796" s="51" t="s">
        <v>522</v>
      </c>
    </row>
    <row r="797" spans="1:13" x14ac:dyDescent="0.25">
      <c r="A797">
        <v>4525</v>
      </c>
      <c r="B797" s="47" t="str">
        <f>VLOOKUP(Tabla6[[#This Row],['# Vuelo]],'Validacion reclamo de equipaje'!P:Q,2,0)</f>
        <v>AEROLINEAS DE AMERICA</v>
      </c>
      <c r="C797" s="52">
        <v>0.65486111111111112</v>
      </c>
      <c r="D797" s="52">
        <v>0.66388888888888886</v>
      </c>
      <c r="E797" s="53">
        <f>'Reclamo de equipaje rediseñado'!$D797-'Reclamo de equipaje rediseñado'!$C797</f>
        <v>9.0277777777777457E-3</v>
      </c>
      <c r="F797" s="52">
        <v>0.67291666666666661</v>
      </c>
      <c r="G797" s="53">
        <f t="shared" si="12"/>
        <v>9.0277777777777457E-3</v>
      </c>
      <c r="H797" s="54">
        <v>41729</v>
      </c>
      <c r="I797" s="55" t="s">
        <v>569</v>
      </c>
      <c r="J797" s="55" t="s">
        <v>535</v>
      </c>
      <c r="K797" s="55">
        <f>VLOOKUP(J797,'Validacion reclamo de equipaje'!L:M,2,0)</f>
        <v>50</v>
      </c>
      <c r="L797" s="55" t="str">
        <f>VLOOKUP(I797,'Validacion reclamo de equipaje'!H:I,2,0)</f>
        <v>Internacional</v>
      </c>
      <c r="M797" s="55" t="s">
        <v>522</v>
      </c>
    </row>
    <row r="798" spans="1:13" x14ac:dyDescent="0.25">
      <c r="A798">
        <v>4394</v>
      </c>
      <c r="B798" s="47" t="str">
        <f>VLOOKUP(Tabla6[[#This Row],['# Vuelo]],'Validacion reclamo de equipaje'!P:Q,2,0)</f>
        <v>UNIDOS VOLAMOS</v>
      </c>
      <c r="C798" s="48">
        <v>0.82986111111111116</v>
      </c>
      <c r="D798" s="48">
        <v>0.83888888888888891</v>
      </c>
      <c r="E798" s="49">
        <f>'Reclamo de equipaje rediseñado'!$D798-'Reclamo de equipaje rediseñado'!$C798</f>
        <v>9.0277777777777457E-3</v>
      </c>
      <c r="F798" s="48">
        <v>0.85277777777777775</v>
      </c>
      <c r="G798" s="49">
        <f t="shared" si="12"/>
        <v>1.388888888888884E-2</v>
      </c>
      <c r="H798" s="50">
        <v>41721</v>
      </c>
      <c r="I798" s="51" t="s">
        <v>569</v>
      </c>
      <c r="J798" s="51" t="s">
        <v>535</v>
      </c>
      <c r="K798" s="51">
        <f>VLOOKUP(J798,'Validacion reclamo de equipaje'!L:M,2,0)</f>
        <v>50</v>
      </c>
      <c r="L798" s="51" t="str">
        <f>VLOOKUP(I798,'Validacion reclamo de equipaje'!H:I,2,0)</f>
        <v>Internacional</v>
      </c>
      <c r="M798" s="51" t="s">
        <v>522</v>
      </c>
    </row>
    <row r="799" spans="1:13" x14ac:dyDescent="0.25">
      <c r="A799">
        <v>4394</v>
      </c>
      <c r="B799" s="47" t="str">
        <f>VLOOKUP(Tabla6[[#This Row],['# Vuelo]],'Validacion reclamo de equipaje'!P:Q,2,0)</f>
        <v>UNIDOS VOLAMOS</v>
      </c>
      <c r="C799" s="52">
        <v>0.89236111111111116</v>
      </c>
      <c r="D799" s="52">
        <v>0.90069444444444446</v>
      </c>
      <c r="E799" s="53">
        <f>'Reclamo de equipaje rediseñado'!$D799-'Reclamo de equipaje rediseñado'!$C799</f>
        <v>8.3333333333333037E-3</v>
      </c>
      <c r="F799" s="52">
        <v>0.90625</v>
      </c>
      <c r="G799" s="53">
        <f t="shared" si="12"/>
        <v>5.5555555555555358E-3</v>
      </c>
      <c r="H799" s="54">
        <v>41724</v>
      </c>
      <c r="I799" s="55" t="s">
        <v>569</v>
      </c>
      <c r="J799" s="55" t="s">
        <v>535</v>
      </c>
      <c r="K799" s="55">
        <f>VLOOKUP(J799,'Validacion reclamo de equipaje'!L:M,2,0)</f>
        <v>50</v>
      </c>
      <c r="L799" s="55" t="str">
        <f>VLOOKUP(I799,'Validacion reclamo de equipaje'!H:I,2,0)</f>
        <v>Internacional</v>
      </c>
      <c r="M799" s="55" t="s">
        <v>522</v>
      </c>
    </row>
    <row r="800" spans="1:13" x14ac:dyDescent="0.25">
      <c r="A800">
        <v>4394</v>
      </c>
      <c r="B800" s="47" t="str">
        <f>VLOOKUP(Tabla6[[#This Row],['# Vuelo]],'Validacion reclamo de equipaje'!P:Q,2,0)</f>
        <v>UNIDOS VOLAMOS</v>
      </c>
      <c r="C800" s="48">
        <v>0.89583333333333337</v>
      </c>
      <c r="D800" s="48">
        <v>0.90555555555555556</v>
      </c>
      <c r="E800" s="49">
        <f>'Reclamo de equipaje rediseñado'!$D800-'Reclamo de equipaje rediseñado'!$C800</f>
        <v>9.7222222222221877E-3</v>
      </c>
      <c r="F800" s="48">
        <v>0.92152777777777783</v>
      </c>
      <c r="G800" s="49">
        <f t="shared" si="12"/>
        <v>1.5972222222222276E-2</v>
      </c>
      <c r="H800" s="50">
        <v>41713</v>
      </c>
      <c r="I800" s="51" t="s">
        <v>569</v>
      </c>
      <c r="J800" s="51" t="s">
        <v>535</v>
      </c>
      <c r="K800" s="51">
        <f>VLOOKUP(J800,'Validacion reclamo de equipaje'!L:M,2,0)</f>
        <v>50</v>
      </c>
      <c r="L800" s="51" t="str">
        <f>VLOOKUP(I800,'Validacion reclamo de equipaje'!H:I,2,0)</f>
        <v>Internacional</v>
      </c>
      <c r="M800" s="51" t="s">
        <v>522</v>
      </c>
    </row>
    <row r="801" spans="1:13" x14ac:dyDescent="0.25">
      <c r="A801">
        <v>4394</v>
      </c>
      <c r="B801" s="47" t="str">
        <f>VLOOKUP(Tabla6[[#This Row],['# Vuelo]],'Validacion reclamo de equipaje'!P:Q,2,0)</f>
        <v>UNIDOS VOLAMOS</v>
      </c>
      <c r="C801" s="52">
        <v>0.87708333333333333</v>
      </c>
      <c r="D801" s="52">
        <v>0.8881944444444444</v>
      </c>
      <c r="E801" s="53">
        <f>'Reclamo de equipaje rediseñado'!$D801-'Reclamo de equipaje rediseñado'!$C801</f>
        <v>1.1111111111111072E-2</v>
      </c>
      <c r="F801" s="52">
        <v>0.89236111111111116</v>
      </c>
      <c r="G801" s="53">
        <f t="shared" si="12"/>
        <v>4.1666666666667629E-3</v>
      </c>
      <c r="H801" s="54">
        <v>41715</v>
      </c>
      <c r="I801" s="55" t="s">
        <v>569</v>
      </c>
      <c r="J801" s="55" t="s">
        <v>535</v>
      </c>
      <c r="K801" s="55">
        <f>VLOOKUP(J801,'Validacion reclamo de equipaje'!L:M,2,0)</f>
        <v>50</v>
      </c>
      <c r="L801" s="55" t="str">
        <f>VLOOKUP(I801,'Validacion reclamo de equipaje'!H:I,2,0)</f>
        <v>Internacional</v>
      </c>
      <c r="M801" s="55" t="s">
        <v>522</v>
      </c>
    </row>
    <row r="802" spans="1:13" x14ac:dyDescent="0.25">
      <c r="A802">
        <v>4394</v>
      </c>
      <c r="B802" s="47" t="str">
        <f>VLOOKUP(Tabla6[[#This Row],['# Vuelo]],'Validacion reclamo de equipaje'!P:Q,2,0)</f>
        <v>UNIDOS VOLAMOS</v>
      </c>
      <c r="C802" s="48">
        <v>0.88194444444444453</v>
      </c>
      <c r="D802" s="48">
        <v>0.8930555555555556</v>
      </c>
      <c r="E802" s="49">
        <f>'Reclamo de equipaje rediseñado'!$D802-'Reclamo de equipaje rediseñado'!$C802</f>
        <v>1.1111111111111072E-2</v>
      </c>
      <c r="F802" s="48">
        <v>0.90138888888888891</v>
      </c>
      <c r="G802" s="49">
        <f t="shared" si="12"/>
        <v>8.3333333333333037E-3</v>
      </c>
      <c r="H802" s="50">
        <v>41716</v>
      </c>
      <c r="I802" s="51" t="s">
        <v>569</v>
      </c>
      <c r="J802" s="51" t="s">
        <v>535</v>
      </c>
      <c r="K802" s="51">
        <f>VLOOKUP(J802,'Validacion reclamo de equipaje'!L:M,2,0)</f>
        <v>50</v>
      </c>
      <c r="L802" s="51" t="str">
        <f>VLOOKUP(I802,'Validacion reclamo de equipaje'!H:I,2,0)</f>
        <v>Internacional</v>
      </c>
      <c r="M802" s="51" t="s">
        <v>522</v>
      </c>
    </row>
    <row r="803" spans="1:13" x14ac:dyDescent="0.25">
      <c r="A803">
        <v>4394</v>
      </c>
      <c r="B803" s="47" t="str">
        <f>VLOOKUP(Tabla6[[#This Row],['# Vuelo]],'Validacion reclamo de equipaje'!P:Q,2,0)</f>
        <v>UNIDOS VOLAMOS</v>
      </c>
      <c r="C803" s="52">
        <v>0.88194444444444453</v>
      </c>
      <c r="D803" s="52">
        <v>0.89513888888888893</v>
      </c>
      <c r="E803" s="53">
        <f>'Reclamo de equipaje rediseñado'!$D803-'Reclamo de equipaje rediseñado'!$C803</f>
        <v>1.3194444444444398E-2</v>
      </c>
      <c r="F803" s="52">
        <v>0.90972222222222221</v>
      </c>
      <c r="G803" s="53">
        <f t="shared" si="12"/>
        <v>1.4583333333333282E-2</v>
      </c>
      <c r="H803" s="54">
        <v>41717</v>
      </c>
      <c r="I803" s="55" t="s">
        <v>569</v>
      </c>
      <c r="J803" s="55" t="s">
        <v>535</v>
      </c>
      <c r="K803" s="55">
        <f>VLOOKUP(J803,'Validacion reclamo de equipaje'!L:M,2,0)</f>
        <v>50</v>
      </c>
      <c r="L803" s="55" t="str">
        <f>VLOOKUP(I803,'Validacion reclamo de equipaje'!H:I,2,0)</f>
        <v>Internacional</v>
      </c>
      <c r="M803" s="55" t="s">
        <v>522</v>
      </c>
    </row>
    <row r="804" spans="1:13" x14ac:dyDescent="0.25">
      <c r="A804">
        <v>4394</v>
      </c>
      <c r="B804" s="47" t="str">
        <f>VLOOKUP(Tabla6[[#This Row],['# Vuelo]],'Validacion reclamo de equipaje'!P:Q,2,0)</f>
        <v>UNIDOS VOLAMOS</v>
      </c>
      <c r="C804" s="48">
        <v>0.88888888888888884</v>
      </c>
      <c r="D804" s="48">
        <v>0.89513888888888893</v>
      </c>
      <c r="E804" s="49">
        <f>'Reclamo de equipaje rediseñado'!$D804-'Reclamo de equipaje rediseñado'!$C804</f>
        <v>6.2500000000000888E-3</v>
      </c>
      <c r="F804" s="48">
        <v>0.90347222222222223</v>
      </c>
      <c r="G804" s="49">
        <f t="shared" si="12"/>
        <v>8.3333333333333037E-3</v>
      </c>
      <c r="H804" s="50">
        <v>41719</v>
      </c>
      <c r="I804" s="51" t="s">
        <v>569</v>
      </c>
      <c r="J804" s="51" t="s">
        <v>535</v>
      </c>
      <c r="K804" s="51">
        <f>VLOOKUP(J804,'Validacion reclamo de equipaje'!L:M,2,0)</f>
        <v>50</v>
      </c>
      <c r="L804" s="51" t="str">
        <f>VLOOKUP(I804,'Validacion reclamo de equipaje'!H:I,2,0)</f>
        <v>Internacional</v>
      </c>
      <c r="M804" s="51" t="s">
        <v>522</v>
      </c>
    </row>
    <row r="805" spans="1:13" x14ac:dyDescent="0.25">
      <c r="A805">
        <v>4394</v>
      </c>
      <c r="B805" s="47" t="str">
        <f>VLOOKUP(Tabla6[[#This Row],['# Vuelo]],'Validacion reclamo de equipaje'!P:Q,2,0)</f>
        <v>UNIDOS VOLAMOS</v>
      </c>
      <c r="C805" s="52">
        <v>0.87708333333333333</v>
      </c>
      <c r="D805" s="52">
        <v>0.88402777777777775</v>
      </c>
      <c r="E805" s="53">
        <f>'Reclamo de equipaje rediseñado'!$D805-'Reclamo de equipaje rediseñado'!$C805</f>
        <v>6.9444444444444198E-3</v>
      </c>
      <c r="F805" s="52">
        <v>0.90763888888888899</v>
      </c>
      <c r="G805" s="53">
        <f t="shared" si="12"/>
        <v>2.3611111111111249E-2</v>
      </c>
      <c r="H805" s="54">
        <v>41719</v>
      </c>
      <c r="I805" s="55" t="s">
        <v>569</v>
      </c>
      <c r="J805" s="55" t="s">
        <v>535</v>
      </c>
      <c r="K805" s="55">
        <f>VLOOKUP(J805,'Validacion reclamo de equipaje'!L:M,2,0)</f>
        <v>50</v>
      </c>
      <c r="L805" s="55" t="str">
        <f>VLOOKUP(I805,'Validacion reclamo de equipaje'!H:I,2,0)</f>
        <v>Internacional</v>
      </c>
      <c r="M805" s="55" t="s">
        <v>522</v>
      </c>
    </row>
    <row r="806" spans="1:13" x14ac:dyDescent="0.25">
      <c r="A806">
        <v>4394</v>
      </c>
      <c r="B806" s="47" t="str">
        <f>VLOOKUP(Tabla6[[#This Row],['# Vuelo]],'Validacion reclamo de equipaje'!P:Q,2,0)</f>
        <v>UNIDOS VOLAMOS</v>
      </c>
      <c r="C806" s="48">
        <v>0.87777777777777777</v>
      </c>
      <c r="D806" s="48">
        <v>0.89097222222222217</v>
      </c>
      <c r="E806" s="49">
        <f>'Reclamo de equipaje rediseñado'!$D806-'Reclamo de equipaje rediseñado'!$C806</f>
        <v>1.3194444444444398E-2</v>
      </c>
      <c r="F806" s="48">
        <v>0.8965277777777777</v>
      </c>
      <c r="G806" s="49">
        <f t="shared" si="12"/>
        <v>5.5555555555555358E-3</v>
      </c>
      <c r="H806" s="50">
        <v>41721</v>
      </c>
      <c r="I806" s="51" t="s">
        <v>569</v>
      </c>
      <c r="J806" s="51" t="s">
        <v>535</v>
      </c>
      <c r="K806" s="51">
        <f>VLOOKUP(J806,'Validacion reclamo de equipaje'!L:M,2,0)</f>
        <v>50</v>
      </c>
      <c r="L806" s="51" t="str">
        <f>VLOOKUP(I806,'Validacion reclamo de equipaje'!H:I,2,0)</f>
        <v>Internacional</v>
      </c>
      <c r="M806" s="51" t="s">
        <v>522</v>
      </c>
    </row>
    <row r="807" spans="1:13" x14ac:dyDescent="0.25">
      <c r="A807">
        <v>4394</v>
      </c>
      <c r="B807" s="47" t="str">
        <f>VLOOKUP(Tabla6[[#This Row],['# Vuelo]],'Validacion reclamo de equipaje'!P:Q,2,0)</f>
        <v>UNIDOS VOLAMOS</v>
      </c>
      <c r="C807" s="52">
        <v>0.87986111111111109</v>
      </c>
      <c r="D807" s="52">
        <v>0.88888888888888884</v>
      </c>
      <c r="E807" s="53">
        <f>'Reclamo de equipaje rediseñado'!$D807-'Reclamo de equipaje rediseñado'!$C807</f>
        <v>9.0277777777777457E-3</v>
      </c>
      <c r="F807" s="52">
        <v>0.89236111111111116</v>
      </c>
      <c r="G807" s="53">
        <f t="shared" si="12"/>
        <v>3.4722222222223209E-3</v>
      </c>
      <c r="H807" s="54">
        <v>41723</v>
      </c>
      <c r="I807" s="55" t="s">
        <v>569</v>
      </c>
      <c r="J807" s="55" t="s">
        <v>535</v>
      </c>
      <c r="K807" s="55">
        <f>VLOOKUP(J807,'Validacion reclamo de equipaje'!L:M,2,0)</f>
        <v>50</v>
      </c>
      <c r="L807" s="55" t="str">
        <f>VLOOKUP(I807,'Validacion reclamo de equipaje'!H:I,2,0)</f>
        <v>Internacional</v>
      </c>
      <c r="M807" s="55" t="s">
        <v>522</v>
      </c>
    </row>
    <row r="808" spans="1:13" x14ac:dyDescent="0.25">
      <c r="A808">
        <v>4394</v>
      </c>
      <c r="B808" s="47" t="str">
        <f>VLOOKUP(Tabla6[[#This Row],['# Vuelo]],'Validacion reclamo de equipaje'!P:Q,2,0)</f>
        <v>UNIDOS VOLAMOS</v>
      </c>
      <c r="C808" s="48">
        <v>0.88958333333333339</v>
      </c>
      <c r="D808" s="48">
        <v>0.90277777777777779</v>
      </c>
      <c r="E808" s="49">
        <f>'Reclamo de equipaje rediseñado'!$D808-'Reclamo de equipaje rediseñado'!$C808</f>
        <v>1.3194444444444398E-2</v>
      </c>
      <c r="F808" s="48">
        <v>0.92361111111111116</v>
      </c>
      <c r="G808" s="49">
        <f t="shared" si="12"/>
        <v>2.083333333333337E-2</v>
      </c>
      <c r="H808" s="50">
        <v>41724</v>
      </c>
      <c r="I808" s="51" t="s">
        <v>569</v>
      </c>
      <c r="J808" s="51" t="s">
        <v>535</v>
      </c>
      <c r="K808" s="51">
        <f>VLOOKUP(J808,'Validacion reclamo de equipaje'!L:M,2,0)</f>
        <v>50</v>
      </c>
      <c r="L808" s="51" t="str">
        <f>VLOOKUP(I808,'Validacion reclamo de equipaje'!H:I,2,0)</f>
        <v>Internacional</v>
      </c>
      <c r="M808" s="51" t="s">
        <v>522</v>
      </c>
    </row>
    <row r="809" spans="1:13" x14ac:dyDescent="0.25">
      <c r="A809">
        <v>4394</v>
      </c>
      <c r="B809" s="47" t="str">
        <f>VLOOKUP(Tabla6[[#This Row],['# Vuelo]],'Validacion reclamo de equipaje'!P:Q,2,0)</f>
        <v>UNIDOS VOLAMOS</v>
      </c>
      <c r="C809" s="52">
        <v>0.89374999999999993</v>
      </c>
      <c r="D809" s="52">
        <v>0.89722222222222225</v>
      </c>
      <c r="E809" s="53">
        <f>'Reclamo de equipaje rediseñado'!$D809-'Reclamo de equipaje rediseñado'!$C809</f>
        <v>3.4722222222223209E-3</v>
      </c>
      <c r="F809" s="52">
        <v>0.90625</v>
      </c>
      <c r="G809" s="53">
        <f t="shared" si="12"/>
        <v>9.0277777777777457E-3</v>
      </c>
      <c r="H809" s="54">
        <v>41725</v>
      </c>
      <c r="I809" s="55" t="s">
        <v>569</v>
      </c>
      <c r="J809" s="55" t="s">
        <v>535</v>
      </c>
      <c r="K809" s="55">
        <f>VLOOKUP(J809,'Validacion reclamo de equipaje'!L:M,2,0)</f>
        <v>50</v>
      </c>
      <c r="L809" s="55" t="str">
        <f>VLOOKUP(I809,'Validacion reclamo de equipaje'!H:I,2,0)</f>
        <v>Internacional</v>
      </c>
      <c r="M809" s="55" t="s">
        <v>522</v>
      </c>
    </row>
    <row r="810" spans="1:13" x14ac:dyDescent="0.25">
      <c r="A810">
        <v>4394</v>
      </c>
      <c r="B810" s="47" t="str">
        <f>VLOOKUP(Tabla6[[#This Row],['# Vuelo]],'Validacion reclamo de equipaje'!P:Q,2,0)</f>
        <v>UNIDOS VOLAMOS</v>
      </c>
      <c r="C810" s="48">
        <v>0.87430555555555556</v>
      </c>
      <c r="D810" s="48">
        <v>0.875</v>
      </c>
      <c r="E810" s="49">
        <f>'Reclamo de equipaje rediseñado'!$D810-'Reclamo de equipaje rediseñado'!$C810</f>
        <v>6.9444444444444198E-4</v>
      </c>
      <c r="F810" s="48">
        <v>0.89374999999999993</v>
      </c>
      <c r="G810" s="49">
        <f t="shared" si="12"/>
        <v>1.8749999999999933E-2</v>
      </c>
      <c r="H810" s="50">
        <v>41727</v>
      </c>
      <c r="I810" s="51" t="s">
        <v>569</v>
      </c>
      <c r="J810" s="51" t="s">
        <v>535</v>
      </c>
      <c r="K810" s="51">
        <f>VLOOKUP(J810,'Validacion reclamo de equipaje'!L:M,2,0)</f>
        <v>50</v>
      </c>
      <c r="L810" s="51" t="str">
        <f>VLOOKUP(I810,'Validacion reclamo de equipaje'!H:I,2,0)</f>
        <v>Internacional</v>
      </c>
      <c r="M810" s="51" t="s">
        <v>522</v>
      </c>
    </row>
    <row r="811" spans="1:13" x14ac:dyDescent="0.25">
      <c r="A811">
        <v>4394</v>
      </c>
      <c r="B811" s="47" t="str">
        <f>VLOOKUP(Tabla6[[#This Row],['# Vuelo]],'Validacion reclamo de equipaje'!P:Q,2,0)</f>
        <v>UNIDOS VOLAMOS</v>
      </c>
      <c r="C811" s="52">
        <v>0.94305555555555554</v>
      </c>
      <c r="D811" s="52">
        <v>0.95138888888888884</v>
      </c>
      <c r="E811" s="53">
        <f>'Reclamo de equipaje rediseñado'!$D811-'Reclamo de equipaje rediseñado'!$C811</f>
        <v>8.3333333333333037E-3</v>
      </c>
      <c r="F811" s="52">
        <v>0.95486111111111116</v>
      </c>
      <c r="G811" s="53">
        <f t="shared" si="12"/>
        <v>3.4722222222223209E-3</v>
      </c>
      <c r="H811" s="54">
        <v>41728</v>
      </c>
      <c r="I811" s="55" t="s">
        <v>569</v>
      </c>
      <c r="J811" s="55" t="s">
        <v>535</v>
      </c>
      <c r="K811" s="55">
        <f>VLOOKUP(J811,'Validacion reclamo de equipaje'!L:M,2,0)</f>
        <v>50</v>
      </c>
      <c r="L811" s="55" t="str">
        <f>VLOOKUP(I811,'Validacion reclamo de equipaje'!H:I,2,0)</f>
        <v>Internacional</v>
      </c>
      <c r="M811" s="55" t="s">
        <v>522</v>
      </c>
    </row>
    <row r="812" spans="1:13" x14ac:dyDescent="0.25">
      <c r="A812">
        <v>4354</v>
      </c>
      <c r="B812" s="47" t="str">
        <f>VLOOKUP(Tabla6[[#This Row],['# Vuelo]],'Validacion reclamo de equipaje'!P:Q,2,0)</f>
        <v>UNIDOS VOLAMOS</v>
      </c>
      <c r="C812" s="48">
        <v>0.45763888888888887</v>
      </c>
      <c r="D812" s="48">
        <v>0.4680555555555555</v>
      </c>
      <c r="E812" s="49">
        <f>'Reclamo de equipaje rediseñado'!$D812-'Reclamo de equipaje rediseñado'!$C812</f>
        <v>1.041666666666663E-2</v>
      </c>
      <c r="F812" s="48">
        <v>0.47430555555555554</v>
      </c>
      <c r="G812" s="49">
        <f t="shared" si="12"/>
        <v>6.2500000000000333E-3</v>
      </c>
      <c r="H812" s="50">
        <v>41714</v>
      </c>
      <c r="I812" s="51" t="s">
        <v>569</v>
      </c>
      <c r="J812" s="51" t="s">
        <v>535</v>
      </c>
      <c r="K812" s="51">
        <f>VLOOKUP(J812,'Validacion reclamo de equipaje'!L:M,2,0)</f>
        <v>50</v>
      </c>
      <c r="L812" s="51" t="str">
        <f>VLOOKUP(I812,'Validacion reclamo de equipaje'!H:I,2,0)</f>
        <v>Internacional</v>
      </c>
      <c r="M812" s="51" t="s">
        <v>522</v>
      </c>
    </row>
    <row r="813" spans="1:13" x14ac:dyDescent="0.25">
      <c r="A813">
        <v>4354</v>
      </c>
      <c r="B813" s="47" t="str">
        <f>VLOOKUP(Tabla6[[#This Row],['# Vuelo]],'Validacion reclamo de equipaje'!P:Q,2,0)</f>
        <v>UNIDOS VOLAMOS</v>
      </c>
      <c r="C813" s="52">
        <v>0.49791666666666662</v>
      </c>
      <c r="D813" s="52">
        <v>0.50069444444444444</v>
      </c>
      <c r="E813" s="53">
        <f>'Reclamo de equipaje rediseñado'!$D813-'Reclamo de equipaje rediseñado'!$C813</f>
        <v>2.7777777777778234E-3</v>
      </c>
      <c r="F813" s="52">
        <v>0.51388888888888895</v>
      </c>
      <c r="G813" s="53">
        <f t="shared" si="12"/>
        <v>1.3194444444444509E-2</v>
      </c>
      <c r="H813" s="54">
        <v>41715</v>
      </c>
      <c r="I813" s="55" t="s">
        <v>569</v>
      </c>
      <c r="J813" s="55" t="s">
        <v>535</v>
      </c>
      <c r="K813" s="55">
        <f>VLOOKUP(J813,'Validacion reclamo de equipaje'!L:M,2,0)</f>
        <v>50</v>
      </c>
      <c r="L813" s="55" t="str">
        <f>VLOOKUP(I813,'Validacion reclamo de equipaje'!H:I,2,0)</f>
        <v>Internacional</v>
      </c>
      <c r="M813" s="55" t="s">
        <v>522</v>
      </c>
    </row>
    <row r="814" spans="1:13" x14ac:dyDescent="0.25">
      <c r="A814">
        <v>4354</v>
      </c>
      <c r="B814" s="47" t="str">
        <f>VLOOKUP(Tabla6[[#This Row],['# Vuelo]],'Validacion reclamo de equipaje'!P:Q,2,0)</f>
        <v>UNIDOS VOLAMOS</v>
      </c>
      <c r="C814" s="48">
        <v>0.43958333333333338</v>
      </c>
      <c r="D814" s="48">
        <v>0.45</v>
      </c>
      <c r="E814" s="49">
        <f>'Reclamo de equipaje rediseñado'!$D814-'Reclamo de equipaje rediseñado'!$C814</f>
        <v>1.041666666666663E-2</v>
      </c>
      <c r="F814" s="48">
        <v>0.45694444444444443</v>
      </c>
      <c r="G814" s="49">
        <f t="shared" si="12"/>
        <v>6.9444444444444198E-3</v>
      </c>
      <c r="H814" s="50">
        <v>41717</v>
      </c>
      <c r="I814" s="51" t="s">
        <v>569</v>
      </c>
      <c r="J814" s="51" t="s">
        <v>535</v>
      </c>
      <c r="K814" s="51">
        <f>VLOOKUP(J814,'Validacion reclamo de equipaje'!L:M,2,0)</f>
        <v>50</v>
      </c>
      <c r="L814" s="51" t="str">
        <f>VLOOKUP(I814,'Validacion reclamo de equipaje'!H:I,2,0)</f>
        <v>Internacional</v>
      </c>
      <c r="M814" s="51" t="s">
        <v>522</v>
      </c>
    </row>
    <row r="815" spans="1:13" x14ac:dyDescent="0.25">
      <c r="A815">
        <v>4354</v>
      </c>
      <c r="B815" s="47" t="str">
        <f>VLOOKUP(Tabla6[[#This Row],['# Vuelo]],'Validacion reclamo de equipaje'!P:Q,2,0)</f>
        <v>UNIDOS VOLAMOS</v>
      </c>
      <c r="C815" s="52">
        <v>0.4513888888888889</v>
      </c>
      <c r="D815" s="52">
        <v>0.46319444444444446</v>
      </c>
      <c r="E815" s="53">
        <f>'Reclamo de equipaje rediseñado'!$D815-'Reclamo de equipaje rediseñado'!$C815</f>
        <v>1.1805555555555569E-2</v>
      </c>
      <c r="F815" s="52">
        <v>0.4694444444444445</v>
      </c>
      <c r="G815" s="53">
        <f t="shared" si="12"/>
        <v>6.2500000000000333E-3</v>
      </c>
      <c r="H815" s="54">
        <v>41720</v>
      </c>
      <c r="I815" s="55" t="s">
        <v>569</v>
      </c>
      <c r="J815" s="55" t="s">
        <v>535</v>
      </c>
      <c r="K815" s="55">
        <f>VLOOKUP(J815,'Validacion reclamo de equipaje'!L:M,2,0)</f>
        <v>50</v>
      </c>
      <c r="L815" s="55" t="str">
        <f>VLOOKUP(I815,'Validacion reclamo de equipaje'!H:I,2,0)</f>
        <v>Internacional</v>
      </c>
      <c r="M815" s="55" t="s">
        <v>522</v>
      </c>
    </row>
    <row r="816" spans="1:13" x14ac:dyDescent="0.25">
      <c r="A816">
        <v>4354</v>
      </c>
      <c r="B816" s="47" t="str">
        <f>VLOOKUP(Tabla6[[#This Row],['# Vuelo]],'Validacion reclamo de equipaje'!P:Q,2,0)</f>
        <v>UNIDOS VOLAMOS</v>
      </c>
      <c r="C816" s="48">
        <v>0.45902777777777781</v>
      </c>
      <c r="D816" s="48">
        <v>0.47013888888888888</v>
      </c>
      <c r="E816" s="49">
        <f>'Reclamo de equipaje rediseñado'!$D816-'Reclamo de equipaje rediseñado'!$C816</f>
        <v>1.1111111111111072E-2</v>
      </c>
      <c r="F816" s="48">
        <v>0.4777777777777778</v>
      </c>
      <c r="G816" s="49">
        <f t="shared" si="12"/>
        <v>7.6388888888889173E-3</v>
      </c>
      <c r="H816" s="50">
        <v>41721</v>
      </c>
      <c r="I816" s="51" t="s">
        <v>569</v>
      </c>
      <c r="J816" s="51" t="s">
        <v>535</v>
      </c>
      <c r="K816" s="51">
        <f>VLOOKUP(J816,'Validacion reclamo de equipaje'!L:M,2,0)</f>
        <v>50</v>
      </c>
      <c r="L816" s="51" t="str">
        <f>VLOOKUP(I816,'Validacion reclamo de equipaje'!H:I,2,0)</f>
        <v>Internacional</v>
      </c>
      <c r="M816" s="51" t="s">
        <v>522</v>
      </c>
    </row>
    <row r="817" spans="1:13" x14ac:dyDescent="0.25">
      <c r="A817">
        <v>4354</v>
      </c>
      <c r="B817" s="47" t="str">
        <f>VLOOKUP(Tabla6[[#This Row],['# Vuelo]],'Validacion reclamo de equipaje'!P:Q,2,0)</f>
        <v>UNIDOS VOLAMOS</v>
      </c>
      <c r="C817" s="52">
        <v>0.43958333333333338</v>
      </c>
      <c r="D817" s="52">
        <v>0.45069444444444445</v>
      </c>
      <c r="E817" s="53">
        <f>'Reclamo de equipaje rediseñado'!$D817-'Reclamo de equipaje rediseñado'!$C817</f>
        <v>1.1111111111111072E-2</v>
      </c>
      <c r="F817" s="52">
        <v>0.45763888888888887</v>
      </c>
      <c r="G817" s="53">
        <f t="shared" si="12"/>
        <v>6.9444444444444198E-3</v>
      </c>
      <c r="H817" s="54">
        <v>41722</v>
      </c>
      <c r="I817" s="55" t="s">
        <v>569</v>
      </c>
      <c r="J817" s="55" t="s">
        <v>535</v>
      </c>
      <c r="K817" s="55">
        <f>VLOOKUP(J817,'Validacion reclamo de equipaje'!L:M,2,0)</f>
        <v>50</v>
      </c>
      <c r="L817" s="55" t="str">
        <f>VLOOKUP(I817,'Validacion reclamo de equipaje'!H:I,2,0)</f>
        <v>Internacional</v>
      </c>
      <c r="M817" s="55" t="s">
        <v>522</v>
      </c>
    </row>
    <row r="818" spans="1:13" x14ac:dyDescent="0.25">
      <c r="A818">
        <v>4354</v>
      </c>
      <c r="B818" s="47" t="str">
        <f>VLOOKUP(Tabla6[[#This Row],['# Vuelo]],'Validacion reclamo de equipaje'!P:Q,2,0)</f>
        <v>UNIDOS VOLAMOS</v>
      </c>
      <c r="C818" s="48">
        <v>0.44166666666666665</v>
      </c>
      <c r="D818" s="48">
        <v>0.4548611111111111</v>
      </c>
      <c r="E818" s="49">
        <f>'Reclamo de equipaje rediseñado'!$D818-'Reclamo de equipaje rediseñado'!$C818</f>
        <v>1.3194444444444453E-2</v>
      </c>
      <c r="F818" s="48">
        <v>0.45763888888888887</v>
      </c>
      <c r="G818" s="49">
        <f t="shared" si="12"/>
        <v>2.7777777777777679E-3</v>
      </c>
      <c r="H818" s="50">
        <v>41723</v>
      </c>
      <c r="I818" s="51" t="s">
        <v>569</v>
      </c>
      <c r="J818" s="51" t="s">
        <v>535</v>
      </c>
      <c r="K818" s="51">
        <f>VLOOKUP(J818,'Validacion reclamo de equipaje'!L:M,2,0)</f>
        <v>50</v>
      </c>
      <c r="L818" s="51" t="str">
        <f>VLOOKUP(I818,'Validacion reclamo de equipaje'!H:I,2,0)</f>
        <v>Internacional</v>
      </c>
      <c r="M818" s="51" t="s">
        <v>522</v>
      </c>
    </row>
    <row r="819" spans="1:13" x14ac:dyDescent="0.25">
      <c r="A819">
        <v>4354</v>
      </c>
      <c r="B819" s="47" t="str">
        <f>VLOOKUP(Tabla6[[#This Row],['# Vuelo]],'Validacion reclamo de equipaje'!P:Q,2,0)</f>
        <v>UNIDOS VOLAMOS</v>
      </c>
      <c r="C819" s="52">
        <v>0.4458333333333333</v>
      </c>
      <c r="D819" s="52">
        <v>0.46111111111111108</v>
      </c>
      <c r="E819" s="53">
        <f>'Reclamo de equipaje rediseñado'!$D819-'Reclamo de equipaje rediseñado'!$C819</f>
        <v>1.5277777777777779E-2</v>
      </c>
      <c r="F819" s="52">
        <v>0.47638888888888892</v>
      </c>
      <c r="G819" s="53">
        <f t="shared" si="12"/>
        <v>1.5277777777777835E-2</v>
      </c>
      <c r="H819" s="54">
        <v>41725</v>
      </c>
      <c r="I819" s="55" t="s">
        <v>569</v>
      </c>
      <c r="J819" s="55" t="s">
        <v>535</v>
      </c>
      <c r="K819" s="55">
        <f>VLOOKUP(J819,'Validacion reclamo de equipaje'!L:M,2,0)</f>
        <v>50</v>
      </c>
      <c r="L819" s="55" t="str">
        <f>VLOOKUP(I819,'Validacion reclamo de equipaje'!H:I,2,0)</f>
        <v>Internacional</v>
      </c>
      <c r="M819" s="55" t="s">
        <v>522</v>
      </c>
    </row>
    <row r="820" spans="1:13" x14ac:dyDescent="0.25">
      <c r="A820">
        <v>4354</v>
      </c>
      <c r="B820" s="47" t="str">
        <f>VLOOKUP(Tabla6[[#This Row],['# Vuelo]],'Validacion reclamo de equipaje'!P:Q,2,0)</f>
        <v>UNIDOS VOLAMOS</v>
      </c>
      <c r="C820" s="48">
        <v>0.44305555555555554</v>
      </c>
      <c r="D820" s="48">
        <v>0.45069444444444445</v>
      </c>
      <c r="E820" s="49">
        <f>'Reclamo de equipaje rediseñado'!$D820-'Reclamo de equipaje rediseñado'!$C820</f>
        <v>7.6388888888889173E-3</v>
      </c>
      <c r="F820" s="48">
        <v>0.4680555555555555</v>
      </c>
      <c r="G820" s="49">
        <f t="shared" si="12"/>
        <v>1.7361111111111049E-2</v>
      </c>
      <c r="H820" s="50">
        <v>41726</v>
      </c>
      <c r="I820" s="51" t="s">
        <v>569</v>
      </c>
      <c r="J820" s="51" t="s">
        <v>535</v>
      </c>
      <c r="K820" s="51">
        <f>VLOOKUP(J820,'Validacion reclamo de equipaje'!L:M,2,0)</f>
        <v>50</v>
      </c>
      <c r="L820" s="51" t="str">
        <f>VLOOKUP(I820,'Validacion reclamo de equipaje'!H:I,2,0)</f>
        <v>Internacional</v>
      </c>
      <c r="M820" s="51" t="s">
        <v>522</v>
      </c>
    </row>
    <row r="821" spans="1:13" x14ac:dyDescent="0.25">
      <c r="A821">
        <v>4354</v>
      </c>
      <c r="B821" s="47" t="str">
        <f>VLOOKUP(Tabla6[[#This Row],['# Vuelo]],'Validacion reclamo de equipaje'!P:Q,2,0)</f>
        <v>UNIDOS VOLAMOS</v>
      </c>
      <c r="C821" s="52">
        <v>0.46388888888888885</v>
      </c>
      <c r="D821" s="52">
        <v>0.47638888888888892</v>
      </c>
      <c r="E821" s="53">
        <f>'Reclamo de equipaje rediseñado'!$D821-'Reclamo de equipaje rediseñado'!$C821</f>
        <v>1.2500000000000067E-2</v>
      </c>
      <c r="F821" s="52">
        <v>0.4916666666666667</v>
      </c>
      <c r="G821" s="53">
        <f t="shared" si="12"/>
        <v>1.5277777777777779E-2</v>
      </c>
      <c r="H821" s="54">
        <v>41727</v>
      </c>
      <c r="I821" s="55" t="s">
        <v>569</v>
      </c>
      <c r="J821" s="55" t="s">
        <v>535</v>
      </c>
      <c r="K821" s="55">
        <f>VLOOKUP(J821,'Validacion reclamo de equipaje'!L:M,2,0)</f>
        <v>50</v>
      </c>
      <c r="L821" s="55" t="str">
        <f>VLOOKUP(I821,'Validacion reclamo de equipaje'!H:I,2,0)</f>
        <v>Internacional</v>
      </c>
      <c r="M821" s="55" t="s">
        <v>522</v>
      </c>
    </row>
    <row r="822" spans="1:13" x14ac:dyDescent="0.25">
      <c r="A822">
        <v>4354</v>
      </c>
      <c r="B822" s="47" t="str">
        <f>VLOOKUP(Tabla6[[#This Row],['# Vuelo]],'Validacion reclamo de equipaje'!P:Q,2,0)</f>
        <v>UNIDOS VOLAMOS</v>
      </c>
      <c r="C822" s="48">
        <v>0.43611111111111112</v>
      </c>
      <c r="D822" s="48">
        <v>0.45763888888888887</v>
      </c>
      <c r="E822" s="49">
        <f>'Reclamo de equipaje rediseñado'!$D822-'Reclamo de equipaje rediseñado'!$C822</f>
        <v>2.1527777777777757E-2</v>
      </c>
      <c r="F822" s="48">
        <v>0.4597222222222222</v>
      </c>
      <c r="G822" s="49">
        <f t="shared" si="12"/>
        <v>2.0833333333333259E-3</v>
      </c>
      <c r="H822" s="50">
        <v>41728</v>
      </c>
      <c r="I822" s="51" t="s">
        <v>569</v>
      </c>
      <c r="J822" s="51" t="s">
        <v>535</v>
      </c>
      <c r="K822" s="51">
        <f>VLOOKUP(J822,'Validacion reclamo de equipaje'!L:M,2,0)</f>
        <v>50</v>
      </c>
      <c r="L822" s="51" t="str">
        <f>VLOOKUP(I822,'Validacion reclamo de equipaje'!H:I,2,0)</f>
        <v>Internacional</v>
      </c>
      <c r="M822" s="51" t="s">
        <v>522</v>
      </c>
    </row>
    <row r="823" spans="1:13" x14ac:dyDescent="0.25">
      <c r="A823">
        <v>4354</v>
      </c>
      <c r="B823" s="47" t="str">
        <f>VLOOKUP(Tabla6[[#This Row],['# Vuelo]],'Validacion reclamo de equipaje'!P:Q,2,0)</f>
        <v>UNIDOS VOLAMOS</v>
      </c>
      <c r="C823" s="52">
        <v>0.43055555555555558</v>
      </c>
      <c r="D823" s="52">
        <v>0.43958333333333338</v>
      </c>
      <c r="E823" s="53">
        <f>'Reclamo de equipaje rediseñado'!$D823-'Reclamo de equipaje rediseñado'!$C823</f>
        <v>9.0277777777778012E-3</v>
      </c>
      <c r="F823" s="52">
        <v>0.44930555555555557</v>
      </c>
      <c r="G823" s="53">
        <f t="shared" si="12"/>
        <v>9.7222222222221877E-3</v>
      </c>
      <c r="H823" s="54">
        <v>41729</v>
      </c>
      <c r="I823" s="55" t="s">
        <v>569</v>
      </c>
      <c r="J823" s="55" t="s">
        <v>535</v>
      </c>
      <c r="K823" s="55">
        <f>VLOOKUP(J823,'Validacion reclamo de equipaje'!L:M,2,0)</f>
        <v>50</v>
      </c>
      <c r="L823" s="55" t="str">
        <f>VLOOKUP(I823,'Validacion reclamo de equipaje'!H:I,2,0)</f>
        <v>Internacional</v>
      </c>
      <c r="M823" s="55" t="s">
        <v>522</v>
      </c>
    </row>
    <row r="824" spans="1:13" x14ac:dyDescent="0.25">
      <c r="A824">
        <v>4211</v>
      </c>
      <c r="B824" s="47" t="str">
        <f>VLOOKUP(Tabla6[[#This Row],['# Vuelo]],'Validacion reclamo de equipaje'!P:Q,2,0)</f>
        <v>UNIDOS VOLAMOS</v>
      </c>
      <c r="C824" s="48">
        <v>0.99375000000000002</v>
      </c>
      <c r="D824" s="48">
        <v>1.0055555555555555</v>
      </c>
      <c r="E824" s="49">
        <f>'Reclamo de equipaje rediseñado'!$D824-'Reclamo de equipaje rediseñado'!$C824</f>
        <v>1.1805555555555514E-2</v>
      </c>
      <c r="F824" s="48">
        <v>1.0111111111111111</v>
      </c>
      <c r="G824" s="49">
        <f t="shared" si="12"/>
        <v>5.5555555555555358E-3</v>
      </c>
      <c r="H824" s="50">
        <v>41716</v>
      </c>
      <c r="I824" s="51" t="s">
        <v>569</v>
      </c>
      <c r="J824" s="51" t="s">
        <v>535</v>
      </c>
      <c r="K824" s="51">
        <f>VLOOKUP(J824,'Validacion reclamo de equipaje'!L:M,2,0)</f>
        <v>50</v>
      </c>
      <c r="L824" s="51" t="str">
        <f>VLOOKUP(I824,'Validacion reclamo de equipaje'!H:I,2,0)</f>
        <v>Internacional</v>
      </c>
      <c r="M824" s="51" t="s">
        <v>522</v>
      </c>
    </row>
    <row r="825" spans="1:13" x14ac:dyDescent="0.25">
      <c r="A825">
        <v>4211</v>
      </c>
      <c r="B825" s="47" t="str">
        <f>VLOOKUP(Tabla6[[#This Row],['# Vuelo]],'Validacion reclamo de equipaje'!P:Q,2,0)</f>
        <v>UNIDOS VOLAMOS</v>
      </c>
      <c r="C825" s="52">
        <v>0.95277777777777783</v>
      </c>
      <c r="D825" s="52">
        <v>0.96458333333333324</v>
      </c>
      <c r="E825" s="53">
        <f>'Reclamo de equipaje rediseñado'!$D825-'Reclamo de equipaje rediseñado'!$C825</f>
        <v>1.1805555555555403E-2</v>
      </c>
      <c r="F825" s="52">
        <v>0.99722222222222223</v>
      </c>
      <c r="G825" s="53">
        <f t="shared" si="12"/>
        <v>3.2638888888888995E-2</v>
      </c>
      <c r="H825" s="54">
        <v>41717</v>
      </c>
      <c r="I825" s="55" t="s">
        <v>569</v>
      </c>
      <c r="J825" s="55" t="s">
        <v>535</v>
      </c>
      <c r="K825" s="55">
        <f>VLOOKUP(J825,'Validacion reclamo de equipaje'!L:M,2,0)</f>
        <v>50</v>
      </c>
      <c r="L825" s="55" t="str">
        <f>VLOOKUP(I825,'Validacion reclamo de equipaje'!H:I,2,0)</f>
        <v>Internacional</v>
      </c>
      <c r="M825" s="55" t="s">
        <v>522</v>
      </c>
    </row>
    <row r="826" spans="1:13" x14ac:dyDescent="0.25">
      <c r="A826">
        <v>4211</v>
      </c>
      <c r="B826" s="47" t="str">
        <f>VLOOKUP(Tabla6[[#This Row],['# Vuelo]],'Validacion reclamo de equipaje'!P:Q,2,0)</f>
        <v>UNIDOS VOLAMOS</v>
      </c>
      <c r="C826" s="48">
        <v>0.94097222222222221</v>
      </c>
      <c r="D826" s="48">
        <v>0.94930555555555562</v>
      </c>
      <c r="E826" s="49">
        <f>'Reclamo de equipaje rediseñado'!$D826-'Reclamo de equipaje rediseñado'!$C826</f>
        <v>8.3333333333334147E-3</v>
      </c>
      <c r="F826" s="48">
        <v>0.95833333333333337</v>
      </c>
      <c r="G826" s="49">
        <f t="shared" si="12"/>
        <v>9.0277777777777457E-3</v>
      </c>
      <c r="H826" s="50">
        <v>41719</v>
      </c>
      <c r="I826" s="51" t="s">
        <v>569</v>
      </c>
      <c r="J826" s="51" t="s">
        <v>535</v>
      </c>
      <c r="K826" s="51">
        <f>VLOOKUP(J826,'Validacion reclamo de equipaje'!L:M,2,0)</f>
        <v>50</v>
      </c>
      <c r="L826" s="51" t="str">
        <f>VLOOKUP(I826,'Validacion reclamo de equipaje'!H:I,2,0)</f>
        <v>Internacional</v>
      </c>
      <c r="M826" s="51" t="s">
        <v>522</v>
      </c>
    </row>
    <row r="827" spans="1:13" x14ac:dyDescent="0.25">
      <c r="A827">
        <v>4211</v>
      </c>
      <c r="B827" s="47" t="str">
        <f>VLOOKUP(Tabla6[[#This Row],['# Vuelo]],'Validacion reclamo de equipaje'!P:Q,2,0)</f>
        <v>UNIDOS VOLAMOS</v>
      </c>
      <c r="C827" s="52">
        <v>0.94930555555555562</v>
      </c>
      <c r="D827" s="52">
        <v>0.95833333333333337</v>
      </c>
      <c r="E827" s="53">
        <f>'Reclamo de equipaje rediseñado'!$D827-'Reclamo de equipaje rediseñado'!$C827</f>
        <v>9.0277777777777457E-3</v>
      </c>
      <c r="F827" s="52">
        <v>0.96875</v>
      </c>
      <c r="G827" s="53">
        <f t="shared" si="12"/>
        <v>1.041666666666663E-2</v>
      </c>
      <c r="H827" s="54">
        <v>41719</v>
      </c>
      <c r="I827" s="55" t="s">
        <v>569</v>
      </c>
      <c r="J827" s="55" t="s">
        <v>535</v>
      </c>
      <c r="K827" s="55">
        <f>VLOOKUP(J827,'Validacion reclamo de equipaje'!L:M,2,0)</f>
        <v>50</v>
      </c>
      <c r="L827" s="55" t="str">
        <f>VLOOKUP(I827,'Validacion reclamo de equipaje'!H:I,2,0)</f>
        <v>Internacional</v>
      </c>
      <c r="M827" s="55" t="s">
        <v>522</v>
      </c>
    </row>
    <row r="828" spans="1:13" x14ac:dyDescent="0.25">
      <c r="A828">
        <v>4211</v>
      </c>
      <c r="B828" s="47" t="str">
        <f>VLOOKUP(Tabla6[[#This Row],['# Vuelo]],'Validacion reclamo de equipaje'!P:Q,2,0)</f>
        <v>UNIDOS VOLAMOS</v>
      </c>
      <c r="C828" s="48">
        <v>0.95138888888888884</v>
      </c>
      <c r="D828" s="48">
        <v>0.95972222222222225</v>
      </c>
      <c r="E828" s="49">
        <f>'Reclamo de equipaje rediseñado'!$D828-'Reclamo de equipaje rediseñado'!$C828</f>
        <v>8.3333333333334147E-3</v>
      </c>
      <c r="F828" s="48">
        <v>0.96597222222222223</v>
      </c>
      <c r="G828" s="49">
        <f t="shared" si="12"/>
        <v>6.2499999999999778E-3</v>
      </c>
      <c r="H828" s="50">
        <v>41721</v>
      </c>
      <c r="I828" s="51" t="s">
        <v>569</v>
      </c>
      <c r="J828" s="51" t="s">
        <v>535</v>
      </c>
      <c r="K828" s="51">
        <f>VLOOKUP(J828,'Validacion reclamo de equipaje'!L:M,2,0)</f>
        <v>50</v>
      </c>
      <c r="L828" s="51" t="str">
        <f>VLOOKUP(I828,'Validacion reclamo de equipaje'!H:I,2,0)</f>
        <v>Internacional</v>
      </c>
      <c r="M828" s="51" t="s">
        <v>522</v>
      </c>
    </row>
    <row r="829" spans="1:13" x14ac:dyDescent="0.25">
      <c r="A829">
        <v>4211</v>
      </c>
      <c r="B829" s="47" t="str">
        <f>VLOOKUP(Tabla6[[#This Row],['# Vuelo]],'Validacion reclamo de equipaje'!P:Q,2,0)</f>
        <v>UNIDOS VOLAMOS</v>
      </c>
      <c r="C829" s="52">
        <v>0.93819444444444444</v>
      </c>
      <c r="D829" s="52">
        <v>0.94236111111111109</v>
      </c>
      <c r="E829" s="53">
        <f>'Reclamo de equipaje rediseñado'!$D829-'Reclamo de equipaje rediseñado'!$C829</f>
        <v>4.1666666666666519E-3</v>
      </c>
      <c r="F829" s="52">
        <v>0.95833333333333337</v>
      </c>
      <c r="G829" s="53">
        <f t="shared" si="12"/>
        <v>1.5972222222222276E-2</v>
      </c>
      <c r="H829" s="54">
        <v>41723</v>
      </c>
      <c r="I829" s="55" t="s">
        <v>569</v>
      </c>
      <c r="J829" s="55" t="s">
        <v>535</v>
      </c>
      <c r="K829" s="55">
        <f>VLOOKUP(J829,'Validacion reclamo de equipaje'!L:M,2,0)</f>
        <v>50</v>
      </c>
      <c r="L829" s="55" t="str">
        <f>VLOOKUP(I829,'Validacion reclamo de equipaje'!H:I,2,0)</f>
        <v>Internacional</v>
      </c>
      <c r="M829" s="55" t="s">
        <v>522</v>
      </c>
    </row>
    <row r="830" spans="1:13" x14ac:dyDescent="0.25">
      <c r="A830">
        <v>4211</v>
      </c>
      <c r="B830" s="47" t="str">
        <f>VLOOKUP(Tabla6[[#This Row],['# Vuelo]],'Validacion reclamo de equipaje'!P:Q,2,0)</f>
        <v>UNIDOS VOLAMOS</v>
      </c>
      <c r="C830" s="48">
        <v>0.96805555555555556</v>
      </c>
      <c r="D830" s="48">
        <v>0.97986111111111107</v>
      </c>
      <c r="E830" s="49">
        <f>'Reclamo de equipaje rediseñado'!$D830-'Reclamo de equipaje rediseñado'!$C830</f>
        <v>1.1805555555555514E-2</v>
      </c>
      <c r="F830" s="48">
        <v>0.99513888888888891</v>
      </c>
      <c r="G830" s="49">
        <f t="shared" si="12"/>
        <v>1.5277777777777835E-2</v>
      </c>
      <c r="H830" s="50">
        <v>41724</v>
      </c>
      <c r="I830" s="51" t="s">
        <v>569</v>
      </c>
      <c r="J830" s="51" t="s">
        <v>535</v>
      </c>
      <c r="K830" s="51">
        <f>VLOOKUP(J830,'Validacion reclamo de equipaje'!L:M,2,0)</f>
        <v>50</v>
      </c>
      <c r="L830" s="51" t="str">
        <f>VLOOKUP(I830,'Validacion reclamo de equipaje'!H:I,2,0)</f>
        <v>Internacional</v>
      </c>
      <c r="M830" s="51" t="s">
        <v>522</v>
      </c>
    </row>
    <row r="831" spans="1:13" x14ac:dyDescent="0.25">
      <c r="A831">
        <v>4211</v>
      </c>
      <c r="B831" s="47" t="str">
        <f>VLOOKUP(Tabla6[[#This Row],['# Vuelo]],'Validacion reclamo de equipaje'!P:Q,2,0)</f>
        <v>UNIDOS VOLAMOS</v>
      </c>
      <c r="C831" s="52">
        <v>0.95138888888888884</v>
      </c>
      <c r="D831" s="52">
        <v>0.95833333333333337</v>
      </c>
      <c r="E831" s="53">
        <f>'Reclamo de equipaje rediseñado'!$D831-'Reclamo de equipaje rediseñado'!$C831</f>
        <v>6.9444444444445308E-3</v>
      </c>
      <c r="F831" s="52">
        <v>0.97222222222222221</v>
      </c>
      <c r="G831" s="53">
        <f t="shared" si="12"/>
        <v>1.388888888888884E-2</v>
      </c>
      <c r="H831" s="54">
        <v>41725</v>
      </c>
      <c r="I831" s="55" t="s">
        <v>569</v>
      </c>
      <c r="J831" s="55" t="s">
        <v>535</v>
      </c>
      <c r="K831" s="55">
        <f>VLOOKUP(J831,'Validacion reclamo de equipaje'!L:M,2,0)</f>
        <v>50</v>
      </c>
      <c r="L831" s="55" t="str">
        <f>VLOOKUP(I831,'Validacion reclamo de equipaje'!H:I,2,0)</f>
        <v>Internacional</v>
      </c>
      <c r="M831" s="55" t="s">
        <v>522</v>
      </c>
    </row>
    <row r="832" spans="1:13" x14ac:dyDescent="0.25">
      <c r="A832">
        <v>4211</v>
      </c>
      <c r="B832" s="47" t="str">
        <f>VLOOKUP(Tabla6[[#This Row],['# Vuelo]],'Validacion reclamo de equipaje'!P:Q,2,0)</f>
        <v>UNIDOS VOLAMOS</v>
      </c>
      <c r="C832" s="48">
        <v>0.98402777777777783</v>
      </c>
      <c r="D832" s="48">
        <v>0.99097222222222225</v>
      </c>
      <c r="E832" s="49">
        <f>'Reclamo de equipaje rediseñado'!$D832-'Reclamo de equipaje rediseñado'!$C832</f>
        <v>6.9444444444444198E-3</v>
      </c>
      <c r="F832" s="48">
        <v>1.0048611111111112</v>
      </c>
      <c r="G832" s="49">
        <f t="shared" si="12"/>
        <v>1.3888888888888951E-2</v>
      </c>
      <c r="H832" s="50">
        <v>41727</v>
      </c>
      <c r="I832" s="51" t="s">
        <v>569</v>
      </c>
      <c r="J832" s="51" t="s">
        <v>535</v>
      </c>
      <c r="K832" s="51">
        <f>VLOOKUP(J832,'Validacion reclamo de equipaje'!L:M,2,0)</f>
        <v>50</v>
      </c>
      <c r="L832" s="51" t="str">
        <f>VLOOKUP(I832,'Validacion reclamo de equipaje'!H:I,2,0)</f>
        <v>Internacional</v>
      </c>
      <c r="M832" s="51" t="s">
        <v>522</v>
      </c>
    </row>
    <row r="833" spans="1:13" x14ac:dyDescent="0.25">
      <c r="A833">
        <v>4211</v>
      </c>
      <c r="B833" s="47" t="str">
        <f>VLOOKUP(Tabla6[[#This Row],['# Vuelo]],'Validacion reclamo de equipaje'!P:Q,2,0)</f>
        <v>UNIDOS VOLAMOS</v>
      </c>
      <c r="C833" s="52">
        <v>0.94444444444444453</v>
      </c>
      <c r="D833" s="52">
        <v>0.95486111111111116</v>
      </c>
      <c r="E833" s="53">
        <f>'Reclamo de equipaje rediseñado'!$D833-'Reclamo de equipaje rediseñado'!$C833</f>
        <v>1.041666666666663E-2</v>
      </c>
      <c r="F833" s="52">
        <v>0.96180555555555547</v>
      </c>
      <c r="G833" s="53">
        <f t="shared" si="12"/>
        <v>6.9444444444443088E-3</v>
      </c>
      <c r="H833" s="54">
        <v>41728</v>
      </c>
      <c r="I833" s="55" t="s">
        <v>569</v>
      </c>
      <c r="J833" s="55" t="s">
        <v>535</v>
      </c>
      <c r="K833" s="55">
        <f>VLOOKUP(J833,'Validacion reclamo de equipaje'!L:M,2,0)</f>
        <v>50</v>
      </c>
      <c r="L833" s="55" t="str">
        <f>VLOOKUP(I833,'Validacion reclamo de equipaje'!H:I,2,0)</f>
        <v>Internacional</v>
      </c>
      <c r="M833" s="55" t="s">
        <v>522</v>
      </c>
    </row>
    <row r="834" spans="1:13" x14ac:dyDescent="0.25">
      <c r="A834">
        <v>1590</v>
      </c>
      <c r="B834" s="47" t="str">
        <f>VLOOKUP(Tabla6[[#This Row],['# Vuelo]],'Validacion reclamo de equipaje'!P:Q,2,0)</f>
        <v>UNIDOS VOLAMOS</v>
      </c>
      <c r="C834" s="48">
        <v>0.18819444444444444</v>
      </c>
      <c r="D834" s="48">
        <v>0.20486111111111113</v>
      </c>
      <c r="E834" s="49">
        <f>'Reclamo de equipaje rediseñado'!$D834-'Reclamo de equipaje rediseñado'!$C834</f>
        <v>1.6666666666666691E-2</v>
      </c>
      <c r="F834" s="48">
        <v>0.22569444444444445</v>
      </c>
      <c r="G834" s="49">
        <f t="shared" si="12"/>
        <v>2.0833333333333315E-2</v>
      </c>
      <c r="H834" s="50">
        <v>41713</v>
      </c>
      <c r="I834" s="51" t="s">
        <v>558</v>
      </c>
      <c r="J834" s="51" t="s">
        <v>560</v>
      </c>
      <c r="K834" s="51">
        <f>VLOOKUP(J834,'Validacion reclamo de equipaje'!L:M,2,0)</f>
        <v>126</v>
      </c>
      <c r="L834" s="51" t="str">
        <f>VLOOKUP(I834,'Validacion reclamo de equipaje'!H:I,2,0)</f>
        <v>Internacional</v>
      </c>
      <c r="M834" s="51" t="s">
        <v>522</v>
      </c>
    </row>
    <row r="835" spans="1:13" x14ac:dyDescent="0.25">
      <c r="A835">
        <v>1590</v>
      </c>
      <c r="B835" s="47" t="str">
        <f>VLOOKUP(Tabla6[[#This Row],['# Vuelo]],'Validacion reclamo de equipaje'!P:Q,2,0)</f>
        <v>UNIDOS VOLAMOS</v>
      </c>
      <c r="C835" s="52">
        <v>0.19583333333333333</v>
      </c>
      <c r="D835" s="52">
        <v>0.21388888888888891</v>
      </c>
      <c r="E835" s="53">
        <f>'Reclamo de equipaje rediseñado'!$D835-'Reclamo de equipaje rediseñado'!$C835</f>
        <v>1.8055555555555575E-2</v>
      </c>
      <c r="F835" s="52">
        <v>0.23611111111111113</v>
      </c>
      <c r="G835" s="53">
        <f t="shared" ref="G835:G898" si="13">F835-D835</f>
        <v>2.2222222222222227E-2</v>
      </c>
      <c r="H835" s="54">
        <v>41721</v>
      </c>
      <c r="I835" s="55" t="s">
        <v>558</v>
      </c>
      <c r="J835" s="55" t="s">
        <v>560</v>
      </c>
      <c r="K835" s="55">
        <f>VLOOKUP(J835,'Validacion reclamo de equipaje'!L:M,2,0)</f>
        <v>126</v>
      </c>
      <c r="L835" s="55" t="str">
        <f>VLOOKUP(I835,'Validacion reclamo de equipaje'!H:I,2,0)</f>
        <v>Internacional</v>
      </c>
      <c r="M835" s="55" t="s">
        <v>522</v>
      </c>
    </row>
    <row r="836" spans="1:13" x14ac:dyDescent="0.25">
      <c r="A836">
        <v>1590</v>
      </c>
      <c r="B836" s="47" t="str">
        <f>VLOOKUP(Tabla6[[#This Row],['# Vuelo]],'Validacion reclamo de equipaje'!P:Q,2,0)</f>
        <v>UNIDOS VOLAMOS</v>
      </c>
      <c r="C836" s="48">
        <v>0.17361111111111113</v>
      </c>
      <c r="D836" s="48">
        <v>0.19166666666666665</v>
      </c>
      <c r="E836" s="49">
        <f>'Reclamo de equipaje rediseñado'!$D836-'Reclamo de equipaje rediseñado'!$C836</f>
        <v>1.8055555555555519E-2</v>
      </c>
      <c r="F836" s="48">
        <v>0.21458333333333335</v>
      </c>
      <c r="G836" s="49">
        <f t="shared" si="13"/>
        <v>2.2916666666666696E-2</v>
      </c>
      <c r="H836" s="50">
        <v>41727</v>
      </c>
      <c r="I836" s="51" t="s">
        <v>558</v>
      </c>
      <c r="J836" s="51" t="s">
        <v>560</v>
      </c>
      <c r="K836" s="51">
        <f>VLOOKUP(J836,'Validacion reclamo de equipaje'!L:M,2,0)</f>
        <v>126</v>
      </c>
      <c r="L836" s="51" t="str">
        <f>VLOOKUP(I836,'Validacion reclamo de equipaje'!H:I,2,0)</f>
        <v>Internacional</v>
      </c>
      <c r="M836" s="51" t="s">
        <v>522</v>
      </c>
    </row>
    <row r="837" spans="1:13" x14ac:dyDescent="0.25">
      <c r="A837">
        <v>480</v>
      </c>
      <c r="B837" s="47" t="str">
        <f>VLOOKUP(Tabla6[[#This Row],['# Vuelo]],'Validacion reclamo de equipaje'!P:Q,2,0)</f>
        <v>UNIDOS VOLAMOS</v>
      </c>
      <c r="C837" s="52">
        <v>0.20277777777777781</v>
      </c>
      <c r="D837" s="52">
        <v>0.21875</v>
      </c>
      <c r="E837" s="53">
        <f>'Reclamo de equipaje rediseñado'!$D837-'Reclamo de equipaje rediseñado'!$C837</f>
        <v>1.5972222222222193E-2</v>
      </c>
      <c r="F837" s="52">
        <v>0.22708333333333333</v>
      </c>
      <c r="G837" s="53">
        <f t="shared" si="13"/>
        <v>8.3333333333333315E-3</v>
      </c>
      <c r="H837" s="54">
        <v>41715</v>
      </c>
      <c r="I837" s="55" t="s">
        <v>558</v>
      </c>
      <c r="J837" s="55">
        <v>320</v>
      </c>
      <c r="K837" s="55">
        <f>VLOOKUP(J837,'Validacion reclamo de equipaje'!L:M,2,0)</f>
        <v>179</v>
      </c>
      <c r="L837" s="55" t="str">
        <f>VLOOKUP(I837,'Validacion reclamo de equipaje'!H:I,2,0)</f>
        <v>Internacional</v>
      </c>
      <c r="M837" s="55" t="s">
        <v>522</v>
      </c>
    </row>
    <row r="838" spans="1:13" x14ac:dyDescent="0.25">
      <c r="A838">
        <v>480</v>
      </c>
      <c r="B838" s="47" t="str">
        <f>VLOOKUP(Tabla6[[#This Row],['# Vuelo]],'Validacion reclamo de equipaje'!P:Q,2,0)</f>
        <v>UNIDOS VOLAMOS</v>
      </c>
      <c r="C838" s="48">
        <v>0.20208333333333331</v>
      </c>
      <c r="D838" s="48">
        <v>0.21527777777777779</v>
      </c>
      <c r="E838" s="49">
        <f>'Reclamo de equipaje rediseñado'!$D838-'Reclamo de equipaje rediseñado'!$C838</f>
        <v>1.3194444444444481E-2</v>
      </c>
      <c r="F838" s="48">
        <v>0.22500000000000001</v>
      </c>
      <c r="G838" s="49">
        <f t="shared" si="13"/>
        <v>9.7222222222222154E-3</v>
      </c>
      <c r="H838" s="50">
        <v>41716</v>
      </c>
      <c r="I838" s="51" t="s">
        <v>558</v>
      </c>
      <c r="J838" s="51">
        <v>320</v>
      </c>
      <c r="K838" s="51">
        <f>VLOOKUP(J838,'Validacion reclamo de equipaje'!L:M,2,0)</f>
        <v>179</v>
      </c>
      <c r="L838" s="51" t="str">
        <f>VLOOKUP(I838,'Validacion reclamo de equipaje'!H:I,2,0)</f>
        <v>Internacional</v>
      </c>
      <c r="M838" s="51" t="s">
        <v>522</v>
      </c>
    </row>
    <row r="839" spans="1:13" x14ac:dyDescent="0.25">
      <c r="A839">
        <v>480</v>
      </c>
      <c r="B839" s="47" t="str">
        <f>VLOOKUP(Tabla6[[#This Row],['# Vuelo]],'Validacion reclamo de equipaje'!P:Q,2,0)</f>
        <v>UNIDOS VOLAMOS</v>
      </c>
      <c r="C839" s="52">
        <v>0.18680555555555556</v>
      </c>
      <c r="D839" s="52">
        <v>0.20208333333333331</v>
      </c>
      <c r="E839" s="53">
        <f>'Reclamo de equipaje rediseñado'!$D839-'Reclamo de equipaje rediseñado'!$C839</f>
        <v>1.5277777777777751E-2</v>
      </c>
      <c r="F839" s="52">
        <v>0.22916666666666666</v>
      </c>
      <c r="G839" s="53">
        <f t="shared" si="13"/>
        <v>2.7083333333333348E-2</v>
      </c>
      <c r="H839" s="54">
        <v>41717</v>
      </c>
      <c r="I839" s="55" t="s">
        <v>558</v>
      </c>
      <c r="J839" s="55">
        <v>320</v>
      </c>
      <c r="K839" s="55">
        <f>VLOOKUP(J839,'Validacion reclamo de equipaje'!L:M,2,0)</f>
        <v>179</v>
      </c>
      <c r="L839" s="55" t="str">
        <f>VLOOKUP(I839,'Validacion reclamo de equipaje'!H:I,2,0)</f>
        <v>Internacional</v>
      </c>
      <c r="M839" s="55" t="s">
        <v>522</v>
      </c>
    </row>
    <row r="840" spans="1:13" x14ac:dyDescent="0.25">
      <c r="A840">
        <v>480</v>
      </c>
      <c r="B840" s="47" t="str">
        <f>VLOOKUP(Tabla6[[#This Row],['# Vuelo]],'Validacion reclamo de equipaje'!P:Q,2,0)</f>
        <v>UNIDOS VOLAMOS</v>
      </c>
      <c r="C840" s="48">
        <v>0.23194444444444443</v>
      </c>
      <c r="D840" s="48">
        <v>0.23750000000000002</v>
      </c>
      <c r="E840" s="49">
        <f>'Reclamo de equipaje rediseñado'!$D840-'Reclamo de equipaje rediseñado'!$C840</f>
        <v>5.5555555555555913E-3</v>
      </c>
      <c r="F840" s="48">
        <v>0.24791666666666667</v>
      </c>
      <c r="G840" s="49">
        <f t="shared" si="13"/>
        <v>1.0416666666666657E-2</v>
      </c>
      <c r="H840" s="50">
        <v>41719</v>
      </c>
      <c r="I840" s="51" t="s">
        <v>558</v>
      </c>
      <c r="J840" s="51">
        <v>320</v>
      </c>
      <c r="K840" s="51">
        <f>VLOOKUP(J840,'Validacion reclamo de equipaje'!L:M,2,0)</f>
        <v>179</v>
      </c>
      <c r="L840" s="51" t="str">
        <f>VLOOKUP(I840,'Validacion reclamo de equipaje'!H:I,2,0)</f>
        <v>Internacional</v>
      </c>
      <c r="M840" s="51" t="s">
        <v>522</v>
      </c>
    </row>
    <row r="841" spans="1:13" x14ac:dyDescent="0.25">
      <c r="A841">
        <v>480</v>
      </c>
      <c r="B841" s="47" t="str">
        <f>VLOOKUP(Tabla6[[#This Row],['# Vuelo]],'Validacion reclamo de equipaje'!P:Q,2,0)</f>
        <v>UNIDOS VOLAMOS</v>
      </c>
      <c r="C841" s="52">
        <v>0.1986111111111111</v>
      </c>
      <c r="D841" s="52">
        <v>0.21319444444444444</v>
      </c>
      <c r="E841" s="53">
        <f>'Reclamo de equipaje rediseñado'!$D841-'Reclamo de equipaje rediseñado'!$C841</f>
        <v>1.4583333333333337E-2</v>
      </c>
      <c r="F841" s="52">
        <v>0.25694444444444448</v>
      </c>
      <c r="G841" s="53">
        <f t="shared" si="13"/>
        <v>4.3750000000000039E-2</v>
      </c>
      <c r="H841" s="54">
        <v>41719</v>
      </c>
      <c r="I841" s="55" t="s">
        <v>558</v>
      </c>
      <c r="J841" s="55">
        <v>320</v>
      </c>
      <c r="K841" s="55">
        <f>VLOOKUP(J841,'Validacion reclamo de equipaje'!L:M,2,0)</f>
        <v>179</v>
      </c>
      <c r="L841" s="55" t="str">
        <f>VLOOKUP(I841,'Validacion reclamo de equipaje'!H:I,2,0)</f>
        <v>Internacional</v>
      </c>
      <c r="M841" s="55" t="s">
        <v>522</v>
      </c>
    </row>
    <row r="842" spans="1:13" x14ac:dyDescent="0.25">
      <c r="A842">
        <v>480</v>
      </c>
      <c r="B842" s="47" t="str">
        <f>VLOOKUP(Tabla6[[#This Row],['# Vuelo]],'Validacion reclamo de equipaje'!P:Q,2,0)</f>
        <v>UNIDOS VOLAMOS</v>
      </c>
      <c r="C842" s="48">
        <v>0.19999999999999998</v>
      </c>
      <c r="D842" s="48">
        <v>0.21597222222222223</v>
      </c>
      <c r="E842" s="49">
        <f>'Reclamo de equipaje rediseñado'!$D842-'Reclamo de equipaje rediseñado'!$C842</f>
        <v>1.5972222222222249E-2</v>
      </c>
      <c r="F842" s="48">
        <v>0.22638888888888889</v>
      </c>
      <c r="G842" s="49">
        <f t="shared" si="13"/>
        <v>1.0416666666666657E-2</v>
      </c>
      <c r="H842" s="50">
        <v>41723</v>
      </c>
      <c r="I842" s="51" t="s">
        <v>558</v>
      </c>
      <c r="J842" s="51">
        <v>320</v>
      </c>
      <c r="K842" s="51">
        <f>VLOOKUP(J842,'Validacion reclamo de equipaje'!L:M,2,0)</f>
        <v>179</v>
      </c>
      <c r="L842" s="51" t="str">
        <f>VLOOKUP(I842,'Validacion reclamo de equipaje'!H:I,2,0)</f>
        <v>Internacional</v>
      </c>
      <c r="M842" s="51" t="s">
        <v>522</v>
      </c>
    </row>
    <row r="843" spans="1:13" x14ac:dyDescent="0.25">
      <c r="A843">
        <v>480</v>
      </c>
      <c r="B843" s="47" t="str">
        <f>VLOOKUP(Tabla6[[#This Row],['# Vuelo]],'Validacion reclamo de equipaje'!P:Q,2,0)</f>
        <v>UNIDOS VOLAMOS</v>
      </c>
      <c r="C843" s="52">
        <v>0.18611111111111112</v>
      </c>
      <c r="D843" s="52">
        <v>0.19791666666666666</v>
      </c>
      <c r="E843" s="53">
        <f>'Reclamo de equipaje rediseñado'!$D843-'Reclamo de equipaje rediseñado'!$C843</f>
        <v>1.1805555555555541E-2</v>
      </c>
      <c r="F843" s="52">
        <v>0.22013888888888888</v>
      </c>
      <c r="G843" s="53">
        <f t="shared" si="13"/>
        <v>2.2222222222222227E-2</v>
      </c>
      <c r="H843" s="54">
        <v>41724</v>
      </c>
      <c r="I843" s="55" t="s">
        <v>558</v>
      </c>
      <c r="J843" s="55">
        <v>320</v>
      </c>
      <c r="K843" s="55">
        <f>VLOOKUP(J843,'Validacion reclamo de equipaje'!L:M,2,0)</f>
        <v>179</v>
      </c>
      <c r="L843" s="55" t="str">
        <f>VLOOKUP(I843,'Validacion reclamo de equipaje'!H:I,2,0)</f>
        <v>Internacional</v>
      </c>
      <c r="M843" s="55" t="s">
        <v>522</v>
      </c>
    </row>
    <row r="844" spans="1:13" x14ac:dyDescent="0.25">
      <c r="A844">
        <v>480</v>
      </c>
      <c r="B844" s="47" t="str">
        <f>VLOOKUP(Tabla6[[#This Row],['# Vuelo]],'Validacion reclamo de equipaje'!P:Q,2,0)</f>
        <v>UNIDOS VOLAMOS</v>
      </c>
      <c r="C844" s="48">
        <v>0.20138888888888887</v>
      </c>
      <c r="D844" s="48">
        <v>0.21944444444444444</v>
      </c>
      <c r="E844" s="49">
        <f>'Reclamo de equipaje rediseñado'!$D844-'Reclamo de equipaje rediseñado'!$C844</f>
        <v>1.8055555555555575E-2</v>
      </c>
      <c r="F844" s="48">
        <v>0.23402777777777781</v>
      </c>
      <c r="G844" s="49">
        <f t="shared" si="13"/>
        <v>1.4583333333333365E-2</v>
      </c>
      <c r="H844" s="50">
        <v>41724</v>
      </c>
      <c r="I844" s="51" t="s">
        <v>558</v>
      </c>
      <c r="J844" s="51">
        <v>320</v>
      </c>
      <c r="K844" s="51">
        <f>VLOOKUP(J844,'Validacion reclamo de equipaje'!L:M,2,0)</f>
        <v>179</v>
      </c>
      <c r="L844" s="51" t="str">
        <f>VLOOKUP(I844,'Validacion reclamo de equipaje'!H:I,2,0)</f>
        <v>Internacional</v>
      </c>
      <c r="M844" s="51" t="s">
        <v>522</v>
      </c>
    </row>
    <row r="845" spans="1:13" x14ac:dyDescent="0.25">
      <c r="A845">
        <v>480</v>
      </c>
      <c r="B845" s="47" t="str">
        <f>VLOOKUP(Tabla6[[#This Row],['# Vuelo]],'Validacion reclamo de equipaje'!P:Q,2,0)</f>
        <v>UNIDOS VOLAMOS</v>
      </c>
      <c r="C845" s="52">
        <v>0.20416666666666669</v>
      </c>
      <c r="D845" s="52">
        <v>0.22013888888888888</v>
      </c>
      <c r="E845" s="53">
        <f>'Reclamo de equipaje rediseñado'!$D845-'Reclamo de equipaje rediseñado'!$C845</f>
        <v>1.5972222222222193E-2</v>
      </c>
      <c r="F845" s="52">
        <v>0.26180555555555557</v>
      </c>
      <c r="G845" s="53">
        <f t="shared" si="13"/>
        <v>4.1666666666666685E-2</v>
      </c>
      <c r="H845" s="54">
        <v>41725</v>
      </c>
      <c r="I845" s="55" t="s">
        <v>558</v>
      </c>
      <c r="J845" s="55">
        <v>320</v>
      </c>
      <c r="K845" s="55">
        <f>VLOOKUP(J845,'Validacion reclamo de equipaje'!L:M,2,0)</f>
        <v>179</v>
      </c>
      <c r="L845" s="55" t="str">
        <f>VLOOKUP(I845,'Validacion reclamo de equipaje'!H:I,2,0)</f>
        <v>Internacional</v>
      </c>
      <c r="M845" s="55" t="s">
        <v>522</v>
      </c>
    </row>
    <row r="846" spans="1:13" x14ac:dyDescent="0.25">
      <c r="A846">
        <v>332</v>
      </c>
      <c r="B846" s="47" t="str">
        <f>VLOOKUP(Tabla6[[#This Row],['# Vuelo]],'Validacion reclamo de equipaje'!P:Q,2,0)</f>
        <v>AEROLINEAS DE AMERICA</v>
      </c>
      <c r="C846" s="48">
        <v>0.56180555555555556</v>
      </c>
      <c r="D846" s="48">
        <v>0.58194444444444449</v>
      </c>
      <c r="E846" s="49">
        <f>'Reclamo de equipaje rediseñado'!$D846-'Reclamo de equipaje rediseñado'!$C846</f>
        <v>2.0138888888888928E-2</v>
      </c>
      <c r="F846" s="48">
        <v>0.58819444444444446</v>
      </c>
      <c r="G846" s="49">
        <f t="shared" si="13"/>
        <v>6.2499999999999778E-3</v>
      </c>
      <c r="H846" s="50">
        <v>41714</v>
      </c>
      <c r="I846" s="51" t="s">
        <v>569</v>
      </c>
      <c r="J846" s="51">
        <v>320</v>
      </c>
      <c r="K846" s="51">
        <f>VLOOKUP(J846,'Validacion reclamo de equipaje'!L:M,2,0)</f>
        <v>179</v>
      </c>
      <c r="L846" s="51" t="str">
        <f>VLOOKUP(I846,'Validacion reclamo de equipaje'!H:I,2,0)</f>
        <v>Internacional</v>
      </c>
      <c r="M846" s="51" t="s">
        <v>522</v>
      </c>
    </row>
    <row r="847" spans="1:13" x14ac:dyDescent="0.25">
      <c r="A847">
        <v>332</v>
      </c>
      <c r="B847" s="47" t="str">
        <f>VLOOKUP(Tabla6[[#This Row],['# Vuelo]],'Validacion reclamo de equipaje'!P:Q,2,0)</f>
        <v>AEROLINEAS DE AMERICA</v>
      </c>
      <c r="C847" s="52">
        <v>0.56041666666666667</v>
      </c>
      <c r="D847" s="52">
        <v>0.57291666666666663</v>
      </c>
      <c r="E847" s="53">
        <f>'Reclamo de equipaje rediseñado'!$D847-'Reclamo de equipaje rediseñado'!$C847</f>
        <v>1.2499999999999956E-2</v>
      </c>
      <c r="F847" s="52">
        <v>0.58611111111111114</v>
      </c>
      <c r="G847" s="53">
        <f t="shared" si="13"/>
        <v>1.3194444444444509E-2</v>
      </c>
      <c r="H847" s="54">
        <v>41715</v>
      </c>
      <c r="I847" s="55" t="s">
        <v>569</v>
      </c>
      <c r="J847" s="55">
        <v>320</v>
      </c>
      <c r="K847" s="55">
        <f>VLOOKUP(J847,'Validacion reclamo de equipaje'!L:M,2,0)</f>
        <v>179</v>
      </c>
      <c r="L847" s="55" t="str">
        <f>VLOOKUP(I847,'Validacion reclamo de equipaje'!H:I,2,0)</f>
        <v>Internacional</v>
      </c>
      <c r="M847" s="55" t="s">
        <v>522</v>
      </c>
    </row>
    <row r="848" spans="1:13" x14ac:dyDescent="0.25">
      <c r="A848">
        <v>332</v>
      </c>
      <c r="B848" s="47" t="str">
        <f>VLOOKUP(Tabla6[[#This Row],['# Vuelo]],'Validacion reclamo de equipaje'!P:Q,2,0)</f>
        <v>AEROLINEAS DE AMERICA</v>
      </c>
      <c r="C848" s="48">
        <v>0.54791666666666672</v>
      </c>
      <c r="D848" s="48">
        <v>0.5625</v>
      </c>
      <c r="E848" s="49">
        <f>'Reclamo de equipaje rediseñado'!$D848-'Reclamo de equipaje rediseñado'!$C848</f>
        <v>1.4583333333333282E-2</v>
      </c>
      <c r="F848" s="48">
        <v>0.56805555555555554</v>
      </c>
      <c r="G848" s="49">
        <f t="shared" si="13"/>
        <v>5.5555555555555358E-3</v>
      </c>
      <c r="H848" s="50">
        <v>41717</v>
      </c>
      <c r="I848" s="51" t="s">
        <v>569</v>
      </c>
      <c r="J848" s="51">
        <v>320</v>
      </c>
      <c r="K848" s="51">
        <f>VLOOKUP(J848,'Validacion reclamo de equipaje'!L:M,2,0)</f>
        <v>179</v>
      </c>
      <c r="L848" s="51" t="str">
        <f>VLOOKUP(I848,'Validacion reclamo de equipaje'!H:I,2,0)</f>
        <v>Internacional</v>
      </c>
      <c r="M848" s="51" t="s">
        <v>522</v>
      </c>
    </row>
    <row r="849" spans="1:13" x14ac:dyDescent="0.25">
      <c r="A849">
        <v>332</v>
      </c>
      <c r="B849" s="47" t="str">
        <f>VLOOKUP(Tabla6[[#This Row],['# Vuelo]],'Validacion reclamo de equipaje'!P:Q,2,0)</f>
        <v>AEROLINEAS DE AMERICA</v>
      </c>
      <c r="C849" s="52">
        <v>0.56597222222222221</v>
      </c>
      <c r="D849" s="52">
        <v>0.57847222222222217</v>
      </c>
      <c r="E849" s="53">
        <f>'Reclamo de equipaje rediseñado'!$D849-'Reclamo de equipaje rediseñado'!$C849</f>
        <v>1.2499999999999956E-2</v>
      </c>
      <c r="F849" s="52">
        <v>0.5854166666666667</v>
      </c>
      <c r="G849" s="53">
        <f t="shared" si="13"/>
        <v>6.9444444444445308E-3</v>
      </c>
      <c r="H849" s="54">
        <v>41720</v>
      </c>
      <c r="I849" s="55" t="s">
        <v>569</v>
      </c>
      <c r="J849" s="55">
        <v>320</v>
      </c>
      <c r="K849" s="55">
        <f>VLOOKUP(J849,'Validacion reclamo de equipaje'!L:M,2,0)</f>
        <v>179</v>
      </c>
      <c r="L849" s="55" t="str">
        <f>VLOOKUP(I849,'Validacion reclamo de equipaje'!H:I,2,0)</f>
        <v>Internacional</v>
      </c>
      <c r="M849" s="55" t="s">
        <v>522</v>
      </c>
    </row>
    <row r="850" spans="1:13" x14ac:dyDescent="0.25">
      <c r="A850">
        <v>332</v>
      </c>
      <c r="B850" s="47" t="str">
        <f>VLOOKUP(Tabla6[[#This Row],['# Vuelo]],'Validacion reclamo de equipaje'!P:Q,2,0)</f>
        <v>AEROLINEAS DE AMERICA</v>
      </c>
      <c r="C850" s="48">
        <v>0.5541666666666667</v>
      </c>
      <c r="D850" s="48">
        <v>0.57291666666666663</v>
      </c>
      <c r="E850" s="49">
        <f>'Reclamo de equipaje rediseñado'!$D850-'Reclamo de equipaje rediseñado'!$C850</f>
        <v>1.8749999999999933E-2</v>
      </c>
      <c r="F850" s="48">
        <v>0.58124999999999993</v>
      </c>
      <c r="G850" s="49">
        <f t="shared" si="13"/>
        <v>8.3333333333333037E-3</v>
      </c>
      <c r="H850" s="50">
        <v>41721</v>
      </c>
      <c r="I850" s="51" t="s">
        <v>569</v>
      </c>
      <c r="J850" s="51">
        <v>320</v>
      </c>
      <c r="K850" s="51">
        <f>VLOOKUP(J850,'Validacion reclamo de equipaje'!L:M,2,0)</f>
        <v>179</v>
      </c>
      <c r="L850" s="51" t="str">
        <f>VLOOKUP(I850,'Validacion reclamo de equipaje'!H:I,2,0)</f>
        <v>Internacional</v>
      </c>
      <c r="M850" s="51" t="s">
        <v>522</v>
      </c>
    </row>
    <row r="851" spans="1:13" x14ac:dyDescent="0.25">
      <c r="A851">
        <v>332</v>
      </c>
      <c r="B851" s="47" t="str">
        <f>VLOOKUP(Tabla6[[#This Row],['# Vuelo]],'Validacion reclamo de equipaje'!P:Q,2,0)</f>
        <v>AEROLINEAS DE AMERICA</v>
      </c>
      <c r="C851" s="52">
        <v>0.5625</v>
      </c>
      <c r="D851" s="52">
        <v>0.57638888888888895</v>
      </c>
      <c r="E851" s="53">
        <f>'Reclamo de equipaje rediseñado'!$D851-'Reclamo de equipaje rediseñado'!$C851</f>
        <v>1.3888888888888951E-2</v>
      </c>
      <c r="F851" s="52">
        <v>0.58750000000000002</v>
      </c>
      <c r="G851" s="53">
        <f t="shared" si="13"/>
        <v>1.1111111111111072E-2</v>
      </c>
      <c r="H851" s="54">
        <v>41722</v>
      </c>
      <c r="I851" s="55" t="s">
        <v>569</v>
      </c>
      <c r="J851" s="55">
        <v>320</v>
      </c>
      <c r="K851" s="55">
        <f>VLOOKUP(J851,'Validacion reclamo de equipaje'!L:M,2,0)</f>
        <v>179</v>
      </c>
      <c r="L851" s="55" t="str">
        <f>VLOOKUP(I851,'Validacion reclamo de equipaje'!H:I,2,0)</f>
        <v>Internacional</v>
      </c>
      <c r="M851" s="55" t="s">
        <v>522</v>
      </c>
    </row>
    <row r="852" spans="1:13" x14ac:dyDescent="0.25">
      <c r="A852">
        <v>332</v>
      </c>
      <c r="B852" s="47" t="str">
        <f>VLOOKUP(Tabla6[[#This Row],['# Vuelo]],'Validacion reclamo de equipaje'!P:Q,2,0)</f>
        <v>AEROLINEAS DE AMERICA</v>
      </c>
      <c r="C852" s="48">
        <v>0.54722222222222217</v>
      </c>
      <c r="D852" s="48">
        <v>0.56319444444444444</v>
      </c>
      <c r="E852" s="49">
        <f>'Reclamo de equipaje rediseñado'!$D852-'Reclamo de equipaje rediseñado'!$C852</f>
        <v>1.5972222222222276E-2</v>
      </c>
      <c r="F852" s="48">
        <v>0.56666666666666665</v>
      </c>
      <c r="G852" s="49">
        <f t="shared" si="13"/>
        <v>3.4722222222222099E-3</v>
      </c>
      <c r="H852" s="50">
        <v>41723</v>
      </c>
      <c r="I852" s="51" t="s">
        <v>569</v>
      </c>
      <c r="J852" s="51">
        <v>320</v>
      </c>
      <c r="K852" s="51">
        <f>VLOOKUP(J852,'Validacion reclamo de equipaje'!L:M,2,0)</f>
        <v>179</v>
      </c>
      <c r="L852" s="51" t="str">
        <f>VLOOKUP(I852,'Validacion reclamo de equipaje'!H:I,2,0)</f>
        <v>Internacional</v>
      </c>
      <c r="M852" s="51" t="s">
        <v>522</v>
      </c>
    </row>
    <row r="853" spans="1:13" x14ac:dyDescent="0.25">
      <c r="A853">
        <v>332</v>
      </c>
      <c r="B853" s="47" t="str">
        <f>VLOOKUP(Tabla6[[#This Row],['# Vuelo]],'Validacion reclamo de equipaje'!P:Q,2,0)</f>
        <v>AEROLINEAS DE AMERICA</v>
      </c>
      <c r="C853" s="52">
        <v>0.54652777777777783</v>
      </c>
      <c r="D853" s="52">
        <v>0.56597222222222221</v>
      </c>
      <c r="E853" s="53">
        <f>'Reclamo de equipaje rediseñado'!$D853-'Reclamo de equipaje rediseñado'!$C853</f>
        <v>1.9444444444444375E-2</v>
      </c>
      <c r="F853" s="52">
        <v>0.57916666666666672</v>
      </c>
      <c r="G853" s="53">
        <f t="shared" si="13"/>
        <v>1.3194444444444509E-2</v>
      </c>
      <c r="H853" s="54">
        <v>41725</v>
      </c>
      <c r="I853" s="55" t="s">
        <v>569</v>
      </c>
      <c r="J853" s="55">
        <v>320</v>
      </c>
      <c r="K853" s="55">
        <f>VLOOKUP(J853,'Validacion reclamo de equipaje'!L:M,2,0)</f>
        <v>179</v>
      </c>
      <c r="L853" s="55" t="str">
        <f>VLOOKUP(I853,'Validacion reclamo de equipaje'!H:I,2,0)</f>
        <v>Internacional</v>
      </c>
      <c r="M853" s="55" t="s">
        <v>522</v>
      </c>
    </row>
    <row r="854" spans="1:13" x14ac:dyDescent="0.25">
      <c r="A854">
        <v>332</v>
      </c>
      <c r="B854" s="47" t="str">
        <f>VLOOKUP(Tabla6[[#This Row],['# Vuelo]],'Validacion reclamo de equipaje'!P:Q,2,0)</f>
        <v>AEROLINEAS DE AMERICA</v>
      </c>
      <c r="C854" s="48">
        <v>0.54861111111111105</v>
      </c>
      <c r="D854" s="48">
        <v>0.55833333333333335</v>
      </c>
      <c r="E854" s="49">
        <f>'Reclamo de equipaje rediseñado'!$D854-'Reclamo de equipaje rediseñado'!$C854</f>
        <v>9.7222222222222987E-3</v>
      </c>
      <c r="F854" s="48">
        <v>0.5625</v>
      </c>
      <c r="G854" s="49">
        <f t="shared" si="13"/>
        <v>4.1666666666666519E-3</v>
      </c>
      <c r="H854" s="50">
        <v>41726</v>
      </c>
      <c r="I854" s="51" t="s">
        <v>569</v>
      </c>
      <c r="J854" s="51">
        <v>320</v>
      </c>
      <c r="K854" s="51">
        <f>VLOOKUP(J854,'Validacion reclamo de equipaje'!L:M,2,0)</f>
        <v>179</v>
      </c>
      <c r="L854" s="51" t="str">
        <f>VLOOKUP(I854,'Validacion reclamo de equipaje'!H:I,2,0)</f>
        <v>Internacional</v>
      </c>
      <c r="M854" s="51" t="s">
        <v>522</v>
      </c>
    </row>
    <row r="855" spans="1:13" x14ac:dyDescent="0.25">
      <c r="A855">
        <v>332</v>
      </c>
      <c r="B855" s="47" t="str">
        <f>VLOOKUP(Tabla6[[#This Row],['# Vuelo]],'Validacion reclamo de equipaje'!P:Q,2,0)</f>
        <v>AEROLINEAS DE AMERICA</v>
      </c>
      <c r="C855" s="52">
        <v>0.57222222222222219</v>
      </c>
      <c r="D855" s="52">
        <v>0.58888888888888891</v>
      </c>
      <c r="E855" s="53">
        <f>'Reclamo de equipaje rediseñado'!$D855-'Reclamo de equipaje rediseñado'!$C855</f>
        <v>1.6666666666666718E-2</v>
      </c>
      <c r="F855" s="52">
        <v>0.59375</v>
      </c>
      <c r="G855" s="53">
        <f t="shared" si="13"/>
        <v>4.8611111111110938E-3</v>
      </c>
      <c r="H855" s="54">
        <v>41727</v>
      </c>
      <c r="I855" s="55" t="s">
        <v>569</v>
      </c>
      <c r="J855" s="55">
        <v>320</v>
      </c>
      <c r="K855" s="55">
        <f>VLOOKUP(J855,'Validacion reclamo de equipaje'!L:M,2,0)</f>
        <v>179</v>
      </c>
      <c r="L855" s="55" t="str">
        <f>VLOOKUP(I855,'Validacion reclamo de equipaje'!H:I,2,0)</f>
        <v>Internacional</v>
      </c>
      <c r="M855" s="55" t="s">
        <v>522</v>
      </c>
    </row>
    <row r="856" spans="1:13" x14ac:dyDescent="0.25">
      <c r="A856">
        <v>332</v>
      </c>
      <c r="B856" s="47" t="str">
        <f>VLOOKUP(Tabla6[[#This Row],['# Vuelo]],'Validacion reclamo de equipaje'!P:Q,2,0)</f>
        <v>AEROLINEAS DE AMERICA</v>
      </c>
      <c r="C856" s="48">
        <v>0.54097222222222219</v>
      </c>
      <c r="D856" s="48">
        <v>0.56041666666666667</v>
      </c>
      <c r="E856" s="49">
        <f>'Reclamo de equipaje rediseñado'!$D856-'Reclamo de equipaje rediseñado'!$C856</f>
        <v>1.9444444444444486E-2</v>
      </c>
      <c r="F856" s="48">
        <v>0.56874999999999998</v>
      </c>
      <c r="G856" s="49">
        <f t="shared" si="13"/>
        <v>8.3333333333333037E-3</v>
      </c>
      <c r="H856" s="50">
        <v>41729</v>
      </c>
      <c r="I856" s="51" t="s">
        <v>569</v>
      </c>
      <c r="J856" s="51">
        <v>320</v>
      </c>
      <c r="K856" s="51">
        <f>VLOOKUP(J856,'Validacion reclamo de equipaje'!L:M,2,0)</f>
        <v>179</v>
      </c>
      <c r="L856" s="51" t="str">
        <f>VLOOKUP(I856,'Validacion reclamo de equipaje'!H:I,2,0)</f>
        <v>Internacional</v>
      </c>
      <c r="M856" s="51" t="s">
        <v>522</v>
      </c>
    </row>
    <row r="857" spans="1:13" x14ac:dyDescent="0.25">
      <c r="A857">
        <v>221</v>
      </c>
      <c r="B857" s="47" t="str">
        <f>VLOOKUP(Tabla6[[#This Row],['# Vuelo]],'Validacion reclamo de equipaje'!P:Q,2,0)</f>
        <v>INTERAVIÓN</v>
      </c>
      <c r="C857" s="52">
        <v>0.4826388888888889</v>
      </c>
      <c r="D857" s="52">
        <v>0.4993055555555555</v>
      </c>
      <c r="E857" s="53">
        <f>'Reclamo de equipaje rediseñado'!$D857-'Reclamo de equipaje rediseñado'!$C857</f>
        <v>1.6666666666666607E-2</v>
      </c>
      <c r="F857" s="52">
        <v>0.52638888888888891</v>
      </c>
      <c r="G857" s="53">
        <f t="shared" si="13"/>
        <v>2.7083333333333404E-2</v>
      </c>
      <c r="H857" s="54">
        <v>41715</v>
      </c>
      <c r="I857" s="55" t="s">
        <v>555</v>
      </c>
      <c r="J857" s="55">
        <v>320</v>
      </c>
      <c r="K857" s="55">
        <f>VLOOKUP(J857,'Validacion reclamo de equipaje'!L:M,2,0)</f>
        <v>179</v>
      </c>
      <c r="L857" s="55" t="str">
        <f>VLOOKUP(I857,'Validacion reclamo de equipaje'!H:I,2,0)</f>
        <v>Internacional</v>
      </c>
      <c r="M857" s="55" t="s">
        <v>522</v>
      </c>
    </row>
    <row r="858" spans="1:13" x14ac:dyDescent="0.25">
      <c r="A858">
        <v>221</v>
      </c>
      <c r="B858" s="47" t="str">
        <f>VLOOKUP(Tabla6[[#This Row],['# Vuelo]],'Validacion reclamo de equipaje'!P:Q,2,0)</f>
        <v>INTERAVIÓN</v>
      </c>
      <c r="C858" s="48">
        <v>0.48888888888888887</v>
      </c>
      <c r="D858" s="48">
        <v>0.50277777777777777</v>
      </c>
      <c r="E858" s="49">
        <f>'Reclamo de equipaje rediseñado'!$D858-'Reclamo de equipaje rediseñado'!$C858</f>
        <v>1.3888888888888895E-2</v>
      </c>
      <c r="F858" s="48">
        <v>0.51597222222222217</v>
      </c>
      <c r="G858" s="49">
        <f t="shared" si="13"/>
        <v>1.3194444444444398E-2</v>
      </c>
      <c r="H858" s="50">
        <v>41714</v>
      </c>
      <c r="I858" s="51" t="s">
        <v>555</v>
      </c>
      <c r="J858" s="51">
        <v>320</v>
      </c>
      <c r="K858" s="51">
        <f>VLOOKUP(J858,'Validacion reclamo de equipaje'!L:M,2,0)</f>
        <v>179</v>
      </c>
      <c r="L858" s="51" t="str">
        <f>VLOOKUP(I858,'Validacion reclamo de equipaje'!H:I,2,0)</f>
        <v>Internacional</v>
      </c>
      <c r="M858" s="51" t="s">
        <v>522</v>
      </c>
    </row>
    <row r="859" spans="1:13" x14ac:dyDescent="0.25">
      <c r="A859">
        <v>221</v>
      </c>
      <c r="B859" s="47" t="str">
        <f>VLOOKUP(Tabla6[[#This Row],['# Vuelo]],'Validacion reclamo de equipaje'!P:Q,2,0)</f>
        <v>INTERAVIÓN</v>
      </c>
      <c r="C859" s="52">
        <v>0.49791666666666662</v>
      </c>
      <c r="D859" s="52">
        <v>0.51041666666666663</v>
      </c>
      <c r="E859" s="53">
        <f>'Reclamo de equipaje rediseñado'!$D859-'Reclamo de equipaje rediseñado'!$C859</f>
        <v>1.2500000000000011E-2</v>
      </c>
      <c r="F859" s="52">
        <v>0.51388888888888895</v>
      </c>
      <c r="G859" s="53">
        <f t="shared" si="13"/>
        <v>3.4722222222223209E-3</v>
      </c>
      <c r="H859" s="54">
        <v>41717</v>
      </c>
      <c r="I859" s="55" t="s">
        <v>555</v>
      </c>
      <c r="J859" s="55">
        <v>320</v>
      </c>
      <c r="K859" s="55">
        <f>VLOOKUP(J859,'Validacion reclamo de equipaje'!L:M,2,0)</f>
        <v>179</v>
      </c>
      <c r="L859" s="55" t="str">
        <f>VLOOKUP(I859,'Validacion reclamo de equipaje'!H:I,2,0)</f>
        <v>Internacional</v>
      </c>
      <c r="M859" s="55" t="s">
        <v>522</v>
      </c>
    </row>
    <row r="860" spans="1:13" x14ac:dyDescent="0.25">
      <c r="A860">
        <v>221</v>
      </c>
      <c r="B860" s="47" t="str">
        <f>VLOOKUP(Tabla6[[#This Row],['# Vuelo]],'Validacion reclamo de equipaje'!P:Q,2,0)</f>
        <v>INTERAVIÓN</v>
      </c>
      <c r="C860" s="48">
        <v>0.48958333333333331</v>
      </c>
      <c r="D860" s="48">
        <v>0.50624999999999998</v>
      </c>
      <c r="E860" s="49">
        <f>'Reclamo de equipaje rediseñado'!$D860-'Reclamo de equipaje rediseñado'!$C860</f>
        <v>1.6666666666666663E-2</v>
      </c>
      <c r="F860" s="48">
        <v>0.51597222222222217</v>
      </c>
      <c r="G860" s="49">
        <f t="shared" si="13"/>
        <v>9.7222222222221877E-3</v>
      </c>
      <c r="H860" s="50">
        <v>41720</v>
      </c>
      <c r="I860" s="51" t="s">
        <v>555</v>
      </c>
      <c r="J860" s="51">
        <v>320</v>
      </c>
      <c r="K860" s="51">
        <f>VLOOKUP(J860,'Validacion reclamo de equipaje'!L:M,2,0)</f>
        <v>179</v>
      </c>
      <c r="L860" s="51" t="str">
        <f>VLOOKUP(I860,'Validacion reclamo de equipaje'!H:I,2,0)</f>
        <v>Internacional</v>
      </c>
      <c r="M860" s="51" t="s">
        <v>522</v>
      </c>
    </row>
    <row r="861" spans="1:13" x14ac:dyDescent="0.25">
      <c r="A861">
        <v>221</v>
      </c>
      <c r="B861" s="47" t="str">
        <f>VLOOKUP(Tabla6[[#This Row],['# Vuelo]],'Validacion reclamo de equipaje'!P:Q,2,0)</f>
        <v>INTERAVIÓN</v>
      </c>
      <c r="C861" s="52">
        <v>0.49652777777777773</v>
      </c>
      <c r="D861" s="52">
        <v>0.51041666666666663</v>
      </c>
      <c r="E861" s="53">
        <f>'Reclamo de equipaje rediseñado'!$D861-'Reclamo de equipaje rediseñado'!$C861</f>
        <v>1.3888888888888895E-2</v>
      </c>
      <c r="F861" s="52">
        <v>0.51458333333333328</v>
      </c>
      <c r="G861" s="53">
        <f t="shared" si="13"/>
        <v>4.1666666666666519E-3</v>
      </c>
      <c r="H861" s="54">
        <v>41722</v>
      </c>
      <c r="I861" s="55" t="s">
        <v>555</v>
      </c>
      <c r="J861" s="55">
        <v>320</v>
      </c>
      <c r="K861" s="55">
        <f>VLOOKUP(J861,'Validacion reclamo de equipaje'!L:M,2,0)</f>
        <v>179</v>
      </c>
      <c r="L861" s="55" t="str">
        <f>VLOOKUP(I861,'Validacion reclamo de equipaje'!H:I,2,0)</f>
        <v>Internacional</v>
      </c>
      <c r="M861" s="55" t="s">
        <v>522</v>
      </c>
    </row>
    <row r="862" spans="1:13" x14ac:dyDescent="0.25">
      <c r="A862">
        <v>221</v>
      </c>
      <c r="B862" s="47" t="str">
        <f>VLOOKUP(Tabla6[[#This Row],['# Vuelo]],'Validacion reclamo de equipaje'!P:Q,2,0)</f>
        <v>INTERAVIÓN</v>
      </c>
      <c r="C862" s="48">
        <v>0.48888888888888887</v>
      </c>
      <c r="D862" s="48">
        <v>0.4993055555555555</v>
      </c>
      <c r="E862" s="49">
        <f>'Reclamo de equipaje rediseñado'!$D862-'Reclamo de equipaje rediseñado'!$C862</f>
        <v>1.041666666666663E-2</v>
      </c>
      <c r="F862" s="48">
        <v>0.50138888888888888</v>
      </c>
      <c r="G862" s="49">
        <f t="shared" si="13"/>
        <v>2.0833333333333814E-3</v>
      </c>
      <c r="H862" s="50">
        <v>41723</v>
      </c>
      <c r="I862" s="51" t="s">
        <v>555</v>
      </c>
      <c r="J862" s="51">
        <v>320</v>
      </c>
      <c r="K862" s="51">
        <f>VLOOKUP(J862,'Validacion reclamo de equipaje'!L:M,2,0)</f>
        <v>179</v>
      </c>
      <c r="L862" s="51" t="str">
        <f>VLOOKUP(I862,'Validacion reclamo de equipaje'!H:I,2,0)</f>
        <v>Internacional</v>
      </c>
      <c r="M862" s="51" t="s">
        <v>522</v>
      </c>
    </row>
    <row r="863" spans="1:13" x14ac:dyDescent="0.25">
      <c r="A863">
        <v>221</v>
      </c>
      <c r="B863" s="47" t="str">
        <f>VLOOKUP(Tabla6[[#This Row],['# Vuelo]],'Validacion reclamo de equipaje'!P:Q,2,0)</f>
        <v>INTERAVIÓN</v>
      </c>
      <c r="C863" s="52">
        <v>0.49374999999999997</v>
      </c>
      <c r="D863" s="52">
        <v>0.5083333333333333</v>
      </c>
      <c r="E863" s="53">
        <f>'Reclamo de equipaje rediseñado'!$D863-'Reclamo de equipaje rediseñado'!$C863</f>
        <v>1.4583333333333337E-2</v>
      </c>
      <c r="F863" s="52">
        <v>0.51458333333333328</v>
      </c>
      <c r="G863" s="53">
        <f t="shared" si="13"/>
        <v>6.2499999999999778E-3</v>
      </c>
      <c r="H863" s="54">
        <v>41725</v>
      </c>
      <c r="I863" s="55" t="s">
        <v>555</v>
      </c>
      <c r="J863" s="55">
        <v>320</v>
      </c>
      <c r="K863" s="55">
        <f>VLOOKUP(J863,'Validacion reclamo de equipaje'!L:M,2,0)</f>
        <v>179</v>
      </c>
      <c r="L863" s="55" t="str">
        <f>VLOOKUP(I863,'Validacion reclamo de equipaje'!H:I,2,0)</f>
        <v>Internacional</v>
      </c>
      <c r="M863" s="55" t="s">
        <v>522</v>
      </c>
    </row>
    <row r="864" spans="1:13" x14ac:dyDescent="0.25">
      <c r="A864">
        <v>221</v>
      </c>
      <c r="B864" s="47" t="str">
        <f>VLOOKUP(Tabla6[[#This Row],['# Vuelo]],'Validacion reclamo de equipaje'!P:Q,2,0)</f>
        <v>INTERAVIÓN</v>
      </c>
      <c r="C864" s="48">
        <v>0.48402777777777778</v>
      </c>
      <c r="D864" s="48">
        <v>0.5</v>
      </c>
      <c r="E864" s="49">
        <f>'Reclamo de equipaje rediseñado'!$D864-'Reclamo de equipaje rediseñado'!$C864</f>
        <v>1.5972222222222221E-2</v>
      </c>
      <c r="F864" s="48">
        <v>0.5131944444444444</v>
      </c>
      <c r="G864" s="49">
        <f t="shared" si="13"/>
        <v>1.3194444444444398E-2</v>
      </c>
      <c r="H864" s="50">
        <v>41726</v>
      </c>
      <c r="I864" s="51" t="s">
        <v>555</v>
      </c>
      <c r="J864" s="51">
        <v>320</v>
      </c>
      <c r="K864" s="51">
        <f>VLOOKUP(J864,'Validacion reclamo de equipaje'!L:M,2,0)</f>
        <v>179</v>
      </c>
      <c r="L864" s="51" t="str">
        <f>VLOOKUP(I864,'Validacion reclamo de equipaje'!H:I,2,0)</f>
        <v>Internacional</v>
      </c>
      <c r="M864" s="51" t="s">
        <v>522</v>
      </c>
    </row>
    <row r="865" spans="1:13" x14ac:dyDescent="0.25">
      <c r="A865">
        <v>221</v>
      </c>
      <c r="B865" s="47" t="str">
        <f>VLOOKUP(Tabla6[[#This Row],['# Vuelo]],'Validacion reclamo de equipaje'!P:Q,2,0)</f>
        <v>INTERAVIÓN</v>
      </c>
      <c r="C865" s="52">
        <v>0.49236111111111108</v>
      </c>
      <c r="D865" s="52">
        <v>0.51180555555555551</v>
      </c>
      <c r="E865" s="53">
        <f>'Reclamo de equipaje rediseñado'!$D865-'Reclamo de equipaje rediseñado'!$C865</f>
        <v>1.9444444444444431E-2</v>
      </c>
      <c r="F865" s="52">
        <v>0.51944444444444449</v>
      </c>
      <c r="G865" s="53">
        <f t="shared" si="13"/>
        <v>7.6388888888889728E-3</v>
      </c>
      <c r="H865" s="54">
        <v>41727</v>
      </c>
      <c r="I865" s="55" t="s">
        <v>555</v>
      </c>
      <c r="J865" s="55">
        <v>320</v>
      </c>
      <c r="K865" s="55">
        <f>VLOOKUP(J865,'Validacion reclamo de equipaje'!L:M,2,0)</f>
        <v>179</v>
      </c>
      <c r="L865" s="55" t="str">
        <f>VLOOKUP(I865,'Validacion reclamo de equipaje'!H:I,2,0)</f>
        <v>Internacional</v>
      </c>
      <c r="M865" s="55" t="s">
        <v>522</v>
      </c>
    </row>
    <row r="866" spans="1:13" x14ac:dyDescent="0.25">
      <c r="A866">
        <v>221</v>
      </c>
      <c r="B866" s="47" t="str">
        <f>VLOOKUP(Tabla6[[#This Row],['# Vuelo]],'Validacion reclamo de equipaje'!P:Q,2,0)</f>
        <v>INTERAVIÓN</v>
      </c>
      <c r="C866" s="48">
        <v>0.48680555555555555</v>
      </c>
      <c r="D866" s="48">
        <v>0.5</v>
      </c>
      <c r="E866" s="49">
        <f>'Reclamo de equipaje rediseñado'!$D866-'Reclamo de equipaje rediseñado'!$C866</f>
        <v>1.3194444444444453E-2</v>
      </c>
      <c r="F866" s="48">
        <v>0.50416666666666665</v>
      </c>
      <c r="G866" s="49">
        <f t="shared" si="13"/>
        <v>4.1666666666666519E-3</v>
      </c>
      <c r="H866" s="50">
        <v>41728</v>
      </c>
      <c r="I866" s="51" t="s">
        <v>555</v>
      </c>
      <c r="J866" s="51">
        <v>320</v>
      </c>
      <c r="K866" s="51">
        <f>VLOOKUP(J866,'Validacion reclamo de equipaje'!L:M,2,0)</f>
        <v>179</v>
      </c>
      <c r="L866" s="51" t="str">
        <f>VLOOKUP(I866,'Validacion reclamo de equipaje'!H:I,2,0)</f>
        <v>Internacional</v>
      </c>
      <c r="M866" s="51" t="s">
        <v>522</v>
      </c>
    </row>
    <row r="867" spans="1:13" x14ac:dyDescent="0.25">
      <c r="A867">
        <v>221</v>
      </c>
      <c r="B867" s="47" t="str">
        <f>VLOOKUP(Tabla6[[#This Row],['# Vuelo]],'Validacion reclamo de equipaje'!P:Q,2,0)</f>
        <v>INTERAVIÓN</v>
      </c>
      <c r="C867" s="52">
        <v>0.4916666666666667</v>
      </c>
      <c r="D867" s="52">
        <v>0.50138888888888888</v>
      </c>
      <c r="E867" s="53">
        <f>'Reclamo de equipaje rediseñado'!$D867-'Reclamo de equipaje rediseñado'!$C867</f>
        <v>9.7222222222221877E-3</v>
      </c>
      <c r="F867" s="52">
        <v>0.51041666666666663</v>
      </c>
      <c r="G867" s="53">
        <f t="shared" si="13"/>
        <v>9.0277777777777457E-3</v>
      </c>
      <c r="H867" s="54">
        <v>41729</v>
      </c>
      <c r="I867" s="55" t="s">
        <v>555</v>
      </c>
      <c r="J867" s="55">
        <v>320</v>
      </c>
      <c r="K867" s="55">
        <f>VLOOKUP(J867,'Validacion reclamo de equipaje'!L:M,2,0)</f>
        <v>179</v>
      </c>
      <c r="L867" s="55" t="str">
        <f>VLOOKUP(I867,'Validacion reclamo de equipaje'!H:I,2,0)</f>
        <v>Internacional</v>
      </c>
      <c r="M867" s="55" t="s">
        <v>522</v>
      </c>
    </row>
    <row r="868" spans="1:13" x14ac:dyDescent="0.25">
      <c r="A868">
        <v>2879</v>
      </c>
      <c r="B868" s="47" t="str">
        <f>VLOOKUP(Tabla6[[#This Row],['# Vuelo]],'Validacion reclamo de equipaje'!P:Q,2,0)</f>
        <v>VIAS AÉREAS DE USA</v>
      </c>
      <c r="C868" s="48">
        <v>0.9243055555555556</v>
      </c>
      <c r="D868" s="48">
        <v>0.93194444444444446</v>
      </c>
      <c r="E868" s="49">
        <f>'Reclamo de equipaje rediseñado'!$D868-'Reclamo de equipaje rediseñado'!$C868</f>
        <v>7.6388888888888618E-3</v>
      </c>
      <c r="F868" s="48">
        <v>0.95763888888888893</v>
      </c>
      <c r="G868" s="49">
        <f t="shared" si="13"/>
        <v>2.5694444444444464E-2</v>
      </c>
      <c r="H868" s="50">
        <v>41713</v>
      </c>
      <c r="I868" s="51" t="s">
        <v>591</v>
      </c>
      <c r="J868" s="51" t="s">
        <v>590</v>
      </c>
      <c r="K868" s="51">
        <f>VLOOKUP(J868,'Validacion reclamo de equipaje'!L:M,2,0)</f>
        <v>78</v>
      </c>
      <c r="L868" s="51" t="str">
        <f>VLOOKUP(I868,'Validacion reclamo de equipaje'!H:I,2,0)</f>
        <v>Internacional</v>
      </c>
      <c r="M868" s="51" t="s">
        <v>522</v>
      </c>
    </row>
    <row r="869" spans="1:13" x14ac:dyDescent="0.25">
      <c r="A869">
        <v>2879</v>
      </c>
      <c r="B869" s="47" t="str">
        <f>VLOOKUP(Tabla6[[#This Row],['# Vuelo]],'Validacion reclamo de equipaje'!P:Q,2,0)</f>
        <v>VIAS AÉREAS DE USA</v>
      </c>
      <c r="C869" s="52">
        <v>0.94027777777777777</v>
      </c>
      <c r="D869" s="52">
        <v>0.95138888888888884</v>
      </c>
      <c r="E869" s="53">
        <f>'Reclamo de equipaje rediseñado'!$D869-'Reclamo de equipaje rediseñado'!$C869</f>
        <v>1.1111111111111072E-2</v>
      </c>
      <c r="F869" s="52">
        <v>0.96180555555555547</v>
      </c>
      <c r="G869" s="53">
        <f t="shared" si="13"/>
        <v>1.041666666666663E-2</v>
      </c>
      <c r="H869" s="54">
        <v>41719</v>
      </c>
      <c r="I869" s="55" t="s">
        <v>591</v>
      </c>
      <c r="J869" s="55" t="s">
        <v>590</v>
      </c>
      <c r="K869" s="55">
        <f>VLOOKUP(J869,'Validacion reclamo de equipaje'!L:M,2,0)</f>
        <v>78</v>
      </c>
      <c r="L869" s="55" t="str">
        <f>VLOOKUP(I869,'Validacion reclamo de equipaje'!H:I,2,0)</f>
        <v>Internacional</v>
      </c>
      <c r="M869" s="55" t="s">
        <v>522</v>
      </c>
    </row>
    <row r="870" spans="1:13" x14ac:dyDescent="0.25">
      <c r="A870">
        <v>2879</v>
      </c>
      <c r="B870" s="47" t="str">
        <f>VLOOKUP(Tabla6[[#This Row],['# Vuelo]],'Validacion reclamo de equipaje'!P:Q,2,0)</f>
        <v>VIAS AÉREAS DE USA</v>
      </c>
      <c r="C870" s="48">
        <v>0.93333333333333324</v>
      </c>
      <c r="D870" s="48">
        <v>0.94444444444444453</v>
      </c>
      <c r="E870" s="49">
        <f>'Reclamo de equipaje rediseñado'!$D870-'Reclamo de equipaje rediseñado'!$C870</f>
        <v>1.1111111111111294E-2</v>
      </c>
      <c r="F870" s="48">
        <v>0.95763888888888893</v>
      </c>
      <c r="G870" s="49">
        <f t="shared" si="13"/>
        <v>1.3194444444444398E-2</v>
      </c>
      <c r="H870" s="50">
        <v>41719</v>
      </c>
      <c r="I870" s="51" t="s">
        <v>591</v>
      </c>
      <c r="J870" s="51" t="s">
        <v>590</v>
      </c>
      <c r="K870" s="51">
        <f>VLOOKUP(J870,'Validacion reclamo de equipaje'!L:M,2,0)</f>
        <v>78</v>
      </c>
      <c r="L870" s="51" t="str">
        <f>VLOOKUP(I870,'Validacion reclamo de equipaje'!H:I,2,0)</f>
        <v>Internacional</v>
      </c>
      <c r="M870" s="51" t="s">
        <v>522</v>
      </c>
    </row>
    <row r="871" spans="1:13" x14ac:dyDescent="0.25">
      <c r="A871">
        <v>2879</v>
      </c>
      <c r="B871" s="47" t="str">
        <f>VLOOKUP(Tabla6[[#This Row],['# Vuelo]],'Validacion reclamo de equipaje'!P:Q,2,0)</f>
        <v>VIAS AÉREAS DE USA</v>
      </c>
      <c r="C871" s="52">
        <v>0.92708333333333337</v>
      </c>
      <c r="D871" s="52">
        <v>0.93611111111111101</v>
      </c>
      <c r="E871" s="53">
        <f>'Reclamo de equipaje rediseñado'!$D871-'Reclamo de equipaje rediseñado'!$C871</f>
        <v>9.0277777777776347E-3</v>
      </c>
      <c r="F871" s="52">
        <v>0.94374999999999998</v>
      </c>
      <c r="G871" s="53">
        <f t="shared" si="13"/>
        <v>7.6388888888889728E-3</v>
      </c>
      <c r="H871" s="54">
        <v>41721</v>
      </c>
      <c r="I871" s="55" t="s">
        <v>591</v>
      </c>
      <c r="J871" s="55" t="s">
        <v>590</v>
      </c>
      <c r="K871" s="55">
        <f>VLOOKUP(J871,'Validacion reclamo de equipaje'!L:M,2,0)</f>
        <v>78</v>
      </c>
      <c r="L871" s="55" t="str">
        <f>VLOOKUP(I871,'Validacion reclamo de equipaje'!H:I,2,0)</f>
        <v>Internacional</v>
      </c>
      <c r="M871" s="55" t="s">
        <v>522</v>
      </c>
    </row>
    <row r="872" spans="1:13" x14ac:dyDescent="0.25">
      <c r="A872">
        <v>2879</v>
      </c>
      <c r="B872" s="47" t="str">
        <f>VLOOKUP(Tabla6[[#This Row],['# Vuelo]],'Validacion reclamo de equipaje'!P:Q,2,0)</f>
        <v>VIAS AÉREAS DE USA</v>
      </c>
      <c r="C872" s="48">
        <v>0.93333333333333324</v>
      </c>
      <c r="D872" s="48">
        <v>0.94305555555555554</v>
      </c>
      <c r="E872" s="49">
        <f>'Reclamo de equipaje rediseñado'!$D872-'Reclamo de equipaje rediseñado'!$C872</f>
        <v>9.7222222222222987E-3</v>
      </c>
      <c r="F872" s="48">
        <v>0.9472222222222223</v>
      </c>
      <c r="G872" s="49">
        <f t="shared" si="13"/>
        <v>4.1666666666667629E-3</v>
      </c>
      <c r="H872" s="50">
        <v>41723</v>
      </c>
      <c r="I872" s="51" t="s">
        <v>591</v>
      </c>
      <c r="J872" s="51" t="s">
        <v>590</v>
      </c>
      <c r="K872" s="51">
        <f>VLOOKUP(J872,'Validacion reclamo de equipaje'!L:M,2,0)</f>
        <v>78</v>
      </c>
      <c r="L872" s="51" t="str">
        <f>VLOOKUP(I872,'Validacion reclamo de equipaje'!H:I,2,0)</f>
        <v>Internacional</v>
      </c>
      <c r="M872" s="51" t="s">
        <v>522</v>
      </c>
    </row>
    <row r="873" spans="1:13" x14ac:dyDescent="0.25">
      <c r="A873">
        <v>2879</v>
      </c>
      <c r="B873" s="47" t="str">
        <f>VLOOKUP(Tabla6[[#This Row],['# Vuelo]],'Validacion reclamo de equipaje'!P:Q,2,0)</f>
        <v>VIAS AÉREAS DE USA</v>
      </c>
      <c r="C873" s="52">
        <v>0.92361111111111116</v>
      </c>
      <c r="D873" s="52">
        <v>0.93819444444444444</v>
      </c>
      <c r="E873" s="53">
        <f>'Reclamo de equipaje rediseñado'!$D873-'Reclamo de equipaje rediseñado'!$C873</f>
        <v>1.4583333333333282E-2</v>
      </c>
      <c r="F873" s="52">
        <v>0.94513888888888886</v>
      </c>
      <c r="G873" s="53">
        <f t="shared" si="13"/>
        <v>6.9444444444444198E-3</v>
      </c>
      <c r="H873" s="54">
        <v>41715</v>
      </c>
      <c r="I873" s="55" t="s">
        <v>591</v>
      </c>
      <c r="J873" s="55" t="s">
        <v>590</v>
      </c>
      <c r="K873" s="55">
        <f>VLOOKUP(J873,'Validacion reclamo de equipaje'!L:M,2,0)</f>
        <v>78</v>
      </c>
      <c r="L873" s="55" t="str">
        <f>VLOOKUP(I873,'Validacion reclamo de equipaje'!H:I,2,0)</f>
        <v>Internacional</v>
      </c>
      <c r="M873" s="55" t="s">
        <v>522</v>
      </c>
    </row>
    <row r="874" spans="1:13" x14ac:dyDescent="0.25">
      <c r="A874">
        <v>2879</v>
      </c>
      <c r="B874" s="47" t="str">
        <f>VLOOKUP(Tabla6[[#This Row],['# Vuelo]],'Validacion reclamo de equipaje'!P:Q,2,0)</f>
        <v>VIAS AÉREAS DE USA</v>
      </c>
      <c r="C874" s="48">
        <v>0.93611111111111101</v>
      </c>
      <c r="D874" s="48">
        <v>0.9472222222222223</v>
      </c>
      <c r="E874" s="49">
        <f>'Reclamo de equipaje rediseñado'!$D874-'Reclamo de equipaje rediseñado'!$C874</f>
        <v>1.1111111111111294E-2</v>
      </c>
      <c r="F874" s="48">
        <v>0.95486111111111116</v>
      </c>
      <c r="G874" s="49">
        <f t="shared" si="13"/>
        <v>7.6388888888888618E-3</v>
      </c>
      <c r="H874" s="50">
        <v>41716</v>
      </c>
      <c r="I874" s="51" t="s">
        <v>591</v>
      </c>
      <c r="J874" s="51" t="s">
        <v>590</v>
      </c>
      <c r="K874" s="51">
        <f>VLOOKUP(J874,'Validacion reclamo de equipaje'!L:M,2,0)</f>
        <v>78</v>
      </c>
      <c r="L874" s="51" t="str">
        <f>VLOOKUP(I874,'Validacion reclamo de equipaje'!H:I,2,0)</f>
        <v>Internacional</v>
      </c>
      <c r="M874" s="51" t="s">
        <v>522</v>
      </c>
    </row>
    <row r="875" spans="1:13" x14ac:dyDescent="0.25">
      <c r="A875">
        <v>2879</v>
      </c>
      <c r="B875" s="47" t="str">
        <f>VLOOKUP(Tabla6[[#This Row],['# Vuelo]],'Validacion reclamo de equipaje'!P:Q,2,0)</f>
        <v>VIAS AÉREAS DE USA</v>
      </c>
      <c r="C875" s="52">
        <v>0.95000000000000007</v>
      </c>
      <c r="D875" s="52">
        <v>0.95694444444444438</v>
      </c>
      <c r="E875" s="53">
        <f>'Reclamo de equipaje rediseñado'!$D875-'Reclamo de equipaje rediseñado'!$C875</f>
        <v>6.9444444444443088E-3</v>
      </c>
      <c r="F875" s="52">
        <v>0.97777777777777775</v>
      </c>
      <c r="G875" s="53">
        <f t="shared" si="13"/>
        <v>2.083333333333337E-2</v>
      </c>
      <c r="H875" s="54">
        <v>41717</v>
      </c>
      <c r="I875" s="55" t="s">
        <v>591</v>
      </c>
      <c r="J875" s="55" t="s">
        <v>590</v>
      </c>
      <c r="K875" s="55">
        <f>VLOOKUP(J875,'Validacion reclamo de equipaje'!L:M,2,0)</f>
        <v>78</v>
      </c>
      <c r="L875" s="55" t="str">
        <f>VLOOKUP(I875,'Validacion reclamo de equipaje'!H:I,2,0)</f>
        <v>Internacional</v>
      </c>
      <c r="M875" s="55" t="s">
        <v>522</v>
      </c>
    </row>
    <row r="876" spans="1:13" x14ac:dyDescent="0.25">
      <c r="A876">
        <v>2879</v>
      </c>
      <c r="B876" s="47" t="str">
        <f>VLOOKUP(Tabla6[[#This Row],['# Vuelo]],'Validacion reclamo de equipaje'!P:Q,2,0)</f>
        <v>VIAS AÉREAS DE USA</v>
      </c>
      <c r="C876" s="48">
        <v>0.92361111111111116</v>
      </c>
      <c r="D876" s="48">
        <v>0.92708333333333337</v>
      </c>
      <c r="E876" s="49">
        <f>'Reclamo de equipaje rediseñado'!$D876-'Reclamo de equipaje rediseñado'!$C876</f>
        <v>3.4722222222222099E-3</v>
      </c>
      <c r="F876" s="48">
        <v>0.94027777777777777</v>
      </c>
      <c r="G876" s="49">
        <f t="shared" si="13"/>
        <v>1.3194444444444398E-2</v>
      </c>
      <c r="H876" s="50">
        <v>41724</v>
      </c>
      <c r="I876" s="51" t="s">
        <v>591</v>
      </c>
      <c r="J876" s="51" t="s">
        <v>590</v>
      </c>
      <c r="K876" s="51">
        <f>VLOOKUP(J876,'Validacion reclamo de equipaje'!L:M,2,0)</f>
        <v>78</v>
      </c>
      <c r="L876" s="51" t="str">
        <f>VLOOKUP(I876,'Validacion reclamo de equipaje'!H:I,2,0)</f>
        <v>Internacional</v>
      </c>
      <c r="M876" s="51" t="s">
        <v>522</v>
      </c>
    </row>
    <row r="877" spans="1:13" x14ac:dyDescent="0.25">
      <c r="A877">
        <v>2879</v>
      </c>
      <c r="B877" s="47" t="str">
        <f>VLOOKUP(Tabla6[[#This Row],['# Vuelo]],'Validacion reclamo de equipaje'!P:Q,2,0)</f>
        <v>VIAS AÉREAS DE USA</v>
      </c>
      <c r="C877" s="52">
        <v>0.92499999999999993</v>
      </c>
      <c r="D877" s="52">
        <v>0.93263888888888891</v>
      </c>
      <c r="E877" s="53">
        <f>'Reclamo de equipaje rediseñado'!$D877-'Reclamo de equipaje rediseñado'!$C877</f>
        <v>7.6388888888889728E-3</v>
      </c>
      <c r="F877" s="52">
        <v>0.9555555555555556</v>
      </c>
      <c r="G877" s="53">
        <f t="shared" si="13"/>
        <v>2.2916666666666696E-2</v>
      </c>
      <c r="H877" s="54">
        <v>41724</v>
      </c>
      <c r="I877" s="55" t="s">
        <v>591</v>
      </c>
      <c r="J877" s="55" t="s">
        <v>590</v>
      </c>
      <c r="K877" s="55">
        <f>VLOOKUP(J877,'Validacion reclamo de equipaje'!L:M,2,0)</f>
        <v>78</v>
      </c>
      <c r="L877" s="55" t="str">
        <f>VLOOKUP(I877,'Validacion reclamo de equipaje'!H:I,2,0)</f>
        <v>Internacional</v>
      </c>
      <c r="M877" s="55" t="s">
        <v>522</v>
      </c>
    </row>
    <row r="878" spans="1:13" x14ac:dyDescent="0.25">
      <c r="A878">
        <v>2879</v>
      </c>
      <c r="B878" s="47" t="str">
        <f>VLOOKUP(Tabla6[[#This Row],['# Vuelo]],'Validacion reclamo de equipaje'!P:Q,2,0)</f>
        <v>VIAS AÉREAS DE USA</v>
      </c>
      <c r="C878" s="48">
        <v>0.93125000000000002</v>
      </c>
      <c r="D878" s="48">
        <v>0.9458333333333333</v>
      </c>
      <c r="E878" s="49">
        <f>'Reclamo de equipaje rediseñado'!$D878-'Reclamo de equipaje rediseñado'!$C878</f>
        <v>1.4583333333333282E-2</v>
      </c>
      <c r="F878" s="48">
        <v>0.95138888888888884</v>
      </c>
      <c r="G878" s="49">
        <f t="shared" si="13"/>
        <v>5.5555555555555358E-3</v>
      </c>
      <c r="H878" s="50">
        <v>41725</v>
      </c>
      <c r="I878" s="51" t="s">
        <v>591</v>
      </c>
      <c r="J878" s="51" t="s">
        <v>590</v>
      </c>
      <c r="K878" s="51">
        <f>VLOOKUP(J878,'Validacion reclamo de equipaje'!L:M,2,0)</f>
        <v>78</v>
      </c>
      <c r="L878" s="51" t="str">
        <f>VLOOKUP(I878,'Validacion reclamo de equipaje'!H:I,2,0)</f>
        <v>Internacional</v>
      </c>
      <c r="M878" s="51" t="s">
        <v>522</v>
      </c>
    </row>
    <row r="879" spans="1:13" x14ac:dyDescent="0.25">
      <c r="A879">
        <v>2879</v>
      </c>
      <c r="B879" s="47" t="str">
        <f>VLOOKUP(Tabla6[[#This Row],['# Vuelo]],'Validacion reclamo de equipaje'!P:Q,2,0)</f>
        <v>VIAS AÉREAS DE USA</v>
      </c>
      <c r="C879" s="52">
        <v>0.9277777777777777</v>
      </c>
      <c r="D879" s="52">
        <v>0.93611111111111101</v>
      </c>
      <c r="E879" s="53">
        <f>'Reclamo de equipaje rediseñado'!$D879-'Reclamo de equipaje rediseñado'!$C879</f>
        <v>8.3333333333333037E-3</v>
      </c>
      <c r="F879" s="52">
        <v>0.94791666666666663</v>
      </c>
      <c r="G879" s="53">
        <f t="shared" si="13"/>
        <v>1.1805555555555625E-2</v>
      </c>
      <c r="H879" s="54">
        <v>41727</v>
      </c>
      <c r="I879" s="55" t="s">
        <v>591</v>
      </c>
      <c r="J879" s="55" t="s">
        <v>590</v>
      </c>
      <c r="K879" s="55">
        <f>VLOOKUP(J879,'Validacion reclamo de equipaje'!L:M,2,0)</f>
        <v>78</v>
      </c>
      <c r="L879" s="55" t="str">
        <f>VLOOKUP(I879,'Validacion reclamo de equipaje'!H:I,2,0)</f>
        <v>Internacional</v>
      </c>
      <c r="M879" s="55" t="s">
        <v>522</v>
      </c>
    </row>
    <row r="880" spans="1:13" x14ac:dyDescent="0.25">
      <c r="A880">
        <v>2879</v>
      </c>
      <c r="B880" s="47" t="str">
        <f>VLOOKUP(Tabla6[[#This Row],['# Vuelo]],'Validacion reclamo de equipaje'!P:Q,2,0)</f>
        <v>VIAS AÉREAS DE USA</v>
      </c>
      <c r="C880" s="48">
        <v>0.92638888888888893</v>
      </c>
      <c r="D880" s="48">
        <v>0.92986111111111114</v>
      </c>
      <c r="E880" s="49">
        <f>'Reclamo de equipaje rediseñado'!$D880-'Reclamo de equipaje rediseñado'!$C880</f>
        <v>3.4722222222222099E-3</v>
      </c>
      <c r="F880" s="48">
        <v>0.94166666666666676</v>
      </c>
      <c r="G880" s="49">
        <f t="shared" si="13"/>
        <v>1.1805555555555625E-2</v>
      </c>
      <c r="H880" s="50">
        <v>41728</v>
      </c>
      <c r="I880" s="51" t="s">
        <v>591</v>
      </c>
      <c r="J880" s="51" t="s">
        <v>590</v>
      </c>
      <c r="K880" s="51">
        <f>VLOOKUP(J880,'Validacion reclamo de equipaje'!L:M,2,0)</f>
        <v>78</v>
      </c>
      <c r="L880" s="51" t="str">
        <f>VLOOKUP(I880,'Validacion reclamo de equipaje'!H:I,2,0)</f>
        <v>Internacional</v>
      </c>
      <c r="M880" s="51" t="s">
        <v>522</v>
      </c>
    </row>
    <row r="881" spans="1:13" x14ac:dyDescent="0.25">
      <c r="A881">
        <v>2816</v>
      </c>
      <c r="B881" s="47" t="str">
        <f>VLOOKUP(Tabla6[[#This Row],['# Vuelo]],'Validacion reclamo de equipaje'!P:Q,2,0)</f>
        <v>VIAS AÉREAS DE USA</v>
      </c>
      <c r="C881" s="52">
        <v>0.52013888888888882</v>
      </c>
      <c r="D881" s="52">
        <v>0.52500000000000002</v>
      </c>
      <c r="E881" s="53">
        <f>'Reclamo de equipaje rediseñado'!$D881-'Reclamo de equipaje rediseñado'!$C881</f>
        <v>4.8611111111112049E-3</v>
      </c>
      <c r="F881" s="52">
        <v>0.53333333333333333</v>
      </c>
      <c r="G881" s="53">
        <f t="shared" si="13"/>
        <v>8.3333333333333037E-3</v>
      </c>
      <c r="H881" s="54">
        <v>41720</v>
      </c>
      <c r="I881" s="55" t="s">
        <v>591</v>
      </c>
      <c r="J881" s="55" t="s">
        <v>590</v>
      </c>
      <c r="K881" s="55">
        <f>VLOOKUP(J881,'Validacion reclamo de equipaje'!L:M,2,0)</f>
        <v>78</v>
      </c>
      <c r="L881" s="55" t="str">
        <f>VLOOKUP(I881,'Validacion reclamo de equipaje'!H:I,2,0)</f>
        <v>Internacional</v>
      </c>
      <c r="M881" s="55" t="s">
        <v>522</v>
      </c>
    </row>
    <row r="882" spans="1:13" x14ac:dyDescent="0.25">
      <c r="A882">
        <v>2816</v>
      </c>
      <c r="B882" s="47" t="str">
        <f>VLOOKUP(Tabla6[[#This Row],['# Vuelo]],'Validacion reclamo de equipaje'!P:Q,2,0)</f>
        <v>VIAS AÉREAS DE USA</v>
      </c>
      <c r="C882" s="48">
        <v>0.54722222222222217</v>
      </c>
      <c r="D882" s="48">
        <v>0.55208333333333337</v>
      </c>
      <c r="E882" s="49">
        <f>'Reclamo de equipaje rediseñado'!$D882-'Reclamo de equipaje rediseñado'!$C882</f>
        <v>4.8611111111112049E-3</v>
      </c>
      <c r="F882" s="48">
        <v>0.56041666666666667</v>
      </c>
      <c r="G882" s="49">
        <f t="shared" si="13"/>
        <v>8.3333333333333037E-3</v>
      </c>
      <c r="H882" s="50">
        <v>41721</v>
      </c>
      <c r="I882" s="51" t="s">
        <v>591</v>
      </c>
      <c r="J882" s="51" t="s">
        <v>590</v>
      </c>
      <c r="K882" s="51">
        <f>VLOOKUP(J882,'Validacion reclamo de equipaje'!L:M,2,0)</f>
        <v>78</v>
      </c>
      <c r="L882" s="51" t="str">
        <f>VLOOKUP(I882,'Validacion reclamo de equipaje'!H:I,2,0)</f>
        <v>Internacional</v>
      </c>
      <c r="M882" s="51" t="s">
        <v>522</v>
      </c>
    </row>
    <row r="883" spans="1:13" x14ac:dyDescent="0.25">
      <c r="A883">
        <v>2816</v>
      </c>
      <c r="B883" s="47" t="str">
        <f>VLOOKUP(Tabla6[[#This Row],['# Vuelo]],'Validacion reclamo de equipaje'!P:Q,2,0)</f>
        <v>VIAS AÉREAS DE USA</v>
      </c>
      <c r="C883" s="52">
        <v>0.55347222222222225</v>
      </c>
      <c r="D883" s="52">
        <v>0.56111111111111112</v>
      </c>
      <c r="E883" s="53">
        <f>'Reclamo de equipaje rediseñado'!$D883-'Reclamo de equipaje rediseñado'!$C883</f>
        <v>7.6388888888888618E-3</v>
      </c>
      <c r="F883" s="52">
        <v>0.57986111111111105</v>
      </c>
      <c r="G883" s="53">
        <f t="shared" si="13"/>
        <v>1.8749999999999933E-2</v>
      </c>
      <c r="H883" s="54">
        <v>41722</v>
      </c>
      <c r="I883" s="55" t="s">
        <v>591</v>
      </c>
      <c r="J883" s="55" t="s">
        <v>590</v>
      </c>
      <c r="K883" s="55">
        <f>VLOOKUP(J883,'Validacion reclamo de equipaje'!L:M,2,0)</f>
        <v>78</v>
      </c>
      <c r="L883" s="55" t="str">
        <f>VLOOKUP(I883,'Validacion reclamo de equipaje'!H:I,2,0)</f>
        <v>Internacional</v>
      </c>
      <c r="M883" s="55" t="s">
        <v>522</v>
      </c>
    </row>
    <row r="884" spans="1:13" x14ac:dyDescent="0.25">
      <c r="A884">
        <v>2816</v>
      </c>
      <c r="B884" s="47" t="str">
        <f>VLOOKUP(Tabla6[[#This Row],['# Vuelo]],'Validacion reclamo de equipaje'!P:Q,2,0)</f>
        <v>VIAS AÉREAS DE USA</v>
      </c>
      <c r="C884" s="48">
        <v>0.53680555555555554</v>
      </c>
      <c r="D884" s="48">
        <v>0.54513888888888895</v>
      </c>
      <c r="E884" s="49">
        <f>'Reclamo de equipaje rediseñado'!$D884-'Reclamo de equipaje rediseñado'!$C884</f>
        <v>8.3333333333334147E-3</v>
      </c>
      <c r="F884" s="48">
        <v>0.55208333333333337</v>
      </c>
      <c r="G884" s="49">
        <f t="shared" si="13"/>
        <v>6.9444444444444198E-3</v>
      </c>
      <c r="H884" s="50">
        <v>41723</v>
      </c>
      <c r="I884" s="51" t="s">
        <v>591</v>
      </c>
      <c r="J884" s="51" t="s">
        <v>590</v>
      </c>
      <c r="K884" s="51">
        <f>VLOOKUP(J884,'Validacion reclamo de equipaje'!L:M,2,0)</f>
        <v>78</v>
      </c>
      <c r="L884" s="51" t="str">
        <f>VLOOKUP(I884,'Validacion reclamo de equipaje'!H:I,2,0)</f>
        <v>Internacional</v>
      </c>
      <c r="M884" s="51" t="s">
        <v>522</v>
      </c>
    </row>
    <row r="885" spans="1:13" x14ac:dyDescent="0.25">
      <c r="A885">
        <v>2816</v>
      </c>
      <c r="B885" s="47" t="str">
        <f>VLOOKUP(Tabla6[[#This Row],['# Vuelo]],'Validacion reclamo de equipaje'!P:Q,2,0)</f>
        <v>VIAS AÉREAS DE USA</v>
      </c>
      <c r="C885" s="52">
        <v>0.52222222222222225</v>
      </c>
      <c r="D885" s="52">
        <v>0.52777777777777779</v>
      </c>
      <c r="E885" s="53">
        <f>'Reclamo de equipaje rediseñado'!$D885-'Reclamo de equipaje rediseñado'!$C885</f>
        <v>5.5555555555555358E-3</v>
      </c>
      <c r="F885" s="52">
        <v>0.54097222222222219</v>
      </c>
      <c r="G885" s="53">
        <f t="shared" si="13"/>
        <v>1.3194444444444398E-2</v>
      </c>
      <c r="H885" s="54">
        <v>41714</v>
      </c>
      <c r="I885" s="55" t="s">
        <v>591</v>
      </c>
      <c r="J885" s="55" t="s">
        <v>590</v>
      </c>
      <c r="K885" s="55">
        <f>VLOOKUP(J885,'Validacion reclamo de equipaje'!L:M,2,0)</f>
        <v>78</v>
      </c>
      <c r="L885" s="55" t="str">
        <f>VLOOKUP(I885,'Validacion reclamo de equipaje'!H:I,2,0)</f>
        <v>Internacional</v>
      </c>
      <c r="M885" s="55" t="s">
        <v>522</v>
      </c>
    </row>
    <row r="886" spans="1:13" x14ac:dyDescent="0.25">
      <c r="A886">
        <v>2816</v>
      </c>
      <c r="B886" s="47" t="str">
        <f>VLOOKUP(Tabla6[[#This Row],['# Vuelo]],'Validacion reclamo de equipaje'!P:Q,2,0)</f>
        <v>VIAS AÉREAS DE USA</v>
      </c>
      <c r="C886" s="48">
        <v>0.52986111111111112</v>
      </c>
      <c r="D886" s="48">
        <v>0.54166666666666663</v>
      </c>
      <c r="E886" s="49">
        <f>'Reclamo de equipaje rediseñado'!$D886-'Reclamo de equipaje rediseñado'!$C886</f>
        <v>1.1805555555555514E-2</v>
      </c>
      <c r="F886" s="48">
        <v>0.55138888888888882</v>
      </c>
      <c r="G886" s="49">
        <f t="shared" si="13"/>
        <v>9.7222222222221877E-3</v>
      </c>
      <c r="H886" s="50">
        <v>41715</v>
      </c>
      <c r="I886" s="51" t="s">
        <v>591</v>
      </c>
      <c r="J886" s="51" t="s">
        <v>590</v>
      </c>
      <c r="K886" s="51">
        <f>VLOOKUP(J886,'Validacion reclamo de equipaje'!L:M,2,0)</f>
        <v>78</v>
      </c>
      <c r="L886" s="51" t="str">
        <f>VLOOKUP(I886,'Validacion reclamo de equipaje'!H:I,2,0)</f>
        <v>Internacional</v>
      </c>
      <c r="M886" s="51" t="s">
        <v>522</v>
      </c>
    </row>
    <row r="887" spans="1:13" x14ac:dyDescent="0.25">
      <c r="A887">
        <v>2816</v>
      </c>
      <c r="B887" s="47" t="str">
        <f>VLOOKUP(Tabla6[[#This Row],['# Vuelo]],'Validacion reclamo de equipaje'!P:Q,2,0)</f>
        <v>VIAS AÉREAS DE USA</v>
      </c>
      <c r="C887" s="52">
        <v>0.52083333333333337</v>
      </c>
      <c r="D887" s="52">
        <v>0.52916666666666667</v>
      </c>
      <c r="E887" s="53">
        <f>'Reclamo de equipaje rediseñado'!$D887-'Reclamo de equipaje rediseñado'!$C887</f>
        <v>8.3333333333333037E-3</v>
      </c>
      <c r="F887" s="52">
        <v>0.53402777777777777</v>
      </c>
      <c r="G887" s="53">
        <f t="shared" si="13"/>
        <v>4.8611111111110938E-3</v>
      </c>
      <c r="H887" s="54">
        <v>41717</v>
      </c>
      <c r="I887" s="55" t="s">
        <v>591</v>
      </c>
      <c r="J887" s="55" t="s">
        <v>590</v>
      </c>
      <c r="K887" s="55">
        <f>VLOOKUP(J887,'Validacion reclamo de equipaje'!L:M,2,0)</f>
        <v>78</v>
      </c>
      <c r="L887" s="55" t="str">
        <f>VLOOKUP(I887,'Validacion reclamo de equipaje'!H:I,2,0)</f>
        <v>Internacional</v>
      </c>
      <c r="M887" s="55" t="s">
        <v>522</v>
      </c>
    </row>
    <row r="888" spans="1:13" x14ac:dyDescent="0.25">
      <c r="A888">
        <v>2816</v>
      </c>
      <c r="B888" s="47" t="str">
        <f>VLOOKUP(Tabla6[[#This Row],['# Vuelo]],'Validacion reclamo de equipaje'!P:Q,2,0)</f>
        <v>VIAS AÉREAS DE USA</v>
      </c>
      <c r="C888" s="48">
        <v>0.53263888888888888</v>
      </c>
      <c r="D888" s="48">
        <v>0.53680555555555554</v>
      </c>
      <c r="E888" s="49">
        <f>'Reclamo de equipaje rediseñado'!$D888-'Reclamo de equipaje rediseñado'!$C888</f>
        <v>4.1666666666666519E-3</v>
      </c>
      <c r="F888" s="48">
        <v>0.54999999999999993</v>
      </c>
      <c r="G888" s="49">
        <f t="shared" si="13"/>
        <v>1.3194444444444398E-2</v>
      </c>
      <c r="H888" s="50">
        <v>41718</v>
      </c>
      <c r="I888" s="51" t="s">
        <v>591</v>
      </c>
      <c r="J888" s="51" t="s">
        <v>590</v>
      </c>
      <c r="K888" s="51">
        <f>VLOOKUP(J888,'Validacion reclamo de equipaje'!L:M,2,0)</f>
        <v>78</v>
      </c>
      <c r="L888" s="51" t="str">
        <f>VLOOKUP(I888,'Validacion reclamo de equipaje'!H:I,2,0)</f>
        <v>Internacional</v>
      </c>
      <c r="M888" s="51" t="s">
        <v>522</v>
      </c>
    </row>
    <row r="889" spans="1:13" x14ac:dyDescent="0.25">
      <c r="A889">
        <v>2816</v>
      </c>
      <c r="B889" s="47" t="str">
        <f>VLOOKUP(Tabla6[[#This Row],['# Vuelo]],'Validacion reclamo de equipaje'!P:Q,2,0)</f>
        <v>VIAS AÉREAS DE USA</v>
      </c>
      <c r="C889" s="52">
        <v>0.53680555555555554</v>
      </c>
      <c r="D889" s="52">
        <v>0.5444444444444444</v>
      </c>
      <c r="E889" s="53">
        <f>'Reclamo de equipaje rediseñado'!$D889-'Reclamo de equipaje rediseñado'!$C889</f>
        <v>7.6388888888888618E-3</v>
      </c>
      <c r="F889" s="52">
        <v>0.55763888888888891</v>
      </c>
      <c r="G889" s="53">
        <f t="shared" si="13"/>
        <v>1.3194444444444509E-2</v>
      </c>
      <c r="H889" s="54">
        <v>41725</v>
      </c>
      <c r="I889" s="55" t="s">
        <v>591</v>
      </c>
      <c r="J889" s="55" t="s">
        <v>590</v>
      </c>
      <c r="K889" s="55">
        <f>VLOOKUP(J889,'Validacion reclamo de equipaje'!L:M,2,0)</f>
        <v>78</v>
      </c>
      <c r="L889" s="55" t="str">
        <f>VLOOKUP(I889,'Validacion reclamo de equipaje'!H:I,2,0)</f>
        <v>Internacional</v>
      </c>
      <c r="M889" s="55" t="s">
        <v>522</v>
      </c>
    </row>
    <row r="890" spans="1:13" x14ac:dyDescent="0.25">
      <c r="A890">
        <v>2816</v>
      </c>
      <c r="B890" s="47" t="str">
        <f>VLOOKUP(Tabla6[[#This Row],['# Vuelo]],'Validacion reclamo de equipaje'!P:Q,2,0)</f>
        <v>VIAS AÉREAS DE USA</v>
      </c>
      <c r="C890" s="48">
        <v>0.52847222222222223</v>
      </c>
      <c r="D890" s="48">
        <v>0.53541666666666665</v>
      </c>
      <c r="E890" s="49">
        <f>'Reclamo de equipaje rediseñado'!$D890-'Reclamo de equipaje rediseñado'!$C890</f>
        <v>6.9444444444444198E-3</v>
      </c>
      <c r="F890" s="48">
        <v>0.54166666666666663</v>
      </c>
      <c r="G890" s="49">
        <f t="shared" si="13"/>
        <v>6.2499999999999778E-3</v>
      </c>
      <c r="H890" s="50">
        <v>41726</v>
      </c>
      <c r="I890" s="51" t="s">
        <v>591</v>
      </c>
      <c r="J890" s="51" t="s">
        <v>590</v>
      </c>
      <c r="K890" s="51">
        <f>VLOOKUP(J890,'Validacion reclamo de equipaje'!L:M,2,0)</f>
        <v>78</v>
      </c>
      <c r="L890" s="51" t="str">
        <f>VLOOKUP(I890,'Validacion reclamo de equipaje'!H:I,2,0)</f>
        <v>Internacional</v>
      </c>
      <c r="M890" s="51" t="s">
        <v>522</v>
      </c>
    </row>
    <row r="891" spans="1:13" x14ac:dyDescent="0.25">
      <c r="A891">
        <v>2816</v>
      </c>
      <c r="B891" s="47" t="str">
        <f>VLOOKUP(Tabla6[[#This Row],['# Vuelo]],'Validacion reclamo de equipaje'!P:Q,2,0)</f>
        <v>VIAS AÉREAS DE USA</v>
      </c>
      <c r="C891" s="52">
        <v>0.52986111111111112</v>
      </c>
      <c r="D891" s="52">
        <v>0.53680555555555554</v>
      </c>
      <c r="E891" s="53">
        <f>'Reclamo de equipaje rediseñado'!$D891-'Reclamo de equipaje rediseñado'!$C891</f>
        <v>6.9444444444444198E-3</v>
      </c>
      <c r="F891" s="52">
        <v>0.5444444444444444</v>
      </c>
      <c r="G891" s="53">
        <f t="shared" si="13"/>
        <v>7.6388888888888618E-3</v>
      </c>
      <c r="H891" s="54">
        <v>41727</v>
      </c>
      <c r="I891" s="55" t="s">
        <v>591</v>
      </c>
      <c r="J891" s="55" t="s">
        <v>590</v>
      </c>
      <c r="K891" s="55">
        <f>VLOOKUP(J891,'Validacion reclamo de equipaje'!L:M,2,0)</f>
        <v>78</v>
      </c>
      <c r="L891" s="55" t="str">
        <f>VLOOKUP(I891,'Validacion reclamo de equipaje'!H:I,2,0)</f>
        <v>Internacional</v>
      </c>
      <c r="M891" s="55" t="s">
        <v>522</v>
      </c>
    </row>
    <row r="892" spans="1:13" x14ac:dyDescent="0.25">
      <c r="A892">
        <v>2816</v>
      </c>
      <c r="B892" s="47" t="str">
        <f>VLOOKUP(Tabla6[[#This Row],['# Vuelo]],'Validacion reclamo de equipaje'!P:Q,2,0)</f>
        <v>VIAS AÉREAS DE USA</v>
      </c>
      <c r="C892" s="48">
        <v>0.52152777777777781</v>
      </c>
      <c r="D892" s="48">
        <v>0.5229166666666667</v>
      </c>
      <c r="E892" s="49">
        <f>'Reclamo de equipaje rediseñado'!$D892-'Reclamo de equipaje rediseñado'!$C892</f>
        <v>1.388888888888884E-3</v>
      </c>
      <c r="F892" s="48">
        <v>0.52569444444444446</v>
      </c>
      <c r="G892" s="49">
        <f t="shared" si="13"/>
        <v>2.7777777777777679E-3</v>
      </c>
      <c r="H892" s="50">
        <v>41728</v>
      </c>
      <c r="I892" s="51" t="s">
        <v>591</v>
      </c>
      <c r="J892" s="51" t="s">
        <v>590</v>
      </c>
      <c r="K892" s="51">
        <f>VLOOKUP(J892,'Validacion reclamo de equipaje'!L:M,2,0)</f>
        <v>78</v>
      </c>
      <c r="L892" s="51" t="str">
        <f>VLOOKUP(I892,'Validacion reclamo de equipaje'!H:I,2,0)</f>
        <v>Internacional</v>
      </c>
      <c r="M892" s="51" t="s">
        <v>522</v>
      </c>
    </row>
    <row r="893" spans="1:13" x14ac:dyDescent="0.25">
      <c r="A893">
        <v>2816</v>
      </c>
      <c r="B893" s="47" t="str">
        <f>VLOOKUP(Tabla6[[#This Row],['# Vuelo]],'Validacion reclamo de equipaje'!P:Q,2,0)</f>
        <v>VIAS AÉREAS DE USA</v>
      </c>
      <c r="C893" s="52">
        <v>0.53125</v>
      </c>
      <c r="D893" s="52">
        <v>0.53819444444444442</v>
      </c>
      <c r="E893" s="53">
        <f>'Reclamo de equipaje rediseñado'!$D893-'Reclamo de equipaje rediseñado'!$C893</f>
        <v>6.9444444444444198E-3</v>
      </c>
      <c r="F893" s="52">
        <v>0.55138888888888882</v>
      </c>
      <c r="G893" s="53">
        <f t="shared" si="13"/>
        <v>1.3194444444444398E-2</v>
      </c>
      <c r="H893" s="54">
        <v>41729</v>
      </c>
      <c r="I893" s="55" t="s">
        <v>591</v>
      </c>
      <c r="J893" s="55" t="s">
        <v>590</v>
      </c>
      <c r="K893" s="55">
        <f>VLOOKUP(J893,'Validacion reclamo de equipaje'!L:M,2,0)</f>
        <v>78</v>
      </c>
      <c r="L893" s="55" t="str">
        <f>VLOOKUP(I893,'Validacion reclamo de equipaje'!H:I,2,0)</f>
        <v>Internacional</v>
      </c>
      <c r="M893" s="55" t="s">
        <v>522</v>
      </c>
    </row>
    <row r="894" spans="1:13" x14ac:dyDescent="0.25">
      <c r="A894">
        <v>480</v>
      </c>
      <c r="B894" s="47" t="str">
        <f>VLOOKUP(Tabla6[[#This Row],['# Vuelo]],'Validacion reclamo de equipaje'!P:Q,2,0)</f>
        <v>UNIDOS VOLAMOS</v>
      </c>
      <c r="C894" s="48">
        <v>0.21041666666666667</v>
      </c>
      <c r="D894" s="48">
        <v>0.22847222222222222</v>
      </c>
      <c r="E894" s="49">
        <f>'Reclamo de equipaje rediseñado'!$D894-'Reclamo de equipaje rediseñado'!$C894</f>
        <v>1.8055555555555547E-2</v>
      </c>
      <c r="F894" s="48">
        <v>0.23819444444444446</v>
      </c>
      <c r="G894" s="49">
        <f t="shared" si="13"/>
        <v>9.7222222222222432E-3</v>
      </c>
      <c r="H894" s="50">
        <v>41721</v>
      </c>
      <c r="I894" s="51" t="s">
        <v>558</v>
      </c>
      <c r="J894" s="51">
        <v>320</v>
      </c>
      <c r="K894" s="51">
        <f>VLOOKUP(J894,'Validacion reclamo de equipaje'!L:M,2,0)</f>
        <v>179</v>
      </c>
      <c r="L894" s="51" t="str">
        <f>VLOOKUP(I894,'Validacion reclamo de equipaje'!H:I,2,0)</f>
        <v>Internacional</v>
      </c>
      <c r="M894" s="51" t="s">
        <v>522</v>
      </c>
    </row>
    <row r="895" spans="1:13" x14ac:dyDescent="0.25">
      <c r="A895">
        <v>5961</v>
      </c>
      <c r="B895" s="47" t="str">
        <f>VLOOKUP(Tabla6[[#This Row],['# Vuelo]],'Validacion reclamo de equipaje'!P:Q,2,0)</f>
        <v>BARATA Y MORADA</v>
      </c>
      <c r="C895" s="52">
        <v>0.68194444444444446</v>
      </c>
      <c r="D895" s="52">
        <v>0.68958333333333333</v>
      </c>
      <c r="E895" s="53">
        <f>'Reclamo de equipaje rediseñado'!$D895-'Reclamo de equipaje rediseñado'!$C895</f>
        <v>7.6388888888888618E-3</v>
      </c>
      <c r="F895" s="52">
        <v>0.70416666666666661</v>
      </c>
      <c r="G895" s="53">
        <f t="shared" si="13"/>
        <v>1.4583333333333282E-2</v>
      </c>
      <c r="H895" s="54">
        <v>41715</v>
      </c>
      <c r="I895" s="55" t="s">
        <v>583</v>
      </c>
      <c r="J895" s="55" t="s">
        <v>572</v>
      </c>
      <c r="K895" s="55">
        <f>VLOOKUP(J895,'Validacion reclamo de equipaje'!L:M,2,0)</f>
        <v>142</v>
      </c>
      <c r="L895" s="55" t="str">
        <f>VLOOKUP(I895,'Validacion reclamo de equipaje'!H:I,2,0)</f>
        <v>Internacional</v>
      </c>
      <c r="M895" s="55" t="s">
        <v>522</v>
      </c>
    </row>
    <row r="896" spans="1:13" x14ac:dyDescent="0.25">
      <c r="A896">
        <v>5907</v>
      </c>
      <c r="B896" s="47" t="str">
        <f>VLOOKUP(Tabla6[[#This Row],['# Vuelo]],'Validacion reclamo de equipaje'!P:Q,2,0)</f>
        <v>BARATA Y MORADA</v>
      </c>
      <c r="C896" s="48">
        <v>0.24305555555555555</v>
      </c>
      <c r="D896" s="48">
        <v>0.25833333333333336</v>
      </c>
      <c r="E896" s="49">
        <f>'Reclamo de equipaje rediseñado'!$D896-'Reclamo de equipaje rediseñado'!$C896</f>
        <v>1.5277777777777807E-2</v>
      </c>
      <c r="F896" s="48">
        <v>0.28333333333333333</v>
      </c>
      <c r="G896" s="49">
        <f t="shared" si="13"/>
        <v>2.4999999999999967E-2</v>
      </c>
      <c r="H896" s="50">
        <v>41721</v>
      </c>
      <c r="I896" s="51" t="s">
        <v>593</v>
      </c>
      <c r="J896" s="51">
        <v>320</v>
      </c>
      <c r="K896" s="51">
        <f>VLOOKUP(J896,'Validacion reclamo de equipaje'!L:M,2,0)</f>
        <v>179</v>
      </c>
      <c r="L896" s="51" t="str">
        <f>VLOOKUP(I896,'Validacion reclamo de equipaje'!H:I,2,0)</f>
        <v>Internacional</v>
      </c>
      <c r="M896" s="51" t="s">
        <v>522</v>
      </c>
    </row>
    <row r="897" spans="1:13" x14ac:dyDescent="0.25">
      <c r="A897">
        <v>5744</v>
      </c>
      <c r="B897" s="47" t="str">
        <f>VLOOKUP(Tabla6[[#This Row],['# Vuelo]],'Validacion reclamo de equipaje'!P:Q,2,0)</f>
        <v>BARATA Y MORADA</v>
      </c>
      <c r="C897" s="52">
        <v>0.625</v>
      </c>
      <c r="D897" s="52">
        <v>0.62847222222222221</v>
      </c>
      <c r="E897" s="53">
        <f>'Reclamo de equipaje rediseñado'!$D897-'Reclamo de equipaje rediseñado'!$C897</f>
        <v>3.4722222222222099E-3</v>
      </c>
      <c r="F897" s="52">
        <v>0.63611111111111118</v>
      </c>
      <c r="G897" s="53">
        <f t="shared" si="13"/>
        <v>7.6388888888889728E-3</v>
      </c>
      <c r="H897" s="54">
        <v>41714</v>
      </c>
      <c r="I897" s="55" t="s">
        <v>536</v>
      </c>
      <c r="J897" s="55" t="s">
        <v>572</v>
      </c>
      <c r="K897" s="55">
        <f>VLOOKUP(J897,'Validacion reclamo de equipaje'!L:M,2,0)</f>
        <v>142</v>
      </c>
      <c r="L897" s="55" t="str">
        <f>VLOOKUP(I897,'Validacion reclamo de equipaje'!H:I,2,0)</f>
        <v>Nacional</v>
      </c>
      <c r="M897" s="55" t="s">
        <v>522</v>
      </c>
    </row>
    <row r="898" spans="1:13" x14ac:dyDescent="0.25">
      <c r="A898">
        <v>5744</v>
      </c>
      <c r="B898" s="47" t="str">
        <f>VLOOKUP(Tabla6[[#This Row],['# Vuelo]],'Validacion reclamo de equipaje'!P:Q,2,0)</f>
        <v>BARATA Y MORADA</v>
      </c>
      <c r="C898" s="48">
        <v>0.61805555555555558</v>
      </c>
      <c r="D898" s="48">
        <v>0.62777777777777777</v>
      </c>
      <c r="E898" s="49">
        <f>'Reclamo de equipaje rediseñado'!$D898-'Reclamo de equipaje rediseñado'!$C898</f>
        <v>9.7222222222221877E-3</v>
      </c>
      <c r="F898" s="48">
        <v>0.6430555555555556</v>
      </c>
      <c r="G898" s="49">
        <f t="shared" si="13"/>
        <v>1.5277777777777835E-2</v>
      </c>
      <c r="H898" s="50">
        <v>41718</v>
      </c>
      <c r="I898" s="51" t="s">
        <v>536</v>
      </c>
      <c r="J898" s="51" t="s">
        <v>572</v>
      </c>
      <c r="K898" s="51">
        <f>VLOOKUP(J898,'Validacion reclamo de equipaje'!L:M,2,0)</f>
        <v>142</v>
      </c>
      <c r="L898" s="51" t="str">
        <f>VLOOKUP(I898,'Validacion reclamo de equipaje'!H:I,2,0)</f>
        <v>Nacional</v>
      </c>
      <c r="M898" s="51" t="s">
        <v>522</v>
      </c>
    </row>
    <row r="899" spans="1:13" x14ac:dyDescent="0.25">
      <c r="A899">
        <v>5744</v>
      </c>
      <c r="B899" s="47" t="str">
        <f>VLOOKUP(Tabla6[[#This Row],['# Vuelo]],'Validacion reclamo de equipaje'!P:Q,2,0)</f>
        <v>BARATA Y MORADA</v>
      </c>
      <c r="C899" s="52">
        <v>0.61875000000000002</v>
      </c>
      <c r="D899" s="52">
        <v>0.63541666666666663</v>
      </c>
      <c r="E899" s="53">
        <f>'Reclamo de equipaje rediseñado'!$D899-'Reclamo de equipaje rediseñado'!$C899</f>
        <v>1.6666666666666607E-2</v>
      </c>
      <c r="F899" s="52">
        <v>0.64236111111111105</v>
      </c>
      <c r="G899" s="53">
        <f t="shared" ref="G899:G962" si="14">F899-D899</f>
        <v>6.9444444444444198E-3</v>
      </c>
      <c r="H899" s="54">
        <v>41721</v>
      </c>
      <c r="I899" s="55" t="s">
        <v>536</v>
      </c>
      <c r="J899" s="55" t="s">
        <v>572</v>
      </c>
      <c r="K899" s="55">
        <f>VLOOKUP(J899,'Validacion reclamo de equipaje'!L:M,2,0)</f>
        <v>142</v>
      </c>
      <c r="L899" s="55" t="str">
        <f>VLOOKUP(I899,'Validacion reclamo de equipaje'!H:I,2,0)</f>
        <v>Nacional</v>
      </c>
      <c r="M899" s="55" t="s">
        <v>522</v>
      </c>
    </row>
    <row r="900" spans="1:13" x14ac:dyDescent="0.25">
      <c r="A900">
        <v>5744</v>
      </c>
      <c r="B900" s="47" t="str">
        <f>VLOOKUP(Tabla6[[#This Row],['# Vuelo]],'Validacion reclamo de equipaje'!P:Q,2,0)</f>
        <v>BARATA Y MORADA</v>
      </c>
      <c r="C900" s="48">
        <v>0.62083333333333335</v>
      </c>
      <c r="D900" s="48">
        <v>0.62916666666666665</v>
      </c>
      <c r="E900" s="49">
        <f>'Reclamo de equipaje rediseñado'!$D900-'Reclamo de equipaje rediseñado'!$C900</f>
        <v>8.3333333333333037E-3</v>
      </c>
      <c r="F900" s="48">
        <v>0.64583333333333337</v>
      </c>
      <c r="G900" s="49">
        <f t="shared" si="14"/>
        <v>1.6666666666666718E-2</v>
      </c>
      <c r="H900" s="50">
        <v>41725</v>
      </c>
      <c r="I900" s="51" t="s">
        <v>536</v>
      </c>
      <c r="J900" s="51" t="s">
        <v>572</v>
      </c>
      <c r="K900" s="51">
        <f>VLOOKUP(J900,'Validacion reclamo de equipaje'!L:M,2,0)</f>
        <v>142</v>
      </c>
      <c r="L900" s="51" t="str">
        <f>VLOOKUP(I900,'Validacion reclamo de equipaje'!H:I,2,0)</f>
        <v>Nacional</v>
      </c>
      <c r="M900" s="51" t="s">
        <v>522</v>
      </c>
    </row>
    <row r="901" spans="1:13" x14ac:dyDescent="0.25">
      <c r="A901">
        <v>5742</v>
      </c>
      <c r="B901" s="47" t="str">
        <f>VLOOKUP(Tabla6[[#This Row],['# Vuelo]],'Validacion reclamo de equipaje'!P:Q,2,0)</f>
        <v>BARATA Y MORADA</v>
      </c>
      <c r="C901" s="52">
        <v>0.56944444444444442</v>
      </c>
      <c r="D901" s="52">
        <v>0.57777777777777783</v>
      </c>
      <c r="E901" s="53">
        <f>'Reclamo de equipaje rediseñado'!$D901-'Reclamo de equipaje rediseñado'!$C901</f>
        <v>8.3333333333334147E-3</v>
      </c>
      <c r="F901" s="52">
        <v>0.5854166666666667</v>
      </c>
      <c r="G901" s="53">
        <f t="shared" si="14"/>
        <v>7.6388888888888618E-3</v>
      </c>
      <c r="H901" s="54">
        <v>41720</v>
      </c>
      <c r="I901" s="55" t="s">
        <v>536</v>
      </c>
      <c r="J901" s="55" t="s">
        <v>572</v>
      </c>
      <c r="K901" s="55">
        <f>VLOOKUP(J901,'Validacion reclamo de equipaje'!L:M,2,0)</f>
        <v>142</v>
      </c>
      <c r="L901" s="55" t="str">
        <f>VLOOKUP(I901,'Validacion reclamo de equipaje'!H:I,2,0)</f>
        <v>Nacional</v>
      </c>
      <c r="M901" s="55" t="s">
        <v>522</v>
      </c>
    </row>
    <row r="902" spans="1:13" x14ac:dyDescent="0.25">
      <c r="A902">
        <v>5742</v>
      </c>
      <c r="B902" s="47" t="str">
        <f>VLOOKUP(Tabla6[[#This Row],['# Vuelo]],'Validacion reclamo de equipaje'!P:Q,2,0)</f>
        <v>BARATA Y MORADA</v>
      </c>
      <c r="C902" s="48">
        <v>0.56944444444444442</v>
      </c>
      <c r="D902" s="48">
        <v>0.57777777777777783</v>
      </c>
      <c r="E902" s="49">
        <f>'Reclamo de equipaje rediseñado'!$D902-'Reclamo de equipaje rediseñado'!$C902</f>
        <v>8.3333333333334147E-3</v>
      </c>
      <c r="F902" s="48">
        <v>0.5854166666666667</v>
      </c>
      <c r="G902" s="49">
        <f t="shared" si="14"/>
        <v>7.6388888888888618E-3</v>
      </c>
      <c r="H902" s="50">
        <v>41720</v>
      </c>
      <c r="I902" s="51" t="s">
        <v>536</v>
      </c>
      <c r="J902" s="51" t="s">
        <v>572</v>
      </c>
      <c r="K902" s="51">
        <f>VLOOKUP(J902,'Validacion reclamo de equipaje'!L:M,2,0)</f>
        <v>142</v>
      </c>
      <c r="L902" s="51" t="str">
        <f>VLOOKUP(I902,'Validacion reclamo de equipaje'!H:I,2,0)</f>
        <v>Nacional</v>
      </c>
      <c r="M902" s="51" t="s">
        <v>522</v>
      </c>
    </row>
    <row r="903" spans="1:13" x14ac:dyDescent="0.25">
      <c r="A903">
        <v>5742</v>
      </c>
      <c r="B903" s="47" t="str">
        <f>VLOOKUP(Tabla6[[#This Row],['# Vuelo]],'Validacion reclamo de equipaje'!P:Q,2,0)</f>
        <v>BARATA Y MORADA</v>
      </c>
      <c r="C903" s="52">
        <v>0.58333333333333337</v>
      </c>
      <c r="D903" s="52">
        <v>0.59375</v>
      </c>
      <c r="E903" s="53">
        <f>'Reclamo de equipaje rediseñado'!$D903-'Reclamo de equipaje rediseñado'!$C903</f>
        <v>1.041666666666663E-2</v>
      </c>
      <c r="F903" s="52">
        <v>0.59791666666666665</v>
      </c>
      <c r="G903" s="53">
        <f t="shared" si="14"/>
        <v>4.1666666666666519E-3</v>
      </c>
      <c r="H903" s="54">
        <v>41727</v>
      </c>
      <c r="I903" s="55" t="s">
        <v>536</v>
      </c>
      <c r="J903" s="55" t="s">
        <v>572</v>
      </c>
      <c r="K903" s="55">
        <f>VLOOKUP(J903,'Validacion reclamo de equipaje'!L:M,2,0)</f>
        <v>142</v>
      </c>
      <c r="L903" s="55" t="str">
        <f>VLOOKUP(I903,'Validacion reclamo de equipaje'!H:I,2,0)</f>
        <v>Nacional</v>
      </c>
      <c r="M903" s="55" t="s">
        <v>522</v>
      </c>
    </row>
    <row r="904" spans="1:13" x14ac:dyDescent="0.25">
      <c r="A904">
        <v>5633</v>
      </c>
      <c r="B904" s="47" t="str">
        <f>VLOOKUP(Tabla6[[#This Row],['# Vuelo]],'Validacion reclamo de equipaje'!P:Q,2,0)</f>
        <v>BARATA Y MORADA</v>
      </c>
      <c r="C904" s="48">
        <v>0.99236111111111114</v>
      </c>
      <c r="D904" s="48">
        <v>1.0006944444444443</v>
      </c>
      <c r="E904" s="49">
        <f>'Reclamo de equipaje rediseñado'!$D904-'Reclamo de equipaje rediseñado'!$C904</f>
        <v>8.3333333333331927E-3</v>
      </c>
      <c r="F904" s="48">
        <v>1.0125</v>
      </c>
      <c r="G904" s="49">
        <f t="shared" si="14"/>
        <v>1.1805555555555625E-2</v>
      </c>
      <c r="H904" s="50">
        <v>41715</v>
      </c>
      <c r="I904" s="51" t="s">
        <v>561</v>
      </c>
      <c r="J904" s="51">
        <v>320</v>
      </c>
      <c r="K904" s="51">
        <f>VLOOKUP(J904,'Validacion reclamo de equipaje'!L:M,2,0)</f>
        <v>179</v>
      </c>
      <c r="L904" s="51" t="str">
        <f>VLOOKUP(I904,'Validacion reclamo de equipaje'!H:I,2,0)</f>
        <v>Nacional</v>
      </c>
      <c r="M904" s="51" t="s">
        <v>522</v>
      </c>
    </row>
    <row r="905" spans="1:13" x14ac:dyDescent="0.25">
      <c r="A905">
        <v>5633</v>
      </c>
      <c r="B905" s="47" t="str">
        <f>VLOOKUP(Tabla6[[#This Row],['# Vuelo]],'Validacion reclamo de equipaje'!P:Q,2,0)</f>
        <v>BARATA Y MORADA</v>
      </c>
      <c r="C905" s="52">
        <v>0.84583333333333333</v>
      </c>
      <c r="D905" s="52">
        <v>0.8520833333333333</v>
      </c>
      <c r="E905" s="53">
        <f>'Reclamo de equipaje rediseñado'!$D905-'Reclamo de equipaje rediseñado'!$C905</f>
        <v>6.2499999999999778E-3</v>
      </c>
      <c r="F905" s="52">
        <v>0.86805555555555547</v>
      </c>
      <c r="G905" s="53">
        <f t="shared" si="14"/>
        <v>1.5972222222222165E-2</v>
      </c>
      <c r="H905" s="54">
        <v>41721</v>
      </c>
      <c r="I905" s="55" t="s">
        <v>561</v>
      </c>
      <c r="J905" s="55">
        <v>320</v>
      </c>
      <c r="K905" s="55">
        <f>VLOOKUP(J905,'Validacion reclamo de equipaje'!L:M,2,0)</f>
        <v>179</v>
      </c>
      <c r="L905" s="55" t="str">
        <f>VLOOKUP(I905,'Validacion reclamo de equipaje'!H:I,2,0)</f>
        <v>Nacional</v>
      </c>
      <c r="M905" s="55" t="s">
        <v>522</v>
      </c>
    </row>
    <row r="906" spans="1:13" x14ac:dyDescent="0.25">
      <c r="A906">
        <v>5633</v>
      </c>
      <c r="B906" s="47" t="str">
        <f>VLOOKUP(Tabla6[[#This Row],['# Vuelo]],'Validacion reclamo de equipaje'!P:Q,2,0)</f>
        <v>BARATA Y MORADA</v>
      </c>
      <c r="C906" s="48">
        <v>0.84861111111111109</v>
      </c>
      <c r="D906" s="48">
        <v>0.86041666666666661</v>
      </c>
      <c r="E906" s="49">
        <f>'Reclamo de equipaje rediseñado'!$D906-'Reclamo de equipaje rediseñado'!$C906</f>
        <v>1.1805555555555514E-2</v>
      </c>
      <c r="F906" s="48">
        <v>0.87291666666666667</v>
      </c>
      <c r="G906" s="49">
        <f t="shared" si="14"/>
        <v>1.2500000000000067E-2</v>
      </c>
      <c r="H906" s="50">
        <v>41727</v>
      </c>
      <c r="I906" s="51" t="s">
        <v>561</v>
      </c>
      <c r="J906" s="51">
        <v>320</v>
      </c>
      <c r="K906" s="51">
        <f>VLOOKUP(J906,'Validacion reclamo de equipaje'!L:M,2,0)</f>
        <v>179</v>
      </c>
      <c r="L906" s="51" t="str">
        <f>VLOOKUP(I906,'Validacion reclamo de equipaje'!H:I,2,0)</f>
        <v>Nacional</v>
      </c>
      <c r="M906" s="51" t="s">
        <v>522</v>
      </c>
    </row>
    <row r="907" spans="1:13" x14ac:dyDescent="0.25">
      <c r="A907">
        <v>5436</v>
      </c>
      <c r="B907" s="47" t="str">
        <f>VLOOKUP(Tabla6[[#This Row],['# Vuelo]],'Validacion reclamo de equipaje'!P:Q,2,0)</f>
        <v>BARATA Y MORADA</v>
      </c>
      <c r="C907" s="52">
        <v>0.93888888888888899</v>
      </c>
      <c r="D907" s="52">
        <v>0.95208333333333339</v>
      </c>
      <c r="E907" s="53">
        <f>'Reclamo de equipaje rediseñado'!$D907-'Reclamo de equipaje rediseñado'!$C907</f>
        <v>1.3194444444444398E-2</v>
      </c>
      <c r="F907" s="52">
        <v>0.96527777777777779</v>
      </c>
      <c r="G907" s="53">
        <f t="shared" si="14"/>
        <v>1.3194444444444398E-2</v>
      </c>
      <c r="H907" s="54">
        <v>41715</v>
      </c>
      <c r="I907" s="55" t="s">
        <v>549</v>
      </c>
      <c r="J907" s="55">
        <v>320</v>
      </c>
      <c r="K907" s="55">
        <f>VLOOKUP(J907,'Validacion reclamo de equipaje'!L:M,2,0)</f>
        <v>179</v>
      </c>
      <c r="L907" s="55" t="str">
        <f>VLOOKUP(I907,'Validacion reclamo de equipaje'!H:I,2,0)</f>
        <v>Nacional</v>
      </c>
      <c r="M907" s="55" t="s">
        <v>522</v>
      </c>
    </row>
    <row r="908" spans="1:13" x14ac:dyDescent="0.25">
      <c r="A908">
        <v>5436</v>
      </c>
      <c r="B908" s="47" t="str">
        <f>VLOOKUP(Tabla6[[#This Row],['# Vuelo]],'Validacion reclamo de equipaje'!P:Q,2,0)</f>
        <v>BARATA Y MORADA</v>
      </c>
      <c r="C908" s="48">
        <v>0.99375000000000002</v>
      </c>
      <c r="D908" s="48">
        <v>1.0034722222222221</v>
      </c>
      <c r="E908" s="49">
        <f>'Reclamo de equipaje rediseñado'!$D908-'Reclamo de equipaje rediseñado'!$C908</f>
        <v>9.7222222222220767E-3</v>
      </c>
      <c r="F908" s="48">
        <v>1.0111111111111111</v>
      </c>
      <c r="G908" s="49">
        <f t="shared" si="14"/>
        <v>7.6388888888889728E-3</v>
      </c>
      <c r="H908" s="50">
        <v>41721</v>
      </c>
      <c r="I908" s="51" t="s">
        <v>549</v>
      </c>
      <c r="J908" s="51">
        <v>320</v>
      </c>
      <c r="K908" s="51">
        <f>VLOOKUP(J908,'Validacion reclamo de equipaje'!L:M,2,0)</f>
        <v>179</v>
      </c>
      <c r="L908" s="51" t="str">
        <f>VLOOKUP(I908,'Validacion reclamo de equipaje'!H:I,2,0)</f>
        <v>Nacional</v>
      </c>
      <c r="M908" s="51" t="s">
        <v>522</v>
      </c>
    </row>
    <row r="909" spans="1:13" x14ac:dyDescent="0.25">
      <c r="A909">
        <v>5436</v>
      </c>
      <c r="B909" s="47" t="str">
        <f>VLOOKUP(Tabla6[[#This Row],['# Vuelo]],'Validacion reclamo de equipaje'!P:Q,2,0)</f>
        <v>BARATA Y MORADA</v>
      </c>
      <c r="C909" s="52">
        <v>0.99375000000000002</v>
      </c>
      <c r="D909" s="52">
        <v>0.99791666666666667</v>
      </c>
      <c r="E909" s="53">
        <f>'Reclamo de equipaje rediseñado'!$D909-'Reclamo de equipaje rediseñado'!$C909</f>
        <v>4.1666666666666519E-3</v>
      </c>
      <c r="F909" s="52">
        <v>1.0034722222222221</v>
      </c>
      <c r="G909" s="53">
        <f t="shared" si="14"/>
        <v>5.5555555555554248E-3</v>
      </c>
      <c r="H909" s="54">
        <v>41722</v>
      </c>
      <c r="I909" s="55" t="s">
        <v>549</v>
      </c>
      <c r="J909" s="55">
        <v>320</v>
      </c>
      <c r="K909" s="55">
        <f>VLOOKUP(J909,'Validacion reclamo de equipaje'!L:M,2,0)</f>
        <v>179</v>
      </c>
      <c r="L909" s="55" t="str">
        <f>VLOOKUP(I909,'Validacion reclamo de equipaje'!H:I,2,0)</f>
        <v>Nacional</v>
      </c>
      <c r="M909" s="55" t="s">
        <v>522</v>
      </c>
    </row>
    <row r="910" spans="1:13" x14ac:dyDescent="0.25">
      <c r="A910">
        <v>5436</v>
      </c>
      <c r="B910" s="47" t="str">
        <f>VLOOKUP(Tabla6[[#This Row],['# Vuelo]],'Validacion reclamo de equipaje'!P:Q,2,0)</f>
        <v>BARATA Y MORADA</v>
      </c>
      <c r="C910" s="48">
        <v>0.92499999999999993</v>
      </c>
      <c r="D910" s="48">
        <v>0.92708333333333337</v>
      </c>
      <c r="E910" s="49">
        <f>'Reclamo de equipaje rediseñado'!$D910-'Reclamo de equipaje rediseñado'!$C910</f>
        <v>2.083333333333437E-3</v>
      </c>
      <c r="F910" s="48">
        <v>0.9458333333333333</v>
      </c>
      <c r="G910" s="49">
        <f t="shared" si="14"/>
        <v>1.8749999999999933E-2</v>
      </c>
      <c r="H910" s="50">
        <v>41722</v>
      </c>
      <c r="I910" s="51" t="s">
        <v>549</v>
      </c>
      <c r="J910" s="51">
        <v>320</v>
      </c>
      <c r="K910" s="51">
        <f>VLOOKUP(J910,'Validacion reclamo de equipaje'!L:M,2,0)</f>
        <v>179</v>
      </c>
      <c r="L910" s="51" t="str">
        <f>VLOOKUP(I910,'Validacion reclamo de equipaje'!H:I,2,0)</f>
        <v>Nacional</v>
      </c>
      <c r="M910" s="51" t="s">
        <v>522</v>
      </c>
    </row>
    <row r="911" spans="1:13" x14ac:dyDescent="0.25">
      <c r="A911">
        <v>5436</v>
      </c>
      <c r="B911" s="47" t="str">
        <f>VLOOKUP(Tabla6[[#This Row],['# Vuelo]],'Validacion reclamo de equipaje'!P:Q,2,0)</f>
        <v>BARATA Y MORADA</v>
      </c>
      <c r="C911" s="52">
        <v>1.007638888888889</v>
      </c>
      <c r="D911" s="52">
        <v>1.023611111111111</v>
      </c>
      <c r="E911" s="53">
        <f>'Reclamo de equipaje rediseñado'!$D911-'Reclamo de equipaje rediseñado'!$C911</f>
        <v>1.5972222222222054E-2</v>
      </c>
      <c r="F911" s="52">
        <v>1.0263888888888888</v>
      </c>
      <c r="G911" s="53">
        <f t="shared" si="14"/>
        <v>2.7777777777777679E-3</v>
      </c>
      <c r="H911" s="54">
        <v>41725</v>
      </c>
      <c r="I911" s="55" t="s">
        <v>549</v>
      </c>
      <c r="J911" s="55">
        <v>320</v>
      </c>
      <c r="K911" s="55">
        <f>VLOOKUP(J911,'Validacion reclamo de equipaje'!L:M,2,0)</f>
        <v>179</v>
      </c>
      <c r="L911" s="55" t="str">
        <f>VLOOKUP(I911,'Validacion reclamo de equipaje'!H:I,2,0)</f>
        <v>Nacional</v>
      </c>
      <c r="M911" s="55" t="s">
        <v>522</v>
      </c>
    </row>
    <row r="912" spans="1:13" x14ac:dyDescent="0.25">
      <c r="A912">
        <v>5436</v>
      </c>
      <c r="B912" s="47" t="str">
        <f>VLOOKUP(Tabla6[[#This Row],['# Vuelo]],'Validacion reclamo de equipaje'!P:Q,2,0)</f>
        <v>BARATA Y MORADA</v>
      </c>
      <c r="C912" s="48">
        <v>0.98819444444444438</v>
      </c>
      <c r="D912" s="48">
        <v>0.99861111111111101</v>
      </c>
      <c r="E912" s="49">
        <f>'Reclamo de equipaje rediseñado'!$D912-'Reclamo de equipaje rediseñado'!$C912</f>
        <v>1.041666666666663E-2</v>
      </c>
      <c r="F912" s="48">
        <v>1.0069444444444444</v>
      </c>
      <c r="G912" s="49">
        <f t="shared" si="14"/>
        <v>8.3333333333334147E-3</v>
      </c>
      <c r="H912" s="50">
        <v>41726</v>
      </c>
      <c r="I912" s="51" t="s">
        <v>549</v>
      </c>
      <c r="J912" s="51">
        <v>320</v>
      </c>
      <c r="K912" s="51">
        <f>VLOOKUP(J912,'Validacion reclamo de equipaje'!L:M,2,0)</f>
        <v>179</v>
      </c>
      <c r="L912" s="51" t="str">
        <f>VLOOKUP(I912,'Validacion reclamo de equipaje'!H:I,2,0)</f>
        <v>Nacional</v>
      </c>
      <c r="M912" s="51" t="s">
        <v>522</v>
      </c>
    </row>
    <row r="913" spans="1:13" x14ac:dyDescent="0.25">
      <c r="A913">
        <v>5436</v>
      </c>
      <c r="B913" s="47" t="str">
        <f>VLOOKUP(Tabla6[[#This Row],['# Vuelo]],'Validacion reclamo de equipaje'!P:Q,2,0)</f>
        <v>BARATA Y MORADA</v>
      </c>
      <c r="C913" s="52">
        <v>1.0048611111111112</v>
      </c>
      <c r="D913" s="52">
        <v>1.0138888888888888</v>
      </c>
      <c r="E913" s="53">
        <f>'Reclamo de equipaje rediseñado'!$D913-'Reclamo de equipaje rediseñado'!$C913</f>
        <v>9.0277777777776347E-3</v>
      </c>
      <c r="F913" s="52">
        <v>1.0256944444444445</v>
      </c>
      <c r="G913" s="53">
        <f t="shared" si="14"/>
        <v>1.1805555555555625E-2</v>
      </c>
      <c r="H913" s="54">
        <v>41727</v>
      </c>
      <c r="I913" s="55" t="s">
        <v>549</v>
      </c>
      <c r="J913" s="55">
        <v>320</v>
      </c>
      <c r="K913" s="55">
        <f>VLOOKUP(J913,'Validacion reclamo de equipaje'!L:M,2,0)</f>
        <v>179</v>
      </c>
      <c r="L913" s="55" t="str">
        <f>VLOOKUP(I913,'Validacion reclamo de equipaje'!H:I,2,0)</f>
        <v>Nacional</v>
      </c>
      <c r="M913" s="55" t="s">
        <v>522</v>
      </c>
    </row>
    <row r="914" spans="1:13" x14ac:dyDescent="0.25">
      <c r="A914">
        <v>5434</v>
      </c>
      <c r="B914" s="47" t="str">
        <f>VLOOKUP(Tabla6[[#This Row],['# Vuelo]],'Validacion reclamo de equipaje'!P:Q,2,0)</f>
        <v>BARATA Y MORADA</v>
      </c>
      <c r="C914" s="48">
        <v>0.9784722222222223</v>
      </c>
      <c r="D914" s="48">
        <v>0.98263888888888884</v>
      </c>
      <c r="E914" s="49">
        <f>'Reclamo de equipaje rediseñado'!$D914-'Reclamo de equipaje rediseñado'!$C914</f>
        <v>4.1666666666665408E-3</v>
      </c>
      <c r="F914" s="48">
        <v>0.99097222222222225</v>
      </c>
      <c r="G914" s="49">
        <f t="shared" si="14"/>
        <v>8.3333333333334147E-3</v>
      </c>
      <c r="H914" s="50">
        <v>41713</v>
      </c>
      <c r="I914" s="51" t="s">
        <v>549</v>
      </c>
      <c r="J914" s="51">
        <v>320</v>
      </c>
      <c r="K914" s="51">
        <f>VLOOKUP(J914,'Validacion reclamo de equipaje'!L:M,2,0)</f>
        <v>179</v>
      </c>
      <c r="L914" s="51" t="str">
        <f>VLOOKUP(I914,'Validacion reclamo de equipaje'!H:I,2,0)</f>
        <v>Nacional</v>
      </c>
      <c r="M914" s="51" t="s">
        <v>522</v>
      </c>
    </row>
    <row r="915" spans="1:13" x14ac:dyDescent="0.25">
      <c r="A915">
        <v>5434</v>
      </c>
      <c r="B915" s="47" t="str">
        <f>VLOOKUP(Tabla6[[#This Row],['# Vuelo]],'Validacion reclamo de equipaje'!P:Q,2,0)</f>
        <v>BARATA Y MORADA</v>
      </c>
      <c r="C915" s="52">
        <v>0.97777777777777775</v>
      </c>
      <c r="D915" s="52">
        <v>0.98819444444444438</v>
      </c>
      <c r="E915" s="53">
        <f>'Reclamo de equipaje rediseñado'!$D915-'Reclamo de equipaje rediseñado'!$C915</f>
        <v>1.041666666666663E-2</v>
      </c>
      <c r="F915" s="52">
        <v>0.99861111111111101</v>
      </c>
      <c r="G915" s="53">
        <f t="shared" si="14"/>
        <v>1.041666666666663E-2</v>
      </c>
      <c r="H915" s="54">
        <v>41715</v>
      </c>
      <c r="I915" s="55" t="s">
        <v>549</v>
      </c>
      <c r="J915" s="55">
        <v>320</v>
      </c>
      <c r="K915" s="55">
        <f>VLOOKUP(J915,'Validacion reclamo de equipaje'!L:M,2,0)</f>
        <v>179</v>
      </c>
      <c r="L915" s="55" t="str">
        <f>VLOOKUP(I915,'Validacion reclamo de equipaje'!H:I,2,0)</f>
        <v>Nacional</v>
      </c>
      <c r="M915" s="55" t="s">
        <v>522</v>
      </c>
    </row>
    <row r="916" spans="1:13" x14ac:dyDescent="0.25">
      <c r="A916">
        <v>5434</v>
      </c>
      <c r="B916" s="47" t="str">
        <f>VLOOKUP(Tabla6[[#This Row],['# Vuelo]],'Validacion reclamo de equipaje'!P:Q,2,0)</f>
        <v>BARATA Y MORADA</v>
      </c>
      <c r="C916" s="48">
        <v>0.98125000000000007</v>
      </c>
      <c r="D916" s="48">
        <v>0.99652777777777779</v>
      </c>
      <c r="E916" s="49">
        <f>'Reclamo de equipaje rediseñado'!$D916-'Reclamo de equipaje rediseñado'!$C916</f>
        <v>1.5277777777777724E-2</v>
      </c>
      <c r="F916" s="48">
        <v>1.0055555555555555</v>
      </c>
      <c r="G916" s="49">
        <f t="shared" si="14"/>
        <v>9.0277777777777457E-3</v>
      </c>
      <c r="H916" s="50">
        <v>41716</v>
      </c>
      <c r="I916" s="51" t="s">
        <v>549</v>
      </c>
      <c r="J916" s="51">
        <v>320</v>
      </c>
      <c r="K916" s="51">
        <f>VLOOKUP(J916,'Validacion reclamo de equipaje'!L:M,2,0)</f>
        <v>179</v>
      </c>
      <c r="L916" s="51" t="str">
        <f>VLOOKUP(I916,'Validacion reclamo de equipaje'!H:I,2,0)</f>
        <v>Nacional</v>
      </c>
      <c r="M916" s="51" t="s">
        <v>522</v>
      </c>
    </row>
    <row r="917" spans="1:13" x14ac:dyDescent="0.25">
      <c r="A917">
        <v>5434</v>
      </c>
      <c r="B917" s="47" t="str">
        <f>VLOOKUP(Tabla6[[#This Row],['# Vuelo]],'Validacion reclamo de equipaje'!P:Q,2,0)</f>
        <v>BARATA Y MORADA</v>
      </c>
      <c r="C917" s="52">
        <v>0.98541666666666661</v>
      </c>
      <c r="D917" s="52">
        <v>0.9868055555555556</v>
      </c>
      <c r="E917" s="53">
        <f>'Reclamo de equipaje rediseñado'!$D917-'Reclamo de equipaje rediseñado'!$C917</f>
        <v>1.388888888888995E-3</v>
      </c>
      <c r="F917" s="52">
        <v>1.0027777777777778</v>
      </c>
      <c r="G917" s="53">
        <f t="shared" si="14"/>
        <v>1.5972222222222165E-2</v>
      </c>
      <c r="H917" s="54">
        <v>41721</v>
      </c>
      <c r="I917" s="55" t="s">
        <v>549</v>
      </c>
      <c r="J917" s="55">
        <v>320</v>
      </c>
      <c r="K917" s="55">
        <f>VLOOKUP(J917,'Validacion reclamo de equipaje'!L:M,2,0)</f>
        <v>179</v>
      </c>
      <c r="L917" s="55" t="str">
        <f>VLOOKUP(I917,'Validacion reclamo de equipaje'!H:I,2,0)</f>
        <v>Nacional</v>
      </c>
      <c r="M917" s="55" t="s">
        <v>522</v>
      </c>
    </row>
    <row r="918" spans="1:13" x14ac:dyDescent="0.25">
      <c r="A918">
        <v>5434</v>
      </c>
      <c r="B918" s="47" t="str">
        <f>VLOOKUP(Tabla6[[#This Row],['# Vuelo]],'Validacion reclamo de equipaje'!P:Q,2,0)</f>
        <v>BARATA Y MORADA</v>
      </c>
      <c r="C918" s="48">
        <v>0.98333333333333339</v>
      </c>
      <c r="D918" s="48">
        <v>0.99236111111111114</v>
      </c>
      <c r="E918" s="49">
        <f>'Reclamo de equipaje rediseñado'!$D918-'Reclamo de equipaje rediseñado'!$C918</f>
        <v>9.0277777777777457E-3</v>
      </c>
      <c r="F918" s="48">
        <v>1.007638888888889</v>
      </c>
      <c r="G918" s="49">
        <f t="shared" si="14"/>
        <v>1.5277777777777835E-2</v>
      </c>
      <c r="H918" s="50">
        <v>41726</v>
      </c>
      <c r="I918" s="51" t="s">
        <v>549</v>
      </c>
      <c r="J918" s="51">
        <v>320</v>
      </c>
      <c r="K918" s="51">
        <f>VLOOKUP(J918,'Validacion reclamo de equipaje'!L:M,2,0)</f>
        <v>179</v>
      </c>
      <c r="L918" s="51" t="str">
        <f>VLOOKUP(I918,'Validacion reclamo de equipaje'!H:I,2,0)</f>
        <v>Nacional</v>
      </c>
      <c r="M918" s="51" t="s">
        <v>522</v>
      </c>
    </row>
    <row r="919" spans="1:13" x14ac:dyDescent="0.25">
      <c r="A919">
        <v>5432</v>
      </c>
      <c r="B919" s="47" t="str">
        <f>VLOOKUP(Tabla6[[#This Row],['# Vuelo]],'Validacion reclamo de equipaje'!P:Q,2,0)</f>
        <v>BARATA Y MORADA</v>
      </c>
      <c r="C919" s="52">
        <v>0.93680555555555556</v>
      </c>
      <c r="D919" s="52">
        <v>0.94236111111111109</v>
      </c>
      <c r="E919" s="53">
        <f>'Reclamo de equipaje rediseñado'!$D919-'Reclamo de equipaje rediseñado'!$C919</f>
        <v>5.5555555555555358E-3</v>
      </c>
      <c r="F919" s="52">
        <v>0.9472222222222223</v>
      </c>
      <c r="G919" s="53">
        <f t="shared" si="14"/>
        <v>4.8611111111112049E-3</v>
      </c>
      <c r="H919" s="54">
        <v>41723</v>
      </c>
      <c r="I919" s="55" t="s">
        <v>549</v>
      </c>
      <c r="J919" s="55">
        <v>320</v>
      </c>
      <c r="K919" s="55">
        <f>VLOOKUP(J919,'Validacion reclamo de equipaje'!L:M,2,0)</f>
        <v>179</v>
      </c>
      <c r="L919" s="55" t="str">
        <f>VLOOKUP(I919,'Validacion reclamo de equipaje'!H:I,2,0)</f>
        <v>Nacional</v>
      </c>
      <c r="M919" s="55" t="s">
        <v>522</v>
      </c>
    </row>
    <row r="920" spans="1:13" x14ac:dyDescent="0.25">
      <c r="A920">
        <v>5426</v>
      </c>
      <c r="B920" s="47" t="str">
        <f>VLOOKUP(Tabla6[[#This Row],['# Vuelo]],'Validacion reclamo de equipaje'!P:Q,2,0)</f>
        <v>BARATA Y MORADA</v>
      </c>
      <c r="C920" s="48">
        <v>0.57222222222222219</v>
      </c>
      <c r="D920" s="48">
        <v>0.5854166666666667</v>
      </c>
      <c r="E920" s="49">
        <f>'Reclamo de equipaje rediseñado'!$D920-'Reclamo de equipaje rediseñado'!$C920</f>
        <v>1.3194444444444509E-2</v>
      </c>
      <c r="F920" s="48">
        <v>0.59375</v>
      </c>
      <c r="G920" s="49">
        <f t="shared" si="14"/>
        <v>8.3333333333333037E-3</v>
      </c>
      <c r="H920" s="50">
        <v>41714</v>
      </c>
      <c r="I920" s="51" t="s">
        <v>549</v>
      </c>
      <c r="J920" s="51">
        <v>320</v>
      </c>
      <c r="K920" s="51">
        <f>VLOOKUP(J920,'Validacion reclamo de equipaje'!L:M,2,0)</f>
        <v>179</v>
      </c>
      <c r="L920" s="51" t="str">
        <f>VLOOKUP(I920,'Validacion reclamo de equipaje'!H:I,2,0)</f>
        <v>Nacional</v>
      </c>
      <c r="M920" s="51" t="s">
        <v>522</v>
      </c>
    </row>
    <row r="921" spans="1:13" x14ac:dyDescent="0.25">
      <c r="A921">
        <v>5426</v>
      </c>
      <c r="B921" s="47" t="str">
        <f>VLOOKUP(Tabla6[[#This Row],['# Vuelo]],'Validacion reclamo de equipaje'!P:Q,2,0)</f>
        <v>BARATA Y MORADA</v>
      </c>
      <c r="C921" s="52">
        <v>0.56458333333333333</v>
      </c>
      <c r="D921" s="52">
        <v>0.56944444444444442</v>
      </c>
      <c r="E921" s="53">
        <f>'Reclamo de equipaje rediseñado'!$D921-'Reclamo de equipaje rediseñado'!$C921</f>
        <v>4.8611111111110938E-3</v>
      </c>
      <c r="F921" s="52">
        <v>0.58611111111111114</v>
      </c>
      <c r="G921" s="53">
        <f t="shared" si="14"/>
        <v>1.6666666666666718E-2</v>
      </c>
      <c r="H921" s="54">
        <v>41721</v>
      </c>
      <c r="I921" s="55" t="s">
        <v>549</v>
      </c>
      <c r="J921" s="55">
        <v>320</v>
      </c>
      <c r="K921" s="55">
        <f>VLOOKUP(J921,'Validacion reclamo de equipaje'!L:M,2,0)</f>
        <v>179</v>
      </c>
      <c r="L921" s="55" t="str">
        <f>VLOOKUP(I921,'Validacion reclamo de equipaje'!H:I,2,0)</f>
        <v>Nacional</v>
      </c>
      <c r="M921" s="55" t="s">
        <v>522</v>
      </c>
    </row>
    <row r="922" spans="1:13" x14ac:dyDescent="0.25">
      <c r="A922">
        <v>5424</v>
      </c>
      <c r="B922" s="47" t="str">
        <f>VLOOKUP(Tabla6[[#This Row],['# Vuelo]],'Validacion reclamo de equipaje'!P:Q,2,0)</f>
        <v>BARATA Y MORADA</v>
      </c>
      <c r="C922" s="48">
        <v>0.7944444444444444</v>
      </c>
      <c r="D922" s="48">
        <v>0.80138888888888893</v>
      </c>
      <c r="E922" s="49">
        <f>'Reclamo de equipaje rediseñado'!$D922-'Reclamo de equipaje rediseñado'!$C922</f>
        <v>6.9444444444445308E-3</v>
      </c>
      <c r="F922" s="48">
        <v>0.80763888888888891</v>
      </c>
      <c r="G922" s="49">
        <f t="shared" si="14"/>
        <v>6.2499999999999778E-3</v>
      </c>
      <c r="H922" s="50">
        <v>41718</v>
      </c>
      <c r="I922" s="51" t="s">
        <v>549</v>
      </c>
      <c r="J922" s="51" t="s">
        <v>572</v>
      </c>
      <c r="K922" s="51">
        <f>VLOOKUP(J922,'Validacion reclamo de equipaje'!L:M,2,0)</f>
        <v>142</v>
      </c>
      <c r="L922" s="51" t="str">
        <f>VLOOKUP(I922,'Validacion reclamo de equipaje'!H:I,2,0)</f>
        <v>Nacional</v>
      </c>
      <c r="M922" s="51" t="s">
        <v>522</v>
      </c>
    </row>
    <row r="923" spans="1:13" x14ac:dyDescent="0.25">
      <c r="A923">
        <v>5422</v>
      </c>
      <c r="B923" s="47" t="str">
        <f>VLOOKUP(Tabla6[[#This Row],['# Vuelo]],'Validacion reclamo de equipaje'!P:Q,2,0)</f>
        <v>BARATA Y MORADA</v>
      </c>
      <c r="C923" s="52">
        <v>0.24166666666666667</v>
      </c>
      <c r="D923" s="52">
        <v>0.25416666666666665</v>
      </c>
      <c r="E923" s="53">
        <f>'Reclamo de equipaje rediseñado'!$D923-'Reclamo de equipaje rediseñado'!$C923</f>
        <v>1.2499999999999983E-2</v>
      </c>
      <c r="F923" s="52">
        <v>0.27638888888888885</v>
      </c>
      <c r="G923" s="53">
        <f t="shared" si="14"/>
        <v>2.2222222222222199E-2</v>
      </c>
      <c r="H923" s="54">
        <v>41713</v>
      </c>
      <c r="I923" s="55" t="s">
        <v>549</v>
      </c>
      <c r="J923" s="55">
        <v>320</v>
      </c>
      <c r="K923" s="55">
        <f>VLOOKUP(J923,'Validacion reclamo de equipaje'!L:M,2,0)</f>
        <v>179</v>
      </c>
      <c r="L923" s="55" t="str">
        <f>VLOOKUP(I923,'Validacion reclamo de equipaje'!H:I,2,0)</f>
        <v>Nacional</v>
      </c>
      <c r="M923" s="55" t="s">
        <v>522</v>
      </c>
    </row>
    <row r="924" spans="1:13" x14ac:dyDescent="0.25">
      <c r="A924">
        <v>4734</v>
      </c>
      <c r="B924" s="47" t="str">
        <f>VLOOKUP(Tabla6[[#This Row],['# Vuelo]],'Validacion reclamo de equipaje'!P:Q,2,0)</f>
        <v>BARATA Y MORADA</v>
      </c>
      <c r="C924" s="48">
        <v>0.24166666666666667</v>
      </c>
      <c r="D924" s="48">
        <v>0.25694444444444448</v>
      </c>
      <c r="E924" s="49">
        <f>'Reclamo de equipaje rediseñado'!$D924-'Reclamo de equipaje rediseñado'!$C924</f>
        <v>1.5277777777777807E-2</v>
      </c>
      <c r="F924" s="48">
        <v>0.26041666666666669</v>
      </c>
      <c r="G924" s="49">
        <f t="shared" si="14"/>
        <v>3.4722222222222099E-3</v>
      </c>
      <c r="H924" s="50">
        <v>41716</v>
      </c>
      <c r="I924" s="51" t="s">
        <v>536</v>
      </c>
      <c r="J924" s="51">
        <v>320</v>
      </c>
      <c r="K924" s="51">
        <f>VLOOKUP(J924,'Validacion reclamo de equipaje'!L:M,2,0)</f>
        <v>179</v>
      </c>
      <c r="L924" s="51" t="str">
        <f>VLOOKUP(I924,'Validacion reclamo de equipaje'!H:I,2,0)</f>
        <v>Nacional</v>
      </c>
      <c r="M924" s="51" t="s">
        <v>522</v>
      </c>
    </row>
    <row r="925" spans="1:13" x14ac:dyDescent="0.25">
      <c r="A925">
        <v>4734</v>
      </c>
      <c r="B925" s="47" t="str">
        <f>VLOOKUP(Tabla6[[#This Row],['# Vuelo]],'Validacion reclamo de equipaje'!P:Q,2,0)</f>
        <v>BARATA Y MORADA</v>
      </c>
      <c r="C925" s="52">
        <v>0.23194444444444443</v>
      </c>
      <c r="D925" s="52">
        <v>0.23958333333333334</v>
      </c>
      <c r="E925" s="53">
        <f>'Reclamo de equipaje rediseñado'!$D925-'Reclamo de equipaje rediseñado'!$C925</f>
        <v>7.6388888888889173E-3</v>
      </c>
      <c r="F925" s="52">
        <v>0.24722222222222223</v>
      </c>
      <c r="G925" s="53">
        <f t="shared" si="14"/>
        <v>7.6388888888888895E-3</v>
      </c>
      <c r="H925" s="54">
        <v>41723</v>
      </c>
      <c r="I925" s="55" t="s">
        <v>536</v>
      </c>
      <c r="J925" s="55">
        <v>320</v>
      </c>
      <c r="K925" s="55">
        <f>VLOOKUP(J925,'Validacion reclamo de equipaje'!L:M,2,0)</f>
        <v>179</v>
      </c>
      <c r="L925" s="55" t="str">
        <f>VLOOKUP(I925,'Validacion reclamo de equipaje'!H:I,2,0)</f>
        <v>Nacional</v>
      </c>
      <c r="M925" s="55" t="s">
        <v>522</v>
      </c>
    </row>
    <row r="926" spans="1:13" x14ac:dyDescent="0.25">
      <c r="A926">
        <v>4734</v>
      </c>
      <c r="B926" s="47" t="str">
        <f>VLOOKUP(Tabla6[[#This Row],['# Vuelo]],'Validacion reclamo de equipaje'!P:Q,2,0)</f>
        <v>BARATA Y MORADA</v>
      </c>
      <c r="C926" s="48">
        <v>0.26041666666666669</v>
      </c>
      <c r="D926" s="48">
        <v>0.26527777777777778</v>
      </c>
      <c r="E926" s="49">
        <f>'Reclamo de equipaje rediseñado'!$D926-'Reclamo de equipaje rediseñado'!$C926</f>
        <v>4.8611111111110938E-3</v>
      </c>
      <c r="F926" s="48">
        <v>0.27291666666666664</v>
      </c>
      <c r="G926" s="49">
        <f t="shared" si="14"/>
        <v>7.6388888888888618E-3</v>
      </c>
      <c r="H926" s="50">
        <v>41724</v>
      </c>
      <c r="I926" s="51" t="s">
        <v>536</v>
      </c>
      <c r="J926" s="51">
        <v>320</v>
      </c>
      <c r="K926" s="51">
        <f>VLOOKUP(J926,'Validacion reclamo de equipaje'!L:M,2,0)</f>
        <v>179</v>
      </c>
      <c r="L926" s="51" t="str">
        <f>VLOOKUP(I926,'Validacion reclamo de equipaje'!H:I,2,0)</f>
        <v>Nacional</v>
      </c>
      <c r="M926" s="51" t="s">
        <v>522</v>
      </c>
    </row>
    <row r="927" spans="1:13" x14ac:dyDescent="0.25">
      <c r="A927">
        <v>4734</v>
      </c>
      <c r="B927" s="47" t="str">
        <f>VLOOKUP(Tabla6[[#This Row],['# Vuelo]],'Validacion reclamo de equipaje'!P:Q,2,0)</f>
        <v>BARATA Y MORADA</v>
      </c>
      <c r="C927" s="52">
        <v>0.25069444444444444</v>
      </c>
      <c r="D927" s="52">
        <v>0.25555555555555559</v>
      </c>
      <c r="E927" s="53">
        <f>'Reclamo de equipaje rediseñado'!$D927-'Reclamo de equipaje rediseñado'!$C927</f>
        <v>4.8611111111111494E-3</v>
      </c>
      <c r="F927" s="52">
        <v>0.26250000000000001</v>
      </c>
      <c r="G927" s="53">
        <f t="shared" si="14"/>
        <v>6.9444444444444198E-3</v>
      </c>
      <c r="H927" s="54">
        <v>41724</v>
      </c>
      <c r="I927" s="55" t="s">
        <v>536</v>
      </c>
      <c r="J927" s="55">
        <v>320</v>
      </c>
      <c r="K927" s="55">
        <f>VLOOKUP(J927,'Validacion reclamo de equipaje'!L:M,2,0)</f>
        <v>179</v>
      </c>
      <c r="L927" s="55" t="str">
        <f>VLOOKUP(I927,'Validacion reclamo de equipaje'!H:I,2,0)</f>
        <v>Nacional</v>
      </c>
      <c r="M927" s="55" t="s">
        <v>522</v>
      </c>
    </row>
    <row r="928" spans="1:13" x14ac:dyDescent="0.25">
      <c r="A928">
        <v>4734</v>
      </c>
      <c r="B928" s="47" t="str">
        <f>VLOOKUP(Tabla6[[#This Row],['# Vuelo]],'Validacion reclamo de equipaje'!P:Q,2,0)</f>
        <v>BARATA Y MORADA</v>
      </c>
      <c r="C928" s="48">
        <v>0.23819444444444446</v>
      </c>
      <c r="D928" s="48">
        <v>0.24444444444444446</v>
      </c>
      <c r="E928" s="49">
        <f>'Reclamo de equipaje rediseñado'!$D928-'Reclamo de equipaje rediseñado'!$C928</f>
        <v>6.2500000000000056E-3</v>
      </c>
      <c r="F928" s="48">
        <v>0.25</v>
      </c>
      <c r="G928" s="49">
        <f t="shared" si="14"/>
        <v>5.5555555555555358E-3</v>
      </c>
      <c r="H928" s="50">
        <v>41725</v>
      </c>
      <c r="I928" s="51" t="s">
        <v>536</v>
      </c>
      <c r="J928" s="51">
        <v>320</v>
      </c>
      <c r="K928" s="51">
        <f>VLOOKUP(J928,'Validacion reclamo de equipaje'!L:M,2,0)</f>
        <v>179</v>
      </c>
      <c r="L928" s="51" t="str">
        <f>VLOOKUP(I928,'Validacion reclamo de equipaje'!H:I,2,0)</f>
        <v>Nacional</v>
      </c>
      <c r="M928" s="51" t="s">
        <v>522</v>
      </c>
    </row>
    <row r="929" spans="1:13" x14ac:dyDescent="0.25">
      <c r="A929">
        <v>4734</v>
      </c>
      <c r="B929" s="47" t="str">
        <f>VLOOKUP(Tabla6[[#This Row],['# Vuelo]],'Validacion reclamo de equipaje'!P:Q,2,0)</f>
        <v>BARATA Y MORADA</v>
      </c>
      <c r="C929" s="52">
        <v>0.22916666666666666</v>
      </c>
      <c r="D929" s="52">
        <v>0.25069444444444444</v>
      </c>
      <c r="E929" s="53">
        <f>'Reclamo de equipaje rediseñado'!$D929-'Reclamo de equipaje rediseñado'!$C929</f>
        <v>2.1527777777777785E-2</v>
      </c>
      <c r="F929" s="52">
        <v>0.25486111111111109</v>
      </c>
      <c r="G929" s="53">
        <f t="shared" si="14"/>
        <v>4.1666666666666519E-3</v>
      </c>
      <c r="H929" s="54">
        <v>41719</v>
      </c>
      <c r="I929" s="55" t="s">
        <v>536</v>
      </c>
      <c r="J929" s="55">
        <v>320</v>
      </c>
      <c r="K929" s="55">
        <f>VLOOKUP(J929,'Validacion reclamo de equipaje'!L:M,2,0)</f>
        <v>179</v>
      </c>
      <c r="L929" s="55" t="str">
        <f>VLOOKUP(I929,'Validacion reclamo de equipaje'!H:I,2,0)</f>
        <v>Nacional</v>
      </c>
      <c r="M929" s="55" t="s">
        <v>522</v>
      </c>
    </row>
    <row r="930" spans="1:13" x14ac:dyDescent="0.25">
      <c r="A930">
        <v>4525</v>
      </c>
      <c r="B930" s="47" t="str">
        <f>VLOOKUP(Tabla6[[#This Row],['# Vuelo]],'Validacion reclamo de equipaje'!P:Q,2,0)</f>
        <v>AEROLINEAS DE AMERICA</v>
      </c>
      <c r="C930" s="48">
        <v>0.66388888888888886</v>
      </c>
      <c r="D930" s="48">
        <v>0.6694444444444444</v>
      </c>
      <c r="E930" s="49">
        <f>'Reclamo de equipaje rediseñado'!$D930-'Reclamo de equipaje rediseñado'!$C930</f>
        <v>5.5555555555555358E-3</v>
      </c>
      <c r="F930" s="48">
        <v>0.68680555555555556</v>
      </c>
      <c r="G930" s="49">
        <f t="shared" si="14"/>
        <v>1.736111111111116E-2</v>
      </c>
      <c r="H930" s="50">
        <v>41718</v>
      </c>
      <c r="I930" s="51" t="s">
        <v>569</v>
      </c>
      <c r="J930" s="51" t="s">
        <v>535</v>
      </c>
      <c r="K930" s="51">
        <f>VLOOKUP(J930,'Validacion reclamo de equipaje'!L:M,2,0)</f>
        <v>50</v>
      </c>
      <c r="L930" s="51" t="str">
        <f>VLOOKUP(I930,'Validacion reclamo de equipaje'!H:I,2,0)</f>
        <v>Internacional</v>
      </c>
      <c r="M930" s="51" t="s">
        <v>522</v>
      </c>
    </row>
    <row r="931" spans="1:13" x14ac:dyDescent="0.25">
      <c r="A931">
        <v>4354</v>
      </c>
      <c r="B931" s="47" t="str">
        <f>VLOOKUP(Tabla6[[#This Row],['# Vuelo]],'Validacion reclamo de equipaje'!P:Q,2,0)</f>
        <v>UNIDOS VOLAMOS</v>
      </c>
      <c r="C931" s="52">
        <v>0.51666666666666672</v>
      </c>
      <c r="D931" s="52">
        <v>0.52500000000000002</v>
      </c>
      <c r="E931" s="53">
        <f>'Reclamo de equipaje rediseñado'!$D931-'Reclamo de equipaje rediseñado'!$C931</f>
        <v>8.3333333333333037E-3</v>
      </c>
      <c r="F931" s="52">
        <v>0.53263888888888888</v>
      </c>
      <c r="G931" s="53">
        <f t="shared" si="14"/>
        <v>7.6388888888888618E-3</v>
      </c>
      <c r="H931" s="54">
        <v>41718</v>
      </c>
      <c r="I931" s="55" t="s">
        <v>569</v>
      </c>
      <c r="J931" s="55" t="s">
        <v>535</v>
      </c>
      <c r="K931" s="55">
        <f>VLOOKUP(J931,'Validacion reclamo de equipaje'!L:M,2,0)</f>
        <v>50</v>
      </c>
      <c r="L931" s="55" t="str">
        <f>VLOOKUP(I931,'Validacion reclamo de equipaje'!H:I,2,0)</f>
        <v>Internacional</v>
      </c>
      <c r="M931" s="55" t="s">
        <v>522</v>
      </c>
    </row>
    <row r="932" spans="1:13" x14ac:dyDescent="0.25">
      <c r="A932">
        <v>3436</v>
      </c>
      <c r="B932" s="47" t="str">
        <f>VLOOKUP(Tabla6[[#This Row],['# Vuelo]],'Validacion reclamo de equipaje'!P:Q,2,0)</f>
        <v>BARATA Y MORADA</v>
      </c>
      <c r="C932" s="48">
        <v>1.0097222222222222</v>
      </c>
      <c r="D932" s="48">
        <v>1.0159722222222223</v>
      </c>
      <c r="E932" s="49">
        <f>'Reclamo de equipaje rediseñado'!$D932-'Reclamo de equipaje rediseñado'!$C932</f>
        <v>6.2500000000000888E-3</v>
      </c>
      <c r="F932" s="48">
        <v>1.0229166666666667</v>
      </c>
      <c r="G932" s="49">
        <f t="shared" si="14"/>
        <v>6.9444444444444198E-3</v>
      </c>
      <c r="H932" s="50">
        <v>41719</v>
      </c>
      <c r="I932" s="51" t="s">
        <v>569</v>
      </c>
      <c r="J932" s="51" t="s">
        <v>540</v>
      </c>
      <c r="K932" s="51" t="e">
        <f>VLOOKUP(J932,'Validacion reclamo de equipaje'!L:M,2,0)</f>
        <v>#N/A</v>
      </c>
      <c r="L932" s="51" t="str">
        <f>VLOOKUP(I932,'Validacion reclamo de equipaje'!H:I,2,0)</f>
        <v>Internacional</v>
      </c>
      <c r="M932" s="51" t="s">
        <v>522</v>
      </c>
    </row>
    <row r="933" spans="1:13" x14ac:dyDescent="0.25">
      <c r="A933">
        <v>2625</v>
      </c>
      <c r="B933" s="47" t="str">
        <f>VLOOKUP(Tabla6[[#This Row],['# Vuelo]],'Validacion reclamo de equipaje'!P:Q,2,0)</f>
        <v>MEXICO AEREO</v>
      </c>
      <c r="C933" s="52">
        <v>0.97083333333333333</v>
      </c>
      <c r="D933" s="52">
        <v>0.97152777777777777</v>
      </c>
      <c r="E933" s="53">
        <f>'Reclamo de equipaje rediseñado'!$D933-'Reclamo de equipaje rediseñado'!$C933</f>
        <v>6.9444444444444198E-4</v>
      </c>
      <c r="F933" s="52">
        <v>0.97361111111111109</v>
      </c>
      <c r="G933" s="53">
        <f t="shared" si="14"/>
        <v>2.0833333333333259E-3</v>
      </c>
      <c r="H933" s="54">
        <v>41722</v>
      </c>
      <c r="I933" s="55" t="s">
        <v>541</v>
      </c>
      <c r="J933" s="55" t="s">
        <v>535</v>
      </c>
      <c r="K933" s="55">
        <f>VLOOKUP(J933,'Validacion reclamo de equipaje'!L:M,2,0)</f>
        <v>50</v>
      </c>
      <c r="L933" s="55" t="str">
        <f>VLOOKUP(I933,'Validacion reclamo de equipaje'!H:I,2,0)</f>
        <v>Nacional</v>
      </c>
      <c r="M933" s="55" t="s">
        <v>522</v>
      </c>
    </row>
    <row r="934" spans="1:13" x14ac:dyDescent="0.25">
      <c r="A934">
        <v>2434</v>
      </c>
      <c r="B934" s="47" t="str">
        <f>VLOOKUP(Tabla6[[#This Row],['# Vuelo]],'Validacion reclamo de equipaje'!P:Q,2,0)</f>
        <v>BARATA Y MORADA</v>
      </c>
      <c r="C934" s="48">
        <v>0.98611111111111116</v>
      </c>
      <c r="D934" s="48">
        <v>0.9916666666666667</v>
      </c>
      <c r="E934" s="49">
        <f>'Reclamo de equipaje rediseñado'!$D934-'Reclamo de equipaje rediseñado'!$C934</f>
        <v>5.5555555555555358E-3</v>
      </c>
      <c r="F934" s="48">
        <v>1.0034722222222221</v>
      </c>
      <c r="G934" s="49">
        <f t="shared" si="14"/>
        <v>1.1805555555555403E-2</v>
      </c>
      <c r="H934" s="50">
        <v>41724</v>
      </c>
      <c r="I934" s="51" t="s">
        <v>541</v>
      </c>
      <c r="J934" s="51" t="s">
        <v>535</v>
      </c>
      <c r="K934" s="51">
        <f>VLOOKUP(J934,'Validacion reclamo de equipaje'!L:M,2,0)</f>
        <v>50</v>
      </c>
      <c r="L934" s="51" t="str">
        <f>VLOOKUP(I934,'Validacion reclamo de equipaje'!H:I,2,0)</f>
        <v>Nacional</v>
      </c>
      <c r="M934" s="51" t="s">
        <v>522</v>
      </c>
    </row>
    <row r="935" spans="1:13" x14ac:dyDescent="0.25">
      <c r="A935">
        <v>975</v>
      </c>
      <c r="B935" s="47" t="str">
        <f>VLOOKUP(Tabla6[[#This Row],['# Vuelo]],'Validacion reclamo de equipaje'!P:Q,2,0)</f>
        <v>BARATA Y MORADA</v>
      </c>
      <c r="C935" s="52">
        <v>0.19930555555555554</v>
      </c>
      <c r="D935" s="52">
        <v>0.21249999999999999</v>
      </c>
      <c r="E935" s="53">
        <f>'Reclamo de equipaje rediseñado'!$D935-'Reclamo de equipaje rediseñado'!$C935</f>
        <v>1.3194444444444453E-2</v>
      </c>
      <c r="F935" s="52">
        <v>0.23750000000000002</v>
      </c>
      <c r="G935" s="53">
        <f t="shared" si="14"/>
        <v>2.5000000000000022E-2</v>
      </c>
      <c r="H935" s="54">
        <v>41717</v>
      </c>
      <c r="I935" s="55" t="s">
        <v>591</v>
      </c>
      <c r="J935" s="55">
        <v>320</v>
      </c>
      <c r="K935" s="55">
        <f>VLOOKUP(J935,'Validacion reclamo de equipaje'!L:M,2,0)</f>
        <v>179</v>
      </c>
      <c r="L935" s="55" t="str">
        <f>VLOOKUP(I935,'Validacion reclamo de equipaje'!H:I,2,0)</f>
        <v>Internacional</v>
      </c>
      <c r="M935" s="55" t="s">
        <v>522</v>
      </c>
    </row>
    <row r="936" spans="1:13" x14ac:dyDescent="0.25">
      <c r="A936">
        <v>975</v>
      </c>
      <c r="B936" s="47" t="str">
        <f>VLOOKUP(Tabla6[[#This Row],['# Vuelo]],'Validacion reclamo de equipaje'!P:Q,2,0)</f>
        <v>BARATA Y MORADA</v>
      </c>
      <c r="C936" s="48">
        <v>0.20347222222222219</v>
      </c>
      <c r="D936" s="48">
        <v>0.20833333333333334</v>
      </c>
      <c r="E936" s="49">
        <f>'Reclamo de equipaje rediseñado'!$D936-'Reclamo de equipaje rediseñado'!$C936</f>
        <v>4.8611111111111494E-3</v>
      </c>
      <c r="F936" s="48">
        <v>0.21597222222222223</v>
      </c>
      <c r="G936" s="49">
        <f t="shared" si="14"/>
        <v>7.6388888888888895E-3</v>
      </c>
      <c r="H936" s="50">
        <v>41719</v>
      </c>
      <c r="I936" s="51" t="s">
        <v>591</v>
      </c>
      <c r="J936" s="51">
        <v>320</v>
      </c>
      <c r="K936" s="51">
        <f>VLOOKUP(J936,'Validacion reclamo de equipaje'!L:M,2,0)</f>
        <v>179</v>
      </c>
      <c r="L936" s="51" t="str">
        <f>VLOOKUP(I936,'Validacion reclamo de equipaje'!H:I,2,0)</f>
        <v>Internacional</v>
      </c>
      <c r="M936" s="51" t="s">
        <v>522</v>
      </c>
    </row>
    <row r="937" spans="1:13" x14ac:dyDescent="0.25">
      <c r="A937">
        <v>975</v>
      </c>
      <c r="B937" s="47" t="str">
        <f>VLOOKUP(Tabla6[[#This Row],['# Vuelo]],'Validacion reclamo de equipaje'!P:Q,2,0)</f>
        <v>BARATA Y MORADA</v>
      </c>
      <c r="C937" s="52">
        <v>0.21249999999999999</v>
      </c>
      <c r="D937" s="52">
        <v>0.22708333333333333</v>
      </c>
      <c r="E937" s="53">
        <f>'Reclamo de equipaje rediseñado'!$D937-'Reclamo de equipaje rediseñado'!$C937</f>
        <v>1.4583333333333337E-2</v>
      </c>
      <c r="F937" s="52">
        <v>0.25555555555555559</v>
      </c>
      <c r="G937" s="53">
        <f t="shared" si="14"/>
        <v>2.847222222222226E-2</v>
      </c>
      <c r="H937" s="54">
        <v>41721</v>
      </c>
      <c r="I937" s="55" t="s">
        <v>591</v>
      </c>
      <c r="J937" s="55">
        <v>320</v>
      </c>
      <c r="K937" s="55">
        <f>VLOOKUP(J937,'Validacion reclamo de equipaje'!L:M,2,0)</f>
        <v>179</v>
      </c>
      <c r="L937" s="55" t="str">
        <f>VLOOKUP(I937,'Validacion reclamo de equipaje'!H:I,2,0)</f>
        <v>Internacional</v>
      </c>
      <c r="M937" s="55" t="s">
        <v>522</v>
      </c>
    </row>
    <row r="938" spans="1:13" x14ac:dyDescent="0.25">
      <c r="A938">
        <v>975</v>
      </c>
      <c r="B938" s="47" t="str">
        <f>VLOOKUP(Tabla6[[#This Row],['# Vuelo]],'Validacion reclamo de equipaje'!P:Q,2,0)</f>
        <v>BARATA Y MORADA</v>
      </c>
      <c r="C938" s="48">
        <v>0.21458333333333335</v>
      </c>
      <c r="D938" s="48">
        <v>0.23611111111111113</v>
      </c>
      <c r="E938" s="49">
        <f>'Reclamo de equipaje rediseñado'!$D938-'Reclamo de equipaje rediseñado'!$C938</f>
        <v>2.1527777777777785E-2</v>
      </c>
      <c r="F938" s="48">
        <v>0.26319444444444445</v>
      </c>
      <c r="G938" s="49">
        <f t="shared" si="14"/>
        <v>2.708333333333332E-2</v>
      </c>
      <c r="H938" s="50">
        <v>41725</v>
      </c>
      <c r="I938" s="51" t="s">
        <v>591</v>
      </c>
      <c r="J938" s="51">
        <v>320</v>
      </c>
      <c r="K938" s="51">
        <f>VLOOKUP(J938,'Validacion reclamo de equipaje'!L:M,2,0)</f>
        <v>179</v>
      </c>
      <c r="L938" s="51" t="str">
        <f>VLOOKUP(I938,'Validacion reclamo de equipaje'!H:I,2,0)</f>
        <v>Internacional</v>
      </c>
      <c r="M938" s="51" t="s">
        <v>522</v>
      </c>
    </row>
    <row r="939" spans="1:13" x14ac:dyDescent="0.25">
      <c r="A939">
        <v>975</v>
      </c>
      <c r="B939" s="47" t="str">
        <f>VLOOKUP(Tabla6[[#This Row],['# Vuelo]],'Validacion reclamo de equipaje'!P:Q,2,0)</f>
        <v>BARATA Y MORADA</v>
      </c>
      <c r="C939" s="52">
        <v>0.20208333333333331</v>
      </c>
      <c r="D939" s="52">
        <v>0.22013888888888888</v>
      </c>
      <c r="E939" s="53">
        <f>'Reclamo de equipaje rediseñado'!$D939-'Reclamo de equipaje rediseñado'!$C939</f>
        <v>1.8055555555555575E-2</v>
      </c>
      <c r="F939" s="52">
        <v>0.24027777777777778</v>
      </c>
      <c r="G939" s="53">
        <f t="shared" si="14"/>
        <v>2.0138888888888901E-2</v>
      </c>
      <c r="H939" s="54">
        <v>41728</v>
      </c>
      <c r="I939" s="55" t="s">
        <v>591</v>
      </c>
      <c r="J939" s="55">
        <v>320</v>
      </c>
      <c r="K939" s="55">
        <f>VLOOKUP(J939,'Validacion reclamo de equipaje'!L:M,2,0)</f>
        <v>179</v>
      </c>
      <c r="L939" s="55" t="str">
        <f>VLOOKUP(I939,'Validacion reclamo de equipaje'!H:I,2,0)</f>
        <v>Internacional</v>
      </c>
      <c r="M939" s="55" t="s">
        <v>522</v>
      </c>
    </row>
    <row r="940" spans="1:13" x14ac:dyDescent="0.25">
      <c r="A940">
        <v>971</v>
      </c>
      <c r="B940" s="47" t="str">
        <f>VLOOKUP(Tabla6[[#This Row],['# Vuelo]],'Validacion reclamo de equipaje'!P:Q,2,0)</f>
        <v>BARATA Y MORADA</v>
      </c>
      <c r="C940" s="48">
        <v>0.19999999999999998</v>
      </c>
      <c r="D940" s="48">
        <v>0.21458333333333335</v>
      </c>
      <c r="E940" s="49">
        <f>'Reclamo de equipaje rediseñado'!$D940-'Reclamo de equipaje rediseñado'!$C940</f>
        <v>1.4583333333333365E-2</v>
      </c>
      <c r="F940" s="48">
        <v>0.23263888888888887</v>
      </c>
      <c r="G940" s="49">
        <f t="shared" si="14"/>
        <v>1.8055555555555519E-2</v>
      </c>
      <c r="H940" s="50">
        <v>41713</v>
      </c>
      <c r="I940" s="51" t="s">
        <v>563</v>
      </c>
      <c r="J940" s="51">
        <v>320</v>
      </c>
      <c r="K940" s="51">
        <f>VLOOKUP(J940,'Validacion reclamo de equipaje'!L:M,2,0)</f>
        <v>179</v>
      </c>
      <c r="L940" s="51" t="str">
        <f>VLOOKUP(I940,'Validacion reclamo de equipaje'!H:I,2,0)</f>
        <v>Internacional</v>
      </c>
      <c r="M940" s="51" t="s">
        <v>522</v>
      </c>
    </row>
    <row r="941" spans="1:13" x14ac:dyDescent="0.25">
      <c r="A941">
        <v>971</v>
      </c>
      <c r="B941" s="47" t="str">
        <f>VLOOKUP(Tabla6[[#This Row],['# Vuelo]],'Validacion reclamo de equipaje'!P:Q,2,0)</f>
        <v>BARATA Y MORADA</v>
      </c>
      <c r="C941" s="52">
        <v>0.22361111111111109</v>
      </c>
      <c r="D941" s="52">
        <v>0.23055555555555554</v>
      </c>
      <c r="E941" s="53">
        <f>'Reclamo de equipaje rediseñado'!$D941-'Reclamo de equipaje rediseñado'!$C941</f>
        <v>6.9444444444444475E-3</v>
      </c>
      <c r="F941" s="52">
        <v>0.26111111111111113</v>
      </c>
      <c r="G941" s="53">
        <f t="shared" si="14"/>
        <v>3.0555555555555586E-2</v>
      </c>
      <c r="H941" s="54">
        <v>41716</v>
      </c>
      <c r="I941" s="55" t="s">
        <v>563</v>
      </c>
      <c r="J941" s="55">
        <v>320</v>
      </c>
      <c r="K941" s="55">
        <f>VLOOKUP(J941,'Validacion reclamo de equipaje'!L:M,2,0)</f>
        <v>179</v>
      </c>
      <c r="L941" s="55" t="str">
        <f>VLOOKUP(I941,'Validacion reclamo de equipaje'!H:I,2,0)</f>
        <v>Internacional</v>
      </c>
      <c r="M941" s="55" t="s">
        <v>522</v>
      </c>
    </row>
    <row r="942" spans="1:13" x14ac:dyDescent="0.25">
      <c r="A942">
        <v>971</v>
      </c>
      <c r="B942" s="47" t="str">
        <f>VLOOKUP(Tabla6[[#This Row],['# Vuelo]],'Validacion reclamo de equipaje'!P:Q,2,0)</f>
        <v>BARATA Y MORADA</v>
      </c>
      <c r="C942" s="48">
        <v>0.21388888888888891</v>
      </c>
      <c r="D942" s="48">
        <v>0.21805555555555556</v>
      </c>
      <c r="E942" s="49">
        <f>'Reclamo de equipaje rediseñado'!$D942-'Reclamo de equipaje rediseñado'!$C942</f>
        <v>4.1666666666666519E-3</v>
      </c>
      <c r="F942" s="48">
        <v>0.22569444444444445</v>
      </c>
      <c r="G942" s="49">
        <f t="shared" si="14"/>
        <v>7.6388888888888895E-3</v>
      </c>
      <c r="H942" s="50">
        <v>41719</v>
      </c>
      <c r="I942" s="51" t="s">
        <v>563</v>
      </c>
      <c r="J942" s="51">
        <v>320</v>
      </c>
      <c r="K942" s="51">
        <f>VLOOKUP(J942,'Validacion reclamo de equipaje'!L:M,2,0)</f>
        <v>179</v>
      </c>
      <c r="L942" s="51" t="str">
        <f>VLOOKUP(I942,'Validacion reclamo de equipaje'!H:I,2,0)</f>
        <v>Internacional</v>
      </c>
      <c r="M942" s="51" t="s">
        <v>522</v>
      </c>
    </row>
    <row r="943" spans="1:13" x14ac:dyDescent="0.25">
      <c r="A943">
        <v>971</v>
      </c>
      <c r="B943" s="47" t="str">
        <f>VLOOKUP(Tabla6[[#This Row],['# Vuelo]],'Validacion reclamo de equipaje'!P:Q,2,0)</f>
        <v>BARATA Y MORADA</v>
      </c>
      <c r="C943" s="52">
        <v>0.20416666666666669</v>
      </c>
      <c r="D943" s="52">
        <v>0.21805555555555556</v>
      </c>
      <c r="E943" s="53">
        <f>'Reclamo de equipaje rediseñado'!$D943-'Reclamo de equipaje rediseñado'!$C943</f>
        <v>1.3888888888888867E-2</v>
      </c>
      <c r="F943" s="52">
        <v>0.25</v>
      </c>
      <c r="G943" s="53">
        <f t="shared" si="14"/>
        <v>3.1944444444444442E-2</v>
      </c>
      <c r="H943" s="54">
        <v>41721</v>
      </c>
      <c r="I943" s="55" t="s">
        <v>563</v>
      </c>
      <c r="J943" s="55">
        <v>320</v>
      </c>
      <c r="K943" s="55">
        <f>VLOOKUP(J943,'Validacion reclamo de equipaje'!L:M,2,0)</f>
        <v>179</v>
      </c>
      <c r="L943" s="55" t="str">
        <f>VLOOKUP(I943,'Validacion reclamo de equipaje'!H:I,2,0)</f>
        <v>Internacional</v>
      </c>
      <c r="M943" s="55" t="s">
        <v>522</v>
      </c>
    </row>
    <row r="944" spans="1:13" x14ac:dyDescent="0.25">
      <c r="A944">
        <v>971</v>
      </c>
      <c r="B944" s="47" t="str">
        <f>VLOOKUP(Tabla6[[#This Row],['# Vuelo]],'Validacion reclamo de equipaje'!P:Q,2,0)</f>
        <v>BARATA Y MORADA</v>
      </c>
      <c r="C944" s="48">
        <v>0.20902777777777778</v>
      </c>
      <c r="D944" s="48">
        <v>0.2388888888888889</v>
      </c>
      <c r="E944" s="49">
        <f>'Reclamo de equipaje rediseñado'!$D944-'Reclamo de equipaje rediseñado'!$C944</f>
        <v>2.9861111111111116E-2</v>
      </c>
      <c r="F944" s="48">
        <v>0.2673611111111111</v>
      </c>
      <c r="G944" s="49">
        <f t="shared" si="14"/>
        <v>2.8472222222222204E-2</v>
      </c>
      <c r="H944" s="50">
        <v>41724</v>
      </c>
      <c r="I944" s="51" t="s">
        <v>563</v>
      </c>
      <c r="J944" s="51">
        <v>320</v>
      </c>
      <c r="K944" s="51">
        <f>VLOOKUP(J944,'Validacion reclamo de equipaje'!L:M,2,0)</f>
        <v>179</v>
      </c>
      <c r="L944" s="51" t="str">
        <f>VLOOKUP(I944,'Validacion reclamo de equipaje'!H:I,2,0)</f>
        <v>Internacional</v>
      </c>
      <c r="M944" s="51" t="s">
        <v>522</v>
      </c>
    </row>
    <row r="945" spans="1:13" x14ac:dyDescent="0.25">
      <c r="A945">
        <v>971</v>
      </c>
      <c r="B945" s="47" t="str">
        <f>VLOOKUP(Tabla6[[#This Row],['# Vuelo]],'Validacion reclamo de equipaje'!P:Q,2,0)</f>
        <v>BARATA Y MORADA</v>
      </c>
      <c r="C945" s="52">
        <v>0.21458333333333335</v>
      </c>
      <c r="D945" s="52">
        <v>0.24513888888888888</v>
      </c>
      <c r="E945" s="53">
        <f>'Reclamo de equipaje rediseñado'!$D945-'Reclamo de equipaje rediseñado'!$C945</f>
        <v>3.055555555555553E-2</v>
      </c>
      <c r="F945" s="52">
        <v>0.28402777777777777</v>
      </c>
      <c r="G945" s="53">
        <f t="shared" si="14"/>
        <v>3.888888888888889E-2</v>
      </c>
      <c r="H945" s="54">
        <v>41725</v>
      </c>
      <c r="I945" s="55" t="s">
        <v>563</v>
      </c>
      <c r="J945" s="55">
        <v>320</v>
      </c>
      <c r="K945" s="55">
        <f>VLOOKUP(J945,'Validacion reclamo de equipaje'!L:M,2,0)</f>
        <v>179</v>
      </c>
      <c r="L945" s="55" t="str">
        <f>VLOOKUP(I945,'Validacion reclamo de equipaje'!H:I,2,0)</f>
        <v>Internacional</v>
      </c>
      <c r="M945" s="55" t="s">
        <v>522</v>
      </c>
    </row>
    <row r="946" spans="1:13" x14ac:dyDescent="0.25">
      <c r="A946">
        <v>971</v>
      </c>
      <c r="B946" s="47" t="str">
        <f>VLOOKUP(Tabla6[[#This Row],['# Vuelo]],'Validacion reclamo de equipaje'!P:Q,2,0)</f>
        <v>BARATA Y MORADA</v>
      </c>
      <c r="C946" s="48">
        <v>0.20347222222222219</v>
      </c>
      <c r="D946" s="48">
        <v>0.21527777777777779</v>
      </c>
      <c r="E946" s="49">
        <f>'Reclamo de equipaje rediseñado'!$D946-'Reclamo de equipaje rediseñado'!$C946</f>
        <v>1.1805555555555597E-2</v>
      </c>
      <c r="F946" s="48">
        <v>0.24097222222222223</v>
      </c>
      <c r="G946" s="49">
        <f t="shared" si="14"/>
        <v>2.5694444444444436E-2</v>
      </c>
      <c r="H946" s="50">
        <v>41727</v>
      </c>
      <c r="I946" s="51" t="s">
        <v>563</v>
      </c>
      <c r="J946" s="51">
        <v>320</v>
      </c>
      <c r="K946" s="51">
        <f>VLOOKUP(J946,'Validacion reclamo de equipaje'!L:M,2,0)</f>
        <v>179</v>
      </c>
      <c r="L946" s="51" t="str">
        <f>VLOOKUP(I946,'Validacion reclamo de equipaje'!H:I,2,0)</f>
        <v>Internacional</v>
      </c>
      <c r="M946" s="51" t="s">
        <v>522</v>
      </c>
    </row>
    <row r="947" spans="1:13" x14ac:dyDescent="0.25">
      <c r="A947">
        <v>961</v>
      </c>
      <c r="B947" s="47" t="str">
        <f>VLOOKUP(Tabla6[[#This Row],['# Vuelo]],'Validacion reclamo de equipaje'!P:Q,2,0)</f>
        <v>BARATA Y MORADA</v>
      </c>
      <c r="C947" s="52">
        <v>0.82777777777777783</v>
      </c>
      <c r="D947" s="52">
        <v>0.8520833333333333</v>
      </c>
      <c r="E947" s="53">
        <f>'Reclamo de equipaje rediseñado'!$D947-'Reclamo de equipaje rediseñado'!$C947</f>
        <v>2.4305555555555469E-2</v>
      </c>
      <c r="F947" s="52">
        <v>0.87083333333333324</v>
      </c>
      <c r="G947" s="53">
        <f t="shared" si="14"/>
        <v>1.8749999999999933E-2</v>
      </c>
      <c r="H947" s="54">
        <v>41713</v>
      </c>
      <c r="I947" s="55" t="s">
        <v>583</v>
      </c>
      <c r="J947" s="55" t="s">
        <v>572</v>
      </c>
      <c r="K947" s="55">
        <f>VLOOKUP(J947,'Validacion reclamo de equipaje'!L:M,2,0)</f>
        <v>142</v>
      </c>
      <c r="L947" s="55" t="str">
        <f>VLOOKUP(I947,'Validacion reclamo de equipaje'!H:I,2,0)</f>
        <v>Internacional</v>
      </c>
      <c r="M947" s="55" t="s">
        <v>522</v>
      </c>
    </row>
    <row r="948" spans="1:13" x14ac:dyDescent="0.25">
      <c r="A948">
        <v>961</v>
      </c>
      <c r="B948" s="47" t="str">
        <f>VLOOKUP(Tabla6[[#This Row],['# Vuelo]],'Validacion reclamo de equipaje'!P:Q,2,0)</f>
        <v>BARATA Y MORADA</v>
      </c>
      <c r="C948" s="48">
        <v>0.83194444444444438</v>
      </c>
      <c r="D948" s="48">
        <v>0.84305555555555556</v>
      </c>
      <c r="E948" s="49">
        <f>'Reclamo de equipaje rediseñado'!$D948-'Reclamo de equipaje rediseñado'!$C948</f>
        <v>1.1111111111111183E-2</v>
      </c>
      <c r="F948" s="48">
        <v>0.85625000000000007</v>
      </c>
      <c r="G948" s="49">
        <f t="shared" si="14"/>
        <v>1.3194444444444509E-2</v>
      </c>
      <c r="H948" s="50">
        <v>41715</v>
      </c>
      <c r="I948" s="51" t="s">
        <v>583</v>
      </c>
      <c r="J948" s="51" t="s">
        <v>572</v>
      </c>
      <c r="K948" s="51">
        <f>VLOOKUP(J948,'Validacion reclamo de equipaje'!L:M,2,0)</f>
        <v>142</v>
      </c>
      <c r="L948" s="51" t="str">
        <f>VLOOKUP(I948,'Validacion reclamo de equipaje'!H:I,2,0)</f>
        <v>Internacional</v>
      </c>
      <c r="M948" s="51" t="s">
        <v>522</v>
      </c>
    </row>
    <row r="949" spans="1:13" x14ac:dyDescent="0.25">
      <c r="A949">
        <v>961</v>
      </c>
      <c r="B949" s="47" t="str">
        <f>VLOOKUP(Tabla6[[#This Row],['# Vuelo]],'Validacion reclamo de equipaje'!P:Q,2,0)</f>
        <v>BARATA Y MORADA</v>
      </c>
      <c r="C949" s="52">
        <v>0.89097222222222217</v>
      </c>
      <c r="D949" s="52">
        <v>0.90347222222222223</v>
      </c>
      <c r="E949" s="53">
        <f>'Reclamo de equipaje rediseñado'!$D949-'Reclamo de equipaje rediseñado'!$C949</f>
        <v>1.2500000000000067E-2</v>
      </c>
      <c r="F949" s="52">
        <v>0.91736111111111107</v>
      </c>
      <c r="G949" s="53">
        <f t="shared" si="14"/>
        <v>1.388888888888884E-2</v>
      </c>
      <c r="H949" s="54">
        <v>41716</v>
      </c>
      <c r="I949" s="55" t="s">
        <v>583</v>
      </c>
      <c r="J949" s="55" t="s">
        <v>572</v>
      </c>
      <c r="K949" s="55">
        <f>VLOOKUP(J949,'Validacion reclamo de equipaje'!L:M,2,0)</f>
        <v>142</v>
      </c>
      <c r="L949" s="55" t="str">
        <f>VLOOKUP(I949,'Validacion reclamo de equipaje'!H:I,2,0)</f>
        <v>Internacional</v>
      </c>
      <c r="M949" s="55" t="s">
        <v>522</v>
      </c>
    </row>
    <row r="950" spans="1:13" x14ac:dyDescent="0.25">
      <c r="A950">
        <v>961</v>
      </c>
      <c r="B950" s="47" t="str">
        <f>VLOOKUP(Tabla6[[#This Row],['# Vuelo]],'Validacion reclamo de equipaje'!P:Q,2,0)</f>
        <v>BARATA Y MORADA</v>
      </c>
      <c r="C950" s="48">
        <v>0.84166666666666667</v>
      </c>
      <c r="D950" s="48">
        <v>0.85138888888888886</v>
      </c>
      <c r="E950" s="49">
        <f>'Reclamo de equipaje rediseñado'!$D950-'Reclamo de equipaje rediseñado'!$C950</f>
        <v>9.7222222222221877E-3</v>
      </c>
      <c r="F950" s="48">
        <v>0.86875000000000002</v>
      </c>
      <c r="G950" s="49">
        <f t="shared" si="14"/>
        <v>1.736111111111116E-2</v>
      </c>
      <c r="H950" s="50">
        <v>41717</v>
      </c>
      <c r="I950" s="51" t="s">
        <v>583</v>
      </c>
      <c r="J950" s="51" t="s">
        <v>572</v>
      </c>
      <c r="K950" s="51">
        <f>VLOOKUP(J950,'Validacion reclamo de equipaje'!L:M,2,0)</f>
        <v>142</v>
      </c>
      <c r="L950" s="51" t="str">
        <f>VLOOKUP(I950,'Validacion reclamo de equipaje'!H:I,2,0)</f>
        <v>Internacional</v>
      </c>
      <c r="M950" s="51" t="s">
        <v>522</v>
      </c>
    </row>
    <row r="951" spans="1:13" x14ac:dyDescent="0.25">
      <c r="A951">
        <v>961</v>
      </c>
      <c r="B951" s="47" t="str">
        <f>VLOOKUP(Tabla6[[#This Row],['# Vuelo]],'Validacion reclamo de equipaje'!P:Q,2,0)</f>
        <v>BARATA Y MORADA</v>
      </c>
      <c r="C951" s="52">
        <v>0.85</v>
      </c>
      <c r="D951" s="52">
        <v>0.86041666666666661</v>
      </c>
      <c r="E951" s="53">
        <f>'Reclamo de equipaje rediseñado'!$D951-'Reclamo de equipaje rediseñado'!$C951</f>
        <v>1.041666666666663E-2</v>
      </c>
      <c r="F951" s="52">
        <v>0.87152777777777779</v>
      </c>
      <c r="G951" s="53">
        <f t="shared" si="14"/>
        <v>1.1111111111111183E-2</v>
      </c>
      <c r="H951" s="54">
        <v>41719</v>
      </c>
      <c r="I951" s="55" t="s">
        <v>583</v>
      </c>
      <c r="J951" s="55" t="s">
        <v>572</v>
      </c>
      <c r="K951" s="55">
        <f>VLOOKUP(J951,'Validacion reclamo de equipaje'!L:M,2,0)</f>
        <v>142</v>
      </c>
      <c r="L951" s="55" t="str">
        <f>VLOOKUP(I951,'Validacion reclamo de equipaje'!H:I,2,0)</f>
        <v>Internacional</v>
      </c>
      <c r="M951" s="55" t="s">
        <v>522</v>
      </c>
    </row>
    <row r="952" spans="1:13" x14ac:dyDescent="0.25">
      <c r="A952">
        <v>961</v>
      </c>
      <c r="B952" s="47" t="str">
        <f>VLOOKUP(Tabla6[[#This Row],['# Vuelo]],'Validacion reclamo de equipaje'!P:Q,2,0)</f>
        <v>BARATA Y MORADA</v>
      </c>
      <c r="C952" s="48">
        <v>0.84305555555555556</v>
      </c>
      <c r="D952" s="48">
        <v>0.85555555555555562</v>
      </c>
      <c r="E952" s="49">
        <f>'Reclamo de equipaje rediseñado'!$D952-'Reclamo de equipaje rediseñado'!$C952</f>
        <v>1.2500000000000067E-2</v>
      </c>
      <c r="F952" s="48">
        <v>0.87847222222222221</v>
      </c>
      <c r="G952" s="49">
        <f t="shared" si="14"/>
        <v>2.2916666666666585E-2</v>
      </c>
      <c r="H952" s="50">
        <v>41719</v>
      </c>
      <c r="I952" s="51" t="s">
        <v>583</v>
      </c>
      <c r="J952" s="51" t="s">
        <v>572</v>
      </c>
      <c r="K952" s="51">
        <f>VLOOKUP(J952,'Validacion reclamo de equipaje'!L:M,2,0)</f>
        <v>142</v>
      </c>
      <c r="L952" s="51" t="str">
        <f>VLOOKUP(I952,'Validacion reclamo de equipaje'!H:I,2,0)</f>
        <v>Internacional</v>
      </c>
      <c r="M952" s="51" t="s">
        <v>522</v>
      </c>
    </row>
    <row r="953" spans="1:13" x14ac:dyDescent="0.25">
      <c r="A953">
        <v>961</v>
      </c>
      <c r="B953" s="47" t="str">
        <f>VLOOKUP(Tabla6[[#This Row],['# Vuelo]],'Validacion reclamo de equipaje'!P:Q,2,0)</f>
        <v>BARATA Y MORADA</v>
      </c>
      <c r="C953" s="52">
        <v>0.84375</v>
      </c>
      <c r="D953" s="52">
        <v>0.86041666666666661</v>
      </c>
      <c r="E953" s="53">
        <f>'Reclamo de equipaje rediseñado'!$D953-'Reclamo de equipaje rediseñado'!$C953</f>
        <v>1.6666666666666607E-2</v>
      </c>
      <c r="F953" s="52">
        <v>0.87708333333333333</v>
      </c>
      <c r="G953" s="53">
        <f t="shared" si="14"/>
        <v>1.6666666666666718E-2</v>
      </c>
      <c r="H953" s="54">
        <v>41721</v>
      </c>
      <c r="I953" s="55" t="s">
        <v>583</v>
      </c>
      <c r="J953" s="55" t="s">
        <v>572</v>
      </c>
      <c r="K953" s="55">
        <f>VLOOKUP(J953,'Validacion reclamo de equipaje'!L:M,2,0)</f>
        <v>142</v>
      </c>
      <c r="L953" s="55" t="str">
        <f>VLOOKUP(I953,'Validacion reclamo de equipaje'!H:I,2,0)</f>
        <v>Internacional</v>
      </c>
      <c r="M953" s="55" t="s">
        <v>522</v>
      </c>
    </row>
    <row r="954" spans="1:13" x14ac:dyDescent="0.25">
      <c r="A954">
        <v>961</v>
      </c>
      <c r="B954" s="47" t="str">
        <f>VLOOKUP(Tabla6[[#This Row],['# Vuelo]],'Validacion reclamo de equipaje'!P:Q,2,0)</f>
        <v>BARATA Y MORADA</v>
      </c>
      <c r="C954" s="48">
        <v>0.84861111111111109</v>
      </c>
      <c r="D954" s="48">
        <v>0.86319444444444438</v>
      </c>
      <c r="E954" s="49">
        <f>'Reclamo de equipaje rediseñado'!$D954-'Reclamo de equipaje rediseñado'!$C954</f>
        <v>1.4583333333333282E-2</v>
      </c>
      <c r="F954" s="48">
        <v>0.87777777777777777</v>
      </c>
      <c r="G954" s="49">
        <f t="shared" si="14"/>
        <v>1.4583333333333393E-2</v>
      </c>
      <c r="H954" s="50">
        <v>41721</v>
      </c>
      <c r="I954" s="51" t="s">
        <v>583</v>
      </c>
      <c r="J954" s="51" t="s">
        <v>572</v>
      </c>
      <c r="K954" s="51">
        <f>VLOOKUP(J954,'Validacion reclamo de equipaje'!L:M,2,0)</f>
        <v>142</v>
      </c>
      <c r="L954" s="51" t="str">
        <f>VLOOKUP(I954,'Validacion reclamo de equipaje'!H:I,2,0)</f>
        <v>Internacional</v>
      </c>
      <c r="M954" s="51" t="s">
        <v>522</v>
      </c>
    </row>
    <row r="955" spans="1:13" x14ac:dyDescent="0.25">
      <c r="A955">
        <v>961</v>
      </c>
      <c r="B955" s="47" t="str">
        <f>VLOOKUP(Tabla6[[#This Row],['# Vuelo]],'Validacion reclamo de equipaje'!P:Q,2,0)</f>
        <v>BARATA Y MORADA</v>
      </c>
      <c r="C955" s="52">
        <v>0.83750000000000002</v>
      </c>
      <c r="D955" s="52">
        <v>0.84722222222222221</v>
      </c>
      <c r="E955" s="53">
        <f>'Reclamo de equipaje rediseñado'!$D955-'Reclamo de equipaje rediseñado'!$C955</f>
        <v>9.7222222222221877E-3</v>
      </c>
      <c r="F955" s="52">
        <v>0.8666666666666667</v>
      </c>
      <c r="G955" s="53">
        <f t="shared" si="14"/>
        <v>1.9444444444444486E-2</v>
      </c>
      <c r="H955" s="54">
        <v>41723</v>
      </c>
      <c r="I955" s="55" t="s">
        <v>583</v>
      </c>
      <c r="J955" s="55" t="s">
        <v>572</v>
      </c>
      <c r="K955" s="55">
        <f>VLOOKUP(J955,'Validacion reclamo de equipaje'!L:M,2,0)</f>
        <v>142</v>
      </c>
      <c r="L955" s="55" t="str">
        <f>VLOOKUP(I955,'Validacion reclamo de equipaje'!H:I,2,0)</f>
        <v>Internacional</v>
      </c>
      <c r="M955" s="55" t="s">
        <v>522</v>
      </c>
    </row>
    <row r="956" spans="1:13" x14ac:dyDescent="0.25">
      <c r="A956">
        <v>961</v>
      </c>
      <c r="B956" s="47" t="str">
        <f>VLOOKUP(Tabla6[[#This Row],['# Vuelo]],'Validacion reclamo de equipaje'!P:Q,2,0)</f>
        <v>BARATA Y MORADA</v>
      </c>
      <c r="C956" s="48">
        <v>0.83888888888888891</v>
      </c>
      <c r="D956" s="48">
        <v>0.84027777777777779</v>
      </c>
      <c r="E956" s="49">
        <f>'Reclamo de equipaje rediseñado'!$D956-'Reclamo de equipaje rediseñado'!$C956</f>
        <v>1.388888888888884E-3</v>
      </c>
      <c r="F956" s="48">
        <v>0.86319444444444438</v>
      </c>
      <c r="G956" s="49">
        <f t="shared" si="14"/>
        <v>2.2916666666666585E-2</v>
      </c>
      <c r="H956" s="50">
        <v>41724</v>
      </c>
      <c r="I956" s="51" t="s">
        <v>583</v>
      </c>
      <c r="J956" s="51" t="s">
        <v>572</v>
      </c>
      <c r="K956" s="51">
        <f>VLOOKUP(J956,'Validacion reclamo de equipaje'!L:M,2,0)</f>
        <v>142</v>
      </c>
      <c r="L956" s="51" t="str">
        <f>VLOOKUP(I956,'Validacion reclamo de equipaje'!H:I,2,0)</f>
        <v>Internacional</v>
      </c>
      <c r="M956" s="51" t="s">
        <v>522</v>
      </c>
    </row>
    <row r="957" spans="1:13" x14ac:dyDescent="0.25">
      <c r="A957">
        <v>961</v>
      </c>
      <c r="B957" s="47" t="str">
        <f>VLOOKUP(Tabla6[[#This Row],['# Vuelo]],'Validacion reclamo de equipaje'!P:Q,2,0)</f>
        <v>BARATA Y MORADA</v>
      </c>
      <c r="C957" s="52">
        <v>0.84444444444444444</v>
      </c>
      <c r="D957" s="52">
        <v>0.8569444444444444</v>
      </c>
      <c r="E957" s="53">
        <f>'Reclamo de equipaje rediseñado'!$D957-'Reclamo de equipaje rediseñado'!$C957</f>
        <v>1.2499999999999956E-2</v>
      </c>
      <c r="F957" s="52">
        <v>0.86111111111111116</v>
      </c>
      <c r="G957" s="53">
        <f t="shared" si="14"/>
        <v>4.1666666666667629E-3</v>
      </c>
      <c r="H957" s="54">
        <v>41724</v>
      </c>
      <c r="I957" s="55" t="s">
        <v>583</v>
      </c>
      <c r="J957" s="55" t="s">
        <v>572</v>
      </c>
      <c r="K957" s="55">
        <f>VLOOKUP(J957,'Validacion reclamo de equipaje'!L:M,2,0)</f>
        <v>142</v>
      </c>
      <c r="L957" s="55" t="str">
        <f>VLOOKUP(I957,'Validacion reclamo de equipaje'!H:I,2,0)</f>
        <v>Internacional</v>
      </c>
      <c r="M957" s="55" t="s">
        <v>522</v>
      </c>
    </row>
    <row r="958" spans="1:13" x14ac:dyDescent="0.25">
      <c r="A958">
        <v>961</v>
      </c>
      <c r="B958" s="47" t="str">
        <f>VLOOKUP(Tabla6[[#This Row],['# Vuelo]],'Validacion reclamo de equipaje'!P:Q,2,0)</f>
        <v>BARATA Y MORADA</v>
      </c>
      <c r="C958" s="48">
        <v>0.82847222222222217</v>
      </c>
      <c r="D958" s="48">
        <v>0.84166666666666667</v>
      </c>
      <c r="E958" s="49">
        <f>'Reclamo de equipaje rediseñado'!$D958-'Reclamo de equipaje rediseñado'!$C958</f>
        <v>1.3194444444444509E-2</v>
      </c>
      <c r="F958" s="48">
        <v>0.85416666666666663</v>
      </c>
      <c r="G958" s="49">
        <f t="shared" si="14"/>
        <v>1.2499999999999956E-2</v>
      </c>
      <c r="H958" s="50">
        <v>41727</v>
      </c>
      <c r="I958" s="51" t="s">
        <v>583</v>
      </c>
      <c r="J958" s="51" t="s">
        <v>572</v>
      </c>
      <c r="K958" s="51">
        <f>VLOOKUP(J958,'Validacion reclamo de equipaje'!L:M,2,0)</f>
        <v>142</v>
      </c>
      <c r="L958" s="51" t="str">
        <f>VLOOKUP(I958,'Validacion reclamo de equipaje'!H:I,2,0)</f>
        <v>Internacional</v>
      </c>
      <c r="M958" s="51" t="s">
        <v>522</v>
      </c>
    </row>
    <row r="959" spans="1:13" x14ac:dyDescent="0.25">
      <c r="A959">
        <v>961</v>
      </c>
      <c r="B959" s="47" t="str">
        <f>VLOOKUP(Tabla6[[#This Row],['# Vuelo]],'Validacion reclamo de equipaje'!P:Q,2,0)</f>
        <v>BARATA Y MORADA</v>
      </c>
      <c r="C959" s="52">
        <v>0.83750000000000002</v>
      </c>
      <c r="D959" s="52">
        <v>0.84722222222222221</v>
      </c>
      <c r="E959" s="53">
        <f>'Reclamo de equipaje rediseñado'!$D959-'Reclamo de equipaje rediseñado'!$C959</f>
        <v>9.7222222222221877E-3</v>
      </c>
      <c r="F959" s="52">
        <v>0.86111111111111116</v>
      </c>
      <c r="G959" s="53">
        <f t="shared" si="14"/>
        <v>1.3888888888888951E-2</v>
      </c>
      <c r="H959" s="54">
        <v>41728</v>
      </c>
      <c r="I959" s="55" t="s">
        <v>583</v>
      </c>
      <c r="J959" s="55" t="s">
        <v>572</v>
      </c>
      <c r="K959" s="55">
        <f>VLOOKUP(J959,'Validacion reclamo de equipaje'!L:M,2,0)</f>
        <v>142</v>
      </c>
      <c r="L959" s="55" t="str">
        <f>VLOOKUP(I959,'Validacion reclamo de equipaje'!H:I,2,0)</f>
        <v>Internacional</v>
      </c>
      <c r="M959" s="55" t="s">
        <v>522</v>
      </c>
    </row>
    <row r="960" spans="1:13" x14ac:dyDescent="0.25">
      <c r="A960">
        <v>959</v>
      </c>
      <c r="B960" s="47" t="str">
        <f>VLOOKUP(Tabla6[[#This Row],['# Vuelo]],'Validacion reclamo de equipaje'!P:Q,2,0)</f>
        <v>BARATA Y MORADA</v>
      </c>
      <c r="C960" s="48">
        <v>0.69027777777777777</v>
      </c>
      <c r="D960" s="48">
        <v>0.7055555555555556</v>
      </c>
      <c r="E960" s="49">
        <f>'Reclamo de equipaje rediseñado'!$D960-'Reclamo de equipaje rediseñado'!$C960</f>
        <v>1.5277777777777835E-2</v>
      </c>
      <c r="F960" s="48">
        <v>0.71666666666666667</v>
      </c>
      <c r="G960" s="49">
        <f t="shared" si="14"/>
        <v>1.1111111111111072E-2</v>
      </c>
      <c r="H960" s="50">
        <v>41723</v>
      </c>
      <c r="I960" s="51" t="s">
        <v>547</v>
      </c>
      <c r="J960" s="51">
        <v>320</v>
      </c>
      <c r="K960" s="51">
        <f>VLOOKUP(J960,'Validacion reclamo de equipaje'!L:M,2,0)</f>
        <v>179</v>
      </c>
      <c r="L960" s="51" t="str">
        <f>VLOOKUP(I960,'Validacion reclamo de equipaje'!H:I,2,0)</f>
        <v>Nacional</v>
      </c>
      <c r="M960" s="51" t="s">
        <v>522</v>
      </c>
    </row>
    <row r="961" spans="1:13" x14ac:dyDescent="0.25">
      <c r="A961">
        <v>959</v>
      </c>
      <c r="B961" s="47" t="str">
        <f>VLOOKUP(Tabla6[[#This Row],['# Vuelo]],'Validacion reclamo de equipaje'!P:Q,2,0)</f>
        <v>BARATA Y MORADA</v>
      </c>
      <c r="C961" s="52">
        <v>0.70624999999999993</v>
      </c>
      <c r="D961" s="52">
        <v>0.71805555555555556</v>
      </c>
      <c r="E961" s="53">
        <f>'Reclamo de equipaje rediseñado'!$D961-'Reclamo de equipaje rediseñado'!$C961</f>
        <v>1.1805555555555625E-2</v>
      </c>
      <c r="F961" s="52">
        <v>0.7284722222222223</v>
      </c>
      <c r="G961" s="53">
        <f t="shared" si="14"/>
        <v>1.0416666666666741E-2</v>
      </c>
      <c r="H961" s="54">
        <v>41727</v>
      </c>
      <c r="I961" s="55" t="s">
        <v>547</v>
      </c>
      <c r="J961" s="55">
        <v>320</v>
      </c>
      <c r="K961" s="55">
        <f>VLOOKUP(J961,'Validacion reclamo de equipaje'!L:M,2,0)</f>
        <v>179</v>
      </c>
      <c r="L961" s="55" t="str">
        <f>VLOOKUP(I961,'Validacion reclamo de equipaje'!H:I,2,0)</f>
        <v>Nacional</v>
      </c>
      <c r="M961" s="55" t="s">
        <v>522</v>
      </c>
    </row>
    <row r="962" spans="1:13" x14ac:dyDescent="0.25">
      <c r="A962">
        <v>959</v>
      </c>
      <c r="B962" s="47" t="str">
        <f>VLOOKUP(Tabla6[[#This Row],['# Vuelo]],'Validacion reclamo de equipaje'!P:Q,2,0)</f>
        <v>BARATA Y MORADA</v>
      </c>
      <c r="C962" s="48">
        <v>0.69791666666666663</v>
      </c>
      <c r="D962" s="48">
        <v>0.7090277777777777</v>
      </c>
      <c r="E962" s="49">
        <f>'Reclamo de equipaje rediseñado'!$D962-'Reclamo de equipaje rediseñado'!$C962</f>
        <v>1.1111111111111072E-2</v>
      </c>
      <c r="F962" s="48">
        <v>0.71875</v>
      </c>
      <c r="G962" s="49">
        <f t="shared" si="14"/>
        <v>9.7222222222222987E-3</v>
      </c>
      <c r="H962" s="50">
        <v>41720</v>
      </c>
      <c r="I962" s="51" t="s">
        <v>547</v>
      </c>
      <c r="J962" s="51">
        <v>320</v>
      </c>
      <c r="K962" s="51">
        <f>VLOOKUP(J962,'Validacion reclamo de equipaje'!L:M,2,0)</f>
        <v>179</v>
      </c>
      <c r="L962" s="51" t="str">
        <f>VLOOKUP(I962,'Validacion reclamo de equipaje'!H:I,2,0)</f>
        <v>Nacional</v>
      </c>
      <c r="M962" s="51" t="s">
        <v>522</v>
      </c>
    </row>
    <row r="963" spans="1:13" x14ac:dyDescent="0.25">
      <c r="A963">
        <v>951</v>
      </c>
      <c r="B963" s="47" t="str">
        <f>VLOOKUP(Tabla6[[#This Row],['# Vuelo]],'Validacion reclamo de equipaje'!P:Q,2,0)</f>
        <v>BARATA Y MORADA</v>
      </c>
      <c r="C963" s="52">
        <v>0.25</v>
      </c>
      <c r="D963" s="52">
        <v>0.26666666666666666</v>
      </c>
      <c r="E963" s="53">
        <f>'Reclamo de equipaje rediseñado'!$D963-'Reclamo de equipaje rediseñado'!$C963</f>
        <v>1.6666666666666663E-2</v>
      </c>
      <c r="F963" s="52">
        <v>0.29097222222222224</v>
      </c>
      <c r="G963" s="53">
        <f t="shared" ref="G963:G1026" si="15">F963-D963</f>
        <v>2.430555555555558E-2</v>
      </c>
      <c r="H963" s="54">
        <v>41713</v>
      </c>
      <c r="I963" s="55" t="s">
        <v>564</v>
      </c>
      <c r="J963" s="55">
        <v>320</v>
      </c>
      <c r="K963" s="55">
        <f>VLOOKUP(J963,'Validacion reclamo de equipaje'!L:M,2,0)</f>
        <v>179</v>
      </c>
      <c r="L963" s="55" t="str">
        <f>VLOOKUP(I963,'Validacion reclamo de equipaje'!H:I,2,0)</f>
        <v>Internacional</v>
      </c>
      <c r="M963" s="55" t="s">
        <v>522</v>
      </c>
    </row>
    <row r="964" spans="1:13" x14ac:dyDescent="0.25">
      <c r="A964">
        <v>951</v>
      </c>
      <c r="B964" s="47" t="str">
        <f>VLOOKUP(Tabla6[[#This Row],['# Vuelo]],'Validacion reclamo de equipaje'!P:Q,2,0)</f>
        <v>BARATA Y MORADA</v>
      </c>
      <c r="C964" s="48">
        <v>0.25486111111111109</v>
      </c>
      <c r="D964" s="48">
        <v>0.2590277777777778</v>
      </c>
      <c r="E964" s="49">
        <f>'Reclamo de equipaje rediseñado'!$D964-'Reclamo de equipaje rediseñado'!$C964</f>
        <v>4.1666666666667074E-3</v>
      </c>
      <c r="F964" s="48">
        <v>0.29236111111111113</v>
      </c>
      <c r="G964" s="49">
        <f t="shared" si="15"/>
        <v>3.3333333333333326E-2</v>
      </c>
      <c r="H964" s="50">
        <v>41716</v>
      </c>
      <c r="I964" s="51" t="s">
        <v>564</v>
      </c>
      <c r="J964" s="51">
        <v>320</v>
      </c>
      <c r="K964" s="51">
        <f>VLOOKUP(J964,'Validacion reclamo de equipaje'!L:M,2,0)</f>
        <v>179</v>
      </c>
      <c r="L964" s="51" t="str">
        <f>VLOOKUP(I964,'Validacion reclamo de equipaje'!H:I,2,0)</f>
        <v>Internacional</v>
      </c>
      <c r="M964" s="51" t="s">
        <v>522</v>
      </c>
    </row>
    <row r="965" spans="1:13" x14ac:dyDescent="0.25">
      <c r="A965">
        <v>951</v>
      </c>
      <c r="B965" s="47" t="str">
        <f>VLOOKUP(Tabla6[[#This Row],['# Vuelo]],'Validacion reclamo de equipaje'!P:Q,2,0)</f>
        <v>BARATA Y MORADA</v>
      </c>
      <c r="C965" s="52">
        <v>0.26319444444444445</v>
      </c>
      <c r="D965" s="52">
        <v>0.27361111111111108</v>
      </c>
      <c r="E965" s="53">
        <f>'Reclamo de equipaje rediseñado'!$D965-'Reclamo de equipaje rediseñado'!$C965</f>
        <v>1.041666666666663E-2</v>
      </c>
      <c r="F965" s="52">
        <v>0.29166666666666669</v>
      </c>
      <c r="G965" s="53">
        <f t="shared" si="15"/>
        <v>1.8055555555555602E-2</v>
      </c>
      <c r="H965" s="54">
        <v>41717</v>
      </c>
      <c r="I965" s="55" t="s">
        <v>564</v>
      </c>
      <c r="J965" s="55">
        <v>320</v>
      </c>
      <c r="K965" s="55">
        <f>VLOOKUP(J965,'Validacion reclamo de equipaje'!L:M,2,0)</f>
        <v>179</v>
      </c>
      <c r="L965" s="55" t="str">
        <f>VLOOKUP(I965,'Validacion reclamo de equipaje'!H:I,2,0)</f>
        <v>Internacional</v>
      </c>
      <c r="M965" s="55" t="s">
        <v>522</v>
      </c>
    </row>
    <row r="966" spans="1:13" x14ac:dyDescent="0.25">
      <c r="A966">
        <v>951</v>
      </c>
      <c r="B966" s="47" t="str">
        <f>VLOOKUP(Tabla6[[#This Row],['# Vuelo]],'Validacion reclamo de equipaje'!P:Q,2,0)</f>
        <v>BARATA Y MORADA</v>
      </c>
      <c r="C966" s="48">
        <v>0.25833333333333336</v>
      </c>
      <c r="D966" s="48">
        <v>0.26319444444444445</v>
      </c>
      <c r="E966" s="49">
        <f>'Reclamo de equipaje rediseñado'!$D966-'Reclamo de equipaje rediseñado'!$C966</f>
        <v>4.8611111111110938E-3</v>
      </c>
      <c r="F966" s="48">
        <v>0.27361111111111108</v>
      </c>
      <c r="G966" s="49">
        <f t="shared" si="15"/>
        <v>1.041666666666663E-2</v>
      </c>
      <c r="H966" s="50">
        <v>41719</v>
      </c>
      <c r="I966" s="51" t="s">
        <v>564</v>
      </c>
      <c r="J966" s="51">
        <v>320</v>
      </c>
      <c r="K966" s="51">
        <f>VLOOKUP(J966,'Validacion reclamo de equipaje'!L:M,2,0)</f>
        <v>179</v>
      </c>
      <c r="L966" s="51" t="str">
        <f>VLOOKUP(I966,'Validacion reclamo de equipaje'!H:I,2,0)</f>
        <v>Internacional</v>
      </c>
      <c r="M966" s="51" t="s">
        <v>522</v>
      </c>
    </row>
    <row r="967" spans="1:13" x14ac:dyDescent="0.25">
      <c r="A967">
        <v>951</v>
      </c>
      <c r="B967" s="47" t="str">
        <f>VLOOKUP(Tabla6[[#This Row],['# Vuelo]],'Validacion reclamo de equipaje'!P:Q,2,0)</f>
        <v>BARATA Y MORADA</v>
      </c>
      <c r="C967" s="52">
        <v>0.26250000000000001</v>
      </c>
      <c r="D967" s="52">
        <v>0.27291666666666664</v>
      </c>
      <c r="E967" s="53">
        <f>'Reclamo de equipaje rediseñado'!$D967-'Reclamo de equipaje rediseñado'!$C967</f>
        <v>1.041666666666663E-2</v>
      </c>
      <c r="F967" s="52">
        <v>0.28750000000000003</v>
      </c>
      <c r="G967" s="53">
        <f t="shared" si="15"/>
        <v>1.4583333333333393E-2</v>
      </c>
      <c r="H967" s="54">
        <v>41721</v>
      </c>
      <c r="I967" s="55" t="s">
        <v>564</v>
      </c>
      <c r="J967" s="55">
        <v>320</v>
      </c>
      <c r="K967" s="55">
        <f>VLOOKUP(J967,'Validacion reclamo de equipaje'!L:M,2,0)</f>
        <v>179</v>
      </c>
      <c r="L967" s="55" t="str">
        <f>VLOOKUP(I967,'Validacion reclamo de equipaje'!H:I,2,0)</f>
        <v>Internacional</v>
      </c>
      <c r="M967" s="55" t="s">
        <v>522</v>
      </c>
    </row>
    <row r="968" spans="1:13" x14ac:dyDescent="0.25">
      <c r="A968">
        <v>951</v>
      </c>
      <c r="B968" s="47" t="str">
        <f>VLOOKUP(Tabla6[[#This Row],['# Vuelo]],'Validacion reclamo de equipaje'!P:Q,2,0)</f>
        <v>BARATA Y MORADA</v>
      </c>
      <c r="C968" s="48">
        <v>0.24791666666666667</v>
      </c>
      <c r="D968" s="48">
        <v>0.25763888888888892</v>
      </c>
      <c r="E968" s="49">
        <f>'Reclamo de equipaje rediseñado'!$D968-'Reclamo de equipaje rediseñado'!$C968</f>
        <v>9.7222222222222432E-3</v>
      </c>
      <c r="F968" s="48">
        <v>0.2673611111111111</v>
      </c>
      <c r="G968" s="49">
        <f t="shared" si="15"/>
        <v>9.7222222222221877E-3</v>
      </c>
      <c r="H968" s="50">
        <v>41722</v>
      </c>
      <c r="I968" s="51" t="s">
        <v>564</v>
      </c>
      <c r="J968" s="51">
        <v>320</v>
      </c>
      <c r="K968" s="51">
        <f>VLOOKUP(J968,'Validacion reclamo de equipaje'!L:M,2,0)</f>
        <v>179</v>
      </c>
      <c r="L968" s="51" t="str">
        <f>VLOOKUP(I968,'Validacion reclamo de equipaje'!H:I,2,0)</f>
        <v>Internacional</v>
      </c>
      <c r="M968" s="51" t="s">
        <v>522</v>
      </c>
    </row>
    <row r="969" spans="1:13" x14ac:dyDescent="0.25">
      <c r="A969">
        <v>951</v>
      </c>
      <c r="B969" s="47" t="str">
        <f>VLOOKUP(Tabla6[[#This Row],['# Vuelo]],'Validacion reclamo de equipaje'!P:Q,2,0)</f>
        <v>BARATA Y MORADA</v>
      </c>
      <c r="C969" s="52">
        <v>0.26111111111111113</v>
      </c>
      <c r="D969" s="52">
        <v>0.27499999999999997</v>
      </c>
      <c r="E969" s="53">
        <f>'Reclamo de equipaje rediseñado'!$D969-'Reclamo de equipaje rediseñado'!$C969</f>
        <v>1.388888888888884E-2</v>
      </c>
      <c r="F969" s="52">
        <v>0.28333333333333333</v>
      </c>
      <c r="G969" s="53">
        <f t="shared" si="15"/>
        <v>8.3333333333333592E-3</v>
      </c>
      <c r="H969" s="54">
        <v>41723</v>
      </c>
      <c r="I969" s="55" t="s">
        <v>564</v>
      </c>
      <c r="J969" s="55">
        <v>320</v>
      </c>
      <c r="K969" s="55">
        <f>VLOOKUP(J969,'Validacion reclamo de equipaje'!L:M,2,0)</f>
        <v>179</v>
      </c>
      <c r="L969" s="55" t="str">
        <f>VLOOKUP(I969,'Validacion reclamo de equipaje'!H:I,2,0)</f>
        <v>Internacional</v>
      </c>
      <c r="M969" s="55" t="s">
        <v>522</v>
      </c>
    </row>
    <row r="970" spans="1:13" x14ac:dyDescent="0.25">
      <c r="A970">
        <v>951</v>
      </c>
      <c r="B970" s="47" t="str">
        <f>VLOOKUP(Tabla6[[#This Row],['# Vuelo]],'Validacion reclamo de equipaje'!P:Q,2,0)</f>
        <v>BARATA Y MORADA</v>
      </c>
      <c r="C970" s="48">
        <v>0.25069444444444444</v>
      </c>
      <c r="D970" s="48">
        <v>0.26458333333333334</v>
      </c>
      <c r="E970" s="49">
        <f>'Reclamo de equipaje rediseñado'!$D970-'Reclamo de equipaje rediseñado'!$C970</f>
        <v>1.3888888888888895E-2</v>
      </c>
      <c r="F970" s="48">
        <v>0.27083333333333331</v>
      </c>
      <c r="G970" s="49">
        <f t="shared" si="15"/>
        <v>6.2499999999999778E-3</v>
      </c>
      <c r="H970" s="50">
        <v>41724</v>
      </c>
      <c r="I970" s="51" t="s">
        <v>564</v>
      </c>
      <c r="J970" s="51">
        <v>320</v>
      </c>
      <c r="K970" s="51">
        <f>VLOOKUP(J970,'Validacion reclamo de equipaje'!L:M,2,0)</f>
        <v>179</v>
      </c>
      <c r="L970" s="51" t="str">
        <f>VLOOKUP(I970,'Validacion reclamo de equipaje'!H:I,2,0)</f>
        <v>Internacional</v>
      </c>
      <c r="M970" s="51" t="s">
        <v>522</v>
      </c>
    </row>
    <row r="971" spans="1:13" x14ac:dyDescent="0.25">
      <c r="A971">
        <v>951</v>
      </c>
      <c r="B971" s="47" t="str">
        <f>VLOOKUP(Tabla6[[#This Row],['# Vuelo]],'Validacion reclamo de equipaje'!P:Q,2,0)</f>
        <v>BARATA Y MORADA</v>
      </c>
      <c r="C971" s="52">
        <v>0.25555555555555559</v>
      </c>
      <c r="D971" s="52">
        <v>0.26805555555555555</v>
      </c>
      <c r="E971" s="53">
        <f>'Reclamo de equipaje rediseñado'!$D971-'Reclamo de equipaje rediseñado'!$C971</f>
        <v>1.2499999999999956E-2</v>
      </c>
      <c r="F971" s="52">
        <v>0.28333333333333333</v>
      </c>
      <c r="G971" s="53">
        <f t="shared" si="15"/>
        <v>1.5277777777777779E-2</v>
      </c>
      <c r="H971" s="54">
        <v>41724</v>
      </c>
      <c r="I971" s="55" t="s">
        <v>564</v>
      </c>
      <c r="J971" s="55">
        <v>320</v>
      </c>
      <c r="K971" s="55">
        <f>VLOOKUP(J971,'Validacion reclamo de equipaje'!L:M,2,0)</f>
        <v>179</v>
      </c>
      <c r="L971" s="55" t="str">
        <f>VLOOKUP(I971,'Validacion reclamo de equipaje'!H:I,2,0)</f>
        <v>Internacional</v>
      </c>
      <c r="M971" s="55" t="s">
        <v>522</v>
      </c>
    </row>
    <row r="972" spans="1:13" x14ac:dyDescent="0.25">
      <c r="A972">
        <v>951</v>
      </c>
      <c r="B972" s="47" t="str">
        <f>VLOOKUP(Tabla6[[#This Row],['# Vuelo]],'Validacion reclamo de equipaje'!P:Q,2,0)</f>
        <v>BARATA Y MORADA</v>
      </c>
      <c r="C972" s="48">
        <v>0.24444444444444446</v>
      </c>
      <c r="D972" s="48">
        <v>0.26458333333333334</v>
      </c>
      <c r="E972" s="49">
        <f>'Reclamo de equipaje rediseñado'!$D972-'Reclamo de equipaje rediseñado'!$C972</f>
        <v>2.0138888888888873E-2</v>
      </c>
      <c r="F972" s="48">
        <v>0.28680555555555554</v>
      </c>
      <c r="G972" s="49">
        <f t="shared" si="15"/>
        <v>2.2222222222222199E-2</v>
      </c>
      <c r="H972" s="50">
        <v>41725</v>
      </c>
      <c r="I972" s="51" t="s">
        <v>564</v>
      </c>
      <c r="J972" s="51">
        <v>320</v>
      </c>
      <c r="K972" s="51">
        <f>VLOOKUP(J972,'Validacion reclamo de equipaje'!L:M,2,0)</f>
        <v>179</v>
      </c>
      <c r="L972" s="51" t="str">
        <f>VLOOKUP(I972,'Validacion reclamo de equipaje'!H:I,2,0)</f>
        <v>Internacional</v>
      </c>
      <c r="M972" s="51" t="s">
        <v>522</v>
      </c>
    </row>
    <row r="973" spans="1:13" x14ac:dyDescent="0.25">
      <c r="A973">
        <v>951</v>
      </c>
      <c r="B973" s="47" t="str">
        <f>VLOOKUP(Tabla6[[#This Row],['# Vuelo]],'Validacion reclamo de equipaje'!P:Q,2,0)</f>
        <v>BARATA Y MORADA</v>
      </c>
      <c r="C973" s="52">
        <v>0.24652777777777779</v>
      </c>
      <c r="D973" s="52">
        <v>0.25694444444444448</v>
      </c>
      <c r="E973" s="53">
        <f>'Reclamo de equipaje rediseñado'!$D973-'Reclamo de equipaje rediseñado'!$C973</f>
        <v>1.0416666666666685E-2</v>
      </c>
      <c r="F973" s="52">
        <v>0.28125</v>
      </c>
      <c r="G973" s="53">
        <f t="shared" si="15"/>
        <v>2.4305555555555525E-2</v>
      </c>
      <c r="H973" s="54">
        <v>41727</v>
      </c>
      <c r="I973" s="55" t="s">
        <v>564</v>
      </c>
      <c r="J973" s="55">
        <v>320</v>
      </c>
      <c r="K973" s="55">
        <f>VLOOKUP(J973,'Validacion reclamo de equipaje'!L:M,2,0)</f>
        <v>179</v>
      </c>
      <c r="L973" s="55" t="str">
        <f>VLOOKUP(I973,'Validacion reclamo de equipaje'!H:I,2,0)</f>
        <v>Internacional</v>
      </c>
      <c r="M973" s="55" t="s">
        <v>522</v>
      </c>
    </row>
    <row r="974" spans="1:13" x14ac:dyDescent="0.25">
      <c r="A974">
        <v>951</v>
      </c>
      <c r="B974" s="47" t="str">
        <f>VLOOKUP(Tabla6[[#This Row],['# Vuelo]],'Validacion reclamo de equipaje'!P:Q,2,0)</f>
        <v>BARATA Y MORADA</v>
      </c>
      <c r="C974" s="48">
        <v>0.25347222222222221</v>
      </c>
      <c r="D974" s="48">
        <v>0.26874999999999999</v>
      </c>
      <c r="E974" s="49">
        <f>'Reclamo de equipaje rediseñado'!$D974-'Reclamo de equipaje rediseñado'!$C974</f>
        <v>1.5277777777777779E-2</v>
      </c>
      <c r="F974" s="48">
        <v>0.27777777777777779</v>
      </c>
      <c r="G974" s="49">
        <f t="shared" si="15"/>
        <v>9.0277777777778012E-3</v>
      </c>
      <c r="H974" s="50">
        <v>41728</v>
      </c>
      <c r="I974" s="51" t="s">
        <v>564</v>
      </c>
      <c r="J974" s="51">
        <v>320</v>
      </c>
      <c r="K974" s="51">
        <f>VLOOKUP(J974,'Validacion reclamo de equipaje'!L:M,2,0)</f>
        <v>179</v>
      </c>
      <c r="L974" s="51" t="str">
        <f>VLOOKUP(I974,'Validacion reclamo de equipaje'!H:I,2,0)</f>
        <v>Internacional</v>
      </c>
      <c r="M974" s="51" t="s">
        <v>522</v>
      </c>
    </row>
    <row r="975" spans="1:13" x14ac:dyDescent="0.25">
      <c r="A975">
        <v>941</v>
      </c>
      <c r="B975" s="47" t="str">
        <f>VLOOKUP(Tabla6[[#This Row],['# Vuelo]],'Validacion reclamo de equipaje'!P:Q,2,0)</f>
        <v>BARATA Y MORADA</v>
      </c>
      <c r="C975" s="52">
        <v>0.91527777777777775</v>
      </c>
      <c r="D975" s="52">
        <v>0.92638888888888893</v>
      </c>
      <c r="E975" s="53">
        <f>'Reclamo de equipaje rediseñado'!$D975-'Reclamo de equipaje rediseñado'!$C975</f>
        <v>1.1111111111111183E-2</v>
      </c>
      <c r="F975" s="52">
        <v>0.9375</v>
      </c>
      <c r="G975" s="53">
        <f t="shared" si="15"/>
        <v>1.1111111111111072E-2</v>
      </c>
      <c r="H975" s="54">
        <v>41713</v>
      </c>
      <c r="I975" s="55" t="s">
        <v>595</v>
      </c>
      <c r="J975" s="55" t="s">
        <v>572</v>
      </c>
      <c r="K975" s="55">
        <f>VLOOKUP(J975,'Validacion reclamo de equipaje'!L:M,2,0)</f>
        <v>142</v>
      </c>
      <c r="L975" s="55" t="str">
        <f>VLOOKUP(I975,'Validacion reclamo de equipaje'!H:I,2,0)</f>
        <v>Internacional</v>
      </c>
      <c r="M975" s="55" t="s">
        <v>522</v>
      </c>
    </row>
    <row r="976" spans="1:13" x14ac:dyDescent="0.25">
      <c r="A976">
        <v>941</v>
      </c>
      <c r="B976" s="47" t="str">
        <f>VLOOKUP(Tabla6[[#This Row],['# Vuelo]],'Validacion reclamo de equipaje'!P:Q,2,0)</f>
        <v>BARATA Y MORADA</v>
      </c>
      <c r="C976" s="48">
        <v>0.90833333333333333</v>
      </c>
      <c r="D976" s="48">
        <v>0.92361111111111116</v>
      </c>
      <c r="E976" s="49">
        <f>'Reclamo de equipaje rediseñado'!$D976-'Reclamo de equipaje rediseñado'!$C976</f>
        <v>1.5277777777777835E-2</v>
      </c>
      <c r="F976" s="48">
        <v>0.94166666666666676</v>
      </c>
      <c r="G976" s="49">
        <f t="shared" si="15"/>
        <v>1.8055555555555602E-2</v>
      </c>
      <c r="H976" s="50">
        <v>41715</v>
      </c>
      <c r="I976" s="51" t="s">
        <v>595</v>
      </c>
      <c r="J976" s="51" t="s">
        <v>572</v>
      </c>
      <c r="K976" s="51">
        <f>VLOOKUP(J976,'Validacion reclamo de equipaje'!L:M,2,0)</f>
        <v>142</v>
      </c>
      <c r="L976" s="51" t="str">
        <f>VLOOKUP(I976,'Validacion reclamo de equipaje'!H:I,2,0)</f>
        <v>Internacional</v>
      </c>
      <c r="M976" s="51" t="s">
        <v>522</v>
      </c>
    </row>
    <row r="977" spans="1:13" x14ac:dyDescent="0.25">
      <c r="A977">
        <v>941</v>
      </c>
      <c r="B977" s="47" t="str">
        <f>VLOOKUP(Tabla6[[#This Row],['# Vuelo]],'Validacion reclamo de equipaje'!P:Q,2,0)</f>
        <v>BARATA Y MORADA</v>
      </c>
      <c r="C977" s="52">
        <v>0.92986111111111114</v>
      </c>
      <c r="D977" s="52">
        <v>0.93958333333333333</v>
      </c>
      <c r="E977" s="53">
        <f>'Reclamo de equipaje rediseñado'!$D977-'Reclamo de equipaje rediseñado'!$C977</f>
        <v>9.7222222222221877E-3</v>
      </c>
      <c r="F977" s="52">
        <v>0.94791666666666663</v>
      </c>
      <c r="G977" s="53">
        <f t="shared" si="15"/>
        <v>8.3333333333333037E-3</v>
      </c>
      <c r="H977" s="54">
        <v>41716</v>
      </c>
      <c r="I977" s="55" t="s">
        <v>595</v>
      </c>
      <c r="J977" s="55" t="s">
        <v>572</v>
      </c>
      <c r="K977" s="55">
        <f>VLOOKUP(J977,'Validacion reclamo de equipaje'!L:M,2,0)</f>
        <v>142</v>
      </c>
      <c r="L977" s="55" t="str">
        <f>VLOOKUP(I977,'Validacion reclamo de equipaje'!H:I,2,0)</f>
        <v>Internacional</v>
      </c>
      <c r="M977" s="55" t="s">
        <v>522</v>
      </c>
    </row>
    <row r="978" spans="1:13" x14ac:dyDescent="0.25">
      <c r="A978">
        <v>941</v>
      </c>
      <c r="B978" s="47" t="str">
        <f>VLOOKUP(Tabla6[[#This Row],['# Vuelo]],'Validacion reclamo de equipaje'!P:Q,2,0)</f>
        <v>BARATA Y MORADA</v>
      </c>
      <c r="C978" s="48">
        <v>0.91388888888888886</v>
      </c>
      <c r="D978" s="48">
        <v>0.9243055555555556</v>
      </c>
      <c r="E978" s="49">
        <f>'Reclamo de equipaje rediseñado'!$D978-'Reclamo de equipaje rediseñado'!$C978</f>
        <v>1.0416666666666741E-2</v>
      </c>
      <c r="F978" s="48">
        <v>0.94027777777777777</v>
      </c>
      <c r="G978" s="49">
        <f t="shared" si="15"/>
        <v>1.5972222222222165E-2</v>
      </c>
      <c r="H978" s="50">
        <v>41717</v>
      </c>
      <c r="I978" s="51" t="s">
        <v>595</v>
      </c>
      <c r="J978" s="51" t="s">
        <v>572</v>
      </c>
      <c r="K978" s="51">
        <f>VLOOKUP(J978,'Validacion reclamo de equipaje'!L:M,2,0)</f>
        <v>142</v>
      </c>
      <c r="L978" s="51" t="str">
        <f>VLOOKUP(I978,'Validacion reclamo de equipaje'!H:I,2,0)</f>
        <v>Internacional</v>
      </c>
      <c r="M978" s="51" t="s">
        <v>522</v>
      </c>
    </row>
    <row r="979" spans="1:13" x14ac:dyDescent="0.25">
      <c r="A979">
        <v>941</v>
      </c>
      <c r="B979" s="47" t="str">
        <f>VLOOKUP(Tabla6[[#This Row],['# Vuelo]],'Validacion reclamo de equipaje'!P:Q,2,0)</f>
        <v>BARATA Y MORADA</v>
      </c>
      <c r="C979" s="52">
        <v>0.90625</v>
      </c>
      <c r="D979" s="52">
        <v>0.9194444444444444</v>
      </c>
      <c r="E979" s="53">
        <f>'Reclamo de equipaje rediseñado'!$D979-'Reclamo de equipaje rediseñado'!$C979</f>
        <v>1.3194444444444398E-2</v>
      </c>
      <c r="F979" s="52">
        <v>0.93055555555555547</v>
      </c>
      <c r="G979" s="53">
        <f t="shared" si="15"/>
        <v>1.1111111111111072E-2</v>
      </c>
      <c r="H979" s="54">
        <v>41719</v>
      </c>
      <c r="I979" s="55" t="s">
        <v>595</v>
      </c>
      <c r="J979" s="55" t="s">
        <v>572</v>
      </c>
      <c r="K979" s="55">
        <f>VLOOKUP(J979,'Validacion reclamo de equipaje'!L:M,2,0)</f>
        <v>142</v>
      </c>
      <c r="L979" s="55" t="str">
        <f>VLOOKUP(I979,'Validacion reclamo de equipaje'!H:I,2,0)</f>
        <v>Internacional</v>
      </c>
      <c r="M979" s="55" t="s">
        <v>522</v>
      </c>
    </row>
    <row r="980" spans="1:13" x14ac:dyDescent="0.25">
      <c r="A980">
        <v>941</v>
      </c>
      <c r="B980" s="47" t="str">
        <f>VLOOKUP(Tabla6[[#This Row],['# Vuelo]],'Validacion reclamo de equipaje'!P:Q,2,0)</f>
        <v>BARATA Y MORADA</v>
      </c>
      <c r="C980" s="48">
        <v>0.92499999999999993</v>
      </c>
      <c r="D980" s="48">
        <v>0.93819444444444444</v>
      </c>
      <c r="E980" s="49">
        <f>'Reclamo de equipaje rediseñado'!$D980-'Reclamo de equipaje rediseñado'!$C980</f>
        <v>1.3194444444444509E-2</v>
      </c>
      <c r="F980" s="48">
        <v>0.95000000000000007</v>
      </c>
      <c r="G980" s="49">
        <f t="shared" si="15"/>
        <v>1.1805555555555625E-2</v>
      </c>
      <c r="H980" s="50">
        <v>41719</v>
      </c>
      <c r="I980" s="51" t="s">
        <v>595</v>
      </c>
      <c r="J980" s="51" t="s">
        <v>572</v>
      </c>
      <c r="K980" s="51">
        <f>VLOOKUP(J980,'Validacion reclamo de equipaje'!L:M,2,0)</f>
        <v>142</v>
      </c>
      <c r="L980" s="51" t="str">
        <f>VLOOKUP(I980,'Validacion reclamo de equipaje'!H:I,2,0)</f>
        <v>Internacional</v>
      </c>
      <c r="M980" s="51" t="s">
        <v>522</v>
      </c>
    </row>
    <row r="981" spans="1:13" x14ac:dyDescent="0.25">
      <c r="A981">
        <v>941</v>
      </c>
      <c r="B981" s="47" t="str">
        <f>VLOOKUP(Tabla6[[#This Row],['# Vuelo]],'Validacion reclamo de equipaje'!P:Q,2,0)</f>
        <v>BARATA Y MORADA</v>
      </c>
      <c r="C981" s="52">
        <v>0.92152777777777783</v>
      </c>
      <c r="D981" s="52">
        <v>0.93125000000000002</v>
      </c>
      <c r="E981" s="53">
        <f>'Reclamo de equipaje rediseñado'!$D981-'Reclamo de equipaje rediseñado'!$C981</f>
        <v>9.7222222222221877E-3</v>
      </c>
      <c r="F981" s="52">
        <v>0.94791666666666663</v>
      </c>
      <c r="G981" s="53">
        <f t="shared" si="15"/>
        <v>1.6666666666666607E-2</v>
      </c>
      <c r="H981" s="54">
        <v>41721</v>
      </c>
      <c r="I981" s="55" t="s">
        <v>595</v>
      </c>
      <c r="J981" s="55" t="s">
        <v>572</v>
      </c>
      <c r="K981" s="55">
        <f>VLOOKUP(J981,'Validacion reclamo de equipaje'!L:M,2,0)</f>
        <v>142</v>
      </c>
      <c r="L981" s="55" t="str">
        <f>VLOOKUP(I981,'Validacion reclamo de equipaje'!H:I,2,0)</f>
        <v>Internacional</v>
      </c>
      <c r="M981" s="55" t="s">
        <v>522</v>
      </c>
    </row>
    <row r="982" spans="1:13" x14ac:dyDescent="0.25">
      <c r="A982">
        <v>941</v>
      </c>
      <c r="B982" s="47" t="str">
        <f>VLOOKUP(Tabla6[[#This Row],['# Vuelo]],'Validacion reclamo de equipaje'!P:Q,2,0)</f>
        <v>BARATA Y MORADA</v>
      </c>
      <c r="C982" s="48">
        <v>0.91041666666666676</v>
      </c>
      <c r="D982" s="48">
        <v>0.92152777777777783</v>
      </c>
      <c r="E982" s="49">
        <f>'Reclamo de equipaje rediseñado'!$D982-'Reclamo de equipaje rediseñado'!$C982</f>
        <v>1.1111111111111072E-2</v>
      </c>
      <c r="F982" s="48">
        <v>0.93472222222222223</v>
      </c>
      <c r="G982" s="49">
        <f t="shared" si="15"/>
        <v>1.3194444444444398E-2</v>
      </c>
      <c r="H982" s="50">
        <v>41721</v>
      </c>
      <c r="I982" s="51" t="s">
        <v>595</v>
      </c>
      <c r="J982" s="51" t="s">
        <v>572</v>
      </c>
      <c r="K982" s="51">
        <f>VLOOKUP(J982,'Validacion reclamo de equipaje'!L:M,2,0)</f>
        <v>142</v>
      </c>
      <c r="L982" s="51" t="str">
        <f>VLOOKUP(I982,'Validacion reclamo de equipaje'!H:I,2,0)</f>
        <v>Internacional</v>
      </c>
      <c r="M982" s="51" t="s">
        <v>522</v>
      </c>
    </row>
    <row r="983" spans="1:13" x14ac:dyDescent="0.25">
      <c r="A983">
        <v>941</v>
      </c>
      <c r="B983" s="47" t="str">
        <f>VLOOKUP(Tabla6[[#This Row],['# Vuelo]],'Validacion reclamo de equipaje'!P:Q,2,0)</f>
        <v>BARATA Y MORADA</v>
      </c>
      <c r="C983" s="52">
        <v>0.9145833333333333</v>
      </c>
      <c r="D983" s="52">
        <v>0.9291666666666667</v>
      </c>
      <c r="E983" s="53">
        <f>'Reclamo de equipaje rediseñado'!$D983-'Reclamo de equipaje rediseñado'!$C983</f>
        <v>1.4583333333333393E-2</v>
      </c>
      <c r="F983" s="52">
        <v>0.93888888888888899</v>
      </c>
      <c r="G983" s="53">
        <f t="shared" si="15"/>
        <v>9.7222222222222987E-3</v>
      </c>
      <c r="H983" s="54">
        <v>41723</v>
      </c>
      <c r="I983" s="55" t="s">
        <v>595</v>
      </c>
      <c r="J983" s="55" t="s">
        <v>572</v>
      </c>
      <c r="K983" s="55">
        <f>VLOOKUP(J983,'Validacion reclamo de equipaje'!L:M,2,0)</f>
        <v>142</v>
      </c>
      <c r="L983" s="55" t="str">
        <f>VLOOKUP(I983,'Validacion reclamo de equipaje'!H:I,2,0)</f>
        <v>Internacional</v>
      </c>
      <c r="M983" s="55" t="s">
        <v>522</v>
      </c>
    </row>
    <row r="984" spans="1:13" x14ac:dyDescent="0.25">
      <c r="A984">
        <v>941</v>
      </c>
      <c r="B984" s="47" t="str">
        <f>VLOOKUP(Tabla6[[#This Row],['# Vuelo]],'Validacion reclamo de equipaje'!P:Q,2,0)</f>
        <v>BARATA Y MORADA</v>
      </c>
      <c r="C984" s="48">
        <v>0.9159722222222223</v>
      </c>
      <c r="D984" s="48">
        <v>0.92986111111111114</v>
      </c>
      <c r="E984" s="49">
        <f>'Reclamo de equipaje rediseñado'!$D984-'Reclamo de equipaje rediseñado'!$C984</f>
        <v>1.388888888888884E-2</v>
      </c>
      <c r="F984" s="48">
        <v>0.94305555555555554</v>
      </c>
      <c r="G984" s="49">
        <f t="shared" si="15"/>
        <v>1.3194444444444398E-2</v>
      </c>
      <c r="H984" s="50">
        <v>41724</v>
      </c>
      <c r="I984" s="51" t="s">
        <v>595</v>
      </c>
      <c r="J984" s="51" t="s">
        <v>572</v>
      </c>
      <c r="K984" s="51">
        <f>VLOOKUP(J984,'Validacion reclamo de equipaje'!L:M,2,0)</f>
        <v>142</v>
      </c>
      <c r="L984" s="51" t="str">
        <f>VLOOKUP(I984,'Validacion reclamo de equipaje'!H:I,2,0)</f>
        <v>Internacional</v>
      </c>
      <c r="M984" s="51" t="s">
        <v>522</v>
      </c>
    </row>
    <row r="985" spans="1:13" x14ac:dyDescent="0.25">
      <c r="A985">
        <v>941</v>
      </c>
      <c r="B985" s="47" t="str">
        <f>VLOOKUP(Tabla6[[#This Row],['# Vuelo]],'Validacion reclamo de equipaje'!P:Q,2,0)</f>
        <v>BARATA Y MORADA</v>
      </c>
      <c r="C985" s="52">
        <v>0.91319444444444453</v>
      </c>
      <c r="D985" s="52">
        <v>0.92291666666666661</v>
      </c>
      <c r="E985" s="53">
        <f>'Reclamo de equipaje rediseñado'!$D985-'Reclamo de equipaje rediseñado'!$C985</f>
        <v>9.7222222222220767E-3</v>
      </c>
      <c r="F985" s="52">
        <v>0.93611111111111101</v>
      </c>
      <c r="G985" s="53">
        <f t="shared" si="15"/>
        <v>1.3194444444444398E-2</v>
      </c>
      <c r="H985" s="54">
        <v>41724</v>
      </c>
      <c r="I985" s="55" t="s">
        <v>595</v>
      </c>
      <c r="J985" s="55" t="s">
        <v>572</v>
      </c>
      <c r="K985" s="55">
        <f>VLOOKUP(J985,'Validacion reclamo de equipaje'!L:M,2,0)</f>
        <v>142</v>
      </c>
      <c r="L985" s="55" t="str">
        <f>VLOOKUP(I985,'Validacion reclamo de equipaje'!H:I,2,0)</f>
        <v>Internacional</v>
      </c>
      <c r="M985" s="55" t="s">
        <v>522</v>
      </c>
    </row>
    <row r="986" spans="1:13" x14ac:dyDescent="0.25">
      <c r="A986">
        <v>941</v>
      </c>
      <c r="B986" s="47" t="str">
        <f>VLOOKUP(Tabla6[[#This Row],['# Vuelo]],'Validacion reclamo de equipaje'!P:Q,2,0)</f>
        <v>BARATA Y MORADA</v>
      </c>
      <c r="C986" s="48">
        <v>0.91041666666666676</v>
      </c>
      <c r="D986" s="48">
        <v>0.9291666666666667</v>
      </c>
      <c r="E986" s="49">
        <f>'Reclamo de equipaje rediseñado'!$D986-'Reclamo de equipaje rediseñado'!$C986</f>
        <v>1.8749999999999933E-2</v>
      </c>
      <c r="F986" s="48">
        <v>0.94444444444444453</v>
      </c>
      <c r="G986" s="49">
        <f t="shared" si="15"/>
        <v>1.5277777777777835E-2</v>
      </c>
      <c r="H986" s="50">
        <v>41725</v>
      </c>
      <c r="I986" s="51" t="s">
        <v>595</v>
      </c>
      <c r="J986" s="51" t="s">
        <v>572</v>
      </c>
      <c r="K986" s="51">
        <f>VLOOKUP(J986,'Validacion reclamo de equipaje'!L:M,2,0)</f>
        <v>142</v>
      </c>
      <c r="L986" s="51" t="str">
        <f>VLOOKUP(I986,'Validacion reclamo de equipaje'!H:I,2,0)</f>
        <v>Internacional</v>
      </c>
      <c r="M986" s="51" t="s">
        <v>522</v>
      </c>
    </row>
    <row r="987" spans="1:13" x14ac:dyDescent="0.25">
      <c r="A987">
        <v>941</v>
      </c>
      <c r="B987" s="47" t="str">
        <f>VLOOKUP(Tabla6[[#This Row],['# Vuelo]],'Validacion reclamo de equipaje'!P:Q,2,0)</f>
        <v>BARATA Y MORADA</v>
      </c>
      <c r="C987" s="52">
        <v>0.91736111111111107</v>
      </c>
      <c r="D987" s="52">
        <v>0.92708333333333337</v>
      </c>
      <c r="E987" s="53">
        <f>'Reclamo de equipaje rediseñado'!$D987-'Reclamo de equipaje rediseñado'!$C987</f>
        <v>9.7222222222222987E-3</v>
      </c>
      <c r="F987" s="52">
        <v>0.93958333333333333</v>
      </c>
      <c r="G987" s="53">
        <f t="shared" si="15"/>
        <v>1.2499999999999956E-2</v>
      </c>
      <c r="H987" s="54">
        <v>41727</v>
      </c>
      <c r="I987" s="55" t="s">
        <v>595</v>
      </c>
      <c r="J987" s="55" t="s">
        <v>572</v>
      </c>
      <c r="K987" s="55">
        <f>VLOOKUP(J987,'Validacion reclamo de equipaje'!L:M,2,0)</f>
        <v>142</v>
      </c>
      <c r="L987" s="55" t="str">
        <f>VLOOKUP(I987,'Validacion reclamo de equipaje'!H:I,2,0)</f>
        <v>Internacional</v>
      </c>
      <c r="M987" s="55" t="s">
        <v>522</v>
      </c>
    </row>
    <row r="988" spans="1:13" x14ac:dyDescent="0.25">
      <c r="A988">
        <v>941</v>
      </c>
      <c r="B988" s="47" t="str">
        <f>VLOOKUP(Tabla6[[#This Row],['# Vuelo]],'Validacion reclamo de equipaje'!P:Q,2,0)</f>
        <v>BARATA Y MORADA</v>
      </c>
      <c r="C988" s="48">
        <v>0.88611111111111107</v>
      </c>
      <c r="D988" s="48">
        <v>0.8965277777777777</v>
      </c>
      <c r="E988" s="49">
        <f>'Reclamo de equipaje rediseñado'!$D988-'Reclamo de equipaje rediseñado'!$C988</f>
        <v>1.041666666666663E-2</v>
      </c>
      <c r="F988" s="48">
        <v>0.91180555555555554</v>
      </c>
      <c r="G988" s="49">
        <f t="shared" si="15"/>
        <v>1.5277777777777835E-2</v>
      </c>
      <c r="H988" s="50">
        <v>41728</v>
      </c>
      <c r="I988" s="51" t="s">
        <v>595</v>
      </c>
      <c r="J988" s="51" t="s">
        <v>572</v>
      </c>
      <c r="K988" s="51">
        <f>VLOOKUP(J988,'Validacion reclamo de equipaje'!L:M,2,0)</f>
        <v>142</v>
      </c>
      <c r="L988" s="51" t="str">
        <f>VLOOKUP(I988,'Validacion reclamo de equipaje'!H:I,2,0)</f>
        <v>Internacional</v>
      </c>
      <c r="M988" s="51" t="s">
        <v>522</v>
      </c>
    </row>
    <row r="989" spans="1:13" x14ac:dyDescent="0.25">
      <c r="A989">
        <v>931</v>
      </c>
      <c r="B989" s="47" t="str">
        <f>VLOOKUP(Tabla6[[#This Row],['# Vuelo]],'Validacion reclamo de equipaje'!P:Q,2,0)</f>
        <v>BARATA Y MORADA</v>
      </c>
      <c r="C989" s="52">
        <v>0.76250000000000007</v>
      </c>
      <c r="D989" s="52">
        <v>0.77083333333333337</v>
      </c>
      <c r="E989" s="53">
        <f>'Reclamo de equipaje rediseñado'!$D989-'Reclamo de equipaje rediseñado'!$C989</f>
        <v>8.3333333333333037E-3</v>
      </c>
      <c r="F989" s="52">
        <v>0.78611111111111109</v>
      </c>
      <c r="G989" s="53">
        <f t="shared" si="15"/>
        <v>1.5277777777777724E-2</v>
      </c>
      <c r="H989" s="54">
        <v>41714</v>
      </c>
      <c r="I989" s="55" t="s">
        <v>588</v>
      </c>
      <c r="J989" s="55">
        <v>320</v>
      </c>
      <c r="K989" s="55">
        <f>VLOOKUP(J989,'Validacion reclamo de equipaje'!L:M,2,0)</f>
        <v>179</v>
      </c>
      <c r="L989" s="55" t="str">
        <f>VLOOKUP(I989,'Validacion reclamo de equipaje'!H:I,2,0)</f>
        <v>Internacional</v>
      </c>
      <c r="M989" s="55" t="s">
        <v>522</v>
      </c>
    </row>
    <row r="990" spans="1:13" x14ac:dyDescent="0.25">
      <c r="A990">
        <v>931</v>
      </c>
      <c r="B990" s="47" t="str">
        <f>VLOOKUP(Tabla6[[#This Row],['# Vuelo]],'Validacion reclamo de equipaje'!P:Q,2,0)</f>
        <v>BARATA Y MORADA</v>
      </c>
      <c r="C990" s="48">
        <v>0.78611111111111109</v>
      </c>
      <c r="D990" s="48">
        <v>0.79027777777777775</v>
      </c>
      <c r="E990" s="49">
        <f>'Reclamo de equipaje rediseñado'!$D990-'Reclamo de equipaje rediseñado'!$C990</f>
        <v>4.1666666666666519E-3</v>
      </c>
      <c r="F990" s="48">
        <v>0.80763888888888891</v>
      </c>
      <c r="G990" s="49">
        <f t="shared" si="15"/>
        <v>1.736111111111116E-2</v>
      </c>
      <c r="H990" s="50">
        <v>41715</v>
      </c>
      <c r="I990" s="51" t="s">
        <v>588</v>
      </c>
      <c r="J990" s="51">
        <v>320</v>
      </c>
      <c r="K990" s="51">
        <f>VLOOKUP(J990,'Validacion reclamo de equipaje'!L:M,2,0)</f>
        <v>179</v>
      </c>
      <c r="L990" s="51" t="str">
        <f>VLOOKUP(I990,'Validacion reclamo de equipaje'!H:I,2,0)</f>
        <v>Internacional</v>
      </c>
      <c r="M990" s="51" t="s">
        <v>522</v>
      </c>
    </row>
    <row r="991" spans="1:13" x14ac:dyDescent="0.25">
      <c r="A991">
        <v>931</v>
      </c>
      <c r="B991" s="47" t="str">
        <f>VLOOKUP(Tabla6[[#This Row],['# Vuelo]],'Validacion reclamo de equipaje'!P:Q,2,0)</f>
        <v>BARATA Y MORADA</v>
      </c>
      <c r="C991" s="52">
        <v>0.77222222222222225</v>
      </c>
      <c r="D991" s="52">
        <v>0.78541666666666676</v>
      </c>
      <c r="E991" s="53">
        <f>'Reclamo de equipaje rediseñado'!$D991-'Reclamo de equipaje rediseñado'!$C991</f>
        <v>1.3194444444444509E-2</v>
      </c>
      <c r="F991" s="52">
        <v>0.79513888888888884</v>
      </c>
      <c r="G991" s="53">
        <f t="shared" si="15"/>
        <v>9.7222222222220767E-3</v>
      </c>
      <c r="H991" s="54">
        <v>41717</v>
      </c>
      <c r="I991" s="55" t="s">
        <v>588</v>
      </c>
      <c r="J991" s="55">
        <v>320</v>
      </c>
      <c r="K991" s="55">
        <f>VLOOKUP(J991,'Validacion reclamo de equipaje'!L:M,2,0)</f>
        <v>179</v>
      </c>
      <c r="L991" s="55" t="str">
        <f>VLOOKUP(I991,'Validacion reclamo de equipaje'!H:I,2,0)</f>
        <v>Internacional</v>
      </c>
      <c r="M991" s="55" t="s">
        <v>522</v>
      </c>
    </row>
    <row r="992" spans="1:13" x14ac:dyDescent="0.25">
      <c r="A992">
        <v>931</v>
      </c>
      <c r="B992" s="47" t="str">
        <f>VLOOKUP(Tabla6[[#This Row],['# Vuelo]],'Validacion reclamo de equipaje'!P:Q,2,0)</f>
        <v>BARATA Y MORADA</v>
      </c>
      <c r="C992" s="48">
        <v>0.7715277777777777</v>
      </c>
      <c r="D992" s="48">
        <v>0.78333333333333333</v>
      </c>
      <c r="E992" s="49">
        <f>'Reclamo de equipaje rediseñado'!$D992-'Reclamo de equipaje rediseñado'!$C992</f>
        <v>1.1805555555555625E-2</v>
      </c>
      <c r="F992" s="48">
        <v>0.80208333333333337</v>
      </c>
      <c r="G992" s="49">
        <f t="shared" si="15"/>
        <v>1.8750000000000044E-2</v>
      </c>
      <c r="H992" s="50">
        <v>41718</v>
      </c>
      <c r="I992" s="51" t="s">
        <v>588</v>
      </c>
      <c r="J992" s="51">
        <v>320</v>
      </c>
      <c r="K992" s="51">
        <f>VLOOKUP(J992,'Validacion reclamo de equipaje'!L:M,2,0)</f>
        <v>179</v>
      </c>
      <c r="L992" s="51" t="str">
        <f>VLOOKUP(I992,'Validacion reclamo de equipaje'!H:I,2,0)</f>
        <v>Internacional</v>
      </c>
      <c r="M992" s="51" t="s">
        <v>522</v>
      </c>
    </row>
    <row r="993" spans="1:13" x14ac:dyDescent="0.25">
      <c r="A993">
        <v>931</v>
      </c>
      <c r="B993" s="47" t="str">
        <f>VLOOKUP(Tabla6[[#This Row],['# Vuelo]],'Validacion reclamo de equipaje'!P:Q,2,0)</f>
        <v>BARATA Y MORADA</v>
      </c>
      <c r="C993" s="52">
        <v>0.75902777777777775</v>
      </c>
      <c r="D993" s="52">
        <v>0.76944444444444438</v>
      </c>
      <c r="E993" s="53">
        <f>'Reclamo de equipaje rediseñado'!$D993-'Reclamo de equipaje rediseñado'!$C993</f>
        <v>1.041666666666663E-2</v>
      </c>
      <c r="F993" s="52">
        <v>0.78402777777777777</v>
      </c>
      <c r="G993" s="53">
        <f t="shared" si="15"/>
        <v>1.4583333333333393E-2</v>
      </c>
      <c r="H993" s="54">
        <v>41720</v>
      </c>
      <c r="I993" s="55" t="s">
        <v>588</v>
      </c>
      <c r="J993" s="55">
        <v>320</v>
      </c>
      <c r="K993" s="55">
        <f>VLOOKUP(J993,'Validacion reclamo de equipaje'!L:M,2,0)</f>
        <v>179</v>
      </c>
      <c r="L993" s="55" t="str">
        <f>VLOOKUP(I993,'Validacion reclamo de equipaje'!H:I,2,0)</f>
        <v>Internacional</v>
      </c>
      <c r="M993" s="55" t="s">
        <v>522</v>
      </c>
    </row>
    <row r="994" spans="1:13" x14ac:dyDescent="0.25">
      <c r="A994">
        <v>931</v>
      </c>
      <c r="B994" s="47" t="str">
        <f>VLOOKUP(Tabla6[[#This Row],['# Vuelo]],'Validacion reclamo de equipaje'!P:Q,2,0)</f>
        <v>BARATA Y MORADA</v>
      </c>
      <c r="C994" s="48">
        <v>0.76944444444444438</v>
      </c>
      <c r="D994" s="48">
        <v>0.77777777777777779</v>
      </c>
      <c r="E994" s="49">
        <f>'Reclamo de equipaje rediseñado'!$D994-'Reclamo de equipaje rediseñado'!$C994</f>
        <v>8.3333333333334147E-3</v>
      </c>
      <c r="F994" s="48">
        <v>0.7944444444444444</v>
      </c>
      <c r="G994" s="49">
        <f t="shared" si="15"/>
        <v>1.6666666666666607E-2</v>
      </c>
      <c r="H994" s="50">
        <v>41721</v>
      </c>
      <c r="I994" s="51" t="s">
        <v>588</v>
      </c>
      <c r="J994" s="51">
        <v>320</v>
      </c>
      <c r="K994" s="51">
        <f>VLOOKUP(J994,'Validacion reclamo de equipaje'!L:M,2,0)</f>
        <v>179</v>
      </c>
      <c r="L994" s="51" t="str">
        <f>VLOOKUP(I994,'Validacion reclamo de equipaje'!H:I,2,0)</f>
        <v>Internacional</v>
      </c>
      <c r="M994" s="51" t="s">
        <v>522</v>
      </c>
    </row>
    <row r="995" spans="1:13" x14ac:dyDescent="0.25">
      <c r="A995">
        <v>931</v>
      </c>
      <c r="B995" s="47" t="str">
        <f>VLOOKUP(Tabla6[[#This Row],['# Vuelo]],'Validacion reclamo de equipaje'!P:Q,2,0)</f>
        <v>BARATA Y MORADA</v>
      </c>
      <c r="C995" s="52">
        <v>0.76111111111111107</v>
      </c>
      <c r="D995" s="52">
        <v>0.77083333333333337</v>
      </c>
      <c r="E995" s="53">
        <f>'Reclamo de equipaje rediseñado'!$D995-'Reclamo de equipaje rediseñado'!$C995</f>
        <v>9.7222222222222987E-3</v>
      </c>
      <c r="F995" s="52">
        <v>0.78819444444444453</v>
      </c>
      <c r="G995" s="53">
        <f t="shared" si="15"/>
        <v>1.736111111111116E-2</v>
      </c>
      <c r="H995" s="54">
        <v>41722</v>
      </c>
      <c r="I995" s="55" t="s">
        <v>588</v>
      </c>
      <c r="J995" s="55">
        <v>320</v>
      </c>
      <c r="K995" s="55">
        <f>VLOOKUP(J995,'Validacion reclamo de equipaje'!L:M,2,0)</f>
        <v>179</v>
      </c>
      <c r="L995" s="55" t="str">
        <f>VLOOKUP(I995,'Validacion reclamo de equipaje'!H:I,2,0)</f>
        <v>Internacional</v>
      </c>
      <c r="M995" s="55" t="s">
        <v>522</v>
      </c>
    </row>
    <row r="996" spans="1:13" x14ac:dyDescent="0.25">
      <c r="A996">
        <v>931</v>
      </c>
      <c r="B996" s="47" t="str">
        <f>VLOOKUP(Tabla6[[#This Row],['# Vuelo]],'Validacion reclamo de equipaje'!P:Q,2,0)</f>
        <v>BARATA Y MORADA</v>
      </c>
      <c r="C996" s="48">
        <v>0.76041666666666663</v>
      </c>
      <c r="D996" s="48">
        <v>0.77013888888888893</v>
      </c>
      <c r="E996" s="49">
        <f>'Reclamo de equipaje rediseñado'!$D996-'Reclamo de equipaje rediseñado'!$C996</f>
        <v>9.7222222222222987E-3</v>
      </c>
      <c r="F996" s="48">
        <v>0.78333333333333333</v>
      </c>
      <c r="G996" s="49">
        <f t="shared" si="15"/>
        <v>1.3194444444444398E-2</v>
      </c>
      <c r="H996" s="50">
        <v>41725</v>
      </c>
      <c r="I996" s="51" t="s">
        <v>588</v>
      </c>
      <c r="J996" s="51">
        <v>320</v>
      </c>
      <c r="K996" s="51">
        <f>VLOOKUP(J996,'Validacion reclamo de equipaje'!L:M,2,0)</f>
        <v>179</v>
      </c>
      <c r="L996" s="51" t="str">
        <f>VLOOKUP(I996,'Validacion reclamo de equipaje'!H:I,2,0)</f>
        <v>Internacional</v>
      </c>
      <c r="M996" s="51" t="s">
        <v>522</v>
      </c>
    </row>
    <row r="997" spans="1:13" x14ac:dyDescent="0.25">
      <c r="A997">
        <v>931</v>
      </c>
      <c r="B997" s="47" t="str">
        <f>VLOOKUP(Tabla6[[#This Row],['# Vuelo]],'Validacion reclamo de equipaje'!P:Q,2,0)</f>
        <v>BARATA Y MORADA</v>
      </c>
      <c r="C997" s="52">
        <v>0.77916666666666667</v>
      </c>
      <c r="D997" s="52">
        <v>0.78680555555555554</v>
      </c>
      <c r="E997" s="53">
        <f>'Reclamo de equipaje rediseñado'!$D997-'Reclamo de equipaje rediseñado'!$C997</f>
        <v>7.6388888888888618E-3</v>
      </c>
      <c r="F997" s="52">
        <v>0.80208333333333337</v>
      </c>
      <c r="G997" s="53">
        <f t="shared" si="15"/>
        <v>1.5277777777777835E-2</v>
      </c>
      <c r="H997" s="54">
        <v>41726</v>
      </c>
      <c r="I997" s="55" t="s">
        <v>588</v>
      </c>
      <c r="J997" s="55">
        <v>320</v>
      </c>
      <c r="K997" s="55">
        <f>VLOOKUP(J997,'Validacion reclamo de equipaje'!L:M,2,0)</f>
        <v>179</v>
      </c>
      <c r="L997" s="55" t="str">
        <f>VLOOKUP(I997,'Validacion reclamo de equipaje'!H:I,2,0)</f>
        <v>Internacional</v>
      </c>
      <c r="M997" s="55" t="s">
        <v>522</v>
      </c>
    </row>
    <row r="998" spans="1:13" x14ac:dyDescent="0.25">
      <c r="A998">
        <v>931</v>
      </c>
      <c r="B998" s="47" t="str">
        <f>VLOOKUP(Tabla6[[#This Row],['# Vuelo]],'Validacion reclamo de equipaje'!P:Q,2,0)</f>
        <v>BARATA Y MORADA</v>
      </c>
      <c r="C998" s="48">
        <v>0.76250000000000007</v>
      </c>
      <c r="D998" s="48">
        <v>0.77361111111111114</v>
      </c>
      <c r="E998" s="49">
        <f>'Reclamo de equipaje rediseñado'!$D998-'Reclamo de equipaje rediseñado'!$C998</f>
        <v>1.1111111111111072E-2</v>
      </c>
      <c r="F998" s="48">
        <v>0.78749999999999998</v>
      </c>
      <c r="G998" s="49">
        <f t="shared" si="15"/>
        <v>1.388888888888884E-2</v>
      </c>
      <c r="H998" s="50">
        <v>41727</v>
      </c>
      <c r="I998" s="51" t="s">
        <v>588</v>
      </c>
      <c r="J998" s="51">
        <v>320</v>
      </c>
      <c r="K998" s="51">
        <f>VLOOKUP(J998,'Validacion reclamo de equipaje'!L:M,2,0)</f>
        <v>179</v>
      </c>
      <c r="L998" s="51" t="str">
        <f>VLOOKUP(I998,'Validacion reclamo de equipaje'!H:I,2,0)</f>
        <v>Internacional</v>
      </c>
      <c r="M998" s="51" t="s">
        <v>522</v>
      </c>
    </row>
    <row r="999" spans="1:13" x14ac:dyDescent="0.25">
      <c r="A999">
        <v>931</v>
      </c>
      <c r="B999" s="47" t="str">
        <f>VLOOKUP(Tabla6[[#This Row],['# Vuelo]],'Validacion reclamo de equipaje'!P:Q,2,0)</f>
        <v>BARATA Y MORADA</v>
      </c>
      <c r="C999" s="52">
        <v>0.76944444444444438</v>
      </c>
      <c r="D999" s="52">
        <v>0.77777777777777779</v>
      </c>
      <c r="E999" s="53">
        <f>'Reclamo de equipaje rediseñado'!$D999-'Reclamo de equipaje rediseñado'!$C999</f>
        <v>8.3333333333334147E-3</v>
      </c>
      <c r="F999" s="52">
        <v>0.78125</v>
      </c>
      <c r="G999" s="53">
        <f t="shared" si="15"/>
        <v>3.4722222222222099E-3</v>
      </c>
      <c r="H999" s="54">
        <v>41728</v>
      </c>
      <c r="I999" s="55" t="s">
        <v>588</v>
      </c>
      <c r="J999" s="55">
        <v>320</v>
      </c>
      <c r="K999" s="55">
        <f>VLOOKUP(J999,'Validacion reclamo de equipaje'!L:M,2,0)</f>
        <v>179</v>
      </c>
      <c r="L999" s="55" t="str">
        <f>VLOOKUP(I999,'Validacion reclamo de equipaje'!H:I,2,0)</f>
        <v>Internacional</v>
      </c>
      <c r="M999" s="55" t="s">
        <v>522</v>
      </c>
    </row>
    <row r="1000" spans="1:13" x14ac:dyDescent="0.25">
      <c r="A1000">
        <v>931</v>
      </c>
      <c r="B1000" s="47" t="str">
        <f>VLOOKUP(Tabla6[[#This Row],['# Vuelo]],'Validacion reclamo de equipaje'!P:Q,2,0)</f>
        <v>BARATA Y MORADA</v>
      </c>
      <c r="C1000" s="48">
        <v>0.76388888888888884</v>
      </c>
      <c r="D1000" s="48">
        <v>0.77430555555555547</v>
      </c>
      <c r="E1000" s="49">
        <f>'Reclamo de equipaje rediseñado'!$D1000-'Reclamo de equipaje rediseñado'!$C1000</f>
        <v>1.041666666666663E-2</v>
      </c>
      <c r="F1000" s="48">
        <v>0.79027777777777775</v>
      </c>
      <c r="G1000" s="49">
        <f t="shared" si="15"/>
        <v>1.5972222222222276E-2</v>
      </c>
      <c r="H1000" s="50">
        <v>41729</v>
      </c>
      <c r="I1000" s="51" t="s">
        <v>588</v>
      </c>
      <c r="J1000" s="51">
        <v>320</v>
      </c>
      <c r="K1000" s="51">
        <f>VLOOKUP(J1000,'Validacion reclamo de equipaje'!L:M,2,0)</f>
        <v>179</v>
      </c>
      <c r="L1000" s="51" t="str">
        <f>VLOOKUP(I1000,'Validacion reclamo de equipaje'!H:I,2,0)</f>
        <v>Internacional</v>
      </c>
      <c r="M1000" s="51" t="s">
        <v>522</v>
      </c>
    </row>
    <row r="1001" spans="1:13" x14ac:dyDescent="0.25">
      <c r="A1001">
        <v>930</v>
      </c>
      <c r="B1001" s="47" t="str">
        <f>VLOOKUP(Tabla6[[#This Row],['# Vuelo]],'Validacion reclamo de equipaje'!P:Q,2,0)</f>
        <v>BARATA Y MORADA</v>
      </c>
      <c r="C1001" s="52">
        <v>0.76111111111111107</v>
      </c>
      <c r="D1001" s="52">
        <v>0.77083333333333337</v>
      </c>
      <c r="E1001" s="53">
        <f>'Reclamo de equipaje rediseñado'!$D1001-'Reclamo de equipaje rediseñado'!$C1001</f>
        <v>9.7222222222222987E-3</v>
      </c>
      <c r="F1001" s="52">
        <v>0.79027777777777775</v>
      </c>
      <c r="G1001" s="53">
        <f t="shared" si="15"/>
        <v>1.9444444444444375E-2</v>
      </c>
      <c r="H1001" s="54">
        <v>41727</v>
      </c>
      <c r="I1001" s="55" t="s">
        <v>555</v>
      </c>
      <c r="J1001" s="55" t="s">
        <v>572</v>
      </c>
      <c r="K1001" s="55">
        <f>VLOOKUP(J1001,'Validacion reclamo de equipaje'!L:M,2,0)</f>
        <v>142</v>
      </c>
      <c r="L1001" s="55" t="str">
        <f>VLOOKUP(I1001,'Validacion reclamo de equipaje'!H:I,2,0)</f>
        <v>Internacional</v>
      </c>
      <c r="M1001" s="55" t="s">
        <v>522</v>
      </c>
    </row>
    <row r="1002" spans="1:13" x14ac:dyDescent="0.25">
      <c r="A1002">
        <v>917</v>
      </c>
      <c r="B1002" s="47" t="str">
        <f>VLOOKUP(Tabla6[[#This Row],['# Vuelo]],'Validacion reclamo de equipaje'!P:Q,2,0)</f>
        <v>BARATA Y MORADA</v>
      </c>
      <c r="C1002" s="48">
        <v>0.96597222222222223</v>
      </c>
      <c r="D1002" s="48">
        <v>0.97361111111111109</v>
      </c>
      <c r="E1002" s="49">
        <f>'Reclamo de equipaje rediseñado'!$D1002-'Reclamo de equipaje rediseñado'!$C1002</f>
        <v>7.6388888888888618E-3</v>
      </c>
      <c r="F1002" s="48">
        <v>0.99375000000000002</v>
      </c>
      <c r="G1002" s="49">
        <f t="shared" si="15"/>
        <v>2.0138888888888928E-2</v>
      </c>
      <c r="H1002" s="50">
        <v>41721</v>
      </c>
      <c r="I1002" s="51" t="s">
        <v>555</v>
      </c>
      <c r="J1002" s="51" t="s">
        <v>572</v>
      </c>
      <c r="K1002" s="51">
        <f>VLOOKUP(J1002,'Validacion reclamo de equipaje'!L:M,2,0)</f>
        <v>142</v>
      </c>
      <c r="L1002" s="51" t="str">
        <f>VLOOKUP(I1002,'Validacion reclamo de equipaje'!H:I,2,0)</f>
        <v>Internacional</v>
      </c>
      <c r="M1002" s="51" t="s">
        <v>522</v>
      </c>
    </row>
    <row r="1003" spans="1:13" x14ac:dyDescent="0.25">
      <c r="A1003">
        <v>917</v>
      </c>
      <c r="B1003" s="47" t="str">
        <f>VLOOKUP(Tabla6[[#This Row],['# Vuelo]],'Validacion reclamo de equipaje'!P:Q,2,0)</f>
        <v>BARATA Y MORADA</v>
      </c>
      <c r="C1003" s="52">
        <v>0.95416666666666661</v>
      </c>
      <c r="D1003" s="52">
        <v>0.97499999999999998</v>
      </c>
      <c r="E1003" s="53">
        <f>'Reclamo de equipaje rediseñado'!$D1003-'Reclamo de equipaje rediseñado'!$C1003</f>
        <v>2.083333333333337E-2</v>
      </c>
      <c r="F1003" s="52">
        <v>0.99375000000000002</v>
      </c>
      <c r="G1003" s="53">
        <f t="shared" si="15"/>
        <v>1.8750000000000044E-2</v>
      </c>
      <c r="H1003" s="54">
        <v>41728</v>
      </c>
      <c r="I1003" s="55" t="s">
        <v>555</v>
      </c>
      <c r="J1003" s="55" t="s">
        <v>572</v>
      </c>
      <c r="K1003" s="55">
        <f>VLOOKUP(J1003,'Validacion reclamo de equipaje'!L:M,2,0)</f>
        <v>142</v>
      </c>
      <c r="L1003" s="55" t="str">
        <f>VLOOKUP(I1003,'Validacion reclamo de equipaje'!H:I,2,0)</f>
        <v>Internacional</v>
      </c>
      <c r="M1003" s="55" t="s">
        <v>522</v>
      </c>
    </row>
    <row r="1004" spans="1:13" x14ac:dyDescent="0.25">
      <c r="A1004">
        <v>915</v>
      </c>
      <c r="B1004" s="47" t="str">
        <f>VLOOKUP(Tabla6[[#This Row],['# Vuelo]],'Validacion reclamo de equipaje'!P:Q,2,0)</f>
        <v>BARATA Y MORADA</v>
      </c>
      <c r="C1004" s="48">
        <v>0.85069444444444453</v>
      </c>
      <c r="D1004" s="48">
        <v>0.85972222222222217</v>
      </c>
      <c r="E1004" s="49">
        <f>'Reclamo de equipaje rediseñado'!$D1004-'Reclamo de equipaje rediseñado'!$C1004</f>
        <v>9.0277777777776347E-3</v>
      </c>
      <c r="F1004" s="48">
        <v>0.87986111111111109</v>
      </c>
      <c r="G1004" s="49">
        <f t="shared" si="15"/>
        <v>2.0138888888888928E-2</v>
      </c>
      <c r="H1004" s="50">
        <v>41713</v>
      </c>
      <c r="I1004" s="51" t="s">
        <v>555</v>
      </c>
      <c r="J1004" s="51">
        <v>320</v>
      </c>
      <c r="K1004" s="51">
        <f>VLOOKUP(J1004,'Validacion reclamo de equipaje'!L:M,2,0)</f>
        <v>179</v>
      </c>
      <c r="L1004" s="51" t="str">
        <f>VLOOKUP(I1004,'Validacion reclamo de equipaje'!H:I,2,0)</f>
        <v>Internacional</v>
      </c>
      <c r="M1004" s="51" t="s">
        <v>522</v>
      </c>
    </row>
    <row r="1005" spans="1:13" x14ac:dyDescent="0.25">
      <c r="A1005">
        <v>915</v>
      </c>
      <c r="B1005" s="47" t="str">
        <f>VLOOKUP(Tabla6[[#This Row],['# Vuelo]],'Validacion reclamo de equipaje'!P:Q,2,0)</f>
        <v>BARATA Y MORADA</v>
      </c>
      <c r="C1005" s="52">
        <v>0.85</v>
      </c>
      <c r="D1005" s="52">
        <v>0.85763888888888884</v>
      </c>
      <c r="E1005" s="53">
        <f>'Reclamo de equipaje rediseñado'!$D1005-'Reclamo de equipaje rediseñado'!$C1005</f>
        <v>7.6388888888888618E-3</v>
      </c>
      <c r="F1005" s="52">
        <v>0.8652777777777777</v>
      </c>
      <c r="G1005" s="53">
        <f t="shared" si="15"/>
        <v>7.6388888888888618E-3</v>
      </c>
      <c r="H1005" s="54">
        <v>41716</v>
      </c>
      <c r="I1005" s="55" t="s">
        <v>555</v>
      </c>
      <c r="J1005" s="55">
        <v>320</v>
      </c>
      <c r="K1005" s="55">
        <f>VLOOKUP(J1005,'Validacion reclamo de equipaje'!L:M,2,0)</f>
        <v>179</v>
      </c>
      <c r="L1005" s="55" t="str">
        <f>VLOOKUP(I1005,'Validacion reclamo de equipaje'!H:I,2,0)</f>
        <v>Internacional</v>
      </c>
      <c r="M1005" s="55" t="s">
        <v>522</v>
      </c>
    </row>
    <row r="1006" spans="1:13" x14ac:dyDescent="0.25">
      <c r="A1006">
        <v>915</v>
      </c>
      <c r="B1006" s="47" t="str">
        <f>VLOOKUP(Tabla6[[#This Row],['# Vuelo]],'Validacion reclamo de equipaje'!P:Q,2,0)</f>
        <v>BARATA Y MORADA</v>
      </c>
      <c r="C1006" s="48">
        <v>0.8520833333333333</v>
      </c>
      <c r="D1006" s="48">
        <v>0.8618055555555556</v>
      </c>
      <c r="E1006" s="49">
        <f>'Reclamo de equipaje rediseñado'!$D1006-'Reclamo de equipaje rediseñado'!$C1006</f>
        <v>9.7222222222222987E-3</v>
      </c>
      <c r="F1006" s="48">
        <v>0.88541666666666663</v>
      </c>
      <c r="G1006" s="49">
        <f t="shared" si="15"/>
        <v>2.3611111111111027E-2</v>
      </c>
      <c r="H1006" s="50">
        <v>41717</v>
      </c>
      <c r="I1006" s="51" t="s">
        <v>555</v>
      </c>
      <c r="J1006" s="51">
        <v>320</v>
      </c>
      <c r="K1006" s="51">
        <f>VLOOKUP(J1006,'Validacion reclamo de equipaje'!L:M,2,0)</f>
        <v>179</v>
      </c>
      <c r="L1006" s="51" t="str">
        <f>VLOOKUP(I1006,'Validacion reclamo de equipaje'!H:I,2,0)</f>
        <v>Internacional</v>
      </c>
      <c r="M1006" s="51" t="s">
        <v>522</v>
      </c>
    </row>
    <row r="1007" spans="1:13" x14ac:dyDescent="0.25">
      <c r="A1007">
        <v>915</v>
      </c>
      <c r="B1007" s="47" t="str">
        <f>VLOOKUP(Tabla6[[#This Row],['# Vuelo]],'Validacion reclamo de equipaje'!P:Q,2,0)</f>
        <v>BARATA Y MORADA</v>
      </c>
      <c r="C1007" s="52">
        <v>0.85486111111111107</v>
      </c>
      <c r="D1007" s="52">
        <v>0.90625</v>
      </c>
      <c r="E1007" s="53">
        <f>'Reclamo de equipaje rediseñado'!$D1007-'Reclamo de equipaje rediseñado'!$C1007</f>
        <v>5.1388888888888928E-2</v>
      </c>
      <c r="F1007" s="52">
        <v>0.9277777777777777</v>
      </c>
      <c r="G1007" s="53">
        <f t="shared" si="15"/>
        <v>2.1527777777777701E-2</v>
      </c>
      <c r="H1007" s="54">
        <v>41719</v>
      </c>
      <c r="I1007" s="55" t="s">
        <v>555</v>
      </c>
      <c r="J1007" s="55">
        <v>320</v>
      </c>
      <c r="K1007" s="55">
        <f>VLOOKUP(J1007,'Validacion reclamo de equipaje'!L:M,2,0)</f>
        <v>179</v>
      </c>
      <c r="L1007" s="55" t="str">
        <f>VLOOKUP(I1007,'Validacion reclamo de equipaje'!H:I,2,0)</f>
        <v>Internacional</v>
      </c>
      <c r="M1007" s="55" t="s">
        <v>522</v>
      </c>
    </row>
    <row r="1008" spans="1:13" x14ac:dyDescent="0.25">
      <c r="A1008">
        <v>915</v>
      </c>
      <c r="B1008" s="47" t="str">
        <f>VLOOKUP(Tabla6[[#This Row],['# Vuelo]],'Validacion reclamo de equipaje'!P:Q,2,0)</f>
        <v>BARATA Y MORADA</v>
      </c>
      <c r="C1008" s="48">
        <v>0.84652777777777777</v>
      </c>
      <c r="D1008" s="48">
        <v>0.86249999999999993</v>
      </c>
      <c r="E1008" s="49">
        <f>'Reclamo de equipaje rediseñado'!$D1008-'Reclamo de equipaje rediseñado'!$C1008</f>
        <v>1.5972222222222165E-2</v>
      </c>
      <c r="F1008" s="48">
        <v>0.8930555555555556</v>
      </c>
      <c r="G1008" s="49">
        <f t="shared" si="15"/>
        <v>3.0555555555555669E-2</v>
      </c>
      <c r="H1008" s="50">
        <v>41719</v>
      </c>
      <c r="I1008" s="51" t="s">
        <v>555</v>
      </c>
      <c r="J1008" s="51">
        <v>320</v>
      </c>
      <c r="K1008" s="51">
        <f>VLOOKUP(J1008,'Validacion reclamo de equipaje'!L:M,2,0)</f>
        <v>179</v>
      </c>
      <c r="L1008" s="51" t="str">
        <f>VLOOKUP(I1008,'Validacion reclamo de equipaje'!H:I,2,0)</f>
        <v>Internacional</v>
      </c>
      <c r="M1008" s="51" t="s">
        <v>522</v>
      </c>
    </row>
    <row r="1009" spans="1:13" x14ac:dyDescent="0.25">
      <c r="A1009">
        <v>915</v>
      </c>
      <c r="B1009" s="47" t="str">
        <f>VLOOKUP(Tabla6[[#This Row],['# Vuelo]],'Validacion reclamo de equipaje'!P:Q,2,0)</f>
        <v>BARATA Y MORADA</v>
      </c>
      <c r="C1009" s="52">
        <v>0.85902777777777783</v>
      </c>
      <c r="D1009" s="52">
        <v>0.87222222222222223</v>
      </c>
      <c r="E1009" s="53">
        <f>'Reclamo de equipaje rediseñado'!$D1009-'Reclamo de equipaje rediseñado'!$C1009</f>
        <v>1.3194444444444398E-2</v>
      </c>
      <c r="F1009" s="52">
        <v>0.89444444444444438</v>
      </c>
      <c r="G1009" s="53">
        <f t="shared" si="15"/>
        <v>2.2222222222222143E-2</v>
      </c>
      <c r="H1009" s="54">
        <v>41721</v>
      </c>
      <c r="I1009" s="55" t="s">
        <v>555</v>
      </c>
      <c r="J1009" s="55">
        <v>320</v>
      </c>
      <c r="K1009" s="55">
        <f>VLOOKUP(J1009,'Validacion reclamo de equipaje'!L:M,2,0)</f>
        <v>179</v>
      </c>
      <c r="L1009" s="55" t="str">
        <f>VLOOKUP(I1009,'Validacion reclamo de equipaje'!H:I,2,0)</f>
        <v>Internacional</v>
      </c>
      <c r="M1009" s="55" t="s">
        <v>522</v>
      </c>
    </row>
    <row r="1010" spans="1:13" x14ac:dyDescent="0.25">
      <c r="A1010">
        <v>915</v>
      </c>
      <c r="B1010" s="47" t="str">
        <f>VLOOKUP(Tabla6[[#This Row],['# Vuelo]],'Validacion reclamo de equipaje'!P:Q,2,0)</f>
        <v>BARATA Y MORADA</v>
      </c>
      <c r="C1010" s="48">
        <v>0.85763888888888884</v>
      </c>
      <c r="D1010" s="48">
        <v>0.8666666666666667</v>
      </c>
      <c r="E1010" s="49">
        <f>'Reclamo de equipaje rediseñado'!$D1010-'Reclamo de equipaje rediseñado'!$C1010</f>
        <v>9.0277777777778567E-3</v>
      </c>
      <c r="F1010" s="48">
        <v>0.89166666666666661</v>
      </c>
      <c r="G1010" s="49">
        <f t="shared" si="15"/>
        <v>2.4999999999999911E-2</v>
      </c>
      <c r="H1010" s="50">
        <v>41721</v>
      </c>
      <c r="I1010" s="51" t="s">
        <v>555</v>
      </c>
      <c r="J1010" s="51">
        <v>320</v>
      </c>
      <c r="K1010" s="51">
        <f>VLOOKUP(J1010,'Validacion reclamo de equipaje'!L:M,2,0)</f>
        <v>179</v>
      </c>
      <c r="L1010" s="51" t="str">
        <f>VLOOKUP(I1010,'Validacion reclamo de equipaje'!H:I,2,0)</f>
        <v>Internacional</v>
      </c>
      <c r="M1010" s="51" t="s">
        <v>522</v>
      </c>
    </row>
    <row r="1011" spans="1:13" x14ac:dyDescent="0.25">
      <c r="A1011">
        <v>915</v>
      </c>
      <c r="B1011" s="47" t="str">
        <f>VLOOKUP(Tabla6[[#This Row],['# Vuelo]],'Validacion reclamo de equipaje'!P:Q,2,0)</f>
        <v>BARATA Y MORADA</v>
      </c>
      <c r="C1011" s="52">
        <v>0.85555555555555562</v>
      </c>
      <c r="D1011" s="52">
        <v>0.86319444444444438</v>
      </c>
      <c r="E1011" s="53">
        <f>'Reclamo de equipaje rediseñado'!$D1011-'Reclamo de equipaje rediseñado'!$C1011</f>
        <v>7.6388888888887507E-3</v>
      </c>
      <c r="F1011" s="52">
        <v>0.88124999999999998</v>
      </c>
      <c r="G1011" s="53">
        <f t="shared" si="15"/>
        <v>1.8055555555555602E-2</v>
      </c>
      <c r="H1011" s="54">
        <v>41723</v>
      </c>
      <c r="I1011" s="55" t="s">
        <v>555</v>
      </c>
      <c r="J1011" s="55">
        <v>320</v>
      </c>
      <c r="K1011" s="55">
        <f>VLOOKUP(J1011,'Validacion reclamo de equipaje'!L:M,2,0)</f>
        <v>179</v>
      </c>
      <c r="L1011" s="55" t="str">
        <f>VLOOKUP(I1011,'Validacion reclamo de equipaje'!H:I,2,0)</f>
        <v>Internacional</v>
      </c>
      <c r="M1011" s="55" t="s">
        <v>522</v>
      </c>
    </row>
    <row r="1012" spans="1:13" x14ac:dyDescent="0.25">
      <c r="A1012">
        <v>915</v>
      </c>
      <c r="B1012" s="47" t="str">
        <f>VLOOKUP(Tabla6[[#This Row],['# Vuelo]],'Validacion reclamo de equipaje'!P:Q,2,0)</f>
        <v>BARATA Y MORADA</v>
      </c>
      <c r="C1012" s="48">
        <v>0.84583333333333333</v>
      </c>
      <c r="D1012" s="48">
        <v>0.85625000000000007</v>
      </c>
      <c r="E1012" s="49">
        <f>'Reclamo de equipaje rediseñado'!$D1012-'Reclamo de equipaje rediseñado'!$C1012</f>
        <v>1.0416666666666741E-2</v>
      </c>
      <c r="F1012" s="48">
        <v>0.87152777777777779</v>
      </c>
      <c r="G1012" s="49">
        <f t="shared" si="15"/>
        <v>1.5277777777777724E-2</v>
      </c>
      <c r="H1012" s="50">
        <v>41724</v>
      </c>
      <c r="I1012" s="51" t="s">
        <v>555</v>
      </c>
      <c r="J1012" s="51">
        <v>320</v>
      </c>
      <c r="K1012" s="51">
        <f>VLOOKUP(J1012,'Validacion reclamo de equipaje'!L:M,2,0)</f>
        <v>179</v>
      </c>
      <c r="L1012" s="51" t="str">
        <f>VLOOKUP(I1012,'Validacion reclamo de equipaje'!H:I,2,0)</f>
        <v>Internacional</v>
      </c>
      <c r="M1012" s="51" t="s">
        <v>522</v>
      </c>
    </row>
    <row r="1013" spans="1:13" x14ac:dyDescent="0.25">
      <c r="A1013">
        <v>915</v>
      </c>
      <c r="B1013" s="47" t="str">
        <f>VLOOKUP(Tabla6[[#This Row],['# Vuelo]],'Validacion reclamo de equipaje'!P:Q,2,0)</f>
        <v>BARATA Y MORADA</v>
      </c>
      <c r="C1013" s="52">
        <v>0.85069444444444453</v>
      </c>
      <c r="D1013" s="52">
        <v>0.86319444444444438</v>
      </c>
      <c r="E1013" s="53">
        <f>'Reclamo de equipaje rediseñado'!$D1013-'Reclamo de equipaje rediseñado'!$C1013</f>
        <v>1.2499999999999845E-2</v>
      </c>
      <c r="F1013" s="52">
        <v>0.8979166666666667</v>
      </c>
      <c r="G1013" s="53">
        <f t="shared" si="15"/>
        <v>3.4722222222222321E-2</v>
      </c>
      <c r="H1013" s="54">
        <v>41725</v>
      </c>
      <c r="I1013" s="55" t="s">
        <v>555</v>
      </c>
      <c r="J1013" s="55">
        <v>320</v>
      </c>
      <c r="K1013" s="55">
        <f>VLOOKUP(J1013,'Validacion reclamo de equipaje'!L:M,2,0)</f>
        <v>179</v>
      </c>
      <c r="L1013" s="55" t="str">
        <f>VLOOKUP(I1013,'Validacion reclamo de equipaje'!H:I,2,0)</f>
        <v>Internacional</v>
      </c>
      <c r="M1013" s="55" t="s">
        <v>522</v>
      </c>
    </row>
    <row r="1014" spans="1:13" x14ac:dyDescent="0.25">
      <c r="A1014">
        <v>915</v>
      </c>
      <c r="B1014" s="47" t="str">
        <f>VLOOKUP(Tabla6[[#This Row],['# Vuelo]],'Validacion reclamo de equipaje'!P:Q,2,0)</f>
        <v>BARATA Y MORADA</v>
      </c>
      <c r="C1014" s="48">
        <v>0.8520833333333333</v>
      </c>
      <c r="D1014" s="48">
        <v>0.86458333333333337</v>
      </c>
      <c r="E1014" s="49">
        <f>'Reclamo de equipaje rediseñado'!$D1014-'Reclamo de equipaje rediseñado'!$C1014</f>
        <v>1.2500000000000067E-2</v>
      </c>
      <c r="F1014" s="48">
        <v>0.89583333333333337</v>
      </c>
      <c r="G1014" s="49">
        <f t="shared" si="15"/>
        <v>3.125E-2</v>
      </c>
      <c r="H1014" s="50">
        <v>41727</v>
      </c>
      <c r="I1014" s="51" t="s">
        <v>555</v>
      </c>
      <c r="J1014" s="51">
        <v>320</v>
      </c>
      <c r="K1014" s="51">
        <f>VLOOKUP(J1014,'Validacion reclamo de equipaje'!L:M,2,0)</f>
        <v>179</v>
      </c>
      <c r="L1014" s="51" t="str">
        <f>VLOOKUP(I1014,'Validacion reclamo de equipaje'!H:I,2,0)</f>
        <v>Internacional</v>
      </c>
      <c r="M1014" s="51" t="s">
        <v>522</v>
      </c>
    </row>
    <row r="1015" spans="1:13" x14ac:dyDescent="0.25">
      <c r="A1015">
        <v>915</v>
      </c>
      <c r="B1015" s="47" t="str">
        <f>VLOOKUP(Tabla6[[#This Row],['# Vuelo]],'Validacion reclamo de equipaje'!P:Q,2,0)</f>
        <v>BARATA Y MORADA</v>
      </c>
      <c r="C1015" s="52">
        <v>0.85069444444444453</v>
      </c>
      <c r="D1015" s="52">
        <v>0.8652777777777777</v>
      </c>
      <c r="E1015" s="53">
        <f>'Reclamo de equipaje rediseñado'!$D1015-'Reclamo de equipaje rediseñado'!$C1015</f>
        <v>1.4583333333333171E-2</v>
      </c>
      <c r="F1015" s="52">
        <v>0.88194444444444453</v>
      </c>
      <c r="G1015" s="53">
        <f t="shared" si="15"/>
        <v>1.6666666666666829E-2</v>
      </c>
      <c r="H1015" s="54">
        <v>41728</v>
      </c>
      <c r="I1015" s="55" t="s">
        <v>555</v>
      </c>
      <c r="J1015" s="55">
        <v>320</v>
      </c>
      <c r="K1015" s="55">
        <f>VLOOKUP(J1015,'Validacion reclamo de equipaje'!L:M,2,0)</f>
        <v>179</v>
      </c>
      <c r="L1015" s="55" t="str">
        <f>VLOOKUP(I1015,'Validacion reclamo de equipaje'!H:I,2,0)</f>
        <v>Internacional</v>
      </c>
      <c r="M1015" s="55" t="s">
        <v>522</v>
      </c>
    </row>
    <row r="1016" spans="1:13" x14ac:dyDescent="0.25">
      <c r="A1016">
        <v>913</v>
      </c>
      <c r="B1016" s="47" t="str">
        <f>VLOOKUP(Tabla6[[#This Row],['# Vuelo]],'Validacion reclamo de equipaje'!P:Q,2,0)</f>
        <v>BARATA Y MORADA</v>
      </c>
      <c r="C1016" s="48">
        <v>0.25416666666666665</v>
      </c>
      <c r="D1016" s="48">
        <v>0.26944444444444443</v>
      </c>
      <c r="E1016" s="49">
        <f>'Reclamo de equipaje rediseñado'!$D1016-'Reclamo de equipaje rediseñado'!$C1016</f>
        <v>1.5277777777777779E-2</v>
      </c>
      <c r="F1016" s="48">
        <v>0.28611111111111115</v>
      </c>
      <c r="G1016" s="49">
        <f t="shared" si="15"/>
        <v>1.6666666666666718E-2</v>
      </c>
      <c r="H1016" s="50">
        <v>41715</v>
      </c>
      <c r="I1016" s="51" t="s">
        <v>555</v>
      </c>
      <c r="J1016" s="51">
        <v>320</v>
      </c>
      <c r="K1016" s="51">
        <f>VLOOKUP(J1016,'Validacion reclamo de equipaje'!L:M,2,0)</f>
        <v>179</v>
      </c>
      <c r="L1016" s="51" t="str">
        <f>VLOOKUP(I1016,'Validacion reclamo de equipaje'!H:I,2,0)</f>
        <v>Internacional</v>
      </c>
      <c r="M1016" s="51" t="s">
        <v>522</v>
      </c>
    </row>
    <row r="1017" spans="1:13" x14ac:dyDescent="0.25">
      <c r="A1017">
        <v>913</v>
      </c>
      <c r="B1017" s="47" t="str">
        <f>VLOOKUP(Tabla6[[#This Row],['# Vuelo]],'Validacion reclamo de equipaje'!P:Q,2,0)</f>
        <v>BARATA Y MORADA</v>
      </c>
      <c r="C1017" s="52">
        <v>0.25138888888888888</v>
      </c>
      <c r="D1017" s="52">
        <v>0.25972222222222224</v>
      </c>
      <c r="E1017" s="53">
        <f>'Reclamo de equipaje rediseñado'!$D1017-'Reclamo de equipaje rediseñado'!$C1017</f>
        <v>8.3333333333333592E-3</v>
      </c>
      <c r="F1017" s="52">
        <v>0.29375000000000001</v>
      </c>
      <c r="G1017" s="53">
        <f t="shared" si="15"/>
        <v>3.4027777777777768E-2</v>
      </c>
      <c r="H1017" s="54">
        <v>41716</v>
      </c>
      <c r="I1017" s="55" t="s">
        <v>555</v>
      </c>
      <c r="J1017" s="55">
        <v>320</v>
      </c>
      <c r="K1017" s="55">
        <f>VLOOKUP(J1017,'Validacion reclamo de equipaje'!L:M,2,0)</f>
        <v>179</v>
      </c>
      <c r="L1017" s="55" t="str">
        <f>VLOOKUP(I1017,'Validacion reclamo de equipaje'!H:I,2,0)</f>
        <v>Internacional</v>
      </c>
      <c r="M1017" s="55" t="s">
        <v>522</v>
      </c>
    </row>
    <row r="1018" spans="1:13" x14ac:dyDescent="0.25">
      <c r="A1018">
        <v>913</v>
      </c>
      <c r="B1018" s="47" t="str">
        <f>VLOOKUP(Tabla6[[#This Row],['# Vuelo]],'Validacion reclamo de equipaje'!P:Q,2,0)</f>
        <v>BARATA Y MORADA</v>
      </c>
      <c r="C1018" s="48">
        <v>0.25763888888888892</v>
      </c>
      <c r="D1018" s="48">
        <v>0.26944444444444443</v>
      </c>
      <c r="E1018" s="49">
        <f>'Reclamo de equipaje rediseñado'!$D1018-'Reclamo de equipaje rediseñado'!$C1018</f>
        <v>1.1805555555555514E-2</v>
      </c>
      <c r="F1018" s="48">
        <v>0.29097222222222224</v>
      </c>
      <c r="G1018" s="49">
        <f t="shared" si="15"/>
        <v>2.1527777777777812E-2</v>
      </c>
      <c r="H1018" s="50">
        <v>41717</v>
      </c>
      <c r="I1018" s="51" t="s">
        <v>555</v>
      </c>
      <c r="J1018" s="51">
        <v>320</v>
      </c>
      <c r="K1018" s="51">
        <f>VLOOKUP(J1018,'Validacion reclamo de equipaje'!L:M,2,0)</f>
        <v>179</v>
      </c>
      <c r="L1018" s="51" t="str">
        <f>VLOOKUP(I1018,'Validacion reclamo de equipaje'!H:I,2,0)</f>
        <v>Internacional</v>
      </c>
      <c r="M1018" s="51" t="s">
        <v>522</v>
      </c>
    </row>
    <row r="1019" spans="1:13" x14ac:dyDescent="0.25">
      <c r="A1019">
        <v>913</v>
      </c>
      <c r="B1019" s="47" t="str">
        <f>VLOOKUP(Tabla6[[#This Row],['# Vuelo]],'Validacion reclamo de equipaje'!P:Q,2,0)</f>
        <v>BARATA Y MORADA</v>
      </c>
      <c r="C1019" s="52">
        <v>0.26319444444444445</v>
      </c>
      <c r="D1019" s="52">
        <v>0.27430555555555552</v>
      </c>
      <c r="E1019" s="53">
        <f>'Reclamo de equipaje rediseñado'!$D1019-'Reclamo de equipaje rediseñado'!$C1019</f>
        <v>1.1111111111111072E-2</v>
      </c>
      <c r="F1019" s="52">
        <v>0.29583333333333334</v>
      </c>
      <c r="G1019" s="53">
        <f t="shared" si="15"/>
        <v>2.1527777777777812E-2</v>
      </c>
      <c r="H1019" s="54">
        <v>41719</v>
      </c>
      <c r="I1019" s="55" t="s">
        <v>555</v>
      </c>
      <c r="J1019" s="55">
        <v>320</v>
      </c>
      <c r="K1019" s="55">
        <f>VLOOKUP(J1019,'Validacion reclamo de equipaje'!L:M,2,0)</f>
        <v>179</v>
      </c>
      <c r="L1019" s="55" t="str">
        <f>VLOOKUP(I1019,'Validacion reclamo de equipaje'!H:I,2,0)</f>
        <v>Internacional</v>
      </c>
      <c r="M1019" s="55" t="s">
        <v>522</v>
      </c>
    </row>
    <row r="1020" spans="1:13" x14ac:dyDescent="0.25">
      <c r="A1020">
        <v>913</v>
      </c>
      <c r="B1020" s="47" t="str">
        <f>VLOOKUP(Tabla6[[#This Row],['# Vuelo]],'Validacion reclamo de equipaje'!P:Q,2,0)</f>
        <v>BARATA Y MORADA</v>
      </c>
      <c r="C1020" s="48">
        <v>0.25416666666666665</v>
      </c>
      <c r="D1020" s="48">
        <v>0.26805555555555555</v>
      </c>
      <c r="E1020" s="49">
        <f>'Reclamo de equipaje rediseñado'!$D1020-'Reclamo de equipaje rediseñado'!$C1020</f>
        <v>1.3888888888888895E-2</v>
      </c>
      <c r="F1020" s="48">
        <v>0.28611111111111115</v>
      </c>
      <c r="G1020" s="49">
        <f t="shared" si="15"/>
        <v>1.8055555555555602E-2</v>
      </c>
      <c r="H1020" s="50">
        <v>41721</v>
      </c>
      <c r="I1020" s="51" t="s">
        <v>555</v>
      </c>
      <c r="J1020" s="51">
        <v>320</v>
      </c>
      <c r="K1020" s="51">
        <f>VLOOKUP(J1020,'Validacion reclamo de equipaje'!L:M,2,0)</f>
        <v>179</v>
      </c>
      <c r="L1020" s="51" t="str">
        <f>VLOOKUP(I1020,'Validacion reclamo de equipaje'!H:I,2,0)</f>
        <v>Internacional</v>
      </c>
      <c r="M1020" s="51" t="s">
        <v>522</v>
      </c>
    </row>
    <row r="1021" spans="1:13" x14ac:dyDescent="0.25">
      <c r="A1021">
        <v>913</v>
      </c>
      <c r="B1021" s="47" t="str">
        <f>VLOOKUP(Tabla6[[#This Row],['# Vuelo]],'Validacion reclamo de equipaje'!P:Q,2,0)</f>
        <v>BARATA Y MORADA</v>
      </c>
      <c r="C1021" s="52">
        <v>0.24930555555555556</v>
      </c>
      <c r="D1021" s="52">
        <v>0.26597222222222222</v>
      </c>
      <c r="E1021" s="53">
        <f>'Reclamo de equipaje rediseñado'!$D1021-'Reclamo de equipaje rediseñado'!$C1021</f>
        <v>1.6666666666666663E-2</v>
      </c>
      <c r="F1021" s="52">
        <v>0.28194444444444444</v>
      </c>
      <c r="G1021" s="53">
        <f t="shared" si="15"/>
        <v>1.5972222222222221E-2</v>
      </c>
      <c r="H1021" s="54">
        <v>41722</v>
      </c>
      <c r="I1021" s="55" t="s">
        <v>555</v>
      </c>
      <c r="J1021" s="55">
        <v>320</v>
      </c>
      <c r="K1021" s="55">
        <f>VLOOKUP(J1021,'Validacion reclamo de equipaje'!L:M,2,0)</f>
        <v>179</v>
      </c>
      <c r="L1021" s="55" t="str">
        <f>VLOOKUP(I1021,'Validacion reclamo de equipaje'!H:I,2,0)</f>
        <v>Internacional</v>
      </c>
      <c r="M1021" s="55" t="s">
        <v>522</v>
      </c>
    </row>
    <row r="1022" spans="1:13" x14ac:dyDescent="0.25">
      <c r="A1022">
        <v>913</v>
      </c>
      <c r="B1022" s="47" t="str">
        <f>VLOOKUP(Tabla6[[#This Row],['# Vuelo]],'Validacion reclamo de equipaje'!P:Q,2,0)</f>
        <v>BARATA Y MORADA</v>
      </c>
      <c r="C1022" s="48">
        <v>0.24791666666666667</v>
      </c>
      <c r="D1022" s="48">
        <v>0.25555555555555559</v>
      </c>
      <c r="E1022" s="49">
        <f>'Reclamo de equipaje rediseñado'!$D1022-'Reclamo de equipaje rediseñado'!$C1022</f>
        <v>7.6388888888889173E-3</v>
      </c>
      <c r="F1022" s="48">
        <v>0.27361111111111108</v>
      </c>
      <c r="G1022" s="49">
        <f t="shared" si="15"/>
        <v>1.8055555555555491E-2</v>
      </c>
      <c r="H1022" s="50">
        <v>41723</v>
      </c>
      <c r="I1022" s="51" t="s">
        <v>555</v>
      </c>
      <c r="J1022" s="51">
        <v>320</v>
      </c>
      <c r="K1022" s="51">
        <f>VLOOKUP(J1022,'Validacion reclamo de equipaje'!L:M,2,0)</f>
        <v>179</v>
      </c>
      <c r="L1022" s="51" t="str">
        <f>VLOOKUP(I1022,'Validacion reclamo de equipaje'!H:I,2,0)</f>
        <v>Internacional</v>
      </c>
      <c r="M1022" s="51" t="s">
        <v>522</v>
      </c>
    </row>
    <row r="1023" spans="1:13" x14ac:dyDescent="0.25">
      <c r="A1023">
        <v>913</v>
      </c>
      <c r="B1023" s="47" t="str">
        <f>VLOOKUP(Tabla6[[#This Row],['# Vuelo]],'Validacion reclamo de equipaje'!P:Q,2,0)</f>
        <v>BARATA Y MORADA</v>
      </c>
      <c r="C1023" s="52">
        <v>0.25069444444444444</v>
      </c>
      <c r="D1023" s="52">
        <v>0.26180555555555557</v>
      </c>
      <c r="E1023" s="53">
        <f>'Reclamo de equipaje rediseñado'!$D1023-'Reclamo de equipaje rediseñado'!$C1023</f>
        <v>1.1111111111111127E-2</v>
      </c>
      <c r="F1023" s="52">
        <v>0.28819444444444448</v>
      </c>
      <c r="G1023" s="53">
        <f t="shared" si="15"/>
        <v>2.6388888888888906E-2</v>
      </c>
      <c r="H1023" s="54">
        <v>41724</v>
      </c>
      <c r="I1023" s="55" t="s">
        <v>555</v>
      </c>
      <c r="J1023" s="55">
        <v>320</v>
      </c>
      <c r="K1023" s="55">
        <f>VLOOKUP(J1023,'Validacion reclamo de equipaje'!L:M,2,0)</f>
        <v>179</v>
      </c>
      <c r="L1023" s="55" t="str">
        <f>VLOOKUP(I1023,'Validacion reclamo de equipaje'!H:I,2,0)</f>
        <v>Internacional</v>
      </c>
      <c r="M1023" s="55" t="s">
        <v>522</v>
      </c>
    </row>
    <row r="1024" spans="1:13" x14ac:dyDescent="0.25">
      <c r="A1024">
        <v>913</v>
      </c>
      <c r="B1024" s="47" t="str">
        <f>VLOOKUP(Tabla6[[#This Row],['# Vuelo]],'Validacion reclamo de equipaje'!P:Q,2,0)</f>
        <v>BARATA Y MORADA</v>
      </c>
      <c r="C1024" s="48">
        <v>0.24652777777777779</v>
      </c>
      <c r="D1024" s="48">
        <v>0.25555555555555559</v>
      </c>
      <c r="E1024" s="49">
        <f>'Reclamo de equipaje rediseñado'!$D1024-'Reclamo de equipaje rediseñado'!$C1024</f>
        <v>9.0277777777778012E-3</v>
      </c>
      <c r="F1024" s="48">
        <v>0.28125</v>
      </c>
      <c r="G1024" s="49">
        <f t="shared" si="15"/>
        <v>2.5694444444444409E-2</v>
      </c>
      <c r="H1024" s="50">
        <v>41727</v>
      </c>
      <c r="I1024" s="51" t="s">
        <v>555</v>
      </c>
      <c r="J1024" s="51">
        <v>320</v>
      </c>
      <c r="K1024" s="51">
        <f>VLOOKUP(J1024,'Validacion reclamo de equipaje'!L:M,2,0)</f>
        <v>179</v>
      </c>
      <c r="L1024" s="51" t="str">
        <f>VLOOKUP(I1024,'Validacion reclamo de equipaje'!H:I,2,0)</f>
        <v>Internacional</v>
      </c>
      <c r="M1024" s="51" t="s">
        <v>522</v>
      </c>
    </row>
    <row r="1025" spans="1:13" x14ac:dyDescent="0.25">
      <c r="A1025">
        <v>913</v>
      </c>
      <c r="B1025" s="47" t="str">
        <f>VLOOKUP(Tabla6[[#This Row],['# Vuelo]],'Validacion reclamo de equipaje'!P:Q,2,0)</f>
        <v>BARATA Y MORADA</v>
      </c>
      <c r="C1025" s="52">
        <v>0.25</v>
      </c>
      <c r="D1025" s="52">
        <v>0.26180555555555557</v>
      </c>
      <c r="E1025" s="53">
        <f>'Reclamo de equipaje rediseñado'!$D1025-'Reclamo de equipaje rediseñado'!$C1025</f>
        <v>1.1805555555555569E-2</v>
      </c>
      <c r="F1025" s="52">
        <v>0.27916666666666667</v>
      </c>
      <c r="G1025" s="53">
        <f t="shared" si="15"/>
        <v>1.7361111111111105E-2</v>
      </c>
      <c r="H1025" s="54">
        <v>41728</v>
      </c>
      <c r="I1025" s="55" t="s">
        <v>555</v>
      </c>
      <c r="J1025" s="55">
        <v>320</v>
      </c>
      <c r="K1025" s="55">
        <f>VLOOKUP(J1025,'Validacion reclamo de equipaje'!L:M,2,0)</f>
        <v>179</v>
      </c>
      <c r="L1025" s="55" t="str">
        <f>VLOOKUP(I1025,'Validacion reclamo de equipaje'!H:I,2,0)</f>
        <v>Internacional</v>
      </c>
      <c r="M1025" s="55" t="s">
        <v>522</v>
      </c>
    </row>
    <row r="1026" spans="1:13" x14ac:dyDescent="0.25">
      <c r="A1026">
        <v>903</v>
      </c>
      <c r="B1026" s="47" t="str">
        <f>VLOOKUP(Tabla6[[#This Row],['# Vuelo]],'Validacion reclamo de equipaje'!P:Q,2,0)</f>
        <v>BARATA Y MORADA</v>
      </c>
      <c r="C1026" s="48">
        <v>0.21249999999999999</v>
      </c>
      <c r="D1026" s="48">
        <v>0.22500000000000001</v>
      </c>
      <c r="E1026" s="49">
        <f>'Reclamo de equipaje rediseñado'!$D1026-'Reclamo de equipaje rediseñado'!$C1026</f>
        <v>1.2500000000000011E-2</v>
      </c>
      <c r="F1026" s="48">
        <v>0.23333333333333331</v>
      </c>
      <c r="G1026" s="49">
        <f t="shared" si="15"/>
        <v>8.3333333333333037E-3</v>
      </c>
      <c r="H1026" s="50">
        <v>41719</v>
      </c>
      <c r="I1026" s="51" t="s">
        <v>593</v>
      </c>
      <c r="J1026" s="51">
        <v>320</v>
      </c>
      <c r="K1026" s="51">
        <f>VLOOKUP(J1026,'Validacion reclamo de equipaje'!L:M,2,0)</f>
        <v>179</v>
      </c>
      <c r="L1026" s="51" t="str">
        <f>VLOOKUP(I1026,'Validacion reclamo de equipaje'!H:I,2,0)</f>
        <v>Internacional</v>
      </c>
      <c r="M1026" s="51" t="s">
        <v>522</v>
      </c>
    </row>
    <row r="1027" spans="1:13" x14ac:dyDescent="0.25">
      <c r="A1027">
        <v>903</v>
      </c>
      <c r="B1027" s="47" t="str">
        <f>VLOOKUP(Tabla6[[#This Row],['# Vuelo]],'Validacion reclamo de equipaje'!P:Q,2,0)</f>
        <v>BARATA Y MORADA</v>
      </c>
      <c r="C1027" s="52">
        <v>0.27569444444444446</v>
      </c>
      <c r="D1027" s="52">
        <v>0.29166666666666669</v>
      </c>
      <c r="E1027" s="53">
        <f>'Reclamo de equipaje rediseñado'!$D1027-'Reclamo de equipaje rediseñado'!$C1027</f>
        <v>1.5972222222222221E-2</v>
      </c>
      <c r="F1027" s="52">
        <v>0.30208333333333331</v>
      </c>
      <c r="G1027" s="53">
        <f t="shared" ref="G1027:G1090" si="16">F1027-D1027</f>
        <v>1.041666666666663E-2</v>
      </c>
      <c r="H1027" s="54">
        <v>41724</v>
      </c>
      <c r="I1027" s="55" t="s">
        <v>593</v>
      </c>
      <c r="J1027" s="55">
        <v>320</v>
      </c>
      <c r="K1027" s="55">
        <f>VLOOKUP(J1027,'Validacion reclamo de equipaje'!L:M,2,0)</f>
        <v>179</v>
      </c>
      <c r="L1027" s="55" t="str">
        <f>VLOOKUP(I1027,'Validacion reclamo de equipaje'!H:I,2,0)</f>
        <v>Internacional</v>
      </c>
      <c r="M1027" s="55" t="s">
        <v>522</v>
      </c>
    </row>
    <row r="1028" spans="1:13" x14ac:dyDescent="0.25">
      <c r="A1028">
        <v>903</v>
      </c>
      <c r="B1028" s="47" t="str">
        <f>VLOOKUP(Tabla6[[#This Row],['# Vuelo]],'Validacion reclamo de equipaje'!P:Q,2,0)</f>
        <v>BARATA Y MORADA</v>
      </c>
      <c r="C1028" s="48">
        <v>0.27152777777777776</v>
      </c>
      <c r="D1028" s="48">
        <v>0.28472222222222221</v>
      </c>
      <c r="E1028" s="49">
        <f>'Reclamo de equipaje rediseñado'!$D1028-'Reclamo de equipaje rediseñado'!$C1028</f>
        <v>1.3194444444444453E-2</v>
      </c>
      <c r="F1028" s="48">
        <v>0.29652777777777778</v>
      </c>
      <c r="G1028" s="49">
        <f t="shared" si="16"/>
        <v>1.1805555555555569E-2</v>
      </c>
      <c r="H1028" s="50">
        <v>41727</v>
      </c>
      <c r="I1028" s="51" t="s">
        <v>593</v>
      </c>
      <c r="J1028" s="51">
        <v>320</v>
      </c>
      <c r="K1028" s="51">
        <f>VLOOKUP(J1028,'Validacion reclamo de equipaje'!L:M,2,0)</f>
        <v>179</v>
      </c>
      <c r="L1028" s="51" t="str">
        <f>VLOOKUP(I1028,'Validacion reclamo de equipaje'!H:I,2,0)</f>
        <v>Internacional</v>
      </c>
      <c r="M1028" s="51" t="s">
        <v>522</v>
      </c>
    </row>
    <row r="1029" spans="1:13" x14ac:dyDescent="0.25">
      <c r="A1029">
        <v>775</v>
      </c>
      <c r="B1029" s="47" t="str">
        <f>VLOOKUP(Tabla6[[#This Row],['# Vuelo]],'Validacion reclamo de equipaje'!P:Q,2,0)</f>
        <v>MEXICO AEREO</v>
      </c>
      <c r="C1029" s="52">
        <v>0.22222222222222221</v>
      </c>
      <c r="D1029" s="52">
        <v>0.22569444444444445</v>
      </c>
      <c r="E1029" s="53">
        <f>'Reclamo de equipaje rediseñado'!$D1029-'Reclamo de equipaje rediseñado'!$C1029</f>
        <v>3.4722222222222376E-3</v>
      </c>
      <c r="F1029" s="52">
        <v>0.22916666666666666</v>
      </c>
      <c r="G1029" s="53">
        <f t="shared" si="16"/>
        <v>3.4722222222222099E-3</v>
      </c>
      <c r="H1029" s="54">
        <v>41716</v>
      </c>
      <c r="I1029" s="55" t="s">
        <v>549</v>
      </c>
      <c r="J1029" s="55" t="s">
        <v>554</v>
      </c>
      <c r="K1029" s="55">
        <f>VLOOKUP(J1029,'Validacion reclamo de equipaje'!L:M,2,0)</f>
        <v>189</v>
      </c>
      <c r="L1029" s="55" t="str">
        <f>VLOOKUP(I1029,'Validacion reclamo de equipaje'!H:I,2,0)</f>
        <v>Nacional</v>
      </c>
      <c r="M1029" s="55" t="s">
        <v>522</v>
      </c>
    </row>
    <row r="1030" spans="1:13" x14ac:dyDescent="0.25">
      <c r="A1030">
        <v>775</v>
      </c>
      <c r="B1030" s="47" t="str">
        <f>VLOOKUP(Tabla6[[#This Row],['# Vuelo]],'Validacion reclamo de equipaje'!P:Q,2,0)</f>
        <v>MEXICO AEREO</v>
      </c>
      <c r="C1030" s="48">
        <v>0.22222222222222221</v>
      </c>
      <c r="D1030" s="48">
        <v>0.22569444444444445</v>
      </c>
      <c r="E1030" s="49">
        <f>'Reclamo de equipaje rediseñado'!$D1030-'Reclamo de equipaje rediseñado'!$C1030</f>
        <v>3.4722222222222376E-3</v>
      </c>
      <c r="F1030" s="48">
        <v>0.22916666666666666</v>
      </c>
      <c r="G1030" s="49">
        <f t="shared" si="16"/>
        <v>3.4722222222222099E-3</v>
      </c>
      <c r="H1030" s="50">
        <v>41716</v>
      </c>
      <c r="I1030" s="51" t="s">
        <v>549</v>
      </c>
      <c r="J1030" s="51" t="s">
        <v>554</v>
      </c>
      <c r="K1030" s="51">
        <f>VLOOKUP(J1030,'Validacion reclamo de equipaje'!L:M,2,0)</f>
        <v>189</v>
      </c>
      <c r="L1030" s="51" t="str">
        <f>VLOOKUP(I1030,'Validacion reclamo de equipaje'!H:I,2,0)</f>
        <v>Nacional</v>
      </c>
      <c r="M1030" s="51" t="s">
        <v>522</v>
      </c>
    </row>
    <row r="1031" spans="1:13" x14ac:dyDescent="0.25">
      <c r="A1031">
        <v>752</v>
      </c>
      <c r="B1031" s="47" t="str">
        <f>VLOOKUP(Tabla6[[#This Row],['# Vuelo]],'Validacion reclamo de equipaje'!P:Q,2,0)</f>
        <v>BARATA Y MORADA</v>
      </c>
      <c r="C1031" s="52">
        <v>0.89930555555555547</v>
      </c>
      <c r="D1031" s="52">
        <v>0.90416666666666667</v>
      </c>
      <c r="E1031" s="53">
        <f>'Reclamo de equipaje rediseñado'!$D1031-'Reclamo de equipaje rediseñado'!$C1031</f>
        <v>4.8611111111112049E-3</v>
      </c>
      <c r="F1031" s="52">
        <v>0.90902777777777777</v>
      </c>
      <c r="G1031" s="53">
        <f t="shared" si="16"/>
        <v>4.8611111111110938E-3</v>
      </c>
      <c r="H1031" s="54">
        <v>41724</v>
      </c>
      <c r="I1031" s="55" t="s">
        <v>549</v>
      </c>
      <c r="J1031" s="55" t="s">
        <v>540</v>
      </c>
      <c r="K1031" s="55" t="e">
        <f>VLOOKUP(J1031,'Validacion reclamo de equipaje'!L:M,2,0)</f>
        <v>#N/A</v>
      </c>
      <c r="L1031" s="55" t="str">
        <f>VLOOKUP(I1031,'Validacion reclamo de equipaje'!H:I,2,0)</f>
        <v>Nacional</v>
      </c>
      <c r="M1031" s="55" t="s">
        <v>522</v>
      </c>
    </row>
    <row r="1032" spans="1:13" x14ac:dyDescent="0.25">
      <c r="A1032">
        <v>747</v>
      </c>
      <c r="B1032" s="47" t="str">
        <f>VLOOKUP(Tabla6[[#This Row],['# Vuelo]],'Validacion reclamo de equipaje'!P:Q,2,0)</f>
        <v>BARATA Y MORADA</v>
      </c>
      <c r="C1032" s="48">
        <v>0.71805555555555556</v>
      </c>
      <c r="D1032" s="48">
        <v>0.72569444444444453</v>
      </c>
      <c r="E1032" s="49">
        <f>'Reclamo de equipaje rediseñado'!$D1032-'Reclamo de equipaje rediseñado'!$C1032</f>
        <v>7.6388888888889728E-3</v>
      </c>
      <c r="F1032" s="48">
        <v>0.73263888888888884</v>
      </c>
      <c r="G1032" s="49">
        <f t="shared" si="16"/>
        <v>6.9444444444443088E-3</v>
      </c>
      <c r="H1032" s="50">
        <v>41714</v>
      </c>
      <c r="I1032" s="51" t="s">
        <v>581</v>
      </c>
      <c r="J1032" s="51" t="s">
        <v>572</v>
      </c>
      <c r="K1032" s="51">
        <f>VLOOKUP(J1032,'Validacion reclamo de equipaje'!L:M,2,0)</f>
        <v>142</v>
      </c>
      <c r="L1032" s="51" t="str">
        <f>VLOOKUP(I1032,'Validacion reclamo de equipaje'!H:I,2,0)</f>
        <v>Nacional</v>
      </c>
      <c r="M1032" s="51" t="s">
        <v>522</v>
      </c>
    </row>
    <row r="1033" spans="1:13" x14ac:dyDescent="0.25">
      <c r="A1033">
        <v>747</v>
      </c>
      <c r="B1033" s="47" t="str">
        <f>VLOOKUP(Tabla6[[#This Row],['# Vuelo]],'Validacion reclamo de equipaje'!P:Q,2,0)</f>
        <v>BARATA Y MORADA</v>
      </c>
      <c r="C1033" s="52">
        <v>0.71805555555555556</v>
      </c>
      <c r="D1033" s="52">
        <v>0.72777777777777775</v>
      </c>
      <c r="E1033" s="53">
        <f>'Reclamo de equipaje rediseñado'!$D1033-'Reclamo de equipaje rediseñado'!$C1033</f>
        <v>9.7222222222221877E-3</v>
      </c>
      <c r="F1033" s="52">
        <v>0.73263888888888884</v>
      </c>
      <c r="G1033" s="53">
        <f t="shared" si="16"/>
        <v>4.8611111111110938E-3</v>
      </c>
      <c r="H1033" s="54">
        <v>41718</v>
      </c>
      <c r="I1033" s="55" t="s">
        <v>581</v>
      </c>
      <c r="J1033" s="55" t="s">
        <v>572</v>
      </c>
      <c r="K1033" s="55">
        <f>VLOOKUP(J1033,'Validacion reclamo de equipaje'!L:M,2,0)</f>
        <v>142</v>
      </c>
      <c r="L1033" s="55" t="str">
        <f>VLOOKUP(I1033,'Validacion reclamo de equipaje'!H:I,2,0)</f>
        <v>Nacional</v>
      </c>
      <c r="M1033" s="55" t="s">
        <v>522</v>
      </c>
    </row>
    <row r="1034" spans="1:13" x14ac:dyDescent="0.25">
      <c r="A1034">
        <v>747</v>
      </c>
      <c r="B1034" s="47" t="str">
        <f>VLOOKUP(Tabla6[[#This Row],['# Vuelo]],'Validacion reclamo de equipaje'!P:Q,2,0)</f>
        <v>BARATA Y MORADA</v>
      </c>
      <c r="C1034" s="48">
        <v>0.71527777777777779</v>
      </c>
      <c r="D1034" s="48">
        <v>0.71875</v>
      </c>
      <c r="E1034" s="49">
        <f>'Reclamo de equipaje rediseñado'!$D1034-'Reclamo de equipaje rediseñado'!$C1034</f>
        <v>3.4722222222222099E-3</v>
      </c>
      <c r="F1034" s="48">
        <v>0.72916666666666663</v>
      </c>
      <c r="G1034" s="49">
        <f t="shared" si="16"/>
        <v>1.041666666666663E-2</v>
      </c>
      <c r="H1034" s="50">
        <v>41720</v>
      </c>
      <c r="I1034" s="51" t="s">
        <v>581</v>
      </c>
      <c r="J1034" s="51" t="s">
        <v>572</v>
      </c>
      <c r="K1034" s="51">
        <f>VLOOKUP(J1034,'Validacion reclamo de equipaje'!L:M,2,0)</f>
        <v>142</v>
      </c>
      <c r="L1034" s="51" t="str">
        <f>VLOOKUP(I1034,'Validacion reclamo de equipaje'!H:I,2,0)</f>
        <v>Nacional</v>
      </c>
      <c r="M1034" s="51" t="s">
        <v>522</v>
      </c>
    </row>
    <row r="1035" spans="1:13" x14ac:dyDescent="0.25">
      <c r="A1035">
        <v>747</v>
      </c>
      <c r="B1035" s="47" t="str">
        <f>VLOOKUP(Tabla6[[#This Row],['# Vuelo]],'Validacion reclamo de equipaje'!P:Q,2,0)</f>
        <v>BARATA Y MORADA</v>
      </c>
      <c r="C1035" s="52">
        <v>0.71597222222222223</v>
      </c>
      <c r="D1035" s="52">
        <v>0.71736111111111101</v>
      </c>
      <c r="E1035" s="53">
        <f>'Reclamo de equipaje rediseñado'!$D1035-'Reclamo de equipaje rediseñado'!$C1035</f>
        <v>1.3888888888887729E-3</v>
      </c>
      <c r="F1035" s="52">
        <v>0.7284722222222223</v>
      </c>
      <c r="G1035" s="53">
        <f t="shared" si="16"/>
        <v>1.1111111111111294E-2</v>
      </c>
      <c r="H1035" s="54">
        <v>41726</v>
      </c>
      <c r="I1035" s="55" t="s">
        <v>581</v>
      </c>
      <c r="J1035" s="55" t="s">
        <v>572</v>
      </c>
      <c r="K1035" s="55">
        <f>VLOOKUP(J1035,'Validacion reclamo de equipaje'!L:M,2,0)</f>
        <v>142</v>
      </c>
      <c r="L1035" s="55" t="str">
        <f>VLOOKUP(I1035,'Validacion reclamo de equipaje'!H:I,2,0)</f>
        <v>Nacional</v>
      </c>
      <c r="M1035" s="55" t="s">
        <v>522</v>
      </c>
    </row>
    <row r="1036" spans="1:13" x14ac:dyDescent="0.25">
      <c r="A1036">
        <v>747</v>
      </c>
      <c r="B1036" s="47" t="str">
        <f>VLOOKUP(Tabla6[[#This Row],['# Vuelo]],'Validacion reclamo de equipaje'!P:Q,2,0)</f>
        <v>BARATA Y MORADA</v>
      </c>
      <c r="C1036" s="48">
        <v>0.7416666666666667</v>
      </c>
      <c r="D1036" s="48">
        <v>0.75138888888888899</v>
      </c>
      <c r="E1036" s="49">
        <f>'Reclamo de equipaje rediseñado'!$D1036-'Reclamo de equipaje rediseñado'!$C1036</f>
        <v>9.7222222222222987E-3</v>
      </c>
      <c r="F1036" s="48">
        <v>0.76041666666666663</v>
      </c>
      <c r="G1036" s="49">
        <f t="shared" si="16"/>
        <v>9.0277777777776347E-3</v>
      </c>
      <c r="H1036" s="50">
        <v>41727</v>
      </c>
      <c r="I1036" s="51" t="s">
        <v>581</v>
      </c>
      <c r="J1036" s="51" t="s">
        <v>572</v>
      </c>
      <c r="K1036" s="51">
        <f>VLOOKUP(J1036,'Validacion reclamo de equipaje'!L:M,2,0)</f>
        <v>142</v>
      </c>
      <c r="L1036" s="51" t="str">
        <f>VLOOKUP(I1036,'Validacion reclamo de equipaje'!H:I,2,0)</f>
        <v>Nacional</v>
      </c>
      <c r="M1036" s="51" t="s">
        <v>522</v>
      </c>
    </row>
    <row r="1037" spans="1:13" x14ac:dyDescent="0.25">
      <c r="A1037">
        <v>744</v>
      </c>
      <c r="B1037" s="47" t="str">
        <f>VLOOKUP(Tabla6[[#This Row],['# Vuelo]],'Validacion reclamo de equipaje'!P:Q,2,0)</f>
        <v>BARATA Y MORADA</v>
      </c>
      <c r="C1037" s="52">
        <v>0.79513888888888884</v>
      </c>
      <c r="D1037" s="52">
        <v>0.80555555555555547</v>
      </c>
      <c r="E1037" s="53">
        <f>'Reclamo de equipaje rediseñado'!$D1037-'Reclamo de equipaje rediseñado'!$C1037</f>
        <v>1.041666666666663E-2</v>
      </c>
      <c r="F1037" s="52">
        <v>0.81388888888888899</v>
      </c>
      <c r="G1037" s="53">
        <f t="shared" si="16"/>
        <v>8.3333333333335258E-3</v>
      </c>
      <c r="H1037" s="54">
        <v>41716</v>
      </c>
      <c r="I1037" s="55" t="s">
        <v>536</v>
      </c>
      <c r="J1037" s="55" t="s">
        <v>572</v>
      </c>
      <c r="K1037" s="55">
        <f>VLOOKUP(J1037,'Validacion reclamo de equipaje'!L:M,2,0)</f>
        <v>142</v>
      </c>
      <c r="L1037" s="55" t="str">
        <f>VLOOKUP(I1037,'Validacion reclamo de equipaje'!H:I,2,0)</f>
        <v>Nacional</v>
      </c>
      <c r="M1037" s="55" t="s">
        <v>522</v>
      </c>
    </row>
    <row r="1038" spans="1:13" x14ac:dyDescent="0.25">
      <c r="A1038">
        <v>744</v>
      </c>
      <c r="B1038" s="47" t="str">
        <f>VLOOKUP(Tabla6[[#This Row],['# Vuelo]],'Validacion reclamo de equipaje'!P:Q,2,0)</f>
        <v>BARATA Y MORADA</v>
      </c>
      <c r="C1038" s="48">
        <v>0.79652777777777783</v>
      </c>
      <c r="D1038" s="48">
        <v>0.80208333333333337</v>
      </c>
      <c r="E1038" s="49">
        <f>'Reclamo de equipaje rediseñado'!$D1038-'Reclamo de equipaje rediseñado'!$C1038</f>
        <v>5.5555555555555358E-3</v>
      </c>
      <c r="F1038" s="48">
        <v>0.83333333333333337</v>
      </c>
      <c r="G1038" s="49">
        <f t="shared" si="16"/>
        <v>3.125E-2</v>
      </c>
      <c r="H1038" s="50">
        <v>41720</v>
      </c>
      <c r="I1038" s="51" t="s">
        <v>536</v>
      </c>
      <c r="J1038" s="51" t="s">
        <v>572</v>
      </c>
      <c r="K1038" s="51">
        <f>VLOOKUP(J1038,'Validacion reclamo de equipaje'!L:M,2,0)</f>
        <v>142</v>
      </c>
      <c r="L1038" s="51" t="str">
        <f>VLOOKUP(I1038,'Validacion reclamo de equipaje'!H:I,2,0)</f>
        <v>Nacional</v>
      </c>
      <c r="M1038" s="51" t="s">
        <v>522</v>
      </c>
    </row>
    <row r="1039" spans="1:13" x14ac:dyDescent="0.25">
      <c r="A1039">
        <v>742</v>
      </c>
      <c r="B1039" s="47" t="str">
        <f>VLOOKUP(Tabla6[[#This Row],['# Vuelo]],'Validacion reclamo de equipaje'!P:Q,2,0)</f>
        <v>BARATA Y MORADA</v>
      </c>
      <c r="C1039" s="52">
        <v>0.90625</v>
      </c>
      <c r="D1039" s="52">
        <v>0.91666666666666663</v>
      </c>
      <c r="E1039" s="53">
        <f>'Reclamo de equipaje rediseñado'!$D1039-'Reclamo de equipaje rediseñado'!$C1039</f>
        <v>1.041666666666663E-2</v>
      </c>
      <c r="F1039" s="52">
        <v>0.92152777777777783</v>
      </c>
      <c r="G1039" s="53">
        <f t="shared" si="16"/>
        <v>4.8611111111112049E-3</v>
      </c>
      <c r="H1039" s="54">
        <v>41715</v>
      </c>
      <c r="I1039" s="55" t="s">
        <v>536</v>
      </c>
      <c r="J1039" s="55">
        <v>320</v>
      </c>
      <c r="K1039" s="55">
        <f>VLOOKUP(J1039,'Validacion reclamo de equipaje'!L:M,2,0)</f>
        <v>179</v>
      </c>
      <c r="L1039" s="55" t="str">
        <f>VLOOKUP(I1039,'Validacion reclamo de equipaje'!H:I,2,0)</f>
        <v>Nacional</v>
      </c>
      <c r="M1039" s="55" t="s">
        <v>522</v>
      </c>
    </row>
    <row r="1040" spans="1:13" x14ac:dyDescent="0.25">
      <c r="A1040">
        <v>742</v>
      </c>
      <c r="B1040" s="47" t="str">
        <f>VLOOKUP(Tabla6[[#This Row],['# Vuelo]],'Validacion reclamo de equipaje'!P:Q,2,0)</f>
        <v>BARATA Y MORADA</v>
      </c>
      <c r="C1040" s="48">
        <v>0.89027777777777783</v>
      </c>
      <c r="D1040" s="48">
        <v>0.90208333333333324</v>
      </c>
      <c r="E1040" s="49">
        <f>'Reclamo de equipaje rediseñado'!$D1040-'Reclamo de equipaje rediseñado'!$C1040</f>
        <v>1.1805555555555403E-2</v>
      </c>
      <c r="F1040" s="48">
        <v>0.90277777777777779</v>
      </c>
      <c r="G1040" s="49">
        <f t="shared" si="16"/>
        <v>6.94444444444553E-4</v>
      </c>
      <c r="H1040" s="50">
        <v>41716</v>
      </c>
      <c r="I1040" s="51" t="s">
        <v>536</v>
      </c>
      <c r="J1040" s="51">
        <v>320</v>
      </c>
      <c r="K1040" s="51">
        <f>VLOOKUP(J1040,'Validacion reclamo de equipaje'!L:M,2,0)</f>
        <v>179</v>
      </c>
      <c r="L1040" s="51" t="str">
        <f>VLOOKUP(I1040,'Validacion reclamo de equipaje'!H:I,2,0)</f>
        <v>Nacional</v>
      </c>
      <c r="M1040" s="51" t="s">
        <v>522</v>
      </c>
    </row>
    <row r="1041" spans="1:13" x14ac:dyDescent="0.25">
      <c r="A1041">
        <v>742</v>
      </c>
      <c r="B1041" s="47" t="str">
        <f>VLOOKUP(Tabla6[[#This Row],['# Vuelo]],'Validacion reclamo de equipaje'!P:Q,2,0)</f>
        <v>BARATA Y MORADA</v>
      </c>
      <c r="C1041" s="52">
        <v>0.9159722222222223</v>
      </c>
      <c r="D1041" s="52">
        <v>0.92361111111111116</v>
      </c>
      <c r="E1041" s="53">
        <f>'Reclamo de equipaje rediseñado'!$D1041-'Reclamo de equipaje rediseñado'!$C1041</f>
        <v>7.6388888888888618E-3</v>
      </c>
      <c r="F1041" s="52">
        <v>0.93055555555555547</v>
      </c>
      <c r="G1041" s="53">
        <f t="shared" si="16"/>
        <v>6.9444444444443088E-3</v>
      </c>
      <c r="H1041" s="54">
        <v>41719</v>
      </c>
      <c r="I1041" s="55" t="s">
        <v>536</v>
      </c>
      <c r="J1041" s="55">
        <v>320</v>
      </c>
      <c r="K1041" s="55">
        <f>VLOOKUP(J1041,'Validacion reclamo de equipaje'!L:M,2,0)</f>
        <v>179</v>
      </c>
      <c r="L1041" s="55" t="str">
        <f>VLOOKUP(I1041,'Validacion reclamo de equipaje'!H:I,2,0)</f>
        <v>Nacional</v>
      </c>
      <c r="M1041" s="55" t="s">
        <v>522</v>
      </c>
    </row>
    <row r="1042" spans="1:13" x14ac:dyDescent="0.25">
      <c r="A1042">
        <v>742</v>
      </c>
      <c r="B1042" s="47" t="str">
        <f>VLOOKUP(Tabla6[[#This Row],['# Vuelo]],'Validacion reclamo de equipaje'!P:Q,2,0)</f>
        <v>BARATA Y MORADA</v>
      </c>
      <c r="C1042" s="48">
        <v>0.89583333333333337</v>
      </c>
      <c r="D1042" s="48">
        <v>0.90486111111111101</v>
      </c>
      <c r="E1042" s="49">
        <f>'Reclamo de equipaje rediseñado'!$D1042-'Reclamo de equipaje rediseñado'!$C1042</f>
        <v>9.0277777777776347E-3</v>
      </c>
      <c r="F1042" s="48">
        <v>0.91527777777777775</v>
      </c>
      <c r="G1042" s="49">
        <f t="shared" si="16"/>
        <v>1.0416666666666741E-2</v>
      </c>
      <c r="H1042" s="50">
        <v>41722</v>
      </c>
      <c r="I1042" s="51" t="s">
        <v>536</v>
      </c>
      <c r="J1042" s="51">
        <v>320</v>
      </c>
      <c r="K1042" s="51">
        <f>VLOOKUP(J1042,'Validacion reclamo de equipaje'!L:M,2,0)</f>
        <v>179</v>
      </c>
      <c r="L1042" s="51" t="str">
        <f>VLOOKUP(I1042,'Validacion reclamo de equipaje'!H:I,2,0)</f>
        <v>Nacional</v>
      </c>
      <c r="M1042" s="51" t="s">
        <v>522</v>
      </c>
    </row>
    <row r="1043" spans="1:13" x14ac:dyDescent="0.25">
      <c r="A1043">
        <v>742</v>
      </c>
      <c r="B1043" s="47" t="str">
        <f>VLOOKUP(Tabla6[[#This Row],['# Vuelo]],'Validacion reclamo de equipaje'!P:Q,2,0)</f>
        <v>BARATA Y MORADA</v>
      </c>
      <c r="C1043" s="52">
        <v>0.8930555555555556</v>
      </c>
      <c r="D1043" s="52">
        <v>0.89722222222222225</v>
      </c>
      <c r="E1043" s="53">
        <f>'Reclamo de equipaje rediseñado'!$D1043-'Reclamo de equipaje rediseñado'!$C1043</f>
        <v>4.1666666666666519E-3</v>
      </c>
      <c r="F1043" s="52">
        <v>0.90625</v>
      </c>
      <c r="G1043" s="53">
        <f t="shared" si="16"/>
        <v>9.0277777777777457E-3</v>
      </c>
      <c r="H1043" s="54">
        <v>41723</v>
      </c>
      <c r="I1043" s="55" t="s">
        <v>536</v>
      </c>
      <c r="J1043" s="55">
        <v>320</v>
      </c>
      <c r="K1043" s="55">
        <f>VLOOKUP(J1043,'Validacion reclamo de equipaje'!L:M,2,0)</f>
        <v>179</v>
      </c>
      <c r="L1043" s="55" t="str">
        <f>VLOOKUP(I1043,'Validacion reclamo de equipaje'!H:I,2,0)</f>
        <v>Nacional</v>
      </c>
      <c r="M1043" s="55" t="s">
        <v>522</v>
      </c>
    </row>
    <row r="1044" spans="1:13" x14ac:dyDescent="0.25">
      <c r="A1044">
        <v>742</v>
      </c>
      <c r="B1044" s="47" t="str">
        <f>VLOOKUP(Tabla6[[#This Row],['# Vuelo]],'Validacion reclamo de equipaje'!P:Q,2,0)</f>
        <v>BARATA Y MORADA</v>
      </c>
      <c r="C1044" s="48">
        <v>0.92222222222222217</v>
      </c>
      <c r="D1044" s="48">
        <v>0.92847222222222225</v>
      </c>
      <c r="E1044" s="49">
        <f>'Reclamo de equipaje rediseñado'!$D1044-'Reclamo de equipaje rediseñado'!$C1044</f>
        <v>6.2500000000000888E-3</v>
      </c>
      <c r="F1044" s="48">
        <v>0.93263888888888891</v>
      </c>
      <c r="G1044" s="49">
        <f t="shared" si="16"/>
        <v>4.1666666666666519E-3</v>
      </c>
      <c r="H1044" s="50">
        <v>41724</v>
      </c>
      <c r="I1044" s="51" t="s">
        <v>536</v>
      </c>
      <c r="J1044" s="51">
        <v>320</v>
      </c>
      <c r="K1044" s="51">
        <f>VLOOKUP(J1044,'Validacion reclamo de equipaje'!L:M,2,0)</f>
        <v>179</v>
      </c>
      <c r="L1044" s="51" t="str">
        <f>VLOOKUP(I1044,'Validacion reclamo de equipaje'!H:I,2,0)</f>
        <v>Nacional</v>
      </c>
      <c r="M1044" s="51" t="s">
        <v>522</v>
      </c>
    </row>
    <row r="1045" spans="1:13" x14ac:dyDescent="0.25">
      <c r="A1045">
        <v>742</v>
      </c>
      <c r="B1045" s="47" t="str">
        <f>VLOOKUP(Tabla6[[#This Row],['# Vuelo]],'Validacion reclamo de equipaje'!P:Q,2,0)</f>
        <v>BARATA Y MORADA</v>
      </c>
      <c r="C1045" s="52">
        <v>0.95486111111111116</v>
      </c>
      <c r="D1045" s="52">
        <v>0.96527777777777779</v>
      </c>
      <c r="E1045" s="53">
        <f>'Reclamo de equipaje rediseñado'!$D1045-'Reclamo de equipaje rediseñado'!$C1045</f>
        <v>1.041666666666663E-2</v>
      </c>
      <c r="F1045" s="52">
        <v>0.97222222222222221</v>
      </c>
      <c r="G1045" s="53">
        <f t="shared" si="16"/>
        <v>6.9444444444444198E-3</v>
      </c>
      <c r="H1045" s="54">
        <v>41725</v>
      </c>
      <c r="I1045" s="55" t="s">
        <v>536</v>
      </c>
      <c r="J1045" s="55">
        <v>320</v>
      </c>
      <c r="K1045" s="55">
        <f>VLOOKUP(J1045,'Validacion reclamo de equipaje'!L:M,2,0)</f>
        <v>179</v>
      </c>
      <c r="L1045" s="55" t="str">
        <f>VLOOKUP(I1045,'Validacion reclamo de equipaje'!H:I,2,0)</f>
        <v>Nacional</v>
      </c>
      <c r="M1045" s="55" t="s">
        <v>522</v>
      </c>
    </row>
    <row r="1046" spans="1:13" x14ac:dyDescent="0.25">
      <c r="A1046">
        <v>741</v>
      </c>
      <c r="B1046" s="47" t="str">
        <f>VLOOKUP(Tabla6[[#This Row],['# Vuelo]],'Validacion reclamo de equipaje'!P:Q,2,0)</f>
        <v>BARATA Y MORADA</v>
      </c>
      <c r="C1046" s="48">
        <v>0.4777777777777778</v>
      </c>
      <c r="D1046" s="48">
        <v>0.48541666666666666</v>
      </c>
      <c r="E1046" s="49">
        <f>'Reclamo de equipaje rediseñado'!$D1046-'Reclamo de equipaje rediseñado'!$C1046</f>
        <v>7.6388888888888618E-3</v>
      </c>
      <c r="F1046" s="48">
        <v>0.49444444444444446</v>
      </c>
      <c r="G1046" s="49">
        <f t="shared" si="16"/>
        <v>9.0277777777778012E-3</v>
      </c>
      <c r="H1046" s="50">
        <v>41714</v>
      </c>
      <c r="I1046" s="51" t="s">
        <v>542</v>
      </c>
      <c r="J1046" s="51">
        <v>320</v>
      </c>
      <c r="K1046" s="51">
        <f>VLOOKUP(J1046,'Validacion reclamo de equipaje'!L:M,2,0)</f>
        <v>179</v>
      </c>
      <c r="L1046" s="51" t="str">
        <f>VLOOKUP(I1046,'Validacion reclamo de equipaje'!H:I,2,0)</f>
        <v>Nacional</v>
      </c>
      <c r="M1046" s="51" t="s">
        <v>522</v>
      </c>
    </row>
    <row r="1047" spans="1:13" x14ac:dyDescent="0.25">
      <c r="A1047">
        <v>741</v>
      </c>
      <c r="B1047" s="47" t="str">
        <f>VLOOKUP(Tabla6[[#This Row],['# Vuelo]],'Validacion reclamo de equipaje'!P:Q,2,0)</f>
        <v>BARATA Y MORADA</v>
      </c>
      <c r="C1047" s="52">
        <v>0.48472222222222222</v>
      </c>
      <c r="D1047" s="52">
        <v>0.49374999999999997</v>
      </c>
      <c r="E1047" s="53">
        <f>'Reclamo de equipaje rediseñado'!$D1047-'Reclamo de equipaje rediseñado'!$C1047</f>
        <v>9.0277777777777457E-3</v>
      </c>
      <c r="F1047" s="52">
        <v>0.50694444444444442</v>
      </c>
      <c r="G1047" s="53">
        <f t="shared" si="16"/>
        <v>1.3194444444444453E-2</v>
      </c>
      <c r="H1047" s="54">
        <v>41715</v>
      </c>
      <c r="I1047" s="55" t="s">
        <v>542</v>
      </c>
      <c r="J1047" s="55">
        <v>320</v>
      </c>
      <c r="K1047" s="55">
        <f>VLOOKUP(J1047,'Validacion reclamo de equipaje'!L:M,2,0)</f>
        <v>179</v>
      </c>
      <c r="L1047" s="55" t="str">
        <f>VLOOKUP(I1047,'Validacion reclamo de equipaje'!H:I,2,0)</f>
        <v>Nacional</v>
      </c>
      <c r="M1047" s="55" t="s">
        <v>522</v>
      </c>
    </row>
    <row r="1048" spans="1:13" x14ac:dyDescent="0.25">
      <c r="A1048">
        <v>741</v>
      </c>
      <c r="B1048" s="47" t="str">
        <f>VLOOKUP(Tabla6[[#This Row],['# Vuelo]],'Validacion reclamo de equipaje'!P:Q,2,0)</f>
        <v>BARATA Y MORADA</v>
      </c>
      <c r="C1048" s="48">
        <v>0.47500000000000003</v>
      </c>
      <c r="D1048" s="48">
        <v>0.4826388888888889</v>
      </c>
      <c r="E1048" s="49">
        <f>'Reclamo de equipaje rediseñado'!$D1048-'Reclamo de equipaje rediseñado'!$C1048</f>
        <v>7.6388888888888618E-3</v>
      </c>
      <c r="F1048" s="48">
        <v>0.49374999999999997</v>
      </c>
      <c r="G1048" s="49">
        <f t="shared" si="16"/>
        <v>1.1111111111111072E-2</v>
      </c>
      <c r="H1048" s="50">
        <v>41716</v>
      </c>
      <c r="I1048" s="51" t="s">
        <v>542</v>
      </c>
      <c r="J1048" s="51">
        <v>320</v>
      </c>
      <c r="K1048" s="51">
        <f>VLOOKUP(J1048,'Validacion reclamo de equipaje'!L:M,2,0)</f>
        <v>179</v>
      </c>
      <c r="L1048" s="51" t="str">
        <f>VLOOKUP(I1048,'Validacion reclamo de equipaje'!H:I,2,0)</f>
        <v>Nacional</v>
      </c>
      <c r="M1048" s="51" t="s">
        <v>522</v>
      </c>
    </row>
    <row r="1049" spans="1:13" x14ac:dyDescent="0.25">
      <c r="A1049">
        <v>741</v>
      </c>
      <c r="B1049" s="47" t="str">
        <f>VLOOKUP(Tabla6[[#This Row],['# Vuelo]],'Validacion reclamo de equipaje'!P:Q,2,0)</f>
        <v>BARATA Y MORADA</v>
      </c>
      <c r="C1049" s="52">
        <v>0.48402777777777778</v>
      </c>
      <c r="D1049" s="52">
        <v>0.48958333333333331</v>
      </c>
      <c r="E1049" s="53">
        <f>'Reclamo de equipaje rediseñado'!$D1049-'Reclamo de equipaje rediseñado'!$C1049</f>
        <v>5.5555555555555358E-3</v>
      </c>
      <c r="F1049" s="52">
        <v>0.49513888888888885</v>
      </c>
      <c r="G1049" s="53">
        <f t="shared" si="16"/>
        <v>5.5555555555555358E-3</v>
      </c>
      <c r="H1049" s="54">
        <v>41720</v>
      </c>
      <c r="I1049" s="55" t="s">
        <v>542</v>
      </c>
      <c r="J1049" s="55">
        <v>320</v>
      </c>
      <c r="K1049" s="55">
        <f>VLOOKUP(J1049,'Validacion reclamo de equipaje'!L:M,2,0)</f>
        <v>179</v>
      </c>
      <c r="L1049" s="55" t="str">
        <f>VLOOKUP(I1049,'Validacion reclamo de equipaje'!H:I,2,0)</f>
        <v>Nacional</v>
      </c>
      <c r="M1049" s="55" t="s">
        <v>522</v>
      </c>
    </row>
    <row r="1050" spans="1:13" x14ac:dyDescent="0.25">
      <c r="A1050">
        <v>741</v>
      </c>
      <c r="B1050" s="47" t="str">
        <f>VLOOKUP(Tabla6[[#This Row],['# Vuelo]],'Validacion reclamo de equipaje'!P:Q,2,0)</f>
        <v>BARATA Y MORADA</v>
      </c>
      <c r="C1050" s="48">
        <v>0.47361111111111115</v>
      </c>
      <c r="D1050" s="48">
        <v>0.4770833333333333</v>
      </c>
      <c r="E1050" s="49">
        <f>'Reclamo de equipaje rediseñado'!$D1050-'Reclamo de equipaje rediseñado'!$C1050</f>
        <v>3.4722222222221544E-3</v>
      </c>
      <c r="F1050" s="48">
        <v>0.48541666666666666</v>
      </c>
      <c r="G1050" s="49">
        <f t="shared" si="16"/>
        <v>8.3333333333333592E-3</v>
      </c>
      <c r="H1050" s="50">
        <v>41721</v>
      </c>
      <c r="I1050" s="51" t="s">
        <v>542</v>
      </c>
      <c r="J1050" s="51">
        <v>320</v>
      </c>
      <c r="K1050" s="51">
        <f>VLOOKUP(J1050,'Validacion reclamo de equipaje'!L:M,2,0)</f>
        <v>179</v>
      </c>
      <c r="L1050" s="51" t="str">
        <f>VLOOKUP(I1050,'Validacion reclamo de equipaje'!H:I,2,0)</f>
        <v>Nacional</v>
      </c>
      <c r="M1050" s="51" t="s">
        <v>522</v>
      </c>
    </row>
    <row r="1051" spans="1:13" x14ac:dyDescent="0.25">
      <c r="A1051">
        <v>741</v>
      </c>
      <c r="B1051" s="47" t="str">
        <f>VLOOKUP(Tabla6[[#This Row],['# Vuelo]],'Validacion reclamo de equipaje'!P:Q,2,0)</f>
        <v>BARATA Y MORADA</v>
      </c>
      <c r="C1051" s="52">
        <v>0.48819444444444443</v>
      </c>
      <c r="D1051" s="52">
        <v>0.49791666666666662</v>
      </c>
      <c r="E1051" s="53">
        <f>'Reclamo de equipaje rediseñado'!$D1051-'Reclamo de equipaje rediseñado'!$C1051</f>
        <v>9.7222222222221877E-3</v>
      </c>
      <c r="F1051" s="52">
        <v>0.50555555555555554</v>
      </c>
      <c r="G1051" s="53">
        <f t="shared" si="16"/>
        <v>7.6388888888889173E-3</v>
      </c>
      <c r="H1051" s="54">
        <v>41722</v>
      </c>
      <c r="I1051" s="55" t="s">
        <v>542</v>
      </c>
      <c r="J1051" s="55">
        <v>320</v>
      </c>
      <c r="K1051" s="55">
        <f>VLOOKUP(J1051,'Validacion reclamo de equipaje'!L:M,2,0)</f>
        <v>179</v>
      </c>
      <c r="L1051" s="55" t="str">
        <f>VLOOKUP(I1051,'Validacion reclamo de equipaje'!H:I,2,0)</f>
        <v>Nacional</v>
      </c>
      <c r="M1051" s="55" t="s">
        <v>522</v>
      </c>
    </row>
    <row r="1052" spans="1:13" x14ac:dyDescent="0.25">
      <c r="A1052">
        <v>741</v>
      </c>
      <c r="B1052" s="47" t="str">
        <f>VLOOKUP(Tabla6[[#This Row],['# Vuelo]],'Validacion reclamo de equipaje'!P:Q,2,0)</f>
        <v>BARATA Y MORADA</v>
      </c>
      <c r="C1052" s="48">
        <v>0.48125000000000001</v>
      </c>
      <c r="D1052" s="48">
        <v>0.48888888888888887</v>
      </c>
      <c r="E1052" s="49">
        <f>'Reclamo de equipaje rediseñado'!$D1052-'Reclamo de equipaje rediseñado'!$C1052</f>
        <v>7.6388888888888618E-3</v>
      </c>
      <c r="F1052" s="48">
        <v>0.49861111111111112</v>
      </c>
      <c r="G1052" s="49">
        <f t="shared" si="16"/>
        <v>9.7222222222222432E-3</v>
      </c>
      <c r="H1052" s="50">
        <v>41725</v>
      </c>
      <c r="I1052" s="51" t="s">
        <v>542</v>
      </c>
      <c r="J1052" s="51">
        <v>320</v>
      </c>
      <c r="K1052" s="51">
        <f>VLOOKUP(J1052,'Validacion reclamo de equipaje'!L:M,2,0)</f>
        <v>179</v>
      </c>
      <c r="L1052" s="51" t="str">
        <f>VLOOKUP(I1052,'Validacion reclamo de equipaje'!H:I,2,0)</f>
        <v>Nacional</v>
      </c>
      <c r="M1052" s="51" t="s">
        <v>522</v>
      </c>
    </row>
    <row r="1053" spans="1:13" x14ac:dyDescent="0.25">
      <c r="A1053">
        <v>741</v>
      </c>
      <c r="B1053" s="47" t="str">
        <f>VLOOKUP(Tabla6[[#This Row],['# Vuelo]],'Validacion reclamo de equipaje'!P:Q,2,0)</f>
        <v>BARATA Y MORADA</v>
      </c>
      <c r="C1053" s="52">
        <v>0.48125000000000001</v>
      </c>
      <c r="D1053" s="52">
        <v>0.48819444444444443</v>
      </c>
      <c r="E1053" s="53">
        <f>'Reclamo de equipaje rediseñado'!$D1053-'Reclamo de equipaje rediseñado'!$C1053</f>
        <v>6.9444444444444198E-3</v>
      </c>
      <c r="F1053" s="52">
        <v>0.49305555555555558</v>
      </c>
      <c r="G1053" s="53">
        <f t="shared" si="16"/>
        <v>4.8611111111111494E-3</v>
      </c>
      <c r="H1053" s="54">
        <v>41725</v>
      </c>
      <c r="I1053" s="55" t="s">
        <v>542</v>
      </c>
      <c r="J1053" s="55">
        <v>320</v>
      </c>
      <c r="K1053" s="55">
        <f>VLOOKUP(J1053,'Validacion reclamo de equipaje'!L:M,2,0)</f>
        <v>179</v>
      </c>
      <c r="L1053" s="55" t="str">
        <f>VLOOKUP(I1053,'Validacion reclamo de equipaje'!H:I,2,0)</f>
        <v>Nacional</v>
      </c>
      <c r="M1053" s="55" t="s">
        <v>522</v>
      </c>
    </row>
    <row r="1054" spans="1:13" x14ac:dyDescent="0.25">
      <c r="A1054">
        <v>741</v>
      </c>
      <c r="B1054" s="47" t="str">
        <f>VLOOKUP(Tabla6[[#This Row],['# Vuelo]],'Validacion reclamo de equipaje'!P:Q,2,0)</f>
        <v>BARATA Y MORADA</v>
      </c>
      <c r="C1054" s="48">
        <v>0.4770833333333333</v>
      </c>
      <c r="D1054" s="48">
        <v>0.48402777777777778</v>
      </c>
      <c r="E1054" s="49">
        <f>'Reclamo de equipaje rediseñado'!$D1054-'Reclamo de equipaje rediseñado'!$C1054</f>
        <v>6.9444444444444753E-3</v>
      </c>
      <c r="F1054" s="48">
        <v>0.48749999999999999</v>
      </c>
      <c r="G1054" s="49">
        <f t="shared" si="16"/>
        <v>3.4722222222222099E-3</v>
      </c>
      <c r="H1054" s="50">
        <v>41726</v>
      </c>
      <c r="I1054" s="51" t="s">
        <v>542</v>
      </c>
      <c r="J1054" s="51">
        <v>320</v>
      </c>
      <c r="K1054" s="51">
        <f>VLOOKUP(J1054,'Validacion reclamo de equipaje'!L:M,2,0)</f>
        <v>179</v>
      </c>
      <c r="L1054" s="51" t="str">
        <f>VLOOKUP(I1054,'Validacion reclamo de equipaje'!H:I,2,0)</f>
        <v>Nacional</v>
      </c>
      <c r="M1054" s="51" t="s">
        <v>522</v>
      </c>
    </row>
    <row r="1055" spans="1:13" x14ac:dyDescent="0.25">
      <c r="A1055">
        <v>741</v>
      </c>
      <c r="B1055" s="47" t="str">
        <f>VLOOKUP(Tabla6[[#This Row],['# Vuelo]],'Validacion reclamo de equipaje'!P:Q,2,0)</f>
        <v>BARATA Y MORADA</v>
      </c>
      <c r="C1055" s="52">
        <v>0.4777777777777778</v>
      </c>
      <c r="D1055" s="52">
        <v>0.48194444444444445</v>
      </c>
      <c r="E1055" s="53">
        <f>'Reclamo de equipaje rediseñado'!$D1055-'Reclamo de equipaje rediseñado'!$C1055</f>
        <v>4.1666666666666519E-3</v>
      </c>
      <c r="F1055" s="52">
        <v>0.49513888888888885</v>
      </c>
      <c r="G1055" s="53">
        <f t="shared" si="16"/>
        <v>1.3194444444444398E-2</v>
      </c>
      <c r="H1055" s="54">
        <v>41727</v>
      </c>
      <c r="I1055" s="55" t="s">
        <v>542</v>
      </c>
      <c r="J1055" s="55">
        <v>320</v>
      </c>
      <c r="K1055" s="55">
        <f>VLOOKUP(J1055,'Validacion reclamo de equipaje'!L:M,2,0)</f>
        <v>179</v>
      </c>
      <c r="L1055" s="55" t="str">
        <f>VLOOKUP(I1055,'Validacion reclamo de equipaje'!H:I,2,0)</f>
        <v>Nacional</v>
      </c>
      <c r="M1055" s="55" t="s">
        <v>522</v>
      </c>
    </row>
    <row r="1056" spans="1:13" x14ac:dyDescent="0.25">
      <c r="A1056">
        <v>741</v>
      </c>
      <c r="B1056" s="47" t="str">
        <f>VLOOKUP(Tabla6[[#This Row],['# Vuelo]],'Validacion reclamo de equipaje'!P:Q,2,0)</f>
        <v>BARATA Y MORADA</v>
      </c>
      <c r="C1056" s="48">
        <v>0.47916666666666669</v>
      </c>
      <c r="D1056" s="48">
        <v>0.48819444444444443</v>
      </c>
      <c r="E1056" s="49">
        <f>'Reclamo de equipaje rediseñado'!$D1056-'Reclamo de equipaje rediseñado'!$C1056</f>
        <v>9.0277777777777457E-3</v>
      </c>
      <c r="F1056" s="48">
        <v>0.5</v>
      </c>
      <c r="G1056" s="49">
        <f t="shared" si="16"/>
        <v>1.1805555555555569E-2</v>
      </c>
      <c r="H1056" s="50">
        <v>41729</v>
      </c>
      <c r="I1056" s="51" t="s">
        <v>542</v>
      </c>
      <c r="J1056" s="51">
        <v>320</v>
      </c>
      <c r="K1056" s="51">
        <f>VLOOKUP(J1056,'Validacion reclamo de equipaje'!L:M,2,0)</f>
        <v>179</v>
      </c>
      <c r="L1056" s="51" t="str">
        <f>VLOOKUP(I1056,'Validacion reclamo de equipaje'!H:I,2,0)</f>
        <v>Nacional</v>
      </c>
      <c r="M1056" s="51" t="s">
        <v>522</v>
      </c>
    </row>
    <row r="1057" spans="1:13" x14ac:dyDescent="0.25">
      <c r="A1057">
        <v>738</v>
      </c>
      <c r="B1057" s="47" t="str">
        <f>VLOOKUP(Tabla6[[#This Row],['# Vuelo]],'Validacion reclamo de equipaje'!P:Q,2,0)</f>
        <v>BARATA Y MORADA</v>
      </c>
      <c r="C1057" s="52">
        <v>0.59097222222222223</v>
      </c>
      <c r="D1057" s="52">
        <v>0.60069444444444442</v>
      </c>
      <c r="E1057" s="53">
        <f>'Reclamo de equipaje rediseñado'!$D1057-'Reclamo de equipaje rediseñado'!$C1057</f>
        <v>9.7222222222221877E-3</v>
      </c>
      <c r="F1057" s="52">
        <v>0.60486111111111118</v>
      </c>
      <c r="G1057" s="53">
        <f t="shared" si="16"/>
        <v>4.1666666666667629E-3</v>
      </c>
      <c r="H1057" s="54">
        <v>41717</v>
      </c>
      <c r="I1057" s="55" t="s">
        <v>536</v>
      </c>
      <c r="J1057" s="55" t="s">
        <v>572</v>
      </c>
      <c r="K1057" s="55">
        <f>VLOOKUP(J1057,'Validacion reclamo de equipaje'!L:M,2,0)</f>
        <v>142</v>
      </c>
      <c r="L1057" s="55" t="str">
        <f>VLOOKUP(I1057,'Validacion reclamo de equipaje'!H:I,2,0)</f>
        <v>Nacional</v>
      </c>
      <c r="M1057" s="55" t="s">
        <v>522</v>
      </c>
    </row>
    <row r="1058" spans="1:13" x14ac:dyDescent="0.25">
      <c r="A1058">
        <v>738</v>
      </c>
      <c r="B1058" s="47" t="str">
        <f>VLOOKUP(Tabla6[[#This Row],['# Vuelo]],'Validacion reclamo de equipaje'!P:Q,2,0)</f>
        <v>BARATA Y MORADA</v>
      </c>
      <c r="C1058" s="48">
        <v>0.5756944444444444</v>
      </c>
      <c r="D1058" s="48">
        <v>0.58263888888888882</v>
      </c>
      <c r="E1058" s="49">
        <f>'Reclamo de equipaje rediseñado'!$D1058-'Reclamo de equipaje rediseñado'!$C1058</f>
        <v>6.9444444444444198E-3</v>
      </c>
      <c r="F1058" s="48">
        <v>0.59305555555555556</v>
      </c>
      <c r="G1058" s="49">
        <f t="shared" si="16"/>
        <v>1.0416666666666741E-2</v>
      </c>
      <c r="H1058" s="50">
        <v>41725</v>
      </c>
      <c r="I1058" s="51" t="s">
        <v>536</v>
      </c>
      <c r="J1058" s="51" t="s">
        <v>572</v>
      </c>
      <c r="K1058" s="51">
        <f>VLOOKUP(J1058,'Validacion reclamo de equipaje'!L:M,2,0)</f>
        <v>142</v>
      </c>
      <c r="L1058" s="51" t="str">
        <f>VLOOKUP(I1058,'Validacion reclamo de equipaje'!H:I,2,0)</f>
        <v>Nacional</v>
      </c>
      <c r="M1058" s="51" t="s">
        <v>522</v>
      </c>
    </row>
    <row r="1059" spans="1:13" x14ac:dyDescent="0.25">
      <c r="A1059">
        <v>732</v>
      </c>
      <c r="B1059" s="47" t="str">
        <f>VLOOKUP(Tabla6[[#This Row],['# Vuelo]],'Validacion reclamo de equipaje'!P:Q,2,0)</f>
        <v>BARATA Y MORADA</v>
      </c>
      <c r="C1059" s="52">
        <v>0.37638888888888888</v>
      </c>
      <c r="D1059" s="52">
        <v>0.38125000000000003</v>
      </c>
      <c r="E1059" s="53">
        <f>'Reclamo de equipaje rediseñado'!$D1059-'Reclamo de equipaje rediseñado'!$C1059</f>
        <v>4.8611111111111494E-3</v>
      </c>
      <c r="F1059" s="52">
        <v>0.38958333333333334</v>
      </c>
      <c r="G1059" s="53">
        <f t="shared" si="16"/>
        <v>8.3333333333333037E-3</v>
      </c>
      <c r="H1059" s="54">
        <v>41714</v>
      </c>
      <c r="I1059" s="55" t="s">
        <v>536</v>
      </c>
      <c r="J1059" s="55" t="s">
        <v>572</v>
      </c>
      <c r="K1059" s="55">
        <f>VLOOKUP(J1059,'Validacion reclamo de equipaje'!L:M,2,0)</f>
        <v>142</v>
      </c>
      <c r="L1059" s="55" t="str">
        <f>VLOOKUP(I1059,'Validacion reclamo de equipaje'!H:I,2,0)</f>
        <v>Nacional</v>
      </c>
      <c r="M1059" s="55" t="s">
        <v>522</v>
      </c>
    </row>
    <row r="1060" spans="1:13" x14ac:dyDescent="0.25">
      <c r="A1060">
        <v>732</v>
      </c>
      <c r="B1060" s="47" t="str">
        <f>VLOOKUP(Tabla6[[#This Row],['# Vuelo]],'Validacion reclamo de equipaje'!P:Q,2,0)</f>
        <v>BARATA Y MORADA</v>
      </c>
      <c r="C1060" s="48">
        <v>0.375</v>
      </c>
      <c r="D1060" s="48">
        <v>0.3833333333333333</v>
      </c>
      <c r="E1060" s="49">
        <f>'Reclamo de equipaje rediseñado'!$D1060-'Reclamo de equipaje rediseñado'!$C1060</f>
        <v>8.3333333333333037E-3</v>
      </c>
      <c r="F1060" s="48">
        <v>0.39374999999999999</v>
      </c>
      <c r="G1060" s="49">
        <f t="shared" si="16"/>
        <v>1.0416666666666685E-2</v>
      </c>
      <c r="H1060" s="50">
        <v>41715</v>
      </c>
      <c r="I1060" s="51" t="s">
        <v>536</v>
      </c>
      <c r="J1060" s="51" t="s">
        <v>572</v>
      </c>
      <c r="K1060" s="51">
        <f>VLOOKUP(J1060,'Validacion reclamo de equipaje'!L:M,2,0)</f>
        <v>142</v>
      </c>
      <c r="L1060" s="51" t="str">
        <f>VLOOKUP(I1060,'Validacion reclamo de equipaje'!H:I,2,0)</f>
        <v>Nacional</v>
      </c>
      <c r="M1060" s="51" t="s">
        <v>522</v>
      </c>
    </row>
    <row r="1061" spans="1:13" x14ac:dyDescent="0.25">
      <c r="A1061">
        <v>732</v>
      </c>
      <c r="B1061" s="47" t="str">
        <f>VLOOKUP(Tabla6[[#This Row],['# Vuelo]],'Validacion reclamo de equipaje'!P:Q,2,0)</f>
        <v>BARATA Y MORADA</v>
      </c>
      <c r="C1061" s="52">
        <v>0.39374999999999999</v>
      </c>
      <c r="D1061" s="52">
        <v>0.39930555555555558</v>
      </c>
      <c r="E1061" s="53">
        <f>'Reclamo de equipaje rediseñado'!$D1061-'Reclamo de equipaje rediseñado'!$C1061</f>
        <v>5.5555555555555913E-3</v>
      </c>
      <c r="F1061" s="52">
        <v>0.40625</v>
      </c>
      <c r="G1061" s="53">
        <f t="shared" si="16"/>
        <v>6.9444444444444198E-3</v>
      </c>
      <c r="H1061" s="54">
        <v>41717</v>
      </c>
      <c r="I1061" s="55" t="s">
        <v>536</v>
      </c>
      <c r="J1061" s="55" t="s">
        <v>572</v>
      </c>
      <c r="K1061" s="55">
        <f>VLOOKUP(J1061,'Validacion reclamo de equipaje'!L:M,2,0)</f>
        <v>142</v>
      </c>
      <c r="L1061" s="55" t="str">
        <f>VLOOKUP(I1061,'Validacion reclamo de equipaje'!H:I,2,0)</f>
        <v>Nacional</v>
      </c>
      <c r="M1061" s="55" t="s">
        <v>522</v>
      </c>
    </row>
    <row r="1062" spans="1:13" x14ac:dyDescent="0.25">
      <c r="A1062">
        <v>732</v>
      </c>
      <c r="B1062" s="47" t="str">
        <f>VLOOKUP(Tabla6[[#This Row],['# Vuelo]],'Validacion reclamo de equipaje'!P:Q,2,0)</f>
        <v>BARATA Y MORADA</v>
      </c>
      <c r="C1062" s="48">
        <v>0.37847222222222227</v>
      </c>
      <c r="D1062" s="48">
        <v>0.38750000000000001</v>
      </c>
      <c r="E1062" s="49">
        <f>'Reclamo de equipaje rediseñado'!$D1062-'Reclamo de equipaje rediseñado'!$C1062</f>
        <v>9.0277777777777457E-3</v>
      </c>
      <c r="F1062" s="48">
        <v>0.39513888888888887</v>
      </c>
      <c r="G1062" s="49">
        <f t="shared" si="16"/>
        <v>7.6388888888888618E-3</v>
      </c>
      <c r="H1062" s="50">
        <v>41718</v>
      </c>
      <c r="I1062" s="51" t="s">
        <v>536</v>
      </c>
      <c r="J1062" s="51" t="s">
        <v>572</v>
      </c>
      <c r="K1062" s="51">
        <f>VLOOKUP(J1062,'Validacion reclamo de equipaje'!L:M,2,0)</f>
        <v>142</v>
      </c>
      <c r="L1062" s="51" t="str">
        <f>VLOOKUP(I1062,'Validacion reclamo de equipaje'!H:I,2,0)</f>
        <v>Nacional</v>
      </c>
      <c r="M1062" s="51" t="s">
        <v>522</v>
      </c>
    </row>
    <row r="1063" spans="1:13" x14ac:dyDescent="0.25">
      <c r="A1063">
        <v>732</v>
      </c>
      <c r="B1063" s="47" t="str">
        <f>VLOOKUP(Tabla6[[#This Row],['# Vuelo]],'Validacion reclamo de equipaje'!P:Q,2,0)</f>
        <v>BARATA Y MORADA</v>
      </c>
      <c r="C1063" s="52">
        <v>0.37013888888888885</v>
      </c>
      <c r="D1063" s="52">
        <v>0.37638888888888888</v>
      </c>
      <c r="E1063" s="53">
        <f>'Reclamo de equipaje rediseñado'!$D1063-'Reclamo de equipaje rediseñado'!$C1063</f>
        <v>6.2500000000000333E-3</v>
      </c>
      <c r="F1063" s="52">
        <v>0.38680555555555557</v>
      </c>
      <c r="G1063" s="53">
        <f t="shared" si="16"/>
        <v>1.0416666666666685E-2</v>
      </c>
      <c r="H1063" s="54">
        <v>41721</v>
      </c>
      <c r="I1063" s="55" t="s">
        <v>536</v>
      </c>
      <c r="J1063" s="55" t="s">
        <v>572</v>
      </c>
      <c r="K1063" s="55">
        <f>VLOOKUP(J1063,'Validacion reclamo de equipaje'!L:M,2,0)</f>
        <v>142</v>
      </c>
      <c r="L1063" s="55" t="str">
        <f>VLOOKUP(I1063,'Validacion reclamo de equipaje'!H:I,2,0)</f>
        <v>Nacional</v>
      </c>
      <c r="M1063" s="55" t="s">
        <v>522</v>
      </c>
    </row>
    <row r="1064" spans="1:13" x14ac:dyDescent="0.25">
      <c r="A1064">
        <v>732</v>
      </c>
      <c r="B1064" s="47" t="str">
        <f>VLOOKUP(Tabla6[[#This Row],['# Vuelo]],'Validacion reclamo de equipaje'!P:Q,2,0)</f>
        <v>BARATA Y MORADA</v>
      </c>
      <c r="C1064" s="48">
        <v>0.37291666666666662</v>
      </c>
      <c r="D1064" s="48">
        <v>0.38055555555555554</v>
      </c>
      <c r="E1064" s="49">
        <f>'Reclamo de equipaje rediseñado'!$D1064-'Reclamo de equipaje rediseñado'!$C1064</f>
        <v>7.6388888888889173E-3</v>
      </c>
      <c r="F1064" s="48">
        <v>0.39027777777777778</v>
      </c>
      <c r="G1064" s="49">
        <f t="shared" si="16"/>
        <v>9.7222222222222432E-3</v>
      </c>
      <c r="H1064" s="50">
        <v>41722</v>
      </c>
      <c r="I1064" s="51" t="s">
        <v>536</v>
      </c>
      <c r="J1064" s="51" t="s">
        <v>572</v>
      </c>
      <c r="K1064" s="51">
        <f>VLOOKUP(J1064,'Validacion reclamo de equipaje'!L:M,2,0)</f>
        <v>142</v>
      </c>
      <c r="L1064" s="51" t="str">
        <f>VLOOKUP(I1064,'Validacion reclamo de equipaje'!H:I,2,0)</f>
        <v>Nacional</v>
      </c>
      <c r="M1064" s="51" t="s">
        <v>522</v>
      </c>
    </row>
    <row r="1065" spans="1:13" x14ac:dyDescent="0.25">
      <c r="A1065">
        <v>732</v>
      </c>
      <c r="B1065" s="47" t="str">
        <f>VLOOKUP(Tabla6[[#This Row],['# Vuelo]],'Validacion reclamo de equipaje'!P:Q,2,0)</f>
        <v>BARATA Y MORADA</v>
      </c>
      <c r="C1065" s="52">
        <v>0.3840277777777778</v>
      </c>
      <c r="D1065" s="52">
        <v>0.39166666666666666</v>
      </c>
      <c r="E1065" s="53">
        <f>'Reclamo de equipaje rediseñado'!$D1065-'Reclamo de equipaje rediseñado'!$C1065</f>
        <v>7.6388888888888618E-3</v>
      </c>
      <c r="F1065" s="52">
        <v>0.40138888888888885</v>
      </c>
      <c r="G1065" s="53">
        <f t="shared" si="16"/>
        <v>9.7222222222221877E-3</v>
      </c>
      <c r="H1065" s="54">
        <v>41725</v>
      </c>
      <c r="I1065" s="55" t="s">
        <v>536</v>
      </c>
      <c r="J1065" s="55" t="s">
        <v>572</v>
      </c>
      <c r="K1065" s="55">
        <f>VLOOKUP(J1065,'Validacion reclamo de equipaje'!L:M,2,0)</f>
        <v>142</v>
      </c>
      <c r="L1065" s="55" t="str">
        <f>VLOOKUP(I1065,'Validacion reclamo de equipaje'!H:I,2,0)</f>
        <v>Nacional</v>
      </c>
      <c r="M1065" s="55" t="s">
        <v>522</v>
      </c>
    </row>
    <row r="1066" spans="1:13" x14ac:dyDescent="0.25">
      <c r="A1066">
        <v>732</v>
      </c>
      <c r="B1066" s="47" t="str">
        <f>VLOOKUP(Tabla6[[#This Row],['# Vuelo]],'Validacion reclamo de equipaje'!P:Q,2,0)</f>
        <v>BARATA Y MORADA</v>
      </c>
      <c r="C1066" s="48">
        <v>0.38125000000000003</v>
      </c>
      <c r="D1066" s="48">
        <v>0.3888888888888889</v>
      </c>
      <c r="E1066" s="49">
        <f>'Reclamo de equipaje rediseñado'!$D1066-'Reclamo de equipaje rediseñado'!$C1066</f>
        <v>7.6388888888888618E-3</v>
      </c>
      <c r="F1066" s="48">
        <v>0.39374999999999999</v>
      </c>
      <c r="G1066" s="49">
        <f t="shared" si="16"/>
        <v>4.8611111111110938E-3</v>
      </c>
      <c r="H1066" s="50">
        <v>41725</v>
      </c>
      <c r="I1066" s="51" t="s">
        <v>536</v>
      </c>
      <c r="J1066" s="51" t="s">
        <v>572</v>
      </c>
      <c r="K1066" s="51">
        <f>VLOOKUP(J1066,'Validacion reclamo de equipaje'!L:M,2,0)</f>
        <v>142</v>
      </c>
      <c r="L1066" s="51" t="str">
        <f>VLOOKUP(I1066,'Validacion reclamo de equipaje'!H:I,2,0)</f>
        <v>Nacional</v>
      </c>
      <c r="M1066" s="51" t="s">
        <v>522</v>
      </c>
    </row>
    <row r="1067" spans="1:13" x14ac:dyDescent="0.25">
      <c r="A1067">
        <v>732</v>
      </c>
      <c r="B1067" s="47" t="str">
        <f>VLOOKUP(Tabla6[[#This Row],['# Vuelo]],'Validacion reclamo de equipaje'!P:Q,2,0)</f>
        <v>BARATA Y MORADA</v>
      </c>
      <c r="C1067" s="52">
        <v>0.39583333333333331</v>
      </c>
      <c r="D1067" s="52">
        <v>0.39652777777777781</v>
      </c>
      <c r="E1067" s="53">
        <f>'Reclamo de equipaje rediseñado'!$D1067-'Reclamo de equipaje rediseñado'!$C1067</f>
        <v>6.9444444444449749E-4</v>
      </c>
      <c r="F1067" s="52">
        <v>0.40416666666666662</v>
      </c>
      <c r="G1067" s="53">
        <f t="shared" si="16"/>
        <v>7.6388888888888062E-3</v>
      </c>
      <c r="H1067" s="54">
        <v>41726</v>
      </c>
      <c r="I1067" s="55" t="s">
        <v>536</v>
      </c>
      <c r="J1067" s="55" t="s">
        <v>572</v>
      </c>
      <c r="K1067" s="55">
        <f>VLOOKUP(J1067,'Validacion reclamo de equipaje'!L:M,2,0)</f>
        <v>142</v>
      </c>
      <c r="L1067" s="55" t="str">
        <f>VLOOKUP(I1067,'Validacion reclamo de equipaje'!H:I,2,0)</f>
        <v>Nacional</v>
      </c>
      <c r="M1067" s="55" t="s">
        <v>522</v>
      </c>
    </row>
    <row r="1068" spans="1:13" x14ac:dyDescent="0.25">
      <c r="A1068">
        <v>732</v>
      </c>
      <c r="B1068" s="47" t="str">
        <f>VLOOKUP(Tabla6[[#This Row],['# Vuelo]],'Validacion reclamo de equipaje'!P:Q,2,0)</f>
        <v>BARATA Y MORADA</v>
      </c>
      <c r="C1068" s="48">
        <v>0.37847222222222227</v>
      </c>
      <c r="D1068" s="48">
        <v>0.3833333333333333</v>
      </c>
      <c r="E1068" s="49">
        <f>'Reclamo de equipaje rediseñado'!$D1068-'Reclamo de equipaje rediseñado'!$C1068</f>
        <v>4.8611111111110383E-3</v>
      </c>
      <c r="F1068" s="48">
        <v>0.39374999999999999</v>
      </c>
      <c r="G1068" s="49">
        <f t="shared" si="16"/>
        <v>1.0416666666666685E-2</v>
      </c>
      <c r="H1068" s="50">
        <v>41727</v>
      </c>
      <c r="I1068" s="51" t="s">
        <v>536</v>
      </c>
      <c r="J1068" s="51" t="s">
        <v>572</v>
      </c>
      <c r="K1068" s="51">
        <f>VLOOKUP(J1068,'Validacion reclamo de equipaje'!L:M,2,0)</f>
        <v>142</v>
      </c>
      <c r="L1068" s="51" t="str">
        <f>VLOOKUP(I1068,'Validacion reclamo de equipaje'!H:I,2,0)</f>
        <v>Nacional</v>
      </c>
      <c r="M1068" s="51" t="s">
        <v>522</v>
      </c>
    </row>
    <row r="1069" spans="1:13" x14ac:dyDescent="0.25">
      <c r="A1069">
        <v>732</v>
      </c>
      <c r="B1069" s="47" t="str">
        <f>VLOOKUP(Tabla6[[#This Row],['# Vuelo]],'Validacion reclamo de equipaje'!P:Q,2,0)</f>
        <v>BARATA Y MORADA</v>
      </c>
      <c r="C1069" s="52">
        <v>0.375</v>
      </c>
      <c r="D1069" s="52">
        <v>0.38194444444444442</v>
      </c>
      <c r="E1069" s="53">
        <f>'Reclamo de equipaje rediseñado'!$D1069-'Reclamo de equipaje rediseñado'!$C1069</f>
        <v>6.9444444444444198E-3</v>
      </c>
      <c r="F1069" s="52">
        <v>0.3923611111111111</v>
      </c>
      <c r="G1069" s="53">
        <f t="shared" si="16"/>
        <v>1.0416666666666685E-2</v>
      </c>
      <c r="H1069" s="54">
        <v>41729</v>
      </c>
      <c r="I1069" s="55" t="s">
        <v>536</v>
      </c>
      <c r="J1069" s="55" t="s">
        <v>572</v>
      </c>
      <c r="K1069" s="55">
        <f>VLOOKUP(J1069,'Validacion reclamo de equipaje'!L:M,2,0)</f>
        <v>142</v>
      </c>
      <c r="L1069" s="55" t="str">
        <f>VLOOKUP(I1069,'Validacion reclamo de equipaje'!H:I,2,0)</f>
        <v>Nacional</v>
      </c>
      <c r="M1069" s="55" t="s">
        <v>522</v>
      </c>
    </row>
    <row r="1070" spans="1:13" x14ac:dyDescent="0.25">
      <c r="A1070">
        <v>730</v>
      </c>
      <c r="B1070" s="47" t="str">
        <f>VLOOKUP(Tabla6[[#This Row],['# Vuelo]],'Validacion reclamo de equipaje'!P:Q,2,0)</f>
        <v>BARATA Y MORADA</v>
      </c>
      <c r="C1070" s="48">
        <v>0.56666666666666665</v>
      </c>
      <c r="D1070" s="48">
        <v>0.57430555555555551</v>
      </c>
      <c r="E1070" s="49">
        <f>'Reclamo de equipaje rediseñado'!$D1070-'Reclamo de equipaje rediseñado'!$C1070</f>
        <v>7.6388888888888618E-3</v>
      </c>
      <c r="F1070" s="48">
        <v>0.57916666666666672</v>
      </c>
      <c r="G1070" s="49">
        <f t="shared" si="16"/>
        <v>4.8611111111112049E-3</v>
      </c>
      <c r="H1070" s="50">
        <v>41726</v>
      </c>
      <c r="I1070" s="51" t="s">
        <v>536</v>
      </c>
      <c r="J1070" s="51" t="s">
        <v>572</v>
      </c>
      <c r="K1070" s="51">
        <f>VLOOKUP(J1070,'Validacion reclamo de equipaje'!L:M,2,0)</f>
        <v>142</v>
      </c>
      <c r="L1070" s="51" t="str">
        <f>VLOOKUP(I1070,'Validacion reclamo de equipaje'!H:I,2,0)</f>
        <v>Nacional</v>
      </c>
      <c r="M1070" s="51" t="s">
        <v>522</v>
      </c>
    </row>
    <row r="1071" spans="1:13" x14ac:dyDescent="0.25">
      <c r="A1071">
        <v>724</v>
      </c>
      <c r="B1071" s="47" t="str">
        <f>VLOOKUP(Tabla6[[#This Row],['# Vuelo]],'Validacion reclamo de equipaje'!P:Q,2,0)</f>
        <v>BARATA Y MORADA</v>
      </c>
      <c r="C1071" s="52">
        <v>0.8979166666666667</v>
      </c>
      <c r="D1071" s="52">
        <v>0.90972222222222221</v>
      </c>
      <c r="E1071" s="53">
        <f>'Reclamo de equipaje rediseñado'!$D1071-'Reclamo de equipaje rediseñado'!$C1071</f>
        <v>1.1805555555555514E-2</v>
      </c>
      <c r="F1071" s="52">
        <v>0.91736111111111107</v>
      </c>
      <c r="G1071" s="53">
        <f t="shared" si="16"/>
        <v>7.6388888888888618E-3</v>
      </c>
      <c r="H1071" s="54">
        <v>41726</v>
      </c>
      <c r="I1071" s="55" t="s">
        <v>536</v>
      </c>
      <c r="J1071" s="55" t="s">
        <v>540</v>
      </c>
      <c r="K1071" s="55" t="e">
        <f>VLOOKUP(J1071,'Validacion reclamo de equipaje'!L:M,2,0)</f>
        <v>#N/A</v>
      </c>
      <c r="L1071" s="55" t="str">
        <f>VLOOKUP(I1071,'Validacion reclamo de equipaje'!H:I,2,0)</f>
        <v>Nacional</v>
      </c>
      <c r="M1071" s="55" t="s">
        <v>522</v>
      </c>
    </row>
    <row r="1072" spans="1:13" x14ac:dyDescent="0.25">
      <c r="A1072">
        <v>723</v>
      </c>
      <c r="B1072" s="47" t="str">
        <f>VLOOKUP(Tabla6[[#This Row],['# Vuelo]],'Validacion reclamo de equipaje'!P:Q,2,0)</f>
        <v>BARATA Y MORADA</v>
      </c>
      <c r="C1072" s="48">
        <v>0.39027777777777778</v>
      </c>
      <c r="D1072" s="48">
        <v>0.39652777777777781</v>
      </c>
      <c r="E1072" s="49">
        <f>'Reclamo de equipaje rediseñado'!$D1072-'Reclamo de equipaje rediseñado'!$C1072</f>
        <v>6.2500000000000333E-3</v>
      </c>
      <c r="F1072" s="48">
        <v>0.40277777777777773</v>
      </c>
      <c r="G1072" s="49">
        <f t="shared" si="16"/>
        <v>6.2499999999999223E-3</v>
      </c>
      <c r="H1072" s="50">
        <v>41716</v>
      </c>
      <c r="I1072" s="51" t="s">
        <v>536</v>
      </c>
      <c r="J1072" s="51" t="s">
        <v>540</v>
      </c>
      <c r="K1072" s="51" t="e">
        <f>VLOOKUP(J1072,'Validacion reclamo de equipaje'!L:M,2,0)</f>
        <v>#N/A</v>
      </c>
      <c r="L1072" s="51" t="str">
        <f>VLOOKUP(I1072,'Validacion reclamo de equipaje'!H:I,2,0)</f>
        <v>Nacional</v>
      </c>
      <c r="M1072" s="51" t="s">
        <v>522</v>
      </c>
    </row>
    <row r="1073" spans="1:13" x14ac:dyDescent="0.25">
      <c r="A1073">
        <v>693</v>
      </c>
      <c r="B1073" s="47" t="str">
        <f>VLOOKUP(Tabla6[[#This Row],['# Vuelo]],'Validacion reclamo de equipaje'!P:Q,2,0)</f>
        <v>BARATA Y MORADA</v>
      </c>
      <c r="C1073" s="52">
        <v>0.4291666666666667</v>
      </c>
      <c r="D1073" s="52">
        <v>0.43611111111111112</v>
      </c>
      <c r="E1073" s="53">
        <f>'Reclamo de equipaje rediseñado'!$D1073-'Reclamo de equipaje rediseñado'!$C1073</f>
        <v>6.9444444444444198E-3</v>
      </c>
      <c r="F1073" s="52">
        <v>0.44236111111111115</v>
      </c>
      <c r="G1073" s="53">
        <f t="shared" si="16"/>
        <v>6.2500000000000333E-3</v>
      </c>
      <c r="H1073" s="54">
        <v>41717</v>
      </c>
      <c r="I1073" s="55" t="s">
        <v>573</v>
      </c>
      <c r="J1073" s="55" t="s">
        <v>572</v>
      </c>
      <c r="K1073" s="55">
        <f>VLOOKUP(J1073,'Validacion reclamo de equipaje'!L:M,2,0)</f>
        <v>142</v>
      </c>
      <c r="L1073" s="55" t="str">
        <f>VLOOKUP(I1073,'Validacion reclamo de equipaje'!H:I,2,0)</f>
        <v>Nacional</v>
      </c>
      <c r="M1073" s="55" t="s">
        <v>522</v>
      </c>
    </row>
    <row r="1074" spans="1:13" x14ac:dyDescent="0.25">
      <c r="A1074">
        <v>693</v>
      </c>
      <c r="B1074" s="47" t="str">
        <f>VLOOKUP(Tabla6[[#This Row],['# Vuelo]],'Validacion reclamo de equipaje'!P:Q,2,0)</f>
        <v>BARATA Y MORADA</v>
      </c>
      <c r="C1074" s="48">
        <v>0.43124999999999997</v>
      </c>
      <c r="D1074" s="48">
        <v>0.4375</v>
      </c>
      <c r="E1074" s="49">
        <f>'Reclamo de equipaje rediseñado'!$D1074-'Reclamo de equipaje rediseñado'!$C1074</f>
        <v>6.2500000000000333E-3</v>
      </c>
      <c r="F1074" s="48">
        <v>0.44513888888888892</v>
      </c>
      <c r="G1074" s="49">
        <f t="shared" si="16"/>
        <v>7.6388888888889173E-3</v>
      </c>
      <c r="H1074" s="50">
        <v>41725</v>
      </c>
      <c r="I1074" s="51" t="s">
        <v>573</v>
      </c>
      <c r="J1074" s="51" t="s">
        <v>572</v>
      </c>
      <c r="K1074" s="51">
        <f>VLOOKUP(J1074,'Validacion reclamo de equipaje'!L:M,2,0)</f>
        <v>142</v>
      </c>
      <c r="L1074" s="51" t="str">
        <f>VLOOKUP(I1074,'Validacion reclamo de equipaje'!H:I,2,0)</f>
        <v>Nacional</v>
      </c>
      <c r="M1074" s="51" t="s">
        <v>522</v>
      </c>
    </row>
    <row r="1075" spans="1:13" x14ac:dyDescent="0.25">
      <c r="A1075">
        <v>691</v>
      </c>
      <c r="B1075" s="47" t="str">
        <f>VLOOKUP(Tabla6[[#This Row],['# Vuelo]],'Validacion reclamo de equipaje'!P:Q,2,0)</f>
        <v>BARATA Y MORADA</v>
      </c>
      <c r="C1075" s="52">
        <v>0.36458333333333331</v>
      </c>
      <c r="D1075" s="52">
        <v>0.37152777777777773</v>
      </c>
      <c r="E1075" s="53">
        <f>'Reclamo de equipaje rediseñado'!$D1075-'Reclamo de equipaje rediseñado'!$C1075</f>
        <v>6.9444444444444198E-3</v>
      </c>
      <c r="F1075" s="52">
        <v>0.38055555555555554</v>
      </c>
      <c r="G1075" s="53">
        <f t="shared" si="16"/>
        <v>9.0277777777778012E-3</v>
      </c>
      <c r="H1075" s="54">
        <v>41716</v>
      </c>
      <c r="I1075" s="55" t="s">
        <v>543</v>
      </c>
      <c r="J1075" s="55" t="s">
        <v>572</v>
      </c>
      <c r="K1075" s="55">
        <f>VLOOKUP(J1075,'Validacion reclamo de equipaje'!L:M,2,0)</f>
        <v>142</v>
      </c>
      <c r="L1075" s="55" t="str">
        <f>VLOOKUP(I1075,'Validacion reclamo de equipaje'!H:I,2,0)</f>
        <v>Nacional</v>
      </c>
      <c r="M1075" s="55" t="s">
        <v>522</v>
      </c>
    </row>
    <row r="1076" spans="1:13" x14ac:dyDescent="0.25">
      <c r="A1076">
        <v>691</v>
      </c>
      <c r="B1076" s="47" t="str">
        <f>VLOOKUP(Tabla6[[#This Row],['# Vuelo]],'Validacion reclamo de equipaje'!P:Q,2,0)</f>
        <v>BARATA Y MORADA</v>
      </c>
      <c r="C1076" s="48">
        <v>0.34791666666666665</v>
      </c>
      <c r="D1076" s="48">
        <v>0.35416666666666669</v>
      </c>
      <c r="E1076" s="49">
        <f>'Reclamo de equipaje rediseñado'!$D1076-'Reclamo de equipaje rediseñado'!$C1076</f>
        <v>6.2500000000000333E-3</v>
      </c>
      <c r="F1076" s="48">
        <v>0.36388888888888887</v>
      </c>
      <c r="G1076" s="49">
        <f t="shared" si="16"/>
        <v>9.7222222222221877E-3</v>
      </c>
      <c r="H1076" s="50">
        <v>41727</v>
      </c>
      <c r="I1076" s="51" t="s">
        <v>543</v>
      </c>
      <c r="J1076" s="51" t="s">
        <v>572</v>
      </c>
      <c r="K1076" s="51">
        <f>VLOOKUP(J1076,'Validacion reclamo de equipaje'!L:M,2,0)</f>
        <v>142</v>
      </c>
      <c r="L1076" s="51" t="str">
        <f>VLOOKUP(I1076,'Validacion reclamo de equipaje'!H:I,2,0)</f>
        <v>Nacional</v>
      </c>
      <c r="M1076" s="51" t="s">
        <v>522</v>
      </c>
    </row>
    <row r="1077" spans="1:13" x14ac:dyDescent="0.25">
      <c r="A1077">
        <v>689</v>
      </c>
      <c r="B1077" s="47" t="str">
        <f>VLOOKUP(Tabla6[[#This Row],['# Vuelo]],'Validacion reclamo de equipaje'!P:Q,2,0)</f>
        <v>BARATA Y MORADA</v>
      </c>
      <c r="C1077" s="52">
        <v>0.52430555555555558</v>
      </c>
      <c r="D1077" s="52">
        <v>0.53472222222222221</v>
      </c>
      <c r="E1077" s="53">
        <f>'Reclamo de equipaje rediseñado'!$D1077-'Reclamo de equipaje rediseñado'!$C1077</f>
        <v>1.041666666666663E-2</v>
      </c>
      <c r="F1077" s="52">
        <v>0.54305555555555551</v>
      </c>
      <c r="G1077" s="53">
        <f t="shared" si="16"/>
        <v>8.3333333333333037E-3</v>
      </c>
      <c r="H1077" s="54">
        <v>41716</v>
      </c>
      <c r="I1077" s="55" t="s">
        <v>599</v>
      </c>
      <c r="J1077" s="55" t="s">
        <v>572</v>
      </c>
      <c r="K1077" s="55">
        <f>VLOOKUP(J1077,'Validacion reclamo de equipaje'!L:M,2,0)</f>
        <v>142</v>
      </c>
      <c r="L1077" s="55" t="str">
        <f>VLOOKUP(I1077,'Validacion reclamo de equipaje'!H:I,2,0)</f>
        <v>Nacional</v>
      </c>
      <c r="M1077" s="55" t="s">
        <v>522</v>
      </c>
    </row>
    <row r="1078" spans="1:13" x14ac:dyDescent="0.25">
      <c r="A1078">
        <v>689</v>
      </c>
      <c r="B1078" s="47" t="str">
        <f>VLOOKUP(Tabla6[[#This Row],['# Vuelo]],'Validacion reclamo de equipaje'!P:Q,2,0)</f>
        <v>BARATA Y MORADA</v>
      </c>
      <c r="C1078" s="48">
        <v>0.53819444444444442</v>
      </c>
      <c r="D1078" s="48">
        <v>0.54375000000000007</v>
      </c>
      <c r="E1078" s="49">
        <f>'Reclamo de equipaje rediseñado'!$D1078-'Reclamo de equipaje rediseñado'!$C1078</f>
        <v>5.5555555555556468E-3</v>
      </c>
      <c r="F1078" s="48">
        <v>0.55138888888888882</v>
      </c>
      <c r="G1078" s="49">
        <f t="shared" si="16"/>
        <v>7.6388888888887507E-3</v>
      </c>
      <c r="H1078" s="50">
        <v>41720</v>
      </c>
      <c r="I1078" s="51" t="s">
        <v>599</v>
      </c>
      <c r="J1078" s="51" t="s">
        <v>572</v>
      </c>
      <c r="K1078" s="51">
        <f>VLOOKUP(J1078,'Validacion reclamo de equipaje'!L:M,2,0)</f>
        <v>142</v>
      </c>
      <c r="L1078" s="51" t="str">
        <f>VLOOKUP(I1078,'Validacion reclamo de equipaje'!H:I,2,0)</f>
        <v>Nacional</v>
      </c>
      <c r="M1078" s="51" t="s">
        <v>522</v>
      </c>
    </row>
    <row r="1079" spans="1:13" x14ac:dyDescent="0.25">
      <c r="A1079">
        <v>689</v>
      </c>
      <c r="B1079" s="47" t="str">
        <f>VLOOKUP(Tabla6[[#This Row],['# Vuelo]],'Validacion reclamo de equipaje'!P:Q,2,0)</f>
        <v>BARATA Y MORADA</v>
      </c>
      <c r="C1079" s="52">
        <v>0.5395833333333333</v>
      </c>
      <c r="D1079" s="52">
        <v>0.54652777777777783</v>
      </c>
      <c r="E1079" s="53">
        <f>'Reclamo de equipaje rediseñado'!$D1079-'Reclamo de equipaje rediseñado'!$C1079</f>
        <v>6.9444444444445308E-3</v>
      </c>
      <c r="F1079" s="52">
        <v>0.55833333333333335</v>
      </c>
      <c r="G1079" s="53">
        <f t="shared" si="16"/>
        <v>1.1805555555555514E-2</v>
      </c>
      <c r="H1079" s="54">
        <v>41727</v>
      </c>
      <c r="I1079" s="55" t="s">
        <v>599</v>
      </c>
      <c r="J1079" s="55" t="s">
        <v>572</v>
      </c>
      <c r="K1079" s="55">
        <f>VLOOKUP(J1079,'Validacion reclamo de equipaje'!L:M,2,0)</f>
        <v>142</v>
      </c>
      <c r="L1079" s="55" t="str">
        <f>VLOOKUP(I1079,'Validacion reclamo de equipaje'!H:I,2,0)</f>
        <v>Nacional</v>
      </c>
      <c r="M1079" s="55" t="s">
        <v>522</v>
      </c>
    </row>
    <row r="1080" spans="1:13" x14ac:dyDescent="0.25">
      <c r="A1080">
        <v>689</v>
      </c>
      <c r="B1080" s="47" t="str">
        <f>VLOOKUP(Tabla6[[#This Row],['# Vuelo]],'Validacion reclamo de equipaje'!P:Q,2,0)</f>
        <v>BARATA Y MORADA</v>
      </c>
      <c r="C1080" s="48">
        <v>0.5395833333333333</v>
      </c>
      <c r="D1080" s="48">
        <v>0.54652777777777783</v>
      </c>
      <c r="E1080" s="49">
        <f>'Reclamo de equipaje rediseñado'!$D1080-'Reclamo de equipaje rediseñado'!$C1080</f>
        <v>6.9444444444445308E-3</v>
      </c>
      <c r="F1080" s="48">
        <v>0.5625</v>
      </c>
      <c r="G1080" s="49">
        <f t="shared" si="16"/>
        <v>1.5972222222222165E-2</v>
      </c>
      <c r="H1080" s="50">
        <v>41727</v>
      </c>
      <c r="I1080" s="51" t="s">
        <v>599</v>
      </c>
      <c r="J1080" s="51" t="s">
        <v>572</v>
      </c>
      <c r="K1080" s="51">
        <f>VLOOKUP(J1080,'Validacion reclamo de equipaje'!L:M,2,0)</f>
        <v>142</v>
      </c>
      <c r="L1080" s="51" t="str">
        <f>VLOOKUP(I1080,'Validacion reclamo de equipaje'!H:I,2,0)</f>
        <v>Nacional</v>
      </c>
      <c r="M1080" s="51" t="s">
        <v>522</v>
      </c>
    </row>
    <row r="1081" spans="1:13" x14ac:dyDescent="0.25">
      <c r="A1081">
        <v>687</v>
      </c>
      <c r="B1081" s="47" t="str">
        <f>VLOOKUP(Tabla6[[#This Row],['# Vuelo]],'Validacion reclamo de equipaje'!P:Q,2,0)</f>
        <v>BARATA Y MORADA</v>
      </c>
      <c r="C1081" s="52">
        <v>0.67569444444444438</v>
      </c>
      <c r="D1081" s="52">
        <v>0.68402777777777779</v>
      </c>
      <c r="E1081" s="53">
        <f>'Reclamo de equipaje rediseñado'!$D1081-'Reclamo de equipaje rediseñado'!$C1081</f>
        <v>8.3333333333334147E-3</v>
      </c>
      <c r="F1081" s="52">
        <v>0.69791666666666663</v>
      </c>
      <c r="G1081" s="53">
        <f t="shared" si="16"/>
        <v>1.388888888888884E-2</v>
      </c>
      <c r="H1081" s="54">
        <v>41717</v>
      </c>
      <c r="I1081" s="55" t="s">
        <v>545</v>
      </c>
      <c r="J1081" s="55" t="s">
        <v>572</v>
      </c>
      <c r="K1081" s="55">
        <f>VLOOKUP(J1081,'Validacion reclamo de equipaje'!L:M,2,0)</f>
        <v>142</v>
      </c>
      <c r="L1081" s="55" t="str">
        <f>VLOOKUP(I1081,'Validacion reclamo de equipaje'!H:I,2,0)</f>
        <v>Nacional</v>
      </c>
      <c r="M1081" s="55" t="s">
        <v>522</v>
      </c>
    </row>
    <row r="1082" spans="1:13" x14ac:dyDescent="0.25">
      <c r="A1082">
        <v>687</v>
      </c>
      <c r="B1082" s="47" t="str">
        <f>VLOOKUP(Tabla6[[#This Row],['# Vuelo]],'Validacion reclamo de equipaje'!P:Q,2,0)</f>
        <v>BARATA Y MORADA</v>
      </c>
      <c r="C1082" s="48">
        <v>0.6875</v>
      </c>
      <c r="D1082" s="48">
        <v>0.70694444444444438</v>
      </c>
      <c r="E1082" s="49">
        <f>'Reclamo de equipaje rediseñado'!$D1082-'Reclamo de equipaje rediseñado'!$C1082</f>
        <v>1.9444444444444375E-2</v>
      </c>
      <c r="F1082" s="48">
        <v>0.71875</v>
      </c>
      <c r="G1082" s="49">
        <f t="shared" si="16"/>
        <v>1.1805555555555625E-2</v>
      </c>
      <c r="H1082" s="50">
        <v>41720</v>
      </c>
      <c r="I1082" s="51" t="s">
        <v>545</v>
      </c>
      <c r="J1082" s="51" t="s">
        <v>572</v>
      </c>
      <c r="K1082" s="51">
        <f>VLOOKUP(J1082,'Validacion reclamo de equipaje'!L:M,2,0)</f>
        <v>142</v>
      </c>
      <c r="L1082" s="51" t="str">
        <f>VLOOKUP(I1082,'Validacion reclamo de equipaje'!H:I,2,0)</f>
        <v>Nacional</v>
      </c>
      <c r="M1082" s="51" t="s">
        <v>522</v>
      </c>
    </row>
    <row r="1083" spans="1:13" x14ac:dyDescent="0.25">
      <c r="A1083">
        <v>687</v>
      </c>
      <c r="B1083" s="47" t="str">
        <f>VLOOKUP(Tabla6[[#This Row],['# Vuelo]],'Validacion reclamo de equipaje'!P:Q,2,0)</f>
        <v>BARATA Y MORADA</v>
      </c>
      <c r="C1083" s="52">
        <v>0.69305555555555554</v>
      </c>
      <c r="D1083" s="52">
        <v>0.69861111111111107</v>
      </c>
      <c r="E1083" s="53">
        <f>'Reclamo de equipaje rediseñado'!$D1083-'Reclamo de equipaje rediseñado'!$C1083</f>
        <v>5.5555555555555358E-3</v>
      </c>
      <c r="F1083" s="52">
        <v>0.70138888888888884</v>
      </c>
      <c r="G1083" s="53">
        <f t="shared" si="16"/>
        <v>2.7777777777777679E-3</v>
      </c>
      <c r="H1083" s="54">
        <v>41725</v>
      </c>
      <c r="I1083" s="55" t="s">
        <v>545</v>
      </c>
      <c r="J1083" s="55" t="s">
        <v>572</v>
      </c>
      <c r="K1083" s="55">
        <f>VLOOKUP(J1083,'Validacion reclamo de equipaje'!L:M,2,0)</f>
        <v>142</v>
      </c>
      <c r="L1083" s="55" t="str">
        <f>VLOOKUP(I1083,'Validacion reclamo de equipaje'!H:I,2,0)</f>
        <v>Nacional</v>
      </c>
      <c r="M1083" s="55" t="s">
        <v>522</v>
      </c>
    </row>
    <row r="1084" spans="1:13" x14ac:dyDescent="0.25">
      <c r="A1084">
        <v>683</v>
      </c>
      <c r="B1084" s="47" t="str">
        <f>VLOOKUP(Tabla6[[#This Row],['# Vuelo]],'Validacion reclamo de equipaje'!P:Q,2,0)</f>
        <v>BARATA Y MORADA</v>
      </c>
      <c r="C1084" s="48">
        <v>0.93055555555555547</v>
      </c>
      <c r="D1084" s="48">
        <v>0.93958333333333333</v>
      </c>
      <c r="E1084" s="49">
        <f>'Reclamo de equipaje rediseñado'!$D1084-'Reclamo de equipaje rediseñado'!$C1084</f>
        <v>9.0277777777778567E-3</v>
      </c>
      <c r="F1084" s="48">
        <v>0.94236111111111109</v>
      </c>
      <c r="G1084" s="49">
        <f t="shared" si="16"/>
        <v>2.7777777777777679E-3</v>
      </c>
      <c r="H1084" s="50">
        <v>41724</v>
      </c>
      <c r="I1084" s="51" t="s">
        <v>542</v>
      </c>
      <c r="J1084" s="51" t="s">
        <v>572</v>
      </c>
      <c r="K1084" s="51">
        <f>VLOOKUP(J1084,'Validacion reclamo de equipaje'!L:M,2,0)</f>
        <v>142</v>
      </c>
      <c r="L1084" s="51" t="str">
        <f>VLOOKUP(I1084,'Validacion reclamo de equipaje'!H:I,2,0)</f>
        <v>Nacional</v>
      </c>
      <c r="M1084" s="51" t="s">
        <v>522</v>
      </c>
    </row>
    <row r="1085" spans="1:13" x14ac:dyDescent="0.25">
      <c r="A1085">
        <v>683</v>
      </c>
      <c r="B1085" s="47" t="str">
        <f>VLOOKUP(Tabla6[[#This Row],['# Vuelo]],'Validacion reclamo de equipaje'!P:Q,2,0)</f>
        <v>BARATA Y MORADA</v>
      </c>
      <c r="C1085" s="52">
        <v>0.94444444444444453</v>
      </c>
      <c r="D1085" s="52">
        <v>0.94791666666666663</v>
      </c>
      <c r="E1085" s="53">
        <f>'Reclamo de equipaje rediseñado'!$D1085-'Reclamo de equipaje rediseñado'!$C1085</f>
        <v>3.4722222222220989E-3</v>
      </c>
      <c r="F1085" s="52">
        <v>0.9590277777777777</v>
      </c>
      <c r="G1085" s="53">
        <f t="shared" si="16"/>
        <v>1.1111111111111072E-2</v>
      </c>
      <c r="H1085" s="54">
        <v>41724</v>
      </c>
      <c r="I1085" s="55" t="s">
        <v>542</v>
      </c>
      <c r="J1085" s="55" t="s">
        <v>572</v>
      </c>
      <c r="K1085" s="55">
        <f>VLOOKUP(J1085,'Validacion reclamo de equipaje'!L:M,2,0)</f>
        <v>142</v>
      </c>
      <c r="L1085" s="55" t="str">
        <f>VLOOKUP(I1085,'Validacion reclamo de equipaje'!H:I,2,0)</f>
        <v>Nacional</v>
      </c>
      <c r="M1085" s="55" t="s">
        <v>522</v>
      </c>
    </row>
    <row r="1086" spans="1:13" x14ac:dyDescent="0.25">
      <c r="A1086">
        <v>683</v>
      </c>
      <c r="B1086" s="47" t="str">
        <f>VLOOKUP(Tabla6[[#This Row],['# Vuelo]],'Validacion reclamo de equipaje'!P:Q,2,0)</f>
        <v>BARATA Y MORADA</v>
      </c>
      <c r="C1086" s="48">
        <v>0.94305555555555554</v>
      </c>
      <c r="D1086" s="48">
        <v>0.95486111111111116</v>
      </c>
      <c r="E1086" s="49">
        <f>'Reclamo de equipaje rediseñado'!$D1086-'Reclamo de equipaje rediseñado'!$C1086</f>
        <v>1.1805555555555625E-2</v>
      </c>
      <c r="F1086" s="48">
        <v>0.96458333333333324</v>
      </c>
      <c r="G1086" s="49">
        <f t="shared" si="16"/>
        <v>9.7222222222220767E-3</v>
      </c>
      <c r="H1086" s="50">
        <v>41726</v>
      </c>
      <c r="I1086" s="51" t="s">
        <v>542</v>
      </c>
      <c r="J1086" s="51" t="s">
        <v>572</v>
      </c>
      <c r="K1086" s="51">
        <f>VLOOKUP(J1086,'Validacion reclamo de equipaje'!L:M,2,0)</f>
        <v>142</v>
      </c>
      <c r="L1086" s="51" t="str">
        <f>VLOOKUP(I1086,'Validacion reclamo de equipaje'!H:I,2,0)</f>
        <v>Nacional</v>
      </c>
      <c r="M1086" s="51" t="s">
        <v>522</v>
      </c>
    </row>
    <row r="1087" spans="1:13" x14ac:dyDescent="0.25">
      <c r="A1087">
        <v>680</v>
      </c>
      <c r="B1087" s="47" t="str">
        <f>VLOOKUP(Tabla6[[#This Row],['# Vuelo]],'Validacion reclamo de equipaje'!P:Q,2,0)</f>
        <v>BARATA Y MORADA</v>
      </c>
      <c r="C1087" s="52">
        <v>0.68263888888888891</v>
      </c>
      <c r="D1087" s="52">
        <v>0.69305555555555554</v>
      </c>
      <c r="E1087" s="53">
        <f>'Reclamo de equipaje rediseñado'!$D1087-'Reclamo de equipaje rediseñado'!$C1087</f>
        <v>1.041666666666663E-2</v>
      </c>
      <c r="F1087" s="52">
        <v>0.70763888888888893</v>
      </c>
      <c r="G1087" s="53">
        <f t="shared" si="16"/>
        <v>1.4583333333333393E-2</v>
      </c>
      <c r="H1087" s="54">
        <v>41727</v>
      </c>
      <c r="I1087" s="55" t="s">
        <v>557</v>
      </c>
      <c r="J1087" s="55" t="s">
        <v>572</v>
      </c>
      <c r="K1087" s="55">
        <f>VLOOKUP(J1087,'Validacion reclamo de equipaje'!L:M,2,0)</f>
        <v>142</v>
      </c>
      <c r="L1087" s="55" t="str">
        <f>VLOOKUP(I1087,'Validacion reclamo de equipaje'!H:I,2,0)</f>
        <v>Nacional</v>
      </c>
      <c r="M1087" s="55" t="s">
        <v>522</v>
      </c>
    </row>
    <row r="1088" spans="1:13" x14ac:dyDescent="0.25">
      <c r="A1088">
        <v>680</v>
      </c>
      <c r="B1088" s="47" t="str">
        <f>VLOOKUP(Tabla6[[#This Row],['# Vuelo]],'Validacion reclamo de equipaje'!P:Q,2,0)</f>
        <v>BARATA Y MORADA</v>
      </c>
      <c r="C1088" s="48">
        <v>0.46597222222222223</v>
      </c>
      <c r="D1088" s="48">
        <v>0.47361111111111115</v>
      </c>
      <c r="E1088" s="49">
        <f>'Reclamo de equipaje rediseñado'!$D1088-'Reclamo de equipaje rediseñado'!$C1088</f>
        <v>7.6388888888889173E-3</v>
      </c>
      <c r="F1088" s="48">
        <v>0.47916666666666669</v>
      </c>
      <c r="G1088" s="49">
        <f t="shared" si="16"/>
        <v>5.5555555555555358E-3</v>
      </c>
      <c r="H1088" s="50">
        <v>41714</v>
      </c>
      <c r="I1088" s="51" t="s">
        <v>557</v>
      </c>
      <c r="J1088" s="51" t="s">
        <v>572</v>
      </c>
      <c r="K1088" s="51">
        <f>VLOOKUP(J1088,'Validacion reclamo de equipaje'!L:M,2,0)</f>
        <v>142</v>
      </c>
      <c r="L1088" s="51" t="str">
        <f>VLOOKUP(I1088,'Validacion reclamo de equipaje'!H:I,2,0)</f>
        <v>Nacional</v>
      </c>
      <c r="M1088" s="51" t="s">
        <v>522</v>
      </c>
    </row>
    <row r="1089" spans="1:13" x14ac:dyDescent="0.25">
      <c r="A1089">
        <v>680</v>
      </c>
      <c r="B1089" s="47" t="str">
        <f>VLOOKUP(Tabla6[[#This Row],['# Vuelo]],'Validacion reclamo de equipaje'!P:Q,2,0)</f>
        <v>BARATA Y MORADA</v>
      </c>
      <c r="C1089" s="52">
        <v>0.47222222222222227</v>
      </c>
      <c r="D1089" s="52">
        <v>0.48055555555555557</v>
      </c>
      <c r="E1089" s="53">
        <f>'Reclamo de equipaje rediseñado'!$D1089-'Reclamo de equipaje rediseñado'!$C1089</f>
        <v>8.3333333333333037E-3</v>
      </c>
      <c r="F1089" s="52">
        <v>0.49444444444444446</v>
      </c>
      <c r="G1089" s="53">
        <f t="shared" si="16"/>
        <v>1.3888888888888895E-2</v>
      </c>
      <c r="H1089" s="54">
        <v>41716</v>
      </c>
      <c r="I1089" s="55" t="s">
        <v>557</v>
      </c>
      <c r="J1089" s="55" t="s">
        <v>572</v>
      </c>
      <c r="K1089" s="55">
        <f>VLOOKUP(J1089,'Validacion reclamo de equipaje'!L:M,2,0)</f>
        <v>142</v>
      </c>
      <c r="L1089" s="55" t="str">
        <f>VLOOKUP(I1089,'Validacion reclamo de equipaje'!H:I,2,0)</f>
        <v>Nacional</v>
      </c>
      <c r="M1089" s="55" t="s">
        <v>522</v>
      </c>
    </row>
    <row r="1090" spans="1:13" x14ac:dyDescent="0.25">
      <c r="A1090">
        <v>680</v>
      </c>
      <c r="B1090" s="47" t="str">
        <f>VLOOKUP(Tabla6[[#This Row],['# Vuelo]],'Validacion reclamo de equipaje'!P:Q,2,0)</f>
        <v>BARATA Y MORADA</v>
      </c>
      <c r="C1090" s="48">
        <v>0.48055555555555557</v>
      </c>
      <c r="D1090" s="48">
        <v>0.48749999999999999</v>
      </c>
      <c r="E1090" s="49">
        <f>'Reclamo de equipaje rediseñado'!$D1090-'Reclamo de equipaje rediseñado'!$C1090</f>
        <v>6.9444444444444198E-3</v>
      </c>
      <c r="F1090" s="48">
        <v>0.49722222222222223</v>
      </c>
      <c r="G1090" s="49">
        <f t="shared" si="16"/>
        <v>9.7222222222222432E-3</v>
      </c>
      <c r="H1090" s="50">
        <v>41718</v>
      </c>
      <c r="I1090" s="51" t="s">
        <v>557</v>
      </c>
      <c r="J1090" s="51" t="s">
        <v>572</v>
      </c>
      <c r="K1090" s="51">
        <f>VLOOKUP(J1090,'Validacion reclamo de equipaje'!L:M,2,0)</f>
        <v>142</v>
      </c>
      <c r="L1090" s="51" t="str">
        <f>VLOOKUP(I1090,'Validacion reclamo de equipaje'!H:I,2,0)</f>
        <v>Nacional</v>
      </c>
      <c r="M1090" s="51" t="s">
        <v>522</v>
      </c>
    </row>
    <row r="1091" spans="1:13" x14ac:dyDescent="0.25">
      <c r="A1091">
        <v>680</v>
      </c>
      <c r="B1091" s="47" t="str">
        <f>VLOOKUP(Tabla6[[#This Row],['# Vuelo]],'Validacion reclamo de equipaje'!P:Q,2,0)</f>
        <v>BARATA Y MORADA</v>
      </c>
      <c r="C1091" s="52">
        <v>0.46180555555555558</v>
      </c>
      <c r="D1091" s="52">
        <v>0.46875</v>
      </c>
      <c r="E1091" s="53">
        <f>'Reclamo de equipaje rediseñado'!$D1091-'Reclamo de equipaje rediseñado'!$C1091</f>
        <v>6.9444444444444198E-3</v>
      </c>
      <c r="F1091" s="52">
        <v>0.4777777777777778</v>
      </c>
      <c r="G1091" s="53">
        <f t="shared" ref="G1091:G1154" si="17">F1091-D1091</f>
        <v>9.0277777777778012E-3</v>
      </c>
      <c r="H1091" s="54">
        <v>41720</v>
      </c>
      <c r="I1091" s="55" t="s">
        <v>557</v>
      </c>
      <c r="J1091" s="55" t="s">
        <v>572</v>
      </c>
      <c r="K1091" s="55">
        <f>VLOOKUP(J1091,'Validacion reclamo de equipaje'!L:M,2,0)</f>
        <v>142</v>
      </c>
      <c r="L1091" s="55" t="str">
        <f>VLOOKUP(I1091,'Validacion reclamo de equipaje'!H:I,2,0)</f>
        <v>Nacional</v>
      </c>
      <c r="M1091" s="55" t="s">
        <v>522</v>
      </c>
    </row>
    <row r="1092" spans="1:13" x14ac:dyDescent="0.25">
      <c r="A1092">
        <v>680</v>
      </c>
      <c r="B1092" s="47" t="str">
        <f>VLOOKUP(Tabla6[[#This Row],['# Vuelo]],'Validacion reclamo de equipaje'!P:Q,2,0)</f>
        <v>BARATA Y MORADA</v>
      </c>
      <c r="C1092" s="48">
        <v>0.45763888888888887</v>
      </c>
      <c r="D1092" s="48">
        <v>0.46527777777777773</v>
      </c>
      <c r="E1092" s="49">
        <f>'Reclamo de equipaje rediseñado'!$D1092-'Reclamo de equipaje rediseñado'!$C1092</f>
        <v>7.6388888888888618E-3</v>
      </c>
      <c r="F1092" s="48">
        <v>0.47500000000000003</v>
      </c>
      <c r="G1092" s="49">
        <f t="shared" si="17"/>
        <v>9.7222222222222987E-3</v>
      </c>
      <c r="H1092" s="50">
        <v>41721</v>
      </c>
      <c r="I1092" s="51" t="s">
        <v>557</v>
      </c>
      <c r="J1092" s="51" t="s">
        <v>572</v>
      </c>
      <c r="K1092" s="51">
        <f>VLOOKUP(J1092,'Validacion reclamo de equipaje'!L:M,2,0)</f>
        <v>142</v>
      </c>
      <c r="L1092" s="51" t="str">
        <f>VLOOKUP(I1092,'Validacion reclamo de equipaje'!H:I,2,0)</f>
        <v>Nacional</v>
      </c>
      <c r="M1092" s="51" t="s">
        <v>522</v>
      </c>
    </row>
    <row r="1093" spans="1:13" x14ac:dyDescent="0.25">
      <c r="A1093">
        <v>680</v>
      </c>
      <c r="B1093" s="47" t="str">
        <f>VLOOKUP(Tabla6[[#This Row],['# Vuelo]],'Validacion reclamo de equipaje'!P:Q,2,0)</f>
        <v>BARATA Y MORADA</v>
      </c>
      <c r="C1093" s="52">
        <v>0.46527777777777773</v>
      </c>
      <c r="D1093" s="52">
        <v>0.47291666666666665</v>
      </c>
      <c r="E1093" s="53">
        <f>'Reclamo de equipaje rediseñado'!$D1093-'Reclamo de equipaje rediseñado'!$C1093</f>
        <v>7.6388888888889173E-3</v>
      </c>
      <c r="F1093" s="52">
        <v>0.49652777777777773</v>
      </c>
      <c r="G1093" s="53">
        <f t="shared" si="17"/>
        <v>2.3611111111111083E-2</v>
      </c>
      <c r="H1093" s="54">
        <v>41725</v>
      </c>
      <c r="I1093" s="55" t="s">
        <v>557</v>
      </c>
      <c r="J1093" s="55" t="s">
        <v>572</v>
      </c>
      <c r="K1093" s="55">
        <f>VLOOKUP(J1093,'Validacion reclamo de equipaje'!L:M,2,0)</f>
        <v>142</v>
      </c>
      <c r="L1093" s="55" t="str">
        <f>VLOOKUP(I1093,'Validacion reclamo de equipaje'!H:I,2,0)</f>
        <v>Nacional</v>
      </c>
      <c r="M1093" s="55" t="s">
        <v>522</v>
      </c>
    </row>
    <row r="1094" spans="1:13" x14ac:dyDescent="0.25">
      <c r="A1094">
        <v>679</v>
      </c>
      <c r="B1094" s="47" t="str">
        <f>VLOOKUP(Tabla6[[#This Row],['# Vuelo]],'Validacion reclamo de equipaje'!P:Q,2,0)</f>
        <v>BARATA Y MORADA</v>
      </c>
      <c r="C1094" s="48">
        <v>0.94027777777777777</v>
      </c>
      <c r="D1094" s="48">
        <v>0.99305555555555547</v>
      </c>
      <c r="E1094" s="49">
        <f>'Reclamo de equipaje rediseñado'!$D1094-'Reclamo de equipaje rediseñado'!$C1094</f>
        <v>5.2777777777777701E-2</v>
      </c>
      <c r="F1094" s="48">
        <v>1.0027777777777778</v>
      </c>
      <c r="G1094" s="49">
        <f t="shared" si="17"/>
        <v>9.7222222222222987E-3</v>
      </c>
      <c r="H1094" s="50">
        <v>41724</v>
      </c>
      <c r="I1094" s="51" t="s">
        <v>548</v>
      </c>
      <c r="J1094" s="51" t="s">
        <v>572</v>
      </c>
      <c r="K1094" s="51">
        <f>VLOOKUP(J1094,'Validacion reclamo de equipaje'!L:M,2,0)</f>
        <v>142</v>
      </c>
      <c r="L1094" s="51" t="str">
        <f>VLOOKUP(I1094,'Validacion reclamo de equipaje'!H:I,2,0)</f>
        <v>Nacional</v>
      </c>
      <c r="M1094" s="51" t="s">
        <v>522</v>
      </c>
    </row>
    <row r="1095" spans="1:13" x14ac:dyDescent="0.25">
      <c r="A1095">
        <v>679</v>
      </c>
      <c r="B1095" s="47" t="str">
        <f>VLOOKUP(Tabla6[[#This Row],['# Vuelo]],'Validacion reclamo de equipaje'!P:Q,2,0)</f>
        <v>BARATA Y MORADA</v>
      </c>
      <c r="C1095" s="52">
        <v>0.94930555555555562</v>
      </c>
      <c r="D1095" s="52">
        <v>0.95624999999999993</v>
      </c>
      <c r="E1095" s="53">
        <f>'Reclamo de equipaje rediseñado'!$D1095-'Reclamo de equipaje rediseñado'!$C1095</f>
        <v>6.9444444444443088E-3</v>
      </c>
      <c r="F1095" s="52">
        <v>0.9604166666666667</v>
      </c>
      <c r="G1095" s="53">
        <f t="shared" si="17"/>
        <v>4.1666666666667629E-3</v>
      </c>
      <c r="H1095" s="54">
        <v>41727</v>
      </c>
      <c r="I1095" s="55" t="s">
        <v>548</v>
      </c>
      <c r="J1095" s="55" t="s">
        <v>572</v>
      </c>
      <c r="K1095" s="55">
        <f>VLOOKUP(J1095,'Validacion reclamo de equipaje'!L:M,2,0)</f>
        <v>142</v>
      </c>
      <c r="L1095" s="55" t="str">
        <f>VLOOKUP(I1095,'Validacion reclamo de equipaje'!H:I,2,0)</f>
        <v>Nacional</v>
      </c>
      <c r="M1095" s="55" t="s">
        <v>522</v>
      </c>
    </row>
    <row r="1096" spans="1:13" x14ac:dyDescent="0.25">
      <c r="A1096">
        <v>677</v>
      </c>
      <c r="B1096" s="47" t="str">
        <f>VLOOKUP(Tabla6[[#This Row],['# Vuelo]],'Validacion reclamo de equipaje'!P:Q,2,0)</f>
        <v>BARATA Y MORADA</v>
      </c>
      <c r="C1096" s="48">
        <v>0.89583333333333337</v>
      </c>
      <c r="D1096" s="48">
        <v>0.90416666666666667</v>
      </c>
      <c r="E1096" s="49">
        <f>'Reclamo de equipaje rediseñado'!$D1096-'Reclamo de equipaje rediseñado'!$C1096</f>
        <v>8.3333333333333037E-3</v>
      </c>
      <c r="F1096" s="48">
        <v>0.90972222222222221</v>
      </c>
      <c r="G1096" s="49">
        <f t="shared" si="17"/>
        <v>5.5555555555555358E-3</v>
      </c>
      <c r="H1096" s="50">
        <v>41713</v>
      </c>
      <c r="I1096" s="51" t="s">
        <v>543</v>
      </c>
      <c r="J1096" s="51">
        <v>320</v>
      </c>
      <c r="K1096" s="51">
        <f>VLOOKUP(J1096,'Validacion reclamo de equipaje'!L:M,2,0)</f>
        <v>179</v>
      </c>
      <c r="L1096" s="51" t="str">
        <f>VLOOKUP(I1096,'Validacion reclamo de equipaje'!H:I,2,0)</f>
        <v>Nacional</v>
      </c>
      <c r="M1096" s="51" t="s">
        <v>522</v>
      </c>
    </row>
    <row r="1097" spans="1:13" x14ac:dyDescent="0.25">
      <c r="A1097">
        <v>677</v>
      </c>
      <c r="B1097" s="47" t="str">
        <f>VLOOKUP(Tabla6[[#This Row],['# Vuelo]],'Validacion reclamo de equipaje'!P:Q,2,0)</f>
        <v>BARATA Y MORADA</v>
      </c>
      <c r="C1097" s="52">
        <v>0.95138888888888884</v>
      </c>
      <c r="D1097" s="52">
        <v>0.97569444444444453</v>
      </c>
      <c r="E1097" s="53">
        <f>'Reclamo de equipaje rediseñado'!$D1097-'Reclamo de equipaje rediseñado'!$C1097</f>
        <v>2.4305555555555691E-2</v>
      </c>
      <c r="F1097" s="52">
        <v>0.98263888888888884</v>
      </c>
      <c r="G1097" s="53">
        <f t="shared" si="17"/>
        <v>6.9444444444443088E-3</v>
      </c>
      <c r="H1097" s="54">
        <v>41715</v>
      </c>
      <c r="I1097" s="55" t="s">
        <v>543</v>
      </c>
      <c r="J1097" s="55">
        <v>320</v>
      </c>
      <c r="K1097" s="55">
        <f>VLOOKUP(J1097,'Validacion reclamo de equipaje'!L:M,2,0)</f>
        <v>179</v>
      </c>
      <c r="L1097" s="55" t="str">
        <f>VLOOKUP(I1097,'Validacion reclamo de equipaje'!H:I,2,0)</f>
        <v>Nacional</v>
      </c>
      <c r="M1097" s="55" t="s">
        <v>522</v>
      </c>
    </row>
    <row r="1098" spans="1:13" x14ac:dyDescent="0.25">
      <c r="A1098">
        <v>677</v>
      </c>
      <c r="B1098" s="47" t="str">
        <f>VLOOKUP(Tabla6[[#This Row],['# Vuelo]],'Validacion reclamo de equipaje'!P:Q,2,0)</f>
        <v>BARATA Y MORADA</v>
      </c>
      <c r="C1098" s="48">
        <v>0.91388888888888886</v>
      </c>
      <c r="D1098" s="48">
        <v>0.92083333333333339</v>
      </c>
      <c r="E1098" s="49">
        <f>'Reclamo de equipaje rediseñado'!$D1098-'Reclamo de equipaje rediseñado'!$C1098</f>
        <v>6.9444444444445308E-3</v>
      </c>
      <c r="F1098" s="48">
        <v>0.92361111111111116</v>
      </c>
      <c r="G1098" s="49">
        <f t="shared" si="17"/>
        <v>2.7777777777777679E-3</v>
      </c>
      <c r="H1098" s="50">
        <v>41716</v>
      </c>
      <c r="I1098" s="51" t="s">
        <v>543</v>
      </c>
      <c r="J1098" s="51">
        <v>320</v>
      </c>
      <c r="K1098" s="51">
        <f>VLOOKUP(J1098,'Validacion reclamo de equipaje'!L:M,2,0)</f>
        <v>179</v>
      </c>
      <c r="L1098" s="51" t="str">
        <f>VLOOKUP(I1098,'Validacion reclamo de equipaje'!H:I,2,0)</f>
        <v>Nacional</v>
      </c>
      <c r="M1098" s="51" t="s">
        <v>522</v>
      </c>
    </row>
    <row r="1099" spans="1:13" x14ac:dyDescent="0.25">
      <c r="A1099">
        <v>677</v>
      </c>
      <c r="B1099" s="47" t="str">
        <f>VLOOKUP(Tabla6[[#This Row],['# Vuelo]],'Validacion reclamo de equipaje'!P:Q,2,0)</f>
        <v>BARATA Y MORADA</v>
      </c>
      <c r="C1099" s="52">
        <v>0.90763888888888899</v>
      </c>
      <c r="D1099" s="52">
        <v>0.91527777777777775</v>
      </c>
      <c r="E1099" s="53">
        <f>'Reclamo de equipaje rediseñado'!$D1099-'Reclamo de equipaje rediseñado'!$C1099</f>
        <v>7.6388888888887507E-3</v>
      </c>
      <c r="F1099" s="52">
        <v>0.92152777777777783</v>
      </c>
      <c r="G1099" s="53">
        <f t="shared" si="17"/>
        <v>6.2500000000000888E-3</v>
      </c>
      <c r="H1099" s="54">
        <v>41721</v>
      </c>
      <c r="I1099" s="55" t="s">
        <v>543</v>
      </c>
      <c r="J1099" s="55">
        <v>320</v>
      </c>
      <c r="K1099" s="55">
        <f>VLOOKUP(J1099,'Validacion reclamo de equipaje'!L:M,2,0)</f>
        <v>179</v>
      </c>
      <c r="L1099" s="55" t="str">
        <f>VLOOKUP(I1099,'Validacion reclamo de equipaje'!H:I,2,0)</f>
        <v>Nacional</v>
      </c>
      <c r="M1099" s="55" t="s">
        <v>522</v>
      </c>
    </row>
    <row r="1100" spans="1:13" x14ac:dyDescent="0.25">
      <c r="A1100">
        <v>677</v>
      </c>
      <c r="B1100" s="47" t="str">
        <f>VLOOKUP(Tabla6[[#This Row],['# Vuelo]],'Validacion reclamo de equipaje'!P:Q,2,0)</f>
        <v>BARATA Y MORADA</v>
      </c>
      <c r="C1100" s="48">
        <v>0.90277777777777779</v>
      </c>
      <c r="D1100" s="48">
        <v>0.9159722222222223</v>
      </c>
      <c r="E1100" s="49">
        <f>'Reclamo de equipaje rediseñado'!$D1100-'Reclamo de equipaje rediseñado'!$C1100</f>
        <v>1.3194444444444509E-2</v>
      </c>
      <c r="F1100" s="48">
        <v>0.92499999999999993</v>
      </c>
      <c r="G1100" s="49">
        <f t="shared" si="17"/>
        <v>9.0277777777776347E-3</v>
      </c>
      <c r="H1100" s="50">
        <v>41721</v>
      </c>
      <c r="I1100" s="51" t="s">
        <v>543</v>
      </c>
      <c r="J1100" s="51">
        <v>320</v>
      </c>
      <c r="K1100" s="51">
        <f>VLOOKUP(J1100,'Validacion reclamo de equipaje'!L:M,2,0)</f>
        <v>179</v>
      </c>
      <c r="L1100" s="51" t="str">
        <f>VLOOKUP(I1100,'Validacion reclamo de equipaje'!H:I,2,0)</f>
        <v>Nacional</v>
      </c>
      <c r="M1100" s="51" t="s">
        <v>522</v>
      </c>
    </row>
    <row r="1101" spans="1:13" x14ac:dyDescent="0.25">
      <c r="A1101">
        <v>677</v>
      </c>
      <c r="B1101" s="47" t="str">
        <f>VLOOKUP(Tabla6[[#This Row],['# Vuelo]],'Validacion reclamo de equipaje'!P:Q,2,0)</f>
        <v>BARATA Y MORADA</v>
      </c>
      <c r="C1101" s="52">
        <v>0.89930555555555547</v>
      </c>
      <c r="D1101" s="52">
        <v>0.90625</v>
      </c>
      <c r="E1101" s="53">
        <f>'Reclamo de equipaje rediseñado'!$D1101-'Reclamo de equipaje rediseñado'!$C1101</f>
        <v>6.9444444444445308E-3</v>
      </c>
      <c r="F1101" s="52">
        <v>0.91527777777777775</v>
      </c>
      <c r="G1101" s="53">
        <f t="shared" si="17"/>
        <v>9.0277777777777457E-3</v>
      </c>
      <c r="H1101" s="54">
        <v>41723</v>
      </c>
      <c r="I1101" s="55" t="s">
        <v>543</v>
      </c>
      <c r="J1101" s="55">
        <v>320</v>
      </c>
      <c r="K1101" s="55">
        <f>VLOOKUP(J1101,'Validacion reclamo de equipaje'!L:M,2,0)</f>
        <v>179</v>
      </c>
      <c r="L1101" s="55" t="str">
        <f>VLOOKUP(I1101,'Validacion reclamo de equipaje'!H:I,2,0)</f>
        <v>Nacional</v>
      </c>
      <c r="M1101" s="55" t="s">
        <v>522</v>
      </c>
    </row>
    <row r="1102" spans="1:13" x14ac:dyDescent="0.25">
      <c r="A1102">
        <v>677</v>
      </c>
      <c r="B1102" s="47" t="str">
        <f>VLOOKUP(Tabla6[[#This Row],['# Vuelo]],'Validacion reclamo de equipaje'!P:Q,2,0)</f>
        <v>BARATA Y MORADA</v>
      </c>
      <c r="C1102" s="48">
        <v>0.89583333333333337</v>
      </c>
      <c r="D1102" s="48">
        <v>0.91666666666666663</v>
      </c>
      <c r="E1102" s="49">
        <f>'Reclamo de equipaje rediseñado'!$D1102-'Reclamo de equipaje rediseñado'!$C1102</f>
        <v>2.0833333333333259E-2</v>
      </c>
      <c r="F1102" s="48">
        <v>0.92361111111111116</v>
      </c>
      <c r="G1102" s="49">
        <f t="shared" si="17"/>
        <v>6.9444444444445308E-3</v>
      </c>
      <c r="H1102" s="50">
        <v>41724</v>
      </c>
      <c r="I1102" s="51" t="s">
        <v>543</v>
      </c>
      <c r="J1102" s="51">
        <v>320</v>
      </c>
      <c r="K1102" s="51">
        <f>VLOOKUP(J1102,'Validacion reclamo de equipaje'!L:M,2,0)</f>
        <v>179</v>
      </c>
      <c r="L1102" s="51" t="str">
        <f>VLOOKUP(I1102,'Validacion reclamo de equipaje'!H:I,2,0)</f>
        <v>Nacional</v>
      </c>
      <c r="M1102" s="51" t="s">
        <v>522</v>
      </c>
    </row>
    <row r="1103" spans="1:13" x14ac:dyDescent="0.25">
      <c r="A1103">
        <v>677</v>
      </c>
      <c r="B1103" s="47" t="str">
        <f>VLOOKUP(Tabla6[[#This Row],['# Vuelo]],'Validacion reclamo de equipaje'!P:Q,2,0)</f>
        <v>BARATA Y MORADA</v>
      </c>
      <c r="C1103" s="52">
        <v>0.90902777777777777</v>
      </c>
      <c r="D1103" s="52">
        <v>0.91249999999999998</v>
      </c>
      <c r="E1103" s="53">
        <f>'Reclamo de equipaje rediseñado'!$D1103-'Reclamo de equipaje rediseñado'!$C1103</f>
        <v>3.4722222222222099E-3</v>
      </c>
      <c r="F1103" s="52">
        <v>0.91736111111111107</v>
      </c>
      <c r="G1103" s="53">
        <f t="shared" si="17"/>
        <v>4.8611111111110938E-3</v>
      </c>
      <c r="H1103" s="54">
        <v>41724</v>
      </c>
      <c r="I1103" s="55" t="s">
        <v>543</v>
      </c>
      <c r="J1103" s="55">
        <v>320</v>
      </c>
      <c r="K1103" s="55">
        <f>VLOOKUP(J1103,'Validacion reclamo de equipaje'!L:M,2,0)</f>
        <v>179</v>
      </c>
      <c r="L1103" s="55" t="str">
        <f>VLOOKUP(I1103,'Validacion reclamo de equipaje'!H:I,2,0)</f>
        <v>Nacional</v>
      </c>
      <c r="M1103" s="55" t="s">
        <v>522</v>
      </c>
    </row>
    <row r="1104" spans="1:13" x14ac:dyDescent="0.25">
      <c r="A1104">
        <v>677</v>
      </c>
      <c r="B1104" s="47" t="str">
        <f>VLOOKUP(Tabla6[[#This Row],['# Vuelo]],'Validacion reclamo de equipaje'!P:Q,2,0)</f>
        <v>BARATA Y MORADA</v>
      </c>
      <c r="C1104" s="48">
        <v>0.9</v>
      </c>
      <c r="D1104" s="48">
        <v>0.91111111111111109</v>
      </c>
      <c r="E1104" s="49">
        <f>'Reclamo de equipaje rediseñado'!$D1104-'Reclamo de equipaje rediseñado'!$C1104</f>
        <v>1.1111111111111072E-2</v>
      </c>
      <c r="F1104" s="48">
        <v>0.9194444444444444</v>
      </c>
      <c r="G1104" s="49">
        <f t="shared" si="17"/>
        <v>8.3333333333333037E-3</v>
      </c>
      <c r="H1104" s="50">
        <v>41725</v>
      </c>
      <c r="I1104" s="51" t="s">
        <v>543</v>
      </c>
      <c r="J1104" s="51">
        <v>320</v>
      </c>
      <c r="K1104" s="51">
        <f>VLOOKUP(J1104,'Validacion reclamo de equipaje'!L:M,2,0)</f>
        <v>179</v>
      </c>
      <c r="L1104" s="51" t="str">
        <f>VLOOKUP(I1104,'Validacion reclamo de equipaje'!H:I,2,0)</f>
        <v>Nacional</v>
      </c>
      <c r="M1104" s="51" t="s">
        <v>522</v>
      </c>
    </row>
    <row r="1105" spans="1:13" x14ac:dyDescent="0.25">
      <c r="A1105">
        <v>677</v>
      </c>
      <c r="B1105" s="47" t="str">
        <f>VLOOKUP(Tabla6[[#This Row],['# Vuelo]],'Validacion reclamo de equipaje'!P:Q,2,0)</f>
        <v>BARATA Y MORADA</v>
      </c>
      <c r="C1105" s="52">
        <v>0.91388888888888886</v>
      </c>
      <c r="D1105" s="52">
        <v>0.92222222222222217</v>
      </c>
      <c r="E1105" s="53">
        <f>'Reclamo de equipaje rediseñado'!$D1105-'Reclamo de equipaje rediseñado'!$C1105</f>
        <v>8.3333333333333037E-3</v>
      </c>
      <c r="F1105" s="52">
        <v>0.93055555555555547</v>
      </c>
      <c r="G1105" s="53">
        <f t="shared" si="17"/>
        <v>8.3333333333333037E-3</v>
      </c>
      <c r="H1105" s="54">
        <v>41726</v>
      </c>
      <c r="I1105" s="55" t="s">
        <v>543</v>
      </c>
      <c r="J1105" s="55">
        <v>320</v>
      </c>
      <c r="K1105" s="55">
        <f>VLOOKUP(J1105,'Validacion reclamo de equipaje'!L:M,2,0)</f>
        <v>179</v>
      </c>
      <c r="L1105" s="55" t="str">
        <f>VLOOKUP(I1105,'Validacion reclamo de equipaje'!H:I,2,0)</f>
        <v>Nacional</v>
      </c>
      <c r="M1105" s="55" t="s">
        <v>522</v>
      </c>
    </row>
    <row r="1106" spans="1:13" x14ac:dyDescent="0.25">
      <c r="A1106">
        <v>677</v>
      </c>
      <c r="B1106" s="47" t="str">
        <f>VLOOKUP(Tabla6[[#This Row],['# Vuelo]],'Validacion reclamo de equipaje'!P:Q,2,0)</f>
        <v>BARATA Y MORADA</v>
      </c>
      <c r="C1106" s="48">
        <v>0.89583333333333337</v>
      </c>
      <c r="D1106" s="48">
        <v>0.90277777777777779</v>
      </c>
      <c r="E1106" s="49">
        <f>'Reclamo de equipaje rediseñado'!$D1106-'Reclamo de equipaje rediseñado'!$C1106</f>
        <v>6.9444444444444198E-3</v>
      </c>
      <c r="F1106" s="48">
        <v>0.91111111111111109</v>
      </c>
      <c r="G1106" s="49">
        <f t="shared" si="17"/>
        <v>8.3333333333333037E-3</v>
      </c>
      <c r="H1106" s="50">
        <v>41727</v>
      </c>
      <c r="I1106" s="51" t="s">
        <v>543</v>
      </c>
      <c r="J1106" s="51">
        <v>320</v>
      </c>
      <c r="K1106" s="51">
        <f>VLOOKUP(J1106,'Validacion reclamo de equipaje'!L:M,2,0)</f>
        <v>179</v>
      </c>
      <c r="L1106" s="51" t="str">
        <f>VLOOKUP(I1106,'Validacion reclamo de equipaje'!H:I,2,0)</f>
        <v>Nacional</v>
      </c>
      <c r="M1106" s="51" t="s">
        <v>522</v>
      </c>
    </row>
    <row r="1107" spans="1:13" x14ac:dyDescent="0.25">
      <c r="A1107">
        <v>675</v>
      </c>
      <c r="B1107" s="47" t="str">
        <f>VLOOKUP(Tabla6[[#This Row],['# Vuelo]],'Validacion reclamo de equipaje'!P:Q,2,0)</f>
        <v>BARATA Y MORADA</v>
      </c>
      <c r="C1107" s="52">
        <v>0.73611111111111116</v>
      </c>
      <c r="D1107" s="52">
        <v>0.74236111111111114</v>
      </c>
      <c r="E1107" s="53">
        <f>'Reclamo de equipaje rediseñado'!$D1107-'Reclamo de equipaje rediseñado'!$C1107</f>
        <v>6.2499999999999778E-3</v>
      </c>
      <c r="F1107" s="52">
        <v>0.75277777777777777</v>
      </c>
      <c r="G1107" s="53">
        <f t="shared" si="17"/>
        <v>1.041666666666663E-2</v>
      </c>
      <c r="H1107" s="54">
        <v>41715</v>
      </c>
      <c r="I1107" s="55" t="s">
        <v>600</v>
      </c>
      <c r="J1107" s="55" t="s">
        <v>572</v>
      </c>
      <c r="K1107" s="55">
        <f>VLOOKUP(J1107,'Validacion reclamo de equipaje'!L:M,2,0)</f>
        <v>142</v>
      </c>
      <c r="L1107" s="55" t="str">
        <f>VLOOKUP(I1107,'Validacion reclamo de equipaje'!H:I,2,0)</f>
        <v>Nacional</v>
      </c>
      <c r="M1107" s="55" t="s">
        <v>522</v>
      </c>
    </row>
    <row r="1108" spans="1:13" x14ac:dyDescent="0.25">
      <c r="A1108">
        <v>675</v>
      </c>
      <c r="B1108" s="47" t="str">
        <f>VLOOKUP(Tabla6[[#This Row],['# Vuelo]],'Validacion reclamo de equipaje'!P:Q,2,0)</f>
        <v>BARATA Y MORADA</v>
      </c>
      <c r="C1108" s="48">
        <v>0.69930555555555562</v>
      </c>
      <c r="D1108" s="48">
        <v>0.7090277777777777</v>
      </c>
      <c r="E1108" s="49">
        <f>'Reclamo de equipaje rediseñado'!$D1108-'Reclamo de equipaje rediseñado'!$C1108</f>
        <v>9.7222222222220767E-3</v>
      </c>
      <c r="F1108" s="48">
        <v>0.71319444444444446</v>
      </c>
      <c r="G1108" s="49">
        <f t="shared" si="17"/>
        <v>4.1666666666667629E-3</v>
      </c>
      <c r="H1108" s="50">
        <v>41717</v>
      </c>
      <c r="I1108" s="51" t="s">
        <v>600</v>
      </c>
      <c r="J1108" s="51" t="s">
        <v>572</v>
      </c>
      <c r="K1108" s="51">
        <f>VLOOKUP(J1108,'Validacion reclamo de equipaje'!L:M,2,0)</f>
        <v>142</v>
      </c>
      <c r="L1108" s="51" t="str">
        <f>VLOOKUP(I1108,'Validacion reclamo de equipaje'!H:I,2,0)</f>
        <v>Nacional</v>
      </c>
      <c r="M1108" s="51" t="s">
        <v>522</v>
      </c>
    </row>
    <row r="1109" spans="1:13" x14ac:dyDescent="0.25">
      <c r="A1109">
        <v>675</v>
      </c>
      <c r="B1109" s="47" t="str">
        <f>VLOOKUP(Tabla6[[#This Row],['# Vuelo]],'Validacion reclamo de equipaje'!P:Q,2,0)</f>
        <v>BARATA Y MORADA</v>
      </c>
      <c r="C1109" s="52">
        <v>0.69513888888888886</v>
      </c>
      <c r="D1109" s="52">
        <v>0.7006944444444444</v>
      </c>
      <c r="E1109" s="53">
        <f>'Reclamo de equipaje rediseñado'!$D1109-'Reclamo de equipaje rediseñado'!$C1109</f>
        <v>5.5555555555555358E-3</v>
      </c>
      <c r="F1109" s="52">
        <v>0.70763888888888893</v>
      </c>
      <c r="G1109" s="53">
        <f t="shared" si="17"/>
        <v>6.9444444444445308E-3</v>
      </c>
      <c r="H1109" s="54">
        <v>41720</v>
      </c>
      <c r="I1109" s="55" t="s">
        <v>600</v>
      </c>
      <c r="J1109" s="55" t="s">
        <v>572</v>
      </c>
      <c r="K1109" s="55">
        <f>VLOOKUP(J1109,'Validacion reclamo de equipaje'!L:M,2,0)</f>
        <v>142</v>
      </c>
      <c r="L1109" s="55" t="str">
        <f>VLOOKUP(I1109,'Validacion reclamo de equipaje'!H:I,2,0)</f>
        <v>Nacional</v>
      </c>
      <c r="M1109" s="55" t="s">
        <v>522</v>
      </c>
    </row>
    <row r="1110" spans="1:13" x14ac:dyDescent="0.25">
      <c r="A1110">
        <v>675</v>
      </c>
      <c r="B1110" s="47" t="str">
        <f>VLOOKUP(Tabla6[[#This Row],['# Vuelo]],'Validacion reclamo de equipaje'!P:Q,2,0)</f>
        <v>BARATA Y MORADA</v>
      </c>
      <c r="C1110" s="48">
        <v>0.70347222222222217</v>
      </c>
      <c r="D1110" s="48">
        <v>0.7090277777777777</v>
      </c>
      <c r="E1110" s="49">
        <f>'Reclamo de equipaje rediseñado'!$D1110-'Reclamo de equipaje rediseñado'!$C1110</f>
        <v>5.5555555555555358E-3</v>
      </c>
      <c r="F1110" s="48">
        <v>0.71111111111111114</v>
      </c>
      <c r="G1110" s="49">
        <f t="shared" si="17"/>
        <v>2.083333333333437E-3</v>
      </c>
      <c r="H1110" s="50">
        <v>41722</v>
      </c>
      <c r="I1110" s="51" t="s">
        <v>600</v>
      </c>
      <c r="J1110" s="51" t="s">
        <v>572</v>
      </c>
      <c r="K1110" s="51">
        <f>VLOOKUP(J1110,'Validacion reclamo de equipaje'!L:M,2,0)</f>
        <v>142</v>
      </c>
      <c r="L1110" s="51" t="str">
        <f>VLOOKUP(I1110,'Validacion reclamo de equipaje'!H:I,2,0)</f>
        <v>Nacional</v>
      </c>
      <c r="M1110" s="51" t="s">
        <v>522</v>
      </c>
    </row>
    <row r="1111" spans="1:13" x14ac:dyDescent="0.25">
      <c r="A1111">
        <v>675</v>
      </c>
      <c r="B1111" s="47" t="str">
        <f>VLOOKUP(Tabla6[[#This Row],['# Vuelo]],'Validacion reclamo de equipaje'!P:Q,2,0)</f>
        <v>BARATA Y MORADA</v>
      </c>
      <c r="C1111" s="52">
        <v>0.71111111111111114</v>
      </c>
      <c r="D1111" s="52">
        <v>0.71944444444444444</v>
      </c>
      <c r="E1111" s="53">
        <f>'Reclamo de equipaje rediseñado'!$D1111-'Reclamo de equipaje rediseñado'!$C1111</f>
        <v>8.3333333333333037E-3</v>
      </c>
      <c r="F1111" s="52">
        <v>0.72777777777777775</v>
      </c>
      <c r="G1111" s="53">
        <f t="shared" si="17"/>
        <v>8.3333333333333037E-3</v>
      </c>
      <c r="H1111" s="54">
        <v>41725</v>
      </c>
      <c r="I1111" s="55" t="s">
        <v>600</v>
      </c>
      <c r="J1111" s="55" t="s">
        <v>572</v>
      </c>
      <c r="K1111" s="55">
        <f>VLOOKUP(J1111,'Validacion reclamo de equipaje'!L:M,2,0)</f>
        <v>142</v>
      </c>
      <c r="L1111" s="55" t="str">
        <f>VLOOKUP(I1111,'Validacion reclamo de equipaje'!H:I,2,0)</f>
        <v>Nacional</v>
      </c>
      <c r="M1111" s="55" t="s">
        <v>522</v>
      </c>
    </row>
    <row r="1112" spans="1:13" x14ac:dyDescent="0.25">
      <c r="A1112">
        <v>675</v>
      </c>
      <c r="B1112" s="47" t="str">
        <f>VLOOKUP(Tabla6[[#This Row],['# Vuelo]],'Validacion reclamo de equipaje'!P:Q,2,0)</f>
        <v>BARATA Y MORADA</v>
      </c>
      <c r="C1112" s="48">
        <v>0.73125000000000007</v>
      </c>
      <c r="D1112" s="48">
        <v>0.73541666666666661</v>
      </c>
      <c r="E1112" s="49">
        <f>'Reclamo de equipaje rediseñado'!$D1112-'Reclamo de equipaje rediseñado'!$C1112</f>
        <v>4.1666666666665408E-3</v>
      </c>
      <c r="F1112" s="48">
        <v>0.7402777777777777</v>
      </c>
      <c r="G1112" s="49">
        <f t="shared" si="17"/>
        <v>4.8611111111110938E-3</v>
      </c>
      <c r="H1112" s="50">
        <v>41727</v>
      </c>
      <c r="I1112" s="51" t="s">
        <v>600</v>
      </c>
      <c r="J1112" s="51" t="s">
        <v>572</v>
      </c>
      <c r="K1112" s="51">
        <f>VLOOKUP(J1112,'Validacion reclamo de equipaje'!L:M,2,0)</f>
        <v>142</v>
      </c>
      <c r="L1112" s="51" t="str">
        <f>VLOOKUP(I1112,'Validacion reclamo de equipaje'!H:I,2,0)</f>
        <v>Nacional</v>
      </c>
      <c r="M1112" s="51" t="s">
        <v>522</v>
      </c>
    </row>
    <row r="1113" spans="1:13" x14ac:dyDescent="0.25">
      <c r="A1113">
        <v>675</v>
      </c>
      <c r="B1113" s="47" t="str">
        <f>VLOOKUP(Tabla6[[#This Row],['# Vuelo]],'Validacion reclamo de equipaje'!P:Q,2,0)</f>
        <v>BARATA Y MORADA</v>
      </c>
      <c r="C1113" s="52">
        <v>0.70416666666666661</v>
      </c>
      <c r="D1113" s="52">
        <v>0.70833333333333337</v>
      </c>
      <c r="E1113" s="53">
        <f>'Reclamo de equipaje rediseñado'!$D1113-'Reclamo de equipaje rediseñado'!$C1113</f>
        <v>4.1666666666667629E-3</v>
      </c>
      <c r="F1113" s="52">
        <v>0.71458333333333324</v>
      </c>
      <c r="G1113" s="53">
        <f t="shared" si="17"/>
        <v>6.2499999999998668E-3</v>
      </c>
      <c r="H1113" s="54">
        <v>41729</v>
      </c>
      <c r="I1113" s="55" t="s">
        <v>600</v>
      </c>
      <c r="J1113" s="55" t="s">
        <v>572</v>
      </c>
      <c r="K1113" s="55">
        <f>VLOOKUP(J1113,'Validacion reclamo de equipaje'!L:M,2,0)</f>
        <v>142</v>
      </c>
      <c r="L1113" s="55" t="str">
        <f>VLOOKUP(I1113,'Validacion reclamo de equipaje'!H:I,2,0)</f>
        <v>Nacional</v>
      </c>
      <c r="M1113" s="55" t="s">
        <v>522</v>
      </c>
    </row>
    <row r="1114" spans="1:13" x14ac:dyDescent="0.25">
      <c r="A1114">
        <v>673</v>
      </c>
      <c r="B1114" s="47" t="str">
        <f>VLOOKUP(Tabla6[[#This Row],['# Vuelo]],'Validacion reclamo de equipaje'!P:Q,2,0)</f>
        <v>BARATA Y MORADA</v>
      </c>
      <c r="C1114" s="48">
        <v>0.91388888888888886</v>
      </c>
      <c r="D1114" s="48">
        <v>0.92291666666666661</v>
      </c>
      <c r="E1114" s="49">
        <f>'Reclamo de equipaje rediseñado'!$D1114-'Reclamo de equipaje rediseñado'!$C1114</f>
        <v>9.0277777777777457E-3</v>
      </c>
      <c r="F1114" s="48">
        <v>0.93125000000000002</v>
      </c>
      <c r="G1114" s="49">
        <f t="shared" si="17"/>
        <v>8.3333333333334147E-3</v>
      </c>
      <c r="H1114" s="50">
        <v>41715</v>
      </c>
      <c r="I1114" s="51" t="s">
        <v>601</v>
      </c>
      <c r="J1114" s="51" t="s">
        <v>572</v>
      </c>
      <c r="K1114" s="51">
        <f>VLOOKUP(J1114,'Validacion reclamo de equipaje'!L:M,2,0)</f>
        <v>142</v>
      </c>
      <c r="L1114" s="51" t="str">
        <f>VLOOKUP(I1114,'Validacion reclamo de equipaje'!H:I,2,0)</f>
        <v>Nacional</v>
      </c>
      <c r="M1114" s="51" t="s">
        <v>522</v>
      </c>
    </row>
    <row r="1115" spans="1:13" x14ac:dyDescent="0.25">
      <c r="A1115">
        <v>673</v>
      </c>
      <c r="B1115" s="47" t="str">
        <f>VLOOKUP(Tabla6[[#This Row],['# Vuelo]],'Validacion reclamo de equipaje'!P:Q,2,0)</f>
        <v>BARATA Y MORADA</v>
      </c>
      <c r="C1115" s="52">
        <v>0.875</v>
      </c>
      <c r="D1115" s="52">
        <v>0.87777777777777777</v>
      </c>
      <c r="E1115" s="53">
        <f>'Reclamo de equipaje rediseñado'!$D1115-'Reclamo de equipaje rediseñado'!$C1115</f>
        <v>2.7777777777777679E-3</v>
      </c>
      <c r="F1115" s="52">
        <v>0.89027777777777783</v>
      </c>
      <c r="G1115" s="53">
        <f t="shared" si="17"/>
        <v>1.2500000000000067E-2</v>
      </c>
      <c r="H1115" s="54">
        <v>41723</v>
      </c>
      <c r="I1115" s="55" t="s">
        <v>601</v>
      </c>
      <c r="J1115" s="55" t="s">
        <v>572</v>
      </c>
      <c r="K1115" s="55">
        <f>VLOOKUP(J1115,'Validacion reclamo de equipaje'!L:M,2,0)</f>
        <v>142</v>
      </c>
      <c r="L1115" s="55" t="str">
        <f>VLOOKUP(I1115,'Validacion reclamo de equipaje'!H:I,2,0)</f>
        <v>Nacional</v>
      </c>
      <c r="M1115" s="55" t="s">
        <v>522</v>
      </c>
    </row>
    <row r="1116" spans="1:13" x14ac:dyDescent="0.25">
      <c r="A1116">
        <v>673</v>
      </c>
      <c r="B1116" s="47" t="str">
        <f>VLOOKUP(Tabla6[[#This Row],['# Vuelo]],'Validacion reclamo de equipaje'!P:Q,2,0)</f>
        <v>BARATA Y MORADA</v>
      </c>
      <c r="C1116" s="48">
        <v>0.59027777777777779</v>
      </c>
      <c r="D1116" s="48">
        <v>0.59722222222222221</v>
      </c>
      <c r="E1116" s="49">
        <f>'Reclamo de equipaje rediseñado'!$D1116-'Reclamo de equipaje rediseñado'!$C1116</f>
        <v>6.9444444444444198E-3</v>
      </c>
      <c r="F1116" s="48">
        <v>0.60347222222222219</v>
      </c>
      <c r="G1116" s="49">
        <f t="shared" si="17"/>
        <v>6.2499999999999778E-3</v>
      </c>
      <c r="H1116" s="50">
        <v>41726</v>
      </c>
      <c r="I1116" s="51" t="s">
        <v>601</v>
      </c>
      <c r="J1116" s="51" t="s">
        <v>572</v>
      </c>
      <c r="K1116" s="51">
        <f>VLOOKUP(J1116,'Validacion reclamo de equipaje'!L:M,2,0)</f>
        <v>142</v>
      </c>
      <c r="L1116" s="51" t="str">
        <f>VLOOKUP(I1116,'Validacion reclamo de equipaje'!H:I,2,0)</f>
        <v>Nacional</v>
      </c>
      <c r="M1116" s="51" t="s">
        <v>522</v>
      </c>
    </row>
    <row r="1117" spans="1:13" x14ac:dyDescent="0.25">
      <c r="A1117">
        <v>671</v>
      </c>
      <c r="B1117" s="47" t="str">
        <f>VLOOKUP(Tabla6[[#This Row],['# Vuelo]],'Validacion reclamo de equipaje'!P:Q,2,0)</f>
        <v>BARATA Y MORADA</v>
      </c>
      <c r="C1117" s="52">
        <v>0.4375</v>
      </c>
      <c r="D1117" s="52">
        <v>0.4465277777777778</v>
      </c>
      <c r="E1117" s="53">
        <f>'Reclamo de equipaje rediseñado'!$D1117-'Reclamo de equipaje rediseñado'!$C1117</f>
        <v>9.0277777777778012E-3</v>
      </c>
      <c r="F1117" s="52">
        <v>0.45277777777777778</v>
      </c>
      <c r="G1117" s="53">
        <f t="shared" si="17"/>
        <v>6.2499999999999778E-3</v>
      </c>
      <c r="H1117" s="54">
        <v>41715</v>
      </c>
      <c r="I1117" s="55" t="s">
        <v>550</v>
      </c>
      <c r="J1117" s="55" t="s">
        <v>572</v>
      </c>
      <c r="K1117" s="55">
        <f>VLOOKUP(J1117,'Validacion reclamo de equipaje'!L:M,2,0)</f>
        <v>142</v>
      </c>
      <c r="L1117" s="55" t="str">
        <f>VLOOKUP(I1117,'Validacion reclamo de equipaje'!H:I,2,0)</f>
        <v>Nacional</v>
      </c>
      <c r="M1117" s="55" t="s">
        <v>522</v>
      </c>
    </row>
    <row r="1118" spans="1:13" x14ac:dyDescent="0.25">
      <c r="A1118">
        <v>671</v>
      </c>
      <c r="B1118" s="47" t="str">
        <f>VLOOKUP(Tabla6[[#This Row],['# Vuelo]],'Validacion reclamo de equipaje'!P:Q,2,0)</f>
        <v>BARATA Y MORADA</v>
      </c>
      <c r="C1118" s="48">
        <v>0.43958333333333338</v>
      </c>
      <c r="D1118" s="48">
        <v>0.4458333333333333</v>
      </c>
      <c r="E1118" s="49">
        <f>'Reclamo de equipaje rediseñado'!$D1118-'Reclamo de equipaje rediseñado'!$C1118</f>
        <v>6.2499999999999223E-3</v>
      </c>
      <c r="F1118" s="48">
        <v>0.4604166666666667</v>
      </c>
      <c r="G1118" s="49">
        <f t="shared" si="17"/>
        <v>1.4583333333333393E-2</v>
      </c>
      <c r="H1118" s="50">
        <v>41716</v>
      </c>
      <c r="I1118" s="51" t="s">
        <v>550</v>
      </c>
      <c r="J1118" s="51" t="s">
        <v>572</v>
      </c>
      <c r="K1118" s="51">
        <f>VLOOKUP(J1118,'Validacion reclamo de equipaje'!L:M,2,0)</f>
        <v>142</v>
      </c>
      <c r="L1118" s="51" t="str">
        <f>VLOOKUP(I1118,'Validacion reclamo de equipaje'!H:I,2,0)</f>
        <v>Nacional</v>
      </c>
      <c r="M1118" s="51" t="s">
        <v>522</v>
      </c>
    </row>
    <row r="1119" spans="1:13" x14ac:dyDescent="0.25">
      <c r="A1119">
        <v>671</v>
      </c>
      <c r="B1119" s="47" t="str">
        <f>VLOOKUP(Tabla6[[#This Row],['# Vuelo]],'Validacion reclamo de equipaje'!P:Q,2,0)</f>
        <v>BARATA Y MORADA</v>
      </c>
      <c r="C1119" s="52">
        <v>0.88263888888888886</v>
      </c>
      <c r="D1119" s="52">
        <v>0.89930555555555547</v>
      </c>
      <c r="E1119" s="53">
        <f>'Reclamo de equipaje rediseñado'!$D1119-'Reclamo de equipaje rediseñado'!$C1119</f>
        <v>1.6666666666666607E-2</v>
      </c>
      <c r="F1119" s="52">
        <v>0.90277777777777779</v>
      </c>
      <c r="G1119" s="53">
        <f t="shared" si="17"/>
        <v>3.4722222222223209E-3</v>
      </c>
      <c r="H1119" s="54">
        <v>41719</v>
      </c>
      <c r="I1119" s="55" t="s">
        <v>550</v>
      </c>
      <c r="J1119" s="55" t="s">
        <v>572</v>
      </c>
      <c r="K1119" s="55">
        <f>VLOOKUP(J1119,'Validacion reclamo de equipaje'!L:M,2,0)</f>
        <v>142</v>
      </c>
      <c r="L1119" s="55" t="str">
        <f>VLOOKUP(I1119,'Validacion reclamo de equipaje'!H:I,2,0)</f>
        <v>Nacional</v>
      </c>
      <c r="M1119" s="55" t="s">
        <v>522</v>
      </c>
    </row>
    <row r="1120" spans="1:13" x14ac:dyDescent="0.25">
      <c r="A1120">
        <v>671</v>
      </c>
      <c r="B1120" s="47" t="str">
        <f>VLOOKUP(Tabla6[[#This Row],['# Vuelo]],'Validacion reclamo de equipaje'!P:Q,2,0)</f>
        <v>BARATA Y MORADA</v>
      </c>
      <c r="C1120" s="48">
        <v>0.43055555555555558</v>
      </c>
      <c r="D1120" s="48">
        <v>0.43958333333333338</v>
      </c>
      <c r="E1120" s="49">
        <f>'Reclamo de equipaje rediseñado'!$D1120-'Reclamo de equipaje rediseñado'!$C1120</f>
        <v>9.0277777777778012E-3</v>
      </c>
      <c r="F1120" s="48">
        <v>0.45069444444444445</v>
      </c>
      <c r="G1120" s="49">
        <f t="shared" si="17"/>
        <v>1.1111111111111072E-2</v>
      </c>
      <c r="H1120" s="50">
        <v>41720</v>
      </c>
      <c r="I1120" s="51" t="s">
        <v>550</v>
      </c>
      <c r="J1120" s="51" t="s">
        <v>572</v>
      </c>
      <c r="K1120" s="51">
        <f>VLOOKUP(J1120,'Validacion reclamo de equipaje'!L:M,2,0)</f>
        <v>142</v>
      </c>
      <c r="L1120" s="51" t="str">
        <f>VLOOKUP(I1120,'Validacion reclamo de equipaje'!H:I,2,0)</f>
        <v>Nacional</v>
      </c>
      <c r="M1120" s="51" t="s">
        <v>522</v>
      </c>
    </row>
    <row r="1121" spans="1:13" x14ac:dyDescent="0.25">
      <c r="A1121">
        <v>671</v>
      </c>
      <c r="B1121" s="47" t="str">
        <f>VLOOKUP(Tabla6[[#This Row],['# Vuelo]],'Validacion reclamo de equipaje'!P:Q,2,0)</f>
        <v>BARATA Y MORADA</v>
      </c>
      <c r="C1121" s="52">
        <v>0.88194444444444453</v>
      </c>
      <c r="D1121" s="52">
        <v>0.89444444444444438</v>
      </c>
      <c r="E1121" s="53">
        <f>'Reclamo de equipaje rediseñado'!$D1121-'Reclamo de equipaje rediseñado'!$C1121</f>
        <v>1.2499999999999845E-2</v>
      </c>
      <c r="F1121" s="52">
        <v>0.90277777777777779</v>
      </c>
      <c r="G1121" s="53">
        <f t="shared" si="17"/>
        <v>8.3333333333334147E-3</v>
      </c>
      <c r="H1121" s="54">
        <v>41721</v>
      </c>
      <c r="I1121" s="55" t="s">
        <v>550</v>
      </c>
      <c r="J1121" s="55" t="s">
        <v>572</v>
      </c>
      <c r="K1121" s="55">
        <f>VLOOKUP(J1121,'Validacion reclamo de equipaje'!L:M,2,0)</f>
        <v>142</v>
      </c>
      <c r="L1121" s="55" t="str">
        <f>VLOOKUP(I1121,'Validacion reclamo de equipaje'!H:I,2,0)</f>
        <v>Nacional</v>
      </c>
      <c r="M1121" s="55" t="s">
        <v>522</v>
      </c>
    </row>
    <row r="1122" spans="1:13" x14ac:dyDescent="0.25">
      <c r="A1122">
        <v>671</v>
      </c>
      <c r="B1122" s="47" t="str">
        <f>VLOOKUP(Tabla6[[#This Row],['# Vuelo]],'Validacion reclamo de equipaje'!P:Q,2,0)</f>
        <v>BARATA Y MORADA</v>
      </c>
      <c r="C1122" s="48">
        <v>0.4465277777777778</v>
      </c>
      <c r="D1122" s="48">
        <v>0.44861111111111113</v>
      </c>
      <c r="E1122" s="49">
        <f>'Reclamo de equipaje rediseñado'!$D1122-'Reclamo de equipaje rediseñado'!$C1122</f>
        <v>2.0833333333333259E-3</v>
      </c>
      <c r="F1122" s="48">
        <v>0.4513888888888889</v>
      </c>
      <c r="G1122" s="49">
        <f t="shared" si="17"/>
        <v>2.7777777777777679E-3</v>
      </c>
      <c r="H1122" s="50">
        <v>41722</v>
      </c>
      <c r="I1122" s="51" t="s">
        <v>550</v>
      </c>
      <c r="J1122" s="51" t="s">
        <v>572</v>
      </c>
      <c r="K1122" s="51">
        <f>VLOOKUP(J1122,'Validacion reclamo de equipaje'!L:M,2,0)</f>
        <v>142</v>
      </c>
      <c r="L1122" s="51" t="str">
        <f>VLOOKUP(I1122,'Validacion reclamo de equipaje'!H:I,2,0)</f>
        <v>Nacional</v>
      </c>
      <c r="M1122" s="51" t="s">
        <v>522</v>
      </c>
    </row>
    <row r="1123" spans="1:13" x14ac:dyDescent="0.25">
      <c r="A1123">
        <v>671</v>
      </c>
      <c r="B1123" s="47" t="str">
        <f>VLOOKUP(Tabla6[[#This Row],['# Vuelo]],'Validacion reclamo de equipaje'!P:Q,2,0)</f>
        <v>BARATA Y MORADA</v>
      </c>
      <c r="C1123" s="52">
        <v>0.8666666666666667</v>
      </c>
      <c r="D1123" s="52">
        <v>0.88402777777777775</v>
      </c>
      <c r="E1123" s="53">
        <f>'Reclamo de equipaje rediseñado'!$D1123-'Reclamo de equipaje rediseñado'!$C1123</f>
        <v>1.7361111111111049E-2</v>
      </c>
      <c r="F1123" s="52">
        <v>0.88888888888888884</v>
      </c>
      <c r="G1123" s="53">
        <f t="shared" si="17"/>
        <v>4.8611111111110938E-3</v>
      </c>
      <c r="H1123" s="54">
        <v>41725</v>
      </c>
      <c r="I1123" s="55" t="s">
        <v>550</v>
      </c>
      <c r="J1123" s="55" t="s">
        <v>572</v>
      </c>
      <c r="K1123" s="55">
        <f>VLOOKUP(J1123,'Validacion reclamo de equipaje'!L:M,2,0)</f>
        <v>142</v>
      </c>
      <c r="L1123" s="55" t="str">
        <f>VLOOKUP(I1123,'Validacion reclamo de equipaje'!H:I,2,0)</f>
        <v>Nacional</v>
      </c>
      <c r="M1123" s="55" t="s">
        <v>522</v>
      </c>
    </row>
    <row r="1124" spans="1:13" x14ac:dyDescent="0.25">
      <c r="A1124">
        <v>671</v>
      </c>
      <c r="B1124" s="47" t="str">
        <f>VLOOKUP(Tabla6[[#This Row],['# Vuelo]],'Validacion reclamo de equipaje'!P:Q,2,0)</f>
        <v>BARATA Y MORADA</v>
      </c>
      <c r="C1124" s="48">
        <v>0.43958333333333338</v>
      </c>
      <c r="D1124" s="48">
        <v>0.44722222222222219</v>
      </c>
      <c r="E1124" s="49">
        <f>'Reclamo de equipaje rediseñado'!$D1124-'Reclamo de equipaje rediseñado'!$C1124</f>
        <v>7.6388888888888062E-3</v>
      </c>
      <c r="F1124" s="48">
        <v>0.45277777777777778</v>
      </c>
      <c r="G1124" s="49">
        <f t="shared" si="17"/>
        <v>5.5555555555555913E-3</v>
      </c>
      <c r="H1124" s="50">
        <v>41727</v>
      </c>
      <c r="I1124" s="51" t="s">
        <v>550</v>
      </c>
      <c r="J1124" s="51" t="s">
        <v>572</v>
      </c>
      <c r="K1124" s="51">
        <f>VLOOKUP(J1124,'Validacion reclamo de equipaje'!L:M,2,0)</f>
        <v>142</v>
      </c>
      <c r="L1124" s="51" t="str">
        <f>VLOOKUP(I1124,'Validacion reclamo de equipaje'!H:I,2,0)</f>
        <v>Nacional</v>
      </c>
      <c r="M1124" s="51" t="s">
        <v>522</v>
      </c>
    </row>
    <row r="1125" spans="1:13" x14ac:dyDescent="0.25">
      <c r="A1125">
        <v>671</v>
      </c>
      <c r="B1125" s="47" t="str">
        <f>VLOOKUP(Tabla6[[#This Row],['# Vuelo]],'Validacion reclamo de equipaje'!P:Q,2,0)</f>
        <v>BARATA Y MORADA</v>
      </c>
      <c r="C1125" s="52">
        <v>0.43055555555555558</v>
      </c>
      <c r="D1125" s="52">
        <v>0.44236111111111115</v>
      </c>
      <c r="E1125" s="53">
        <f>'Reclamo de equipaje rediseñado'!$D1125-'Reclamo de equipaje rediseñado'!$C1125</f>
        <v>1.1805555555555569E-2</v>
      </c>
      <c r="F1125" s="52">
        <v>0.44930555555555557</v>
      </c>
      <c r="G1125" s="53">
        <f t="shared" si="17"/>
        <v>6.9444444444444198E-3</v>
      </c>
      <c r="H1125" s="54">
        <v>41729</v>
      </c>
      <c r="I1125" s="55" t="s">
        <v>550</v>
      </c>
      <c r="J1125" s="55" t="s">
        <v>572</v>
      </c>
      <c r="K1125" s="55">
        <f>VLOOKUP(J1125,'Validacion reclamo de equipaje'!L:M,2,0)</f>
        <v>142</v>
      </c>
      <c r="L1125" s="55" t="str">
        <f>VLOOKUP(I1125,'Validacion reclamo de equipaje'!H:I,2,0)</f>
        <v>Nacional</v>
      </c>
      <c r="M1125" s="55" t="s">
        <v>522</v>
      </c>
    </row>
    <row r="1126" spans="1:13" x14ac:dyDescent="0.25">
      <c r="A1126">
        <v>635</v>
      </c>
      <c r="B1126" s="47" t="str">
        <f>VLOOKUP(Tabla6[[#This Row],['# Vuelo]],'Validacion reclamo de equipaje'!P:Q,2,0)</f>
        <v>BARATA Y MORADA</v>
      </c>
      <c r="C1126" s="48">
        <v>0.63402777777777775</v>
      </c>
      <c r="D1126" s="48">
        <v>0.63541666666666663</v>
      </c>
      <c r="E1126" s="49">
        <f>'Reclamo de equipaje rediseñado'!$D1126-'Reclamo de equipaje rediseñado'!$C1126</f>
        <v>1.388888888888884E-3</v>
      </c>
      <c r="F1126" s="48">
        <v>0.65</v>
      </c>
      <c r="G1126" s="49">
        <f t="shared" si="17"/>
        <v>1.4583333333333393E-2</v>
      </c>
      <c r="H1126" s="50">
        <v>41714</v>
      </c>
      <c r="I1126" s="51" t="s">
        <v>561</v>
      </c>
      <c r="J1126" s="51" t="s">
        <v>572</v>
      </c>
      <c r="K1126" s="51">
        <f>VLOOKUP(J1126,'Validacion reclamo de equipaje'!L:M,2,0)</f>
        <v>142</v>
      </c>
      <c r="L1126" s="51" t="str">
        <f>VLOOKUP(I1126,'Validacion reclamo de equipaje'!H:I,2,0)</f>
        <v>Nacional</v>
      </c>
      <c r="M1126" s="51" t="s">
        <v>522</v>
      </c>
    </row>
    <row r="1127" spans="1:13" x14ac:dyDescent="0.25">
      <c r="A1127">
        <v>635</v>
      </c>
      <c r="B1127" s="47" t="str">
        <f>VLOOKUP(Tabla6[[#This Row],['# Vuelo]],'Validacion reclamo de equipaje'!P:Q,2,0)</f>
        <v>BARATA Y MORADA</v>
      </c>
      <c r="C1127" s="52">
        <v>0.62361111111111112</v>
      </c>
      <c r="D1127" s="52">
        <v>0.64236111111111105</v>
      </c>
      <c r="E1127" s="53">
        <f>'Reclamo de equipaje rediseñado'!$D1127-'Reclamo de equipaje rediseñado'!$C1127</f>
        <v>1.8749999999999933E-2</v>
      </c>
      <c r="F1127" s="52">
        <v>0.65138888888888891</v>
      </c>
      <c r="G1127" s="53">
        <f t="shared" si="17"/>
        <v>9.0277777777778567E-3</v>
      </c>
      <c r="H1127" s="54">
        <v>41718</v>
      </c>
      <c r="I1127" s="55" t="s">
        <v>561</v>
      </c>
      <c r="J1127" s="55" t="s">
        <v>572</v>
      </c>
      <c r="K1127" s="55">
        <f>VLOOKUP(J1127,'Validacion reclamo de equipaje'!L:M,2,0)</f>
        <v>142</v>
      </c>
      <c r="L1127" s="55" t="str">
        <f>VLOOKUP(I1127,'Validacion reclamo de equipaje'!H:I,2,0)</f>
        <v>Nacional</v>
      </c>
      <c r="M1127" s="55" t="s">
        <v>522</v>
      </c>
    </row>
    <row r="1128" spans="1:13" x14ac:dyDescent="0.25">
      <c r="A1128">
        <v>635</v>
      </c>
      <c r="B1128" s="47" t="str">
        <f>VLOOKUP(Tabla6[[#This Row],['# Vuelo]],'Validacion reclamo de equipaje'!P:Q,2,0)</f>
        <v>BARATA Y MORADA</v>
      </c>
      <c r="C1128" s="48">
        <v>0.625</v>
      </c>
      <c r="D1128" s="48">
        <v>0.63611111111111118</v>
      </c>
      <c r="E1128" s="49">
        <f>'Reclamo de equipaje rediseñado'!$D1128-'Reclamo de equipaje rediseñado'!$C1128</f>
        <v>1.1111111111111183E-2</v>
      </c>
      <c r="F1128" s="48">
        <v>0.64513888888888882</v>
      </c>
      <c r="G1128" s="49">
        <f t="shared" si="17"/>
        <v>9.0277777777776347E-3</v>
      </c>
      <c r="H1128" s="50">
        <v>41721</v>
      </c>
      <c r="I1128" s="51" t="s">
        <v>561</v>
      </c>
      <c r="J1128" s="51" t="s">
        <v>572</v>
      </c>
      <c r="K1128" s="51">
        <f>VLOOKUP(J1128,'Validacion reclamo de equipaje'!L:M,2,0)</f>
        <v>142</v>
      </c>
      <c r="L1128" s="51" t="str">
        <f>VLOOKUP(I1128,'Validacion reclamo de equipaje'!H:I,2,0)</f>
        <v>Nacional</v>
      </c>
      <c r="M1128" s="51" t="s">
        <v>522</v>
      </c>
    </row>
    <row r="1129" spans="1:13" x14ac:dyDescent="0.25">
      <c r="A1129">
        <v>635</v>
      </c>
      <c r="B1129" s="47" t="str">
        <f>VLOOKUP(Tabla6[[#This Row],['# Vuelo]],'Validacion reclamo de equipaje'!P:Q,2,0)</f>
        <v>BARATA Y MORADA</v>
      </c>
      <c r="C1129" s="52">
        <v>0.6333333333333333</v>
      </c>
      <c r="D1129" s="52">
        <v>0.64930555555555558</v>
      </c>
      <c r="E1129" s="53">
        <f>'Reclamo de equipaje rediseñado'!$D1129-'Reclamo de equipaje rediseñado'!$C1129</f>
        <v>1.5972222222222276E-2</v>
      </c>
      <c r="F1129" s="52">
        <v>0.65416666666666667</v>
      </c>
      <c r="G1129" s="53">
        <f t="shared" si="17"/>
        <v>4.8611111111110938E-3</v>
      </c>
      <c r="H1129" s="54">
        <v>41725</v>
      </c>
      <c r="I1129" s="55" t="s">
        <v>561</v>
      </c>
      <c r="J1129" s="55" t="s">
        <v>572</v>
      </c>
      <c r="K1129" s="55">
        <f>VLOOKUP(J1129,'Validacion reclamo de equipaje'!L:M,2,0)</f>
        <v>142</v>
      </c>
      <c r="L1129" s="55" t="str">
        <f>VLOOKUP(I1129,'Validacion reclamo de equipaje'!H:I,2,0)</f>
        <v>Nacional</v>
      </c>
      <c r="M1129" s="55" t="s">
        <v>522</v>
      </c>
    </row>
    <row r="1130" spans="1:13" x14ac:dyDescent="0.25">
      <c r="A1130">
        <v>633</v>
      </c>
      <c r="B1130" s="47" t="str">
        <f>VLOOKUP(Tabla6[[#This Row],['# Vuelo]],'Validacion reclamo de equipaje'!P:Q,2,0)</f>
        <v>BARATA Y MORADA</v>
      </c>
      <c r="C1130" s="48">
        <v>0.66875000000000007</v>
      </c>
      <c r="D1130" s="48">
        <v>0.67708333333333337</v>
      </c>
      <c r="E1130" s="49">
        <f>'Reclamo de equipaje rediseñado'!$D1130-'Reclamo de equipaje rediseñado'!$C1130</f>
        <v>8.3333333333333037E-3</v>
      </c>
      <c r="F1130" s="48">
        <v>0.68055555555555547</v>
      </c>
      <c r="G1130" s="49">
        <f t="shared" si="17"/>
        <v>3.4722222222220989E-3</v>
      </c>
      <c r="H1130" s="50">
        <v>41714</v>
      </c>
      <c r="I1130" s="51" t="s">
        <v>561</v>
      </c>
      <c r="J1130" s="51" t="s">
        <v>572</v>
      </c>
      <c r="K1130" s="51">
        <f>VLOOKUP(J1130,'Validacion reclamo de equipaje'!L:M,2,0)</f>
        <v>142</v>
      </c>
      <c r="L1130" s="51" t="str">
        <f>VLOOKUP(I1130,'Validacion reclamo de equipaje'!H:I,2,0)</f>
        <v>Nacional</v>
      </c>
      <c r="M1130" s="51" t="s">
        <v>522</v>
      </c>
    </row>
    <row r="1131" spans="1:13" x14ac:dyDescent="0.25">
      <c r="A1131">
        <v>633</v>
      </c>
      <c r="B1131" s="47" t="str">
        <f>VLOOKUP(Tabla6[[#This Row],['# Vuelo]],'Validacion reclamo de equipaje'!P:Q,2,0)</f>
        <v>BARATA Y MORADA</v>
      </c>
      <c r="C1131" s="52">
        <v>0.6777777777777777</v>
      </c>
      <c r="D1131" s="52">
        <v>0.68125000000000002</v>
      </c>
      <c r="E1131" s="53">
        <f>'Reclamo de equipaje rediseñado'!$D1131-'Reclamo de equipaje rediseñado'!$C1131</f>
        <v>3.4722222222223209E-3</v>
      </c>
      <c r="F1131" s="52">
        <v>0.69166666666666676</v>
      </c>
      <c r="G1131" s="53">
        <f t="shared" si="17"/>
        <v>1.0416666666666741E-2</v>
      </c>
      <c r="H1131" s="54">
        <v>41715</v>
      </c>
      <c r="I1131" s="55" t="s">
        <v>561</v>
      </c>
      <c r="J1131" s="55" t="s">
        <v>572</v>
      </c>
      <c r="K1131" s="55">
        <f>VLOOKUP(J1131,'Validacion reclamo de equipaje'!L:M,2,0)</f>
        <v>142</v>
      </c>
      <c r="L1131" s="55" t="str">
        <f>VLOOKUP(I1131,'Validacion reclamo de equipaje'!H:I,2,0)</f>
        <v>Nacional</v>
      </c>
      <c r="M1131" s="55" t="s">
        <v>522</v>
      </c>
    </row>
    <row r="1132" spans="1:13" x14ac:dyDescent="0.25">
      <c r="A1132">
        <v>633</v>
      </c>
      <c r="B1132" s="47" t="str">
        <f>VLOOKUP(Tabla6[[#This Row],['# Vuelo]],'Validacion reclamo de equipaje'!P:Q,2,0)</f>
        <v>BARATA Y MORADA</v>
      </c>
      <c r="C1132" s="48">
        <v>0.67569444444444438</v>
      </c>
      <c r="D1132" s="48">
        <v>0.68055555555555547</v>
      </c>
      <c r="E1132" s="49">
        <f>'Reclamo de equipaje rediseñado'!$D1132-'Reclamo de equipaje rediseñado'!$C1132</f>
        <v>4.8611111111110938E-3</v>
      </c>
      <c r="F1132" s="48">
        <v>0.69166666666666676</v>
      </c>
      <c r="G1132" s="49">
        <f t="shared" si="17"/>
        <v>1.1111111111111294E-2</v>
      </c>
      <c r="H1132" s="50">
        <v>41716</v>
      </c>
      <c r="I1132" s="51" t="s">
        <v>561</v>
      </c>
      <c r="J1132" s="51" t="s">
        <v>572</v>
      </c>
      <c r="K1132" s="51">
        <f>VLOOKUP(J1132,'Validacion reclamo de equipaje'!L:M,2,0)</f>
        <v>142</v>
      </c>
      <c r="L1132" s="51" t="str">
        <f>VLOOKUP(I1132,'Validacion reclamo de equipaje'!H:I,2,0)</f>
        <v>Nacional</v>
      </c>
      <c r="M1132" s="51" t="s">
        <v>522</v>
      </c>
    </row>
    <row r="1133" spans="1:13" x14ac:dyDescent="0.25">
      <c r="A1133">
        <v>633</v>
      </c>
      <c r="B1133" s="47" t="str">
        <f>VLOOKUP(Tabla6[[#This Row],['# Vuelo]],'Validacion reclamo de equipaje'!P:Q,2,0)</f>
        <v>BARATA Y MORADA</v>
      </c>
      <c r="C1133" s="52">
        <v>0.94097222222222221</v>
      </c>
      <c r="D1133" s="52">
        <v>0.9458333333333333</v>
      </c>
      <c r="E1133" s="53">
        <f>'Reclamo de equipaje rediseñado'!$D1133-'Reclamo de equipaje rediseñado'!$C1133</f>
        <v>4.8611111111110938E-3</v>
      </c>
      <c r="F1133" s="52">
        <v>0.95000000000000007</v>
      </c>
      <c r="G1133" s="53">
        <f t="shared" si="17"/>
        <v>4.1666666666667629E-3</v>
      </c>
      <c r="H1133" s="54">
        <v>41716</v>
      </c>
      <c r="I1133" s="55" t="s">
        <v>561</v>
      </c>
      <c r="J1133" s="55" t="s">
        <v>572</v>
      </c>
      <c r="K1133" s="55">
        <f>VLOOKUP(J1133,'Validacion reclamo de equipaje'!L:M,2,0)</f>
        <v>142</v>
      </c>
      <c r="L1133" s="55" t="str">
        <f>VLOOKUP(I1133,'Validacion reclamo de equipaje'!H:I,2,0)</f>
        <v>Nacional</v>
      </c>
      <c r="M1133" s="55" t="s">
        <v>522</v>
      </c>
    </row>
    <row r="1134" spans="1:13" x14ac:dyDescent="0.25">
      <c r="A1134">
        <v>633</v>
      </c>
      <c r="B1134" s="47" t="str">
        <f>VLOOKUP(Tabla6[[#This Row],['# Vuelo]],'Validacion reclamo de equipaje'!P:Q,2,0)</f>
        <v>BARATA Y MORADA</v>
      </c>
      <c r="C1134" s="48">
        <v>0.68125000000000002</v>
      </c>
      <c r="D1134" s="48">
        <v>0.68958333333333333</v>
      </c>
      <c r="E1134" s="49">
        <f>'Reclamo de equipaje rediseñado'!$D1134-'Reclamo de equipaje rediseñado'!$C1134</f>
        <v>8.3333333333333037E-3</v>
      </c>
      <c r="F1134" s="48">
        <v>0.69652777777777775</v>
      </c>
      <c r="G1134" s="49">
        <f t="shared" si="17"/>
        <v>6.9444444444444198E-3</v>
      </c>
      <c r="H1134" s="50">
        <v>41717</v>
      </c>
      <c r="I1134" s="51" t="s">
        <v>561</v>
      </c>
      <c r="J1134" s="51" t="s">
        <v>572</v>
      </c>
      <c r="K1134" s="51">
        <f>VLOOKUP(J1134,'Validacion reclamo de equipaje'!L:M,2,0)</f>
        <v>142</v>
      </c>
      <c r="L1134" s="51" t="str">
        <f>VLOOKUP(I1134,'Validacion reclamo de equipaje'!H:I,2,0)</f>
        <v>Nacional</v>
      </c>
      <c r="M1134" s="51" t="s">
        <v>522</v>
      </c>
    </row>
    <row r="1135" spans="1:13" x14ac:dyDescent="0.25">
      <c r="A1135">
        <v>633</v>
      </c>
      <c r="B1135" s="47" t="str">
        <f>VLOOKUP(Tabla6[[#This Row],['# Vuelo]],'Validacion reclamo de equipaje'!P:Q,2,0)</f>
        <v>BARATA Y MORADA</v>
      </c>
      <c r="C1135" s="52">
        <v>0.78125</v>
      </c>
      <c r="D1135" s="52">
        <v>0.7895833333333333</v>
      </c>
      <c r="E1135" s="53">
        <f>'Reclamo de equipaje rediseñado'!$D1135-'Reclamo de equipaje rediseñado'!$C1135</f>
        <v>8.3333333333333037E-3</v>
      </c>
      <c r="F1135" s="52">
        <v>0.80138888888888893</v>
      </c>
      <c r="G1135" s="53">
        <f t="shared" si="17"/>
        <v>1.1805555555555625E-2</v>
      </c>
      <c r="H1135" s="54">
        <v>41718</v>
      </c>
      <c r="I1135" s="55" t="s">
        <v>561</v>
      </c>
      <c r="J1135" s="55" t="s">
        <v>572</v>
      </c>
      <c r="K1135" s="55">
        <f>VLOOKUP(J1135,'Validacion reclamo de equipaje'!L:M,2,0)</f>
        <v>142</v>
      </c>
      <c r="L1135" s="55" t="str">
        <f>VLOOKUP(I1135,'Validacion reclamo de equipaje'!H:I,2,0)</f>
        <v>Nacional</v>
      </c>
      <c r="M1135" s="55" t="s">
        <v>522</v>
      </c>
    </row>
    <row r="1136" spans="1:13" x14ac:dyDescent="0.25">
      <c r="A1136">
        <v>633</v>
      </c>
      <c r="B1136" s="47" t="str">
        <f>VLOOKUP(Tabla6[[#This Row],['# Vuelo]],'Validacion reclamo de equipaje'!P:Q,2,0)</f>
        <v>BARATA Y MORADA</v>
      </c>
      <c r="C1136" s="48">
        <v>0.68402777777777779</v>
      </c>
      <c r="D1136" s="48">
        <v>0.69097222222222221</v>
      </c>
      <c r="E1136" s="49">
        <f>'Reclamo de equipaje rediseñado'!$D1136-'Reclamo de equipaje rediseñado'!$C1136</f>
        <v>6.9444444444444198E-3</v>
      </c>
      <c r="F1136" s="48">
        <v>0.7055555555555556</v>
      </c>
      <c r="G1136" s="49">
        <f t="shared" si="17"/>
        <v>1.4583333333333393E-2</v>
      </c>
      <c r="H1136" s="50">
        <v>41720</v>
      </c>
      <c r="I1136" s="51" t="s">
        <v>561</v>
      </c>
      <c r="J1136" s="51" t="s">
        <v>572</v>
      </c>
      <c r="K1136" s="51">
        <f>VLOOKUP(J1136,'Validacion reclamo de equipaje'!L:M,2,0)</f>
        <v>142</v>
      </c>
      <c r="L1136" s="51" t="str">
        <f>VLOOKUP(I1136,'Validacion reclamo de equipaje'!H:I,2,0)</f>
        <v>Nacional</v>
      </c>
      <c r="M1136" s="51" t="s">
        <v>522</v>
      </c>
    </row>
    <row r="1137" spans="1:13" x14ac:dyDescent="0.25">
      <c r="A1137">
        <v>633</v>
      </c>
      <c r="B1137" s="47" t="str">
        <f>VLOOKUP(Tabla6[[#This Row],['# Vuelo]],'Validacion reclamo de equipaje'!P:Q,2,0)</f>
        <v>BARATA Y MORADA</v>
      </c>
      <c r="C1137" s="52">
        <v>0.68472222222222223</v>
      </c>
      <c r="D1137" s="52">
        <v>0.69444444444444453</v>
      </c>
      <c r="E1137" s="53">
        <f>'Reclamo de equipaje rediseñado'!$D1137-'Reclamo de equipaje rediseñado'!$C1137</f>
        <v>9.7222222222222987E-3</v>
      </c>
      <c r="F1137" s="52">
        <v>0.70486111111111116</v>
      </c>
      <c r="G1137" s="53">
        <f t="shared" si="17"/>
        <v>1.041666666666663E-2</v>
      </c>
      <c r="H1137" s="54">
        <v>41721</v>
      </c>
      <c r="I1137" s="55" t="s">
        <v>561</v>
      </c>
      <c r="J1137" s="55" t="s">
        <v>572</v>
      </c>
      <c r="K1137" s="55">
        <f>VLOOKUP(J1137,'Validacion reclamo de equipaje'!L:M,2,0)</f>
        <v>142</v>
      </c>
      <c r="L1137" s="55" t="str">
        <f>VLOOKUP(I1137,'Validacion reclamo de equipaje'!H:I,2,0)</f>
        <v>Nacional</v>
      </c>
      <c r="M1137" s="55" t="s">
        <v>522</v>
      </c>
    </row>
    <row r="1138" spans="1:13" x14ac:dyDescent="0.25">
      <c r="A1138">
        <v>633</v>
      </c>
      <c r="B1138" s="47" t="str">
        <f>VLOOKUP(Tabla6[[#This Row],['# Vuelo]],'Validacion reclamo de equipaje'!P:Q,2,0)</f>
        <v>BARATA Y MORADA</v>
      </c>
      <c r="C1138" s="48">
        <v>0.67708333333333337</v>
      </c>
      <c r="D1138" s="48">
        <v>0.68333333333333324</v>
      </c>
      <c r="E1138" s="49">
        <f>'Reclamo de equipaje rediseñado'!$D1138-'Reclamo de equipaje rediseñado'!$C1138</f>
        <v>6.2499999999998668E-3</v>
      </c>
      <c r="F1138" s="48">
        <v>0.69166666666666676</v>
      </c>
      <c r="G1138" s="49">
        <f t="shared" si="17"/>
        <v>8.3333333333335258E-3</v>
      </c>
      <c r="H1138" s="50">
        <v>41722</v>
      </c>
      <c r="I1138" s="51" t="s">
        <v>561</v>
      </c>
      <c r="J1138" s="51" t="s">
        <v>572</v>
      </c>
      <c r="K1138" s="51">
        <f>VLOOKUP(J1138,'Validacion reclamo de equipaje'!L:M,2,0)</f>
        <v>142</v>
      </c>
      <c r="L1138" s="51" t="str">
        <f>VLOOKUP(I1138,'Validacion reclamo de equipaje'!H:I,2,0)</f>
        <v>Nacional</v>
      </c>
      <c r="M1138" s="51" t="s">
        <v>522</v>
      </c>
    </row>
    <row r="1139" spans="1:13" x14ac:dyDescent="0.25">
      <c r="A1139">
        <v>633</v>
      </c>
      <c r="B1139" s="47" t="str">
        <f>VLOOKUP(Tabla6[[#This Row],['# Vuelo]],'Validacion reclamo de equipaje'!P:Q,2,0)</f>
        <v>BARATA Y MORADA</v>
      </c>
      <c r="C1139" s="52">
        <v>0.68402777777777779</v>
      </c>
      <c r="D1139" s="52">
        <v>0.69444444444444453</v>
      </c>
      <c r="E1139" s="53">
        <f>'Reclamo de equipaje rediseñado'!$D1139-'Reclamo de equipaje rediseñado'!$C1139</f>
        <v>1.0416666666666741E-2</v>
      </c>
      <c r="F1139" s="52">
        <v>0.70347222222222217</v>
      </c>
      <c r="G1139" s="53">
        <f t="shared" si="17"/>
        <v>9.0277777777776347E-3</v>
      </c>
      <c r="H1139" s="54">
        <v>41725</v>
      </c>
      <c r="I1139" s="55" t="s">
        <v>561</v>
      </c>
      <c r="J1139" s="55" t="s">
        <v>572</v>
      </c>
      <c r="K1139" s="55">
        <f>VLOOKUP(J1139,'Validacion reclamo de equipaje'!L:M,2,0)</f>
        <v>142</v>
      </c>
      <c r="L1139" s="55" t="str">
        <f>VLOOKUP(I1139,'Validacion reclamo de equipaje'!H:I,2,0)</f>
        <v>Nacional</v>
      </c>
      <c r="M1139" s="55" t="s">
        <v>522</v>
      </c>
    </row>
    <row r="1140" spans="1:13" x14ac:dyDescent="0.25">
      <c r="A1140">
        <v>633</v>
      </c>
      <c r="B1140" s="47" t="str">
        <f>VLOOKUP(Tabla6[[#This Row],['# Vuelo]],'Validacion reclamo de equipaje'!P:Q,2,0)</f>
        <v>BARATA Y MORADA</v>
      </c>
      <c r="C1140" s="48">
        <v>0.68125000000000002</v>
      </c>
      <c r="D1140" s="48">
        <v>0.6875</v>
      </c>
      <c r="E1140" s="49">
        <f>'Reclamo de equipaje rediseñado'!$D1140-'Reclamo de equipaje rediseñado'!$C1140</f>
        <v>6.2499999999999778E-3</v>
      </c>
      <c r="F1140" s="48">
        <v>0.69305555555555554</v>
      </c>
      <c r="G1140" s="49">
        <f t="shared" si="17"/>
        <v>5.5555555555555358E-3</v>
      </c>
      <c r="H1140" s="50">
        <v>41726</v>
      </c>
      <c r="I1140" s="51" t="s">
        <v>561</v>
      </c>
      <c r="J1140" s="51" t="s">
        <v>572</v>
      </c>
      <c r="K1140" s="51">
        <f>VLOOKUP(J1140,'Validacion reclamo de equipaje'!L:M,2,0)</f>
        <v>142</v>
      </c>
      <c r="L1140" s="51" t="str">
        <f>VLOOKUP(I1140,'Validacion reclamo de equipaje'!H:I,2,0)</f>
        <v>Nacional</v>
      </c>
      <c r="M1140" s="51" t="s">
        <v>522</v>
      </c>
    </row>
    <row r="1141" spans="1:13" x14ac:dyDescent="0.25">
      <c r="A1141">
        <v>633</v>
      </c>
      <c r="B1141" s="47" t="str">
        <f>VLOOKUP(Tabla6[[#This Row],['# Vuelo]],'Validacion reclamo de equipaje'!P:Q,2,0)</f>
        <v>BARATA Y MORADA</v>
      </c>
      <c r="C1141" s="52">
        <v>0.6875</v>
      </c>
      <c r="D1141" s="52">
        <v>0.69791666666666663</v>
      </c>
      <c r="E1141" s="53">
        <f>'Reclamo de equipaje rediseñado'!$D1141-'Reclamo de equipaje rediseñado'!$C1141</f>
        <v>1.041666666666663E-2</v>
      </c>
      <c r="F1141" s="52">
        <v>0.7055555555555556</v>
      </c>
      <c r="G1141" s="53">
        <f t="shared" si="17"/>
        <v>7.6388888888889728E-3</v>
      </c>
      <c r="H1141" s="54">
        <v>41727</v>
      </c>
      <c r="I1141" s="55" t="s">
        <v>561</v>
      </c>
      <c r="J1141" s="55" t="s">
        <v>572</v>
      </c>
      <c r="K1141" s="55">
        <f>VLOOKUP(J1141,'Validacion reclamo de equipaje'!L:M,2,0)</f>
        <v>142</v>
      </c>
      <c r="L1141" s="55" t="str">
        <f>VLOOKUP(I1141,'Validacion reclamo de equipaje'!H:I,2,0)</f>
        <v>Nacional</v>
      </c>
      <c r="M1141" s="55" t="s">
        <v>522</v>
      </c>
    </row>
    <row r="1142" spans="1:13" x14ac:dyDescent="0.25">
      <c r="A1142">
        <v>633</v>
      </c>
      <c r="B1142" s="47" t="str">
        <f>VLOOKUP(Tabla6[[#This Row],['# Vuelo]],'Validacion reclamo de equipaje'!P:Q,2,0)</f>
        <v>BARATA Y MORADA</v>
      </c>
      <c r="C1142" s="48">
        <v>0.66666666666666663</v>
      </c>
      <c r="D1142" s="48">
        <v>0.6875</v>
      </c>
      <c r="E1142" s="49">
        <f>'Reclamo de equipaje rediseñado'!$D1142-'Reclamo de equipaje rediseñado'!$C1142</f>
        <v>2.083333333333337E-2</v>
      </c>
      <c r="F1142" s="48">
        <v>0.6958333333333333</v>
      </c>
      <c r="G1142" s="49">
        <f t="shared" si="17"/>
        <v>8.3333333333333037E-3</v>
      </c>
      <c r="H1142" s="50">
        <v>41729</v>
      </c>
      <c r="I1142" s="51" t="s">
        <v>561</v>
      </c>
      <c r="J1142" s="51" t="s">
        <v>572</v>
      </c>
      <c r="K1142" s="51">
        <f>VLOOKUP(J1142,'Validacion reclamo de equipaje'!L:M,2,0)</f>
        <v>142</v>
      </c>
      <c r="L1142" s="51" t="str">
        <f>VLOOKUP(I1142,'Validacion reclamo de equipaje'!H:I,2,0)</f>
        <v>Nacional</v>
      </c>
      <c r="M1142" s="51" t="s">
        <v>522</v>
      </c>
    </row>
    <row r="1143" spans="1:13" x14ac:dyDescent="0.25">
      <c r="A1143">
        <v>631</v>
      </c>
      <c r="B1143" s="47" t="str">
        <f>VLOOKUP(Tabla6[[#This Row],['# Vuelo]],'Validacion reclamo de equipaje'!P:Q,2,0)</f>
        <v>BARATA Y MORADA</v>
      </c>
      <c r="C1143" s="52">
        <v>0.8881944444444444</v>
      </c>
      <c r="D1143" s="52">
        <v>0.8965277777777777</v>
      </c>
      <c r="E1143" s="53">
        <f>'Reclamo de equipaje rediseñado'!$D1143-'Reclamo de equipaje rediseñado'!$C1143</f>
        <v>8.3333333333333037E-3</v>
      </c>
      <c r="F1143" s="52">
        <v>0.90277777777777779</v>
      </c>
      <c r="G1143" s="53">
        <f t="shared" si="17"/>
        <v>6.2500000000000888E-3</v>
      </c>
      <c r="H1143" s="54">
        <v>41713</v>
      </c>
      <c r="I1143" s="55">
        <v>631</v>
      </c>
      <c r="J1143" s="55">
        <v>320</v>
      </c>
      <c r="K1143" s="55">
        <f>VLOOKUP(J1143,'Validacion reclamo de equipaje'!L:M,2,0)</f>
        <v>179</v>
      </c>
      <c r="L1143" s="55" t="str">
        <f>VLOOKUP(I1143,'Validacion reclamo de equipaje'!H:I,2,0)</f>
        <v>Nacional</v>
      </c>
      <c r="M1143" s="55" t="s">
        <v>522</v>
      </c>
    </row>
    <row r="1144" spans="1:13" x14ac:dyDescent="0.25">
      <c r="A1144">
        <v>631</v>
      </c>
      <c r="B1144" s="47" t="str">
        <f>VLOOKUP(Tabla6[[#This Row],['# Vuelo]],'Validacion reclamo de equipaje'!P:Q,2,0)</f>
        <v>BARATA Y MORADA</v>
      </c>
      <c r="C1144" s="48">
        <v>0.86458333333333337</v>
      </c>
      <c r="D1144" s="48">
        <v>0.86805555555555547</v>
      </c>
      <c r="E1144" s="49">
        <f>'Reclamo de equipaje rediseñado'!$D1144-'Reclamo de equipaje rediseñado'!$C1144</f>
        <v>3.4722222222220989E-3</v>
      </c>
      <c r="F1144" s="48">
        <v>0.87847222222222221</v>
      </c>
      <c r="G1144" s="49">
        <f t="shared" si="17"/>
        <v>1.0416666666666741E-2</v>
      </c>
      <c r="H1144" s="50">
        <v>41715</v>
      </c>
      <c r="I1144" s="51">
        <v>631</v>
      </c>
      <c r="J1144" s="51">
        <v>320</v>
      </c>
      <c r="K1144" s="51">
        <f>VLOOKUP(J1144,'Validacion reclamo de equipaje'!L:M,2,0)</f>
        <v>179</v>
      </c>
      <c r="L1144" s="51" t="str">
        <f>VLOOKUP(I1144,'Validacion reclamo de equipaje'!H:I,2,0)</f>
        <v>Nacional</v>
      </c>
      <c r="M1144" s="51" t="s">
        <v>522</v>
      </c>
    </row>
    <row r="1145" spans="1:13" x14ac:dyDescent="0.25">
      <c r="A1145">
        <v>631</v>
      </c>
      <c r="B1145" s="47" t="str">
        <f>VLOOKUP(Tabla6[[#This Row],['# Vuelo]],'Validacion reclamo de equipaje'!P:Q,2,0)</f>
        <v>BARATA Y MORADA</v>
      </c>
      <c r="C1145" s="52">
        <v>0.85</v>
      </c>
      <c r="D1145" s="52">
        <v>0.85763888888888884</v>
      </c>
      <c r="E1145" s="53">
        <f>'Reclamo de equipaje rediseñado'!$D1145-'Reclamo de equipaje rediseñado'!$C1145</f>
        <v>7.6388888888888618E-3</v>
      </c>
      <c r="F1145" s="52">
        <v>0.90277777777777779</v>
      </c>
      <c r="G1145" s="53">
        <f t="shared" si="17"/>
        <v>4.5138888888888951E-2</v>
      </c>
      <c r="H1145" s="54">
        <v>41719</v>
      </c>
      <c r="I1145" s="55">
        <v>631</v>
      </c>
      <c r="J1145" s="55">
        <v>320</v>
      </c>
      <c r="K1145" s="55">
        <f>VLOOKUP(J1145,'Validacion reclamo de equipaje'!L:M,2,0)</f>
        <v>179</v>
      </c>
      <c r="L1145" s="55" t="str">
        <f>VLOOKUP(I1145,'Validacion reclamo de equipaje'!H:I,2,0)</f>
        <v>Nacional</v>
      </c>
      <c r="M1145" s="55" t="s">
        <v>522</v>
      </c>
    </row>
    <row r="1146" spans="1:13" x14ac:dyDescent="0.25">
      <c r="A1146">
        <v>631</v>
      </c>
      <c r="B1146" s="47" t="str">
        <f>VLOOKUP(Tabla6[[#This Row],['# Vuelo]],'Validacion reclamo de equipaje'!P:Q,2,0)</f>
        <v>BARATA Y MORADA</v>
      </c>
      <c r="C1146" s="48">
        <v>0.87430555555555556</v>
      </c>
      <c r="D1146" s="48">
        <v>0.89027777777777783</v>
      </c>
      <c r="E1146" s="49">
        <f>'Reclamo de equipaje rediseñado'!$D1146-'Reclamo de equipaje rediseñado'!$C1146</f>
        <v>1.5972222222222276E-2</v>
      </c>
      <c r="F1146" s="48">
        <v>0.8979166666666667</v>
      </c>
      <c r="G1146" s="49">
        <f t="shared" si="17"/>
        <v>7.6388888888888618E-3</v>
      </c>
      <c r="H1146" s="50">
        <v>41721</v>
      </c>
      <c r="I1146" s="51">
        <v>631</v>
      </c>
      <c r="J1146" s="51">
        <v>320</v>
      </c>
      <c r="K1146" s="51">
        <f>VLOOKUP(J1146,'Validacion reclamo de equipaje'!L:M,2,0)</f>
        <v>179</v>
      </c>
      <c r="L1146" s="51" t="str">
        <f>VLOOKUP(I1146,'Validacion reclamo de equipaje'!H:I,2,0)</f>
        <v>Nacional</v>
      </c>
      <c r="M1146" s="51" t="s">
        <v>522</v>
      </c>
    </row>
    <row r="1147" spans="1:13" x14ac:dyDescent="0.25">
      <c r="A1147">
        <v>631</v>
      </c>
      <c r="B1147" s="47" t="str">
        <f>VLOOKUP(Tabla6[[#This Row],['# Vuelo]],'Validacion reclamo de equipaje'!P:Q,2,0)</f>
        <v>BARATA Y MORADA</v>
      </c>
      <c r="C1147" s="52">
        <v>0.84444444444444444</v>
      </c>
      <c r="D1147" s="52">
        <v>0.85</v>
      </c>
      <c r="E1147" s="53">
        <f>'Reclamo de equipaje rediseñado'!$D1147-'Reclamo de equipaje rediseñado'!$C1147</f>
        <v>5.5555555555555358E-3</v>
      </c>
      <c r="F1147" s="52">
        <v>0.87083333333333324</v>
      </c>
      <c r="G1147" s="53">
        <f t="shared" si="17"/>
        <v>2.0833333333333259E-2</v>
      </c>
      <c r="H1147" s="54">
        <v>41721</v>
      </c>
      <c r="I1147" s="55">
        <v>631</v>
      </c>
      <c r="J1147" s="55">
        <v>320</v>
      </c>
      <c r="K1147" s="55">
        <f>VLOOKUP(J1147,'Validacion reclamo de equipaje'!L:M,2,0)</f>
        <v>179</v>
      </c>
      <c r="L1147" s="55" t="str">
        <f>VLOOKUP(I1147,'Validacion reclamo de equipaje'!H:I,2,0)</f>
        <v>Nacional</v>
      </c>
      <c r="M1147" s="55" t="s">
        <v>522</v>
      </c>
    </row>
    <row r="1148" spans="1:13" x14ac:dyDescent="0.25">
      <c r="A1148">
        <v>631</v>
      </c>
      <c r="B1148" s="47" t="str">
        <f>VLOOKUP(Tabla6[[#This Row],['# Vuelo]],'Validacion reclamo de equipaje'!P:Q,2,0)</f>
        <v>BARATA Y MORADA</v>
      </c>
      <c r="C1148" s="48">
        <v>0.84444444444444444</v>
      </c>
      <c r="D1148" s="48">
        <v>0.85763888888888884</v>
      </c>
      <c r="E1148" s="49">
        <f>'Reclamo de equipaje rediseñado'!$D1148-'Reclamo de equipaje rediseñado'!$C1148</f>
        <v>1.3194444444444398E-2</v>
      </c>
      <c r="F1148" s="48">
        <v>0.86944444444444446</v>
      </c>
      <c r="G1148" s="49">
        <f t="shared" si="17"/>
        <v>1.1805555555555625E-2</v>
      </c>
      <c r="H1148" s="50">
        <v>41724</v>
      </c>
      <c r="I1148" s="51">
        <v>631</v>
      </c>
      <c r="J1148" s="51">
        <v>320</v>
      </c>
      <c r="K1148" s="51">
        <f>VLOOKUP(J1148,'Validacion reclamo de equipaje'!L:M,2,0)</f>
        <v>179</v>
      </c>
      <c r="L1148" s="51" t="str">
        <f>VLOOKUP(I1148,'Validacion reclamo de equipaje'!H:I,2,0)</f>
        <v>Nacional</v>
      </c>
      <c r="M1148" s="51" t="s">
        <v>522</v>
      </c>
    </row>
    <row r="1149" spans="1:13" x14ac:dyDescent="0.25">
      <c r="A1149">
        <v>631</v>
      </c>
      <c r="B1149" s="47" t="str">
        <f>VLOOKUP(Tabla6[[#This Row],['# Vuelo]],'Validacion reclamo de equipaje'!P:Q,2,0)</f>
        <v>BARATA Y MORADA</v>
      </c>
      <c r="C1149" s="52">
        <v>0.85277777777777775</v>
      </c>
      <c r="D1149" s="52">
        <v>0.85833333333333339</v>
      </c>
      <c r="E1149" s="53">
        <f>'Reclamo de equipaje rediseñado'!$D1149-'Reclamo de equipaje rediseñado'!$C1149</f>
        <v>5.5555555555556468E-3</v>
      </c>
      <c r="F1149" s="52">
        <v>0.86875000000000002</v>
      </c>
      <c r="G1149" s="53">
        <f t="shared" si="17"/>
        <v>1.041666666666663E-2</v>
      </c>
      <c r="H1149" s="54">
        <v>41724</v>
      </c>
      <c r="I1149" s="55">
        <v>631</v>
      </c>
      <c r="J1149" s="55">
        <v>320</v>
      </c>
      <c r="K1149" s="55">
        <f>VLOOKUP(J1149,'Validacion reclamo de equipaje'!L:M,2,0)</f>
        <v>179</v>
      </c>
      <c r="L1149" s="55" t="str">
        <f>VLOOKUP(I1149,'Validacion reclamo de equipaje'!H:I,2,0)</f>
        <v>Nacional</v>
      </c>
      <c r="M1149" s="55" t="s">
        <v>522</v>
      </c>
    </row>
    <row r="1150" spans="1:13" x14ac:dyDescent="0.25">
      <c r="A1150">
        <v>631</v>
      </c>
      <c r="B1150" s="47" t="str">
        <f>VLOOKUP(Tabla6[[#This Row],['# Vuelo]],'Validacion reclamo de equipaje'!P:Q,2,0)</f>
        <v>BARATA Y MORADA</v>
      </c>
      <c r="C1150" s="48">
        <v>0.85763888888888884</v>
      </c>
      <c r="D1150" s="48">
        <v>0.86805555555555547</v>
      </c>
      <c r="E1150" s="49">
        <f>'Reclamo de equipaje rediseñado'!$D1150-'Reclamo de equipaje rediseñado'!$C1150</f>
        <v>1.041666666666663E-2</v>
      </c>
      <c r="F1150" s="48">
        <v>0.87986111111111109</v>
      </c>
      <c r="G1150" s="49">
        <f t="shared" si="17"/>
        <v>1.1805555555555625E-2</v>
      </c>
      <c r="H1150" s="50">
        <v>41726</v>
      </c>
      <c r="I1150" s="51">
        <v>631</v>
      </c>
      <c r="J1150" s="51">
        <v>320</v>
      </c>
      <c r="K1150" s="51">
        <f>VLOOKUP(J1150,'Validacion reclamo de equipaje'!L:M,2,0)</f>
        <v>179</v>
      </c>
      <c r="L1150" s="51" t="str">
        <f>VLOOKUP(I1150,'Validacion reclamo de equipaje'!H:I,2,0)</f>
        <v>Nacional</v>
      </c>
      <c r="M1150" s="51" t="s">
        <v>522</v>
      </c>
    </row>
    <row r="1151" spans="1:13" x14ac:dyDescent="0.25">
      <c r="A1151">
        <v>631</v>
      </c>
      <c r="B1151" s="47" t="str">
        <f>VLOOKUP(Tabla6[[#This Row],['# Vuelo]],'Validacion reclamo de equipaje'!P:Q,2,0)</f>
        <v>BARATA Y MORADA</v>
      </c>
      <c r="C1151" s="52">
        <v>0.88958333333333339</v>
      </c>
      <c r="D1151" s="52">
        <v>0.89930555555555547</v>
      </c>
      <c r="E1151" s="53">
        <f>'Reclamo de equipaje rediseñado'!$D1151-'Reclamo de equipaje rediseñado'!$C1151</f>
        <v>9.7222222222220767E-3</v>
      </c>
      <c r="F1151" s="52">
        <v>0.90486111111111101</v>
      </c>
      <c r="G1151" s="53">
        <f t="shared" si="17"/>
        <v>5.5555555555555358E-3</v>
      </c>
      <c r="H1151" s="54">
        <v>41727</v>
      </c>
      <c r="I1151" s="55">
        <v>631</v>
      </c>
      <c r="J1151" s="55">
        <v>320</v>
      </c>
      <c r="K1151" s="55">
        <f>VLOOKUP(J1151,'Validacion reclamo de equipaje'!L:M,2,0)</f>
        <v>179</v>
      </c>
      <c r="L1151" s="55" t="str">
        <f>VLOOKUP(I1151,'Validacion reclamo de equipaje'!H:I,2,0)</f>
        <v>Nacional</v>
      </c>
      <c r="M1151" s="55" t="s">
        <v>522</v>
      </c>
    </row>
    <row r="1152" spans="1:13" x14ac:dyDescent="0.25">
      <c r="A1152">
        <v>631</v>
      </c>
      <c r="B1152" s="47" t="str">
        <f>VLOOKUP(Tabla6[[#This Row],['# Vuelo]],'Validacion reclamo de equipaje'!P:Q,2,0)</f>
        <v>BARATA Y MORADA</v>
      </c>
      <c r="C1152" s="48">
        <v>0.95694444444444438</v>
      </c>
      <c r="D1152" s="48">
        <v>0.96458333333333324</v>
      </c>
      <c r="E1152" s="49">
        <f>'Reclamo de equipaje rediseñado'!$D1152-'Reclamo de equipaje rediseñado'!$C1152</f>
        <v>7.6388888888888618E-3</v>
      </c>
      <c r="F1152" s="48">
        <v>0.96944444444444444</v>
      </c>
      <c r="G1152" s="49">
        <f t="shared" si="17"/>
        <v>4.8611111111112049E-3</v>
      </c>
      <c r="H1152" s="50">
        <v>41727</v>
      </c>
      <c r="I1152" s="51">
        <v>631</v>
      </c>
      <c r="J1152" s="51">
        <v>320</v>
      </c>
      <c r="K1152" s="51">
        <f>VLOOKUP(J1152,'Validacion reclamo de equipaje'!L:M,2,0)</f>
        <v>179</v>
      </c>
      <c r="L1152" s="51" t="str">
        <f>VLOOKUP(I1152,'Validacion reclamo de equipaje'!H:I,2,0)</f>
        <v>Nacional</v>
      </c>
      <c r="M1152" s="51" t="s">
        <v>522</v>
      </c>
    </row>
    <row r="1153" spans="1:13" x14ac:dyDescent="0.25">
      <c r="A1153">
        <v>627</v>
      </c>
      <c r="B1153" s="47" t="str">
        <f>VLOOKUP(Tabla6[[#This Row],['# Vuelo]],'Validacion reclamo de equipaje'!P:Q,2,0)</f>
        <v>BARATA Y MORADA</v>
      </c>
      <c r="C1153" s="52">
        <v>0.53888888888888886</v>
      </c>
      <c r="D1153" s="52">
        <v>0.54722222222222217</v>
      </c>
      <c r="E1153" s="53">
        <f>'Reclamo de equipaje rediseñado'!$D1153-'Reclamo de equipaje rediseñado'!$C1153</f>
        <v>8.3333333333333037E-3</v>
      </c>
      <c r="F1153" s="52">
        <v>0.55486111111111114</v>
      </c>
      <c r="G1153" s="53">
        <f t="shared" si="17"/>
        <v>7.6388888888889728E-3</v>
      </c>
      <c r="H1153" s="54">
        <v>41716</v>
      </c>
      <c r="I1153" s="55" t="s">
        <v>551</v>
      </c>
      <c r="J1153" s="55" t="s">
        <v>572</v>
      </c>
      <c r="K1153" s="55">
        <f>VLOOKUP(J1153,'Validacion reclamo de equipaje'!L:M,2,0)</f>
        <v>142</v>
      </c>
      <c r="L1153" s="55" t="str">
        <f>VLOOKUP(I1153,'Validacion reclamo de equipaje'!H:I,2,0)</f>
        <v>Nacional</v>
      </c>
      <c r="M1153" s="55" t="s">
        <v>522</v>
      </c>
    </row>
    <row r="1154" spans="1:13" x14ac:dyDescent="0.25">
      <c r="A1154">
        <v>627</v>
      </c>
      <c r="B1154" s="47" t="str">
        <f>VLOOKUP(Tabla6[[#This Row],['# Vuelo]],'Validacion reclamo de equipaje'!P:Q,2,0)</f>
        <v>BARATA Y MORADA</v>
      </c>
      <c r="C1154" s="48">
        <v>0.54375000000000007</v>
      </c>
      <c r="D1154" s="48">
        <v>0.54999999999999993</v>
      </c>
      <c r="E1154" s="49">
        <f>'Reclamo de equipaje rediseñado'!$D1154-'Reclamo de equipaje rediseñado'!$C1154</f>
        <v>6.2499999999998668E-3</v>
      </c>
      <c r="F1154" s="48">
        <v>0.5541666666666667</v>
      </c>
      <c r="G1154" s="49">
        <f t="shared" si="17"/>
        <v>4.1666666666667629E-3</v>
      </c>
      <c r="H1154" s="50">
        <v>41718</v>
      </c>
      <c r="I1154" s="51" t="s">
        <v>551</v>
      </c>
      <c r="J1154" s="51" t="s">
        <v>572</v>
      </c>
      <c r="K1154" s="51">
        <f>VLOOKUP(J1154,'Validacion reclamo de equipaje'!L:M,2,0)</f>
        <v>142</v>
      </c>
      <c r="L1154" s="51" t="str">
        <f>VLOOKUP(I1154,'Validacion reclamo de equipaje'!H:I,2,0)</f>
        <v>Nacional</v>
      </c>
      <c r="M1154" s="51" t="s">
        <v>522</v>
      </c>
    </row>
    <row r="1155" spans="1:13" x14ac:dyDescent="0.25">
      <c r="A1155">
        <v>627</v>
      </c>
      <c r="B1155" s="47" t="str">
        <f>VLOOKUP(Tabla6[[#This Row],['# Vuelo]],'Validacion reclamo de equipaje'!P:Q,2,0)</f>
        <v>BARATA Y MORADA</v>
      </c>
      <c r="C1155" s="52">
        <v>0.55277777777777781</v>
      </c>
      <c r="D1155" s="52">
        <v>0.56041666666666667</v>
      </c>
      <c r="E1155" s="53">
        <f>'Reclamo de equipaje rediseñado'!$D1155-'Reclamo de equipaje rediseñado'!$C1155</f>
        <v>7.6388888888888618E-3</v>
      </c>
      <c r="F1155" s="52">
        <v>0.56736111111111109</v>
      </c>
      <c r="G1155" s="53">
        <f t="shared" ref="G1155:G1218" si="18">F1155-D1155</f>
        <v>6.9444444444444198E-3</v>
      </c>
      <c r="H1155" s="54">
        <v>41725</v>
      </c>
      <c r="I1155" s="55" t="s">
        <v>551</v>
      </c>
      <c r="J1155" s="55" t="s">
        <v>572</v>
      </c>
      <c r="K1155" s="55">
        <f>VLOOKUP(J1155,'Validacion reclamo de equipaje'!L:M,2,0)</f>
        <v>142</v>
      </c>
      <c r="L1155" s="55" t="str">
        <f>VLOOKUP(I1155,'Validacion reclamo de equipaje'!H:I,2,0)</f>
        <v>Nacional</v>
      </c>
      <c r="M1155" s="55" t="s">
        <v>522</v>
      </c>
    </row>
    <row r="1156" spans="1:13" x14ac:dyDescent="0.25">
      <c r="A1156">
        <v>627</v>
      </c>
      <c r="B1156" s="47" t="str">
        <f>VLOOKUP(Tabla6[[#This Row],['# Vuelo]],'Validacion reclamo de equipaje'!P:Q,2,0)</f>
        <v>BARATA Y MORADA</v>
      </c>
      <c r="C1156" s="48">
        <v>0.56527777777777777</v>
      </c>
      <c r="D1156" s="48">
        <v>0.57291666666666663</v>
      </c>
      <c r="E1156" s="49">
        <f>'Reclamo de equipaje rediseñado'!$D1156-'Reclamo de equipaje rediseñado'!$C1156</f>
        <v>7.6388888888888618E-3</v>
      </c>
      <c r="F1156" s="48">
        <v>0.58680555555555558</v>
      </c>
      <c r="G1156" s="49">
        <f t="shared" si="18"/>
        <v>1.3888888888888951E-2</v>
      </c>
      <c r="H1156" s="50">
        <v>41727</v>
      </c>
      <c r="I1156" s="51" t="s">
        <v>551</v>
      </c>
      <c r="J1156" s="51" t="s">
        <v>572</v>
      </c>
      <c r="K1156" s="51">
        <f>VLOOKUP(J1156,'Validacion reclamo de equipaje'!L:M,2,0)</f>
        <v>142</v>
      </c>
      <c r="L1156" s="51" t="str">
        <f>VLOOKUP(I1156,'Validacion reclamo de equipaje'!H:I,2,0)</f>
        <v>Nacional</v>
      </c>
      <c r="M1156" s="51" t="s">
        <v>522</v>
      </c>
    </row>
    <row r="1157" spans="1:13" x14ac:dyDescent="0.25">
      <c r="A1157">
        <v>627</v>
      </c>
      <c r="B1157" s="47" t="str">
        <f>VLOOKUP(Tabla6[[#This Row],['# Vuelo]],'Validacion reclamo de equipaje'!P:Q,2,0)</f>
        <v>BARATA Y MORADA</v>
      </c>
      <c r="C1157" s="52">
        <v>0.54027777777777775</v>
      </c>
      <c r="D1157" s="52">
        <v>0.5444444444444444</v>
      </c>
      <c r="E1157" s="53">
        <f>'Reclamo de equipaje rediseñado'!$D1157-'Reclamo de equipaje rediseñado'!$C1157</f>
        <v>4.1666666666666519E-3</v>
      </c>
      <c r="F1157" s="52">
        <v>0.5541666666666667</v>
      </c>
      <c r="G1157" s="53">
        <f t="shared" si="18"/>
        <v>9.7222222222222987E-3</v>
      </c>
      <c r="H1157" s="54">
        <v>41720</v>
      </c>
      <c r="I1157" s="55" t="s">
        <v>551</v>
      </c>
      <c r="J1157" s="55" t="s">
        <v>572</v>
      </c>
      <c r="K1157" s="55">
        <f>VLOOKUP(J1157,'Validacion reclamo de equipaje'!L:M,2,0)</f>
        <v>142</v>
      </c>
      <c r="L1157" s="55" t="str">
        <f>VLOOKUP(I1157,'Validacion reclamo de equipaje'!H:I,2,0)</f>
        <v>Nacional</v>
      </c>
      <c r="M1157" s="55" t="s">
        <v>522</v>
      </c>
    </row>
    <row r="1158" spans="1:13" x14ac:dyDescent="0.25">
      <c r="A1158">
        <v>623</v>
      </c>
      <c r="B1158" s="47" t="str">
        <f>VLOOKUP(Tabla6[[#This Row],['# Vuelo]],'Validacion reclamo de equipaje'!P:Q,2,0)</f>
        <v>INTERAVIÓN</v>
      </c>
      <c r="C1158" s="48">
        <v>0.54861111111111105</v>
      </c>
      <c r="D1158" s="48">
        <v>0.55763888888888891</v>
      </c>
      <c r="E1158" s="49">
        <f>'Reclamo de equipaje rediseñado'!$D1158-'Reclamo de equipaje rediseñado'!$C1158</f>
        <v>9.0277777777778567E-3</v>
      </c>
      <c r="F1158" s="48">
        <v>0.56944444444444442</v>
      </c>
      <c r="G1158" s="49">
        <f t="shared" si="18"/>
        <v>1.1805555555555514E-2</v>
      </c>
      <c r="H1158" s="50">
        <v>41714</v>
      </c>
      <c r="I1158" s="51" t="s">
        <v>582</v>
      </c>
      <c r="J1158" s="51">
        <v>320</v>
      </c>
      <c r="K1158" s="51">
        <f>VLOOKUP(J1158,'Validacion reclamo de equipaje'!L:M,2,0)</f>
        <v>179</v>
      </c>
      <c r="L1158" s="51" t="str">
        <f>VLOOKUP(I1158,'Validacion reclamo de equipaje'!H:I,2,0)</f>
        <v>Nacional</v>
      </c>
      <c r="M1158" s="51" t="s">
        <v>522</v>
      </c>
    </row>
    <row r="1159" spans="1:13" x14ac:dyDescent="0.25">
      <c r="A1159">
        <v>623</v>
      </c>
      <c r="B1159" s="47" t="str">
        <f>VLOOKUP(Tabla6[[#This Row],['# Vuelo]],'Validacion reclamo de equipaje'!P:Q,2,0)</f>
        <v>INTERAVIÓN</v>
      </c>
      <c r="C1159" s="52">
        <v>0.54166666666666663</v>
      </c>
      <c r="D1159" s="52">
        <v>0.54791666666666672</v>
      </c>
      <c r="E1159" s="53">
        <f>'Reclamo de equipaje rediseñado'!$D1159-'Reclamo de equipaje rediseñado'!$C1159</f>
        <v>6.2500000000000888E-3</v>
      </c>
      <c r="F1159" s="52">
        <v>0.55902777777777779</v>
      </c>
      <c r="G1159" s="53">
        <f t="shared" si="18"/>
        <v>1.1111111111111072E-2</v>
      </c>
      <c r="H1159" s="54">
        <v>41715</v>
      </c>
      <c r="I1159" s="55" t="s">
        <v>582</v>
      </c>
      <c r="J1159" s="55">
        <v>320</v>
      </c>
      <c r="K1159" s="55">
        <f>VLOOKUP(J1159,'Validacion reclamo de equipaje'!L:M,2,0)</f>
        <v>179</v>
      </c>
      <c r="L1159" s="55" t="str">
        <f>VLOOKUP(I1159,'Validacion reclamo de equipaje'!H:I,2,0)</f>
        <v>Nacional</v>
      </c>
      <c r="M1159" s="55" t="s">
        <v>522</v>
      </c>
    </row>
    <row r="1160" spans="1:13" x14ac:dyDescent="0.25">
      <c r="A1160">
        <v>623</v>
      </c>
      <c r="B1160" s="47" t="str">
        <f>VLOOKUP(Tabla6[[#This Row],['# Vuelo]],'Validacion reclamo de equipaje'!P:Q,2,0)</f>
        <v>INTERAVIÓN</v>
      </c>
      <c r="C1160" s="48">
        <v>0.54097222222222219</v>
      </c>
      <c r="D1160" s="48">
        <v>0.54722222222222217</v>
      </c>
      <c r="E1160" s="49">
        <f>'Reclamo de equipaje rediseñado'!$D1160-'Reclamo de equipaje rediseñado'!$C1160</f>
        <v>6.2499999999999778E-3</v>
      </c>
      <c r="F1160" s="48">
        <v>0.55833333333333335</v>
      </c>
      <c r="G1160" s="49">
        <f t="shared" si="18"/>
        <v>1.1111111111111183E-2</v>
      </c>
      <c r="H1160" s="50">
        <v>41716</v>
      </c>
      <c r="I1160" s="51" t="s">
        <v>582</v>
      </c>
      <c r="J1160" s="51">
        <v>320</v>
      </c>
      <c r="K1160" s="51">
        <f>VLOOKUP(J1160,'Validacion reclamo de equipaje'!L:M,2,0)</f>
        <v>179</v>
      </c>
      <c r="L1160" s="51" t="str">
        <f>VLOOKUP(I1160,'Validacion reclamo de equipaje'!H:I,2,0)</f>
        <v>Nacional</v>
      </c>
      <c r="M1160" s="51" t="s">
        <v>522</v>
      </c>
    </row>
    <row r="1161" spans="1:13" x14ac:dyDescent="0.25">
      <c r="A1161">
        <v>623</v>
      </c>
      <c r="B1161" s="47" t="str">
        <f>VLOOKUP(Tabla6[[#This Row],['# Vuelo]],'Validacion reclamo de equipaje'!P:Q,2,0)</f>
        <v>INTERAVIÓN</v>
      </c>
      <c r="C1161" s="52">
        <v>0.53680555555555554</v>
      </c>
      <c r="D1161" s="52">
        <v>0.55555555555555558</v>
      </c>
      <c r="E1161" s="53">
        <f>'Reclamo de equipaje rediseñado'!$D1161-'Reclamo de equipaje rediseñado'!$C1161</f>
        <v>1.8750000000000044E-2</v>
      </c>
      <c r="F1161" s="52">
        <v>0.55972222222222223</v>
      </c>
      <c r="G1161" s="53">
        <f t="shared" si="18"/>
        <v>4.1666666666666519E-3</v>
      </c>
      <c r="H1161" s="54">
        <v>41717</v>
      </c>
      <c r="I1161" s="55" t="s">
        <v>582</v>
      </c>
      <c r="J1161" s="55">
        <v>320</v>
      </c>
      <c r="K1161" s="55">
        <f>VLOOKUP(J1161,'Validacion reclamo de equipaje'!L:M,2,0)</f>
        <v>179</v>
      </c>
      <c r="L1161" s="55" t="str">
        <f>VLOOKUP(I1161,'Validacion reclamo de equipaje'!H:I,2,0)</f>
        <v>Nacional</v>
      </c>
      <c r="M1161" s="55" t="s">
        <v>522</v>
      </c>
    </row>
    <row r="1162" spans="1:13" x14ac:dyDescent="0.25">
      <c r="A1162">
        <v>623</v>
      </c>
      <c r="B1162" s="47" t="str">
        <f>VLOOKUP(Tabla6[[#This Row],['# Vuelo]],'Validacion reclamo de equipaje'!P:Q,2,0)</f>
        <v>INTERAVIÓN</v>
      </c>
      <c r="C1162" s="48">
        <v>0.54583333333333328</v>
      </c>
      <c r="D1162" s="48">
        <v>0.5541666666666667</v>
      </c>
      <c r="E1162" s="49">
        <f>'Reclamo de equipaje rediseñado'!$D1162-'Reclamo de equipaje rediseñado'!$C1162</f>
        <v>8.3333333333334147E-3</v>
      </c>
      <c r="F1162" s="48">
        <v>0.56666666666666665</v>
      </c>
      <c r="G1162" s="49">
        <f t="shared" si="18"/>
        <v>1.2499999999999956E-2</v>
      </c>
      <c r="H1162" s="50">
        <v>41718</v>
      </c>
      <c r="I1162" s="51" t="s">
        <v>582</v>
      </c>
      <c r="J1162" s="51">
        <v>320</v>
      </c>
      <c r="K1162" s="51">
        <f>VLOOKUP(J1162,'Validacion reclamo de equipaje'!L:M,2,0)</f>
        <v>179</v>
      </c>
      <c r="L1162" s="51" t="str">
        <f>VLOOKUP(I1162,'Validacion reclamo de equipaje'!H:I,2,0)</f>
        <v>Nacional</v>
      </c>
      <c r="M1162" s="51" t="s">
        <v>522</v>
      </c>
    </row>
    <row r="1163" spans="1:13" x14ac:dyDescent="0.25">
      <c r="A1163">
        <v>623</v>
      </c>
      <c r="B1163" s="47" t="str">
        <f>VLOOKUP(Tabla6[[#This Row],['# Vuelo]],'Validacion reclamo de equipaje'!P:Q,2,0)</f>
        <v>INTERAVIÓN</v>
      </c>
      <c r="C1163" s="52">
        <v>0.54861111111111105</v>
      </c>
      <c r="D1163" s="52">
        <v>0.5541666666666667</v>
      </c>
      <c r="E1163" s="53">
        <f>'Reclamo de equipaje rediseñado'!$D1163-'Reclamo de equipaje rediseñado'!$C1163</f>
        <v>5.5555555555556468E-3</v>
      </c>
      <c r="F1163" s="52">
        <v>0.56597222222222221</v>
      </c>
      <c r="G1163" s="53">
        <f t="shared" si="18"/>
        <v>1.1805555555555514E-2</v>
      </c>
      <c r="H1163" s="54">
        <v>41720</v>
      </c>
      <c r="I1163" s="55" t="s">
        <v>582</v>
      </c>
      <c r="J1163" s="55">
        <v>320</v>
      </c>
      <c r="K1163" s="55">
        <f>VLOOKUP(J1163,'Validacion reclamo de equipaje'!L:M,2,0)</f>
        <v>179</v>
      </c>
      <c r="L1163" s="55" t="str">
        <f>VLOOKUP(I1163,'Validacion reclamo de equipaje'!H:I,2,0)</f>
        <v>Nacional</v>
      </c>
      <c r="M1163" s="55" t="s">
        <v>522</v>
      </c>
    </row>
    <row r="1164" spans="1:13" x14ac:dyDescent="0.25">
      <c r="A1164">
        <v>623</v>
      </c>
      <c r="B1164" s="47" t="str">
        <f>VLOOKUP(Tabla6[[#This Row],['# Vuelo]],'Validacion reclamo de equipaje'!P:Q,2,0)</f>
        <v>INTERAVIÓN</v>
      </c>
      <c r="C1164" s="48">
        <v>0.54375000000000007</v>
      </c>
      <c r="D1164" s="48">
        <v>0.54999999999999993</v>
      </c>
      <c r="E1164" s="49">
        <f>'Reclamo de equipaje rediseñado'!$D1164-'Reclamo de equipaje rediseñado'!$C1164</f>
        <v>6.2499999999998668E-3</v>
      </c>
      <c r="F1164" s="48">
        <v>0.55972222222222223</v>
      </c>
      <c r="G1164" s="49">
        <f t="shared" si="18"/>
        <v>9.7222222222222987E-3</v>
      </c>
      <c r="H1164" s="50">
        <v>41721</v>
      </c>
      <c r="I1164" s="51" t="s">
        <v>582</v>
      </c>
      <c r="J1164" s="51">
        <v>320</v>
      </c>
      <c r="K1164" s="51">
        <f>VLOOKUP(J1164,'Validacion reclamo de equipaje'!L:M,2,0)</f>
        <v>179</v>
      </c>
      <c r="L1164" s="51" t="str">
        <f>VLOOKUP(I1164,'Validacion reclamo de equipaje'!H:I,2,0)</f>
        <v>Nacional</v>
      </c>
      <c r="M1164" s="51" t="s">
        <v>522</v>
      </c>
    </row>
    <row r="1165" spans="1:13" x14ac:dyDescent="0.25">
      <c r="A1165">
        <v>623</v>
      </c>
      <c r="B1165" s="47" t="str">
        <f>VLOOKUP(Tabla6[[#This Row],['# Vuelo]],'Validacion reclamo de equipaje'!P:Q,2,0)</f>
        <v>INTERAVIÓN</v>
      </c>
      <c r="C1165" s="52">
        <v>0.53680555555555554</v>
      </c>
      <c r="D1165" s="52">
        <v>0.5444444444444444</v>
      </c>
      <c r="E1165" s="53">
        <f>'Reclamo de equipaje rediseñado'!$D1165-'Reclamo de equipaje rediseñado'!$C1165</f>
        <v>7.6388888888888618E-3</v>
      </c>
      <c r="F1165" s="52">
        <v>0.54999999999999993</v>
      </c>
      <c r="G1165" s="53">
        <f t="shared" si="18"/>
        <v>5.5555555555555358E-3</v>
      </c>
      <c r="H1165" s="54">
        <v>41722</v>
      </c>
      <c r="I1165" s="55" t="s">
        <v>582</v>
      </c>
      <c r="J1165" s="55">
        <v>320</v>
      </c>
      <c r="K1165" s="55">
        <f>VLOOKUP(J1165,'Validacion reclamo de equipaje'!L:M,2,0)</f>
        <v>179</v>
      </c>
      <c r="L1165" s="55" t="str">
        <f>VLOOKUP(I1165,'Validacion reclamo de equipaje'!H:I,2,0)</f>
        <v>Nacional</v>
      </c>
      <c r="M1165" s="55" t="s">
        <v>522</v>
      </c>
    </row>
    <row r="1166" spans="1:13" x14ac:dyDescent="0.25">
      <c r="A1166">
        <v>623</v>
      </c>
      <c r="B1166" s="47" t="str">
        <f>VLOOKUP(Tabla6[[#This Row],['# Vuelo]],'Validacion reclamo de equipaje'!P:Q,2,0)</f>
        <v>INTERAVIÓN</v>
      </c>
      <c r="C1166" s="48">
        <v>0.54583333333333328</v>
      </c>
      <c r="D1166" s="48">
        <v>0.55555555555555558</v>
      </c>
      <c r="E1166" s="49">
        <f>'Reclamo de equipaje rediseñado'!$D1166-'Reclamo de equipaje rediseñado'!$C1166</f>
        <v>9.7222222222222987E-3</v>
      </c>
      <c r="F1166" s="48">
        <v>0.5708333333333333</v>
      </c>
      <c r="G1166" s="49">
        <f t="shared" si="18"/>
        <v>1.5277777777777724E-2</v>
      </c>
      <c r="H1166" s="50">
        <v>41725</v>
      </c>
      <c r="I1166" s="51" t="s">
        <v>582</v>
      </c>
      <c r="J1166" s="51">
        <v>320</v>
      </c>
      <c r="K1166" s="51">
        <f>VLOOKUP(J1166,'Validacion reclamo de equipaje'!L:M,2,0)</f>
        <v>179</v>
      </c>
      <c r="L1166" s="51" t="str">
        <f>VLOOKUP(I1166,'Validacion reclamo de equipaje'!H:I,2,0)</f>
        <v>Nacional</v>
      </c>
      <c r="M1166" s="51" t="s">
        <v>522</v>
      </c>
    </row>
    <row r="1167" spans="1:13" x14ac:dyDescent="0.25">
      <c r="A1167">
        <v>623</v>
      </c>
      <c r="B1167" s="47" t="str">
        <f>VLOOKUP(Tabla6[[#This Row],['# Vuelo]],'Validacion reclamo de equipaje'!P:Q,2,0)</f>
        <v>INTERAVIÓN</v>
      </c>
      <c r="C1167" s="52">
        <v>0.56111111111111112</v>
      </c>
      <c r="D1167" s="52">
        <v>0.57152777777777775</v>
      </c>
      <c r="E1167" s="53">
        <f>'Reclamo de equipaje rediseñado'!$D1167-'Reclamo de equipaje rediseñado'!$C1167</f>
        <v>1.041666666666663E-2</v>
      </c>
      <c r="F1167" s="52">
        <v>0.57777777777777783</v>
      </c>
      <c r="G1167" s="53">
        <f t="shared" si="18"/>
        <v>6.2500000000000888E-3</v>
      </c>
      <c r="H1167" s="54">
        <v>41726</v>
      </c>
      <c r="I1167" s="55" t="s">
        <v>582</v>
      </c>
      <c r="J1167" s="55">
        <v>320</v>
      </c>
      <c r="K1167" s="55">
        <f>VLOOKUP(J1167,'Validacion reclamo de equipaje'!L:M,2,0)</f>
        <v>179</v>
      </c>
      <c r="L1167" s="55" t="str">
        <f>VLOOKUP(I1167,'Validacion reclamo de equipaje'!H:I,2,0)</f>
        <v>Nacional</v>
      </c>
      <c r="M1167" s="55" t="s">
        <v>522</v>
      </c>
    </row>
    <row r="1168" spans="1:13" x14ac:dyDescent="0.25">
      <c r="A1168">
        <v>623</v>
      </c>
      <c r="B1168" s="47" t="str">
        <f>VLOOKUP(Tabla6[[#This Row],['# Vuelo]],'Validacion reclamo de equipaje'!P:Q,2,0)</f>
        <v>INTERAVIÓN</v>
      </c>
      <c r="C1168" s="48">
        <v>0.54861111111111105</v>
      </c>
      <c r="D1168" s="48">
        <v>0.55486111111111114</v>
      </c>
      <c r="E1168" s="49">
        <f>'Reclamo de equipaje rediseñado'!$D1168-'Reclamo de equipaje rediseñado'!$C1168</f>
        <v>6.2500000000000888E-3</v>
      </c>
      <c r="F1168" s="48">
        <v>0.56319444444444444</v>
      </c>
      <c r="G1168" s="49">
        <f t="shared" si="18"/>
        <v>8.3333333333333037E-3</v>
      </c>
      <c r="H1168" s="50">
        <v>41729</v>
      </c>
      <c r="I1168" s="51" t="s">
        <v>582</v>
      </c>
      <c r="J1168" s="51">
        <v>320</v>
      </c>
      <c r="K1168" s="51">
        <f>VLOOKUP(J1168,'Validacion reclamo de equipaje'!L:M,2,0)</f>
        <v>179</v>
      </c>
      <c r="L1168" s="51" t="str">
        <f>VLOOKUP(I1168,'Validacion reclamo de equipaje'!H:I,2,0)</f>
        <v>Nacional</v>
      </c>
      <c r="M1168" s="51" t="s">
        <v>522</v>
      </c>
    </row>
    <row r="1169" spans="1:13" x14ac:dyDescent="0.25">
      <c r="A1169">
        <v>621</v>
      </c>
      <c r="B1169" s="47" t="str">
        <f>VLOOKUP(Tabla6[[#This Row],['# Vuelo]],'Validacion reclamo de equipaje'!P:Q,2,0)</f>
        <v>BARATA Y MORADA</v>
      </c>
      <c r="C1169" s="52">
        <v>0.94652777777777775</v>
      </c>
      <c r="D1169" s="52">
        <v>0.9555555555555556</v>
      </c>
      <c r="E1169" s="53">
        <f>'Reclamo de equipaje rediseñado'!$D1169-'Reclamo de equipaje rediseñado'!$C1169</f>
        <v>9.0277777777778567E-3</v>
      </c>
      <c r="F1169" s="52">
        <v>0.96527777777777779</v>
      </c>
      <c r="G1169" s="53">
        <f t="shared" si="18"/>
        <v>9.7222222222221877E-3</v>
      </c>
      <c r="H1169" s="54">
        <v>41713</v>
      </c>
      <c r="I1169" s="55" t="s">
        <v>582</v>
      </c>
      <c r="J1169" s="55">
        <v>320</v>
      </c>
      <c r="K1169" s="55">
        <f>VLOOKUP(J1169,'Validacion reclamo de equipaje'!L:M,2,0)</f>
        <v>179</v>
      </c>
      <c r="L1169" s="55" t="str">
        <f>VLOOKUP(I1169,'Validacion reclamo de equipaje'!H:I,2,0)</f>
        <v>Nacional</v>
      </c>
      <c r="M1169" s="55" t="s">
        <v>522</v>
      </c>
    </row>
    <row r="1170" spans="1:13" x14ac:dyDescent="0.25">
      <c r="A1170">
        <v>621</v>
      </c>
      <c r="B1170" s="47" t="str">
        <f>VLOOKUP(Tabla6[[#This Row],['# Vuelo]],'Validacion reclamo de equipaje'!P:Q,2,0)</f>
        <v>BARATA Y MORADA</v>
      </c>
      <c r="C1170" s="48">
        <v>0.9472222222222223</v>
      </c>
      <c r="D1170" s="48">
        <v>0.95416666666666661</v>
      </c>
      <c r="E1170" s="49">
        <f>'Reclamo de equipaje rediseñado'!$D1170-'Reclamo de equipaje rediseñado'!$C1170</f>
        <v>6.9444444444443088E-3</v>
      </c>
      <c r="F1170" s="48">
        <v>0.96319444444444446</v>
      </c>
      <c r="G1170" s="49">
        <f t="shared" si="18"/>
        <v>9.0277777777778567E-3</v>
      </c>
      <c r="H1170" s="50">
        <v>41715</v>
      </c>
      <c r="I1170" s="51" t="s">
        <v>582</v>
      </c>
      <c r="J1170" s="51">
        <v>320</v>
      </c>
      <c r="K1170" s="51">
        <f>VLOOKUP(J1170,'Validacion reclamo de equipaje'!L:M,2,0)</f>
        <v>179</v>
      </c>
      <c r="L1170" s="51" t="str">
        <f>VLOOKUP(I1170,'Validacion reclamo de equipaje'!H:I,2,0)</f>
        <v>Nacional</v>
      </c>
      <c r="M1170" s="51" t="s">
        <v>522</v>
      </c>
    </row>
    <row r="1171" spans="1:13" x14ac:dyDescent="0.25">
      <c r="A1171">
        <v>621</v>
      </c>
      <c r="B1171" s="47" t="str">
        <f>VLOOKUP(Tabla6[[#This Row],['# Vuelo]],'Validacion reclamo de equipaje'!P:Q,2,0)</f>
        <v>BARATA Y MORADA</v>
      </c>
      <c r="C1171" s="52">
        <v>0.95138888888888884</v>
      </c>
      <c r="D1171" s="52">
        <v>0.95486111111111116</v>
      </c>
      <c r="E1171" s="53">
        <f>'Reclamo de equipaje rediseñado'!$D1171-'Reclamo de equipaje rediseñado'!$C1171</f>
        <v>3.4722222222223209E-3</v>
      </c>
      <c r="F1171" s="52">
        <v>0.96388888888888891</v>
      </c>
      <c r="G1171" s="53">
        <f t="shared" si="18"/>
        <v>9.0277777777777457E-3</v>
      </c>
      <c r="H1171" s="54">
        <v>41719</v>
      </c>
      <c r="I1171" s="55" t="s">
        <v>582</v>
      </c>
      <c r="J1171" s="55">
        <v>320</v>
      </c>
      <c r="K1171" s="55">
        <f>VLOOKUP(J1171,'Validacion reclamo de equipaje'!L:M,2,0)</f>
        <v>179</v>
      </c>
      <c r="L1171" s="55" t="str">
        <f>VLOOKUP(I1171,'Validacion reclamo de equipaje'!H:I,2,0)</f>
        <v>Nacional</v>
      </c>
      <c r="M1171" s="55" t="s">
        <v>522</v>
      </c>
    </row>
    <row r="1172" spans="1:13" x14ac:dyDescent="0.25">
      <c r="A1172">
        <v>621</v>
      </c>
      <c r="B1172" s="47" t="str">
        <f>VLOOKUP(Tabla6[[#This Row],['# Vuelo]],'Validacion reclamo de equipaje'!P:Q,2,0)</f>
        <v>BARATA Y MORADA</v>
      </c>
      <c r="C1172" s="48">
        <v>0.95486111111111116</v>
      </c>
      <c r="D1172" s="48">
        <v>0.96180555555555547</v>
      </c>
      <c r="E1172" s="49">
        <f>'Reclamo de equipaje rediseñado'!$D1172-'Reclamo de equipaje rediseñado'!$C1172</f>
        <v>6.9444444444443088E-3</v>
      </c>
      <c r="F1172" s="48">
        <v>0.97361111111111109</v>
      </c>
      <c r="G1172" s="49">
        <f t="shared" si="18"/>
        <v>1.1805555555555625E-2</v>
      </c>
      <c r="H1172" s="50">
        <v>41721</v>
      </c>
      <c r="I1172" s="51" t="s">
        <v>582</v>
      </c>
      <c r="J1172" s="51">
        <v>320</v>
      </c>
      <c r="K1172" s="51">
        <f>VLOOKUP(J1172,'Validacion reclamo de equipaje'!L:M,2,0)</f>
        <v>179</v>
      </c>
      <c r="L1172" s="51" t="str">
        <f>VLOOKUP(I1172,'Validacion reclamo de equipaje'!H:I,2,0)</f>
        <v>Nacional</v>
      </c>
      <c r="M1172" s="51" t="s">
        <v>522</v>
      </c>
    </row>
    <row r="1173" spans="1:13" x14ac:dyDescent="0.25">
      <c r="A1173">
        <v>621</v>
      </c>
      <c r="B1173" s="47" t="str">
        <f>VLOOKUP(Tabla6[[#This Row],['# Vuelo]],'Validacion reclamo de equipaje'!P:Q,2,0)</f>
        <v>BARATA Y MORADA</v>
      </c>
      <c r="C1173" s="52">
        <v>0.94444444444444453</v>
      </c>
      <c r="D1173" s="52">
        <v>0.95694444444444438</v>
      </c>
      <c r="E1173" s="53">
        <f>'Reclamo de equipaje rediseñado'!$D1173-'Reclamo de equipaje rediseñado'!$C1173</f>
        <v>1.2499999999999845E-2</v>
      </c>
      <c r="F1173" s="52">
        <v>0.96180555555555547</v>
      </c>
      <c r="G1173" s="53">
        <f t="shared" si="18"/>
        <v>4.8611111111110938E-3</v>
      </c>
      <c r="H1173" s="54">
        <v>41721</v>
      </c>
      <c r="I1173" s="55" t="s">
        <v>582</v>
      </c>
      <c r="J1173" s="55">
        <v>320</v>
      </c>
      <c r="K1173" s="55">
        <f>VLOOKUP(J1173,'Validacion reclamo de equipaje'!L:M,2,0)</f>
        <v>179</v>
      </c>
      <c r="L1173" s="55" t="str">
        <f>VLOOKUP(I1173,'Validacion reclamo de equipaje'!H:I,2,0)</f>
        <v>Nacional</v>
      </c>
      <c r="M1173" s="55" t="s">
        <v>522</v>
      </c>
    </row>
    <row r="1174" spans="1:13" x14ac:dyDescent="0.25">
      <c r="A1174">
        <v>621</v>
      </c>
      <c r="B1174" s="47" t="str">
        <f>VLOOKUP(Tabla6[[#This Row],['# Vuelo]],'Validacion reclamo de equipaje'!P:Q,2,0)</f>
        <v>BARATA Y MORADA</v>
      </c>
      <c r="C1174" s="48">
        <v>0.93888888888888899</v>
      </c>
      <c r="D1174" s="48">
        <v>0.94652777777777775</v>
      </c>
      <c r="E1174" s="49">
        <f>'Reclamo de equipaje rediseñado'!$D1174-'Reclamo de equipaje rediseñado'!$C1174</f>
        <v>7.6388888888887507E-3</v>
      </c>
      <c r="F1174" s="48">
        <v>0.95277777777777783</v>
      </c>
      <c r="G1174" s="49">
        <f t="shared" si="18"/>
        <v>6.2500000000000888E-3</v>
      </c>
      <c r="H1174" s="50">
        <v>41723</v>
      </c>
      <c r="I1174" s="51" t="s">
        <v>582</v>
      </c>
      <c r="J1174" s="51">
        <v>320</v>
      </c>
      <c r="K1174" s="51">
        <f>VLOOKUP(J1174,'Validacion reclamo de equipaje'!L:M,2,0)</f>
        <v>179</v>
      </c>
      <c r="L1174" s="51" t="str">
        <f>VLOOKUP(I1174,'Validacion reclamo de equipaje'!H:I,2,0)</f>
        <v>Nacional</v>
      </c>
      <c r="M1174" s="51" t="s">
        <v>522</v>
      </c>
    </row>
    <row r="1175" spans="1:13" x14ac:dyDescent="0.25">
      <c r="A1175">
        <v>621</v>
      </c>
      <c r="B1175" s="47" t="str">
        <f>VLOOKUP(Tabla6[[#This Row],['# Vuelo]],'Validacion reclamo de equipaje'!P:Q,2,0)</f>
        <v>BARATA Y MORADA</v>
      </c>
      <c r="C1175" s="52">
        <v>0.97222222222222221</v>
      </c>
      <c r="D1175" s="52">
        <v>0.98611111111111116</v>
      </c>
      <c r="E1175" s="53">
        <f>'Reclamo de equipaje rediseñado'!$D1175-'Reclamo de equipaje rediseñado'!$C1175</f>
        <v>1.3888888888888951E-2</v>
      </c>
      <c r="F1175" s="52">
        <v>0.99236111111111114</v>
      </c>
      <c r="G1175" s="53">
        <f t="shared" si="18"/>
        <v>6.2499999999999778E-3</v>
      </c>
      <c r="H1175" s="54">
        <v>41725</v>
      </c>
      <c r="I1175" s="55" t="s">
        <v>582</v>
      </c>
      <c r="J1175" s="55">
        <v>320</v>
      </c>
      <c r="K1175" s="55">
        <f>VLOOKUP(J1175,'Validacion reclamo de equipaje'!L:M,2,0)</f>
        <v>179</v>
      </c>
      <c r="L1175" s="55" t="str">
        <f>VLOOKUP(I1175,'Validacion reclamo de equipaje'!H:I,2,0)</f>
        <v>Nacional</v>
      </c>
      <c r="M1175" s="55" t="s">
        <v>522</v>
      </c>
    </row>
    <row r="1176" spans="1:13" x14ac:dyDescent="0.25">
      <c r="A1176">
        <v>621</v>
      </c>
      <c r="B1176" s="47" t="str">
        <f>VLOOKUP(Tabla6[[#This Row],['# Vuelo]],'Validacion reclamo de equipaje'!P:Q,2,0)</f>
        <v>BARATA Y MORADA</v>
      </c>
      <c r="C1176" s="48">
        <v>0.95000000000000007</v>
      </c>
      <c r="D1176" s="48">
        <v>0.95833333333333337</v>
      </c>
      <c r="E1176" s="49">
        <f>'Reclamo de equipaje rediseñado'!$D1176-'Reclamo de equipaje rediseñado'!$C1176</f>
        <v>8.3333333333333037E-3</v>
      </c>
      <c r="F1176" s="48">
        <v>0.96527777777777779</v>
      </c>
      <c r="G1176" s="49">
        <f t="shared" si="18"/>
        <v>6.9444444444444198E-3</v>
      </c>
      <c r="H1176" s="50">
        <v>41726</v>
      </c>
      <c r="I1176" s="51" t="s">
        <v>582</v>
      </c>
      <c r="J1176" s="51">
        <v>320</v>
      </c>
      <c r="K1176" s="51">
        <f>VLOOKUP(J1176,'Validacion reclamo de equipaje'!L:M,2,0)</f>
        <v>179</v>
      </c>
      <c r="L1176" s="51" t="str">
        <f>VLOOKUP(I1176,'Validacion reclamo de equipaje'!H:I,2,0)</f>
        <v>Nacional</v>
      </c>
      <c r="M1176" s="51" t="s">
        <v>522</v>
      </c>
    </row>
    <row r="1177" spans="1:13" x14ac:dyDescent="0.25">
      <c r="A1177">
        <v>621</v>
      </c>
      <c r="B1177" s="47" t="str">
        <f>VLOOKUP(Tabla6[[#This Row],['# Vuelo]],'Validacion reclamo de equipaje'!P:Q,2,0)</f>
        <v>BARATA Y MORADA</v>
      </c>
      <c r="C1177" s="52">
        <v>0.44236111111111115</v>
      </c>
      <c r="D1177" s="52">
        <v>0.44930555555555557</v>
      </c>
      <c r="E1177" s="53">
        <f>'Reclamo de equipaje rediseñado'!$D1177-'Reclamo de equipaje rediseñado'!$C1177</f>
        <v>6.9444444444444198E-3</v>
      </c>
      <c r="F1177" s="52">
        <v>0.45694444444444443</v>
      </c>
      <c r="G1177" s="53">
        <f t="shared" si="18"/>
        <v>7.6388888888888618E-3</v>
      </c>
      <c r="H1177" s="54">
        <v>41726</v>
      </c>
      <c r="I1177" s="55" t="s">
        <v>582</v>
      </c>
      <c r="J1177" s="55">
        <v>320</v>
      </c>
      <c r="K1177" s="55">
        <f>VLOOKUP(J1177,'Validacion reclamo de equipaje'!L:M,2,0)</f>
        <v>179</v>
      </c>
      <c r="L1177" s="55" t="str">
        <f>VLOOKUP(I1177,'Validacion reclamo de equipaje'!H:I,2,0)</f>
        <v>Nacional</v>
      </c>
      <c r="M1177" s="55" t="s">
        <v>522</v>
      </c>
    </row>
    <row r="1178" spans="1:13" x14ac:dyDescent="0.25">
      <c r="A1178">
        <v>475</v>
      </c>
      <c r="B1178" s="47" t="str">
        <f>VLOOKUP(Tabla6[[#This Row],['# Vuelo]],'Validacion reclamo de equipaje'!P:Q,2,0)</f>
        <v>BARATA Y MORADA</v>
      </c>
      <c r="C1178" s="48">
        <v>0.18124999999999999</v>
      </c>
      <c r="D1178" s="48">
        <v>0.19236111111111112</v>
      </c>
      <c r="E1178" s="49">
        <f>'Reclamo de equipaje rediseñado'!$D1178-'Reclamo de equipaje rediseñado'!$C1178</f>
        <v>1.1111111111111127E-2</v>
      </c>
      <c r="F1178" s="48">
        <v>0.20694444444444446</v>
      </c>
      <c r="G1178" s="49">
        <f t="shared" si="18"/>
        <v>1.4583333333333337E-2</v>
      </c>
      <c r="H1178" s="50">
        <v>41724</v>
      </c>
      <c r="I1178" s="51" t="s">
        <v>582</v>
      </c>
      <c r="J1178" s="51" t="s">
        <v>540</v>
      </c>
      <c r="K1178" s="51" t="e">
        <f>VLOOKUP(J1178,'Validacion reclamo de equipaje'!L:M,2,0)</f>
        <v>#N/A</v>
      </c>
      <c r="L1178" s="51" t="str">
        <f>VLOOKUP(I1178,'Validacion reclamo de equipaje'!H:I,2,0)</f>
        <v>Nacional</v>
      </c>
      <c r="M1178" s="51" t="s">
        <v>522</v>
      </c>
    </row>
    <row r="1179" spans="1:13" x14ac:dyDescent="0.25">
      <c r="A1179">
        <v>436</v>
      </c>
      <c r="B1179" s="47" t="str">
        <f>VLOOKUP(Tabla6[[#This Row],['# Vuelo]],'Validacion reclamo de equipaje'!P:Q,2,0)</f>
        <v>BARATA Y MORADA</v>
      </c>
      <c r="C1179" s="52">
        <v>0.97916666666666663</v>
      </c>
      <c r="D1179" s="52">
        <v>0.9902777777777777</v>
      </c>
      <c r="E1179" s="53">
        <f>'Reclamo de equipaje rediseñado'!$D1179-'Reclamo de equipaje rediseñado'!$C1179</f>
        <v>1.1111111111111072E-2</v>
      </c>
      <c r="F1179" s="52">
        <v>1.0020833333333334</v>
      </c>
      <c r="G1179" s="53">
        <f t="shared" si="18"/>
        <v>1.1805555555555736E-2</v>
      </c>
      <c r="H1179" s="54">
        <v>41715</v>
      </c>
      <c r="I1179" s="55" t="s">
        <v>549</v>
      </c>
      <c r="J1179" s="55">
        <v>320</v>
      </c>
      <c r="K1179" s="55">
        <f>VLOOKUP(J1179,'Validacion reclamo de equipaje'!L:M,2,0)</f>
        <v>179</v>
      </c>
      <c r="L1179" s="55" t="str">
        <f>VLOOKUP(I1179,'Validacion reclamo de equipaje'!H:I,2,0)</f>
        <v>Nacional</v>
      </c>
      <c r="M1179" s="55" t="s">
        <v>522</v>
      </c>
    </row>
    <row r="1180" spans="1:13" x14ac:dyDescent="0.25">
      <c r="A1180">
        <v>436</v>
      </c>
      <c r="B1180" s="47" t="str">
        <f>VLOOKUP(Tabla6[[#This Row],['# Vuelo]],'Validacion reclamo de equipaje'!P:Q,2,0)</f>
        <v>BARATA Y MORADA</v>
      </c>
      <c r="C1180" s="48">
        <v>0.98749999999999993</v>
      </c>
      <c r="D1180" s="48">
        <v>0.99513888888888891</v>
      </c>
      <c r="E1180" s="49">
        <f>'Reclamo de equipaje rediseñado'!$D1180-'Reclamo de equipaje rediseñado'!$C1180</f>
        <v>7.6388888888889728E-3</v>
      </c>
      <c r="F1180" s="48">
        <v>1.0062499999999999</v>
      </c>
      <c r="G1180" s="49">
        <f t="shared" si="18"/>
        <v>1.1111111111110961E-2</v>
      </c>
      <c r="H1180" s="50">
        <v>41719</v>
      </c>
      <c r="I1180" s="51" t="s">
        <v>549</v>
      </c>
      <c r="J1180" s="51">
        <v>320</v>
      </c>
      <c r="K1180" s="51">
        <f>VLOOKUP(J1180,'Validacion reclamo de equipaje'!L:M,2,0)</f>
        <v>179</v>
      </c>
      <c r="L1180" s="51" t="str">
        <f>VLOOKUP(I1180,'Validacion reclamo de equipaje'!H:I,2,0)</f>
        <v>Nacional</v>
      </c>
      <c r="M1180" s="51" t="s">
        <v>522</v>
      </c>
    </row>
    <row r="1181" spans="1:13" x14ac:dyDescent="0.25">
      <c r="A1181">
        <v>436</v>
      </c>
      <c r="B1181" s="47" t="str">
        <f>VLOOKUP(Tabla6[[#This Row],['# Vuelo]],'Validacion reclamo de equipaje'!P:Q,2,0)</f>
        <v>BARATA Y MORADA</v>
      </c>
      <c r="C1181" s="52">
        <v>0.9784722222222223</v>
      </c>
      <c r="D1181" s="52">
        <v>0.98611111111111116</v>
      </c>
      <c r="E1181" s="53">
        <f>'Reclamo de equipaje rediseñado'!$D1181-'Reclamo de equipaje rediseñado'!$C1181</f>
        <v>7.6388888888888618E-3</v>
      </c>
      <c r="F1181" s="52">
        <v>0.98958333333333337</v>
      </c>
      <c r="G1181" s="53">
        <f t="shared" si="18"/>
        <v>3.4722222222222099E-3</v>
      </c>
      <c r="H1181" s="54">
        <v>41723</v>
      </c>
      <c r="I1181" s="55" t="s">
        <v>549</v>
      </c>
      <c r="J1181" s="55">
        <v>320</v>
      </c>
      <c r="K1181" s="55">
        <f>VLOOKUP(J1181,'Validacion reclamo de equipaje'!L:M,2,0)</f>
        <v>179</v>
      </c>
      <c r="L1181" s="55" t="str">
        <f>VLOOKUP(I1181,'Validacion reclamo de equipaje'!H:I,2,0)</f>
        <v>Nacional</v>
      </c>
      <c r="M1181" s="55" t="s">
        <v>522</v>
      </c>
    </row>
    <row r="1182" spans="1:13" x14ac:dyDescent="0.25">
      <c r="A1182">
        <v>436</v>
      </c>
      <c r="B1182" s="47" t="str">
        <f>VLOOKUP(Tabla6[[#This Row],['# Vuelo]],'Validacion reclamo de equipaje'!P:Q,2,0)</f>
        <v>BARATA Y MORADA</v>
      </c>
      <c r="C1182" s="48">
        <v>0.98125000000000007</v>
      </c>
      <c r="D1182" s="48">
        <v>0.99097222222222225</v>
      </c>
      <c r="E1182" s="49">
        <f>'Reclamo de equipaje rediseñado'!$D1182-'Reclamo de equipaje rediseñado'!$C1182</f>
        <v>9.7222222222221877E-3</v>
      </c>
      <c r="F1182" s="48">
        <v>0.99930555555555556</v>
      </c>
      <c r="G1182" s="49">
        <f t="shared" si="18"/>
        <v>8.3333333333333037E-3</v>
      </c>
      <c r="H1182" s="50">
        <v>41724</v>
      </c>
      <c r="I1182" s="51" t="s">
        <v>549</v>
      </c>
      <c r="J1182" s="51">
        <v>320</v>
      </c>
      <c r="K1182" s="51">
        <f>VLOOKUP(J1182,'Validacion reclamo de equipaje'!L:M,2,0)</f>
        <v>179</v>
      </c>
      <c r="L1182" s="51" t="str">
        <f>VLOOKUP(I1182,'Validacion reclamo de equipaje'!H:I,2,0)</f>
        <v>Nacional</v>
      </c>
      <c r="M1182" s="51" t="s">
        <v>522</v>
      </c>
    </row>
    <row r="1183" spans="1:13" x14ac:dyDescent="0.25">
      <c r="A1183">
        <v>436</v>
      </c>
      <c r="B1183" s="47" t="str">
        <f>VLOOKUP(Tabla6[[#This Row],['# Vuelo]],'Validacion reclamo de equipaje'!P:Q,2,0)</f>
        <v>BARATA Y MORADA</v>
      </c>
      <c r="C1183" s="52">
        <v>0.99791666666666667</v>
      </c>
      <c r="D1183" s="52">
        <v>1.0034722222222221</v>
      </c>
      <c r="E1183" s="53">
        <f>'Reclamo de equipaje rediseñado'!$D1183-'Reclamo de equipaje rediseñado'!$C1183</f>
        <v>5.5555555555554248E-3</v>
      </c>
      <c r="F1183" s="52">
        <v>1.0118055555555556</v>
      </c>
      <c r="G1183" s="53">
        <f t="shared" si="18"/>
        <v>8.3333333333335258E-3</v>
      </c>
      <c r="H1183" s="54">
        <v>41725</v>
      </c>
      <c r="I1183" s="55" t="s">
        <v>549</v>
      </c>
      <c r="J1183" s="55">
        <v>320</v>
      </c>
      <c r="K1183" s="55">
        <f>VLOOKUP(J1183,'Validacion reclamo de equipaje'!L:M,2,0)</f>
        <v>179</v>
      </c>
      <c r="L1183" s="55" t="str">
        <f>VLOOKUP(I1183,'Validacion reclamo de equipaje'!H:I,2,0)</f>
        <v>Nacional</v>
      </c>
      <c r="M1183" s="55" t="s">
        <v>522</v>
      </c>
    </row>
    <row r="1184" spans="1:13" x14ac:dyDescent="0.25">
      <c r="A1184">
        <v>432</v>
      </c>
      <c r="B1184" s="47" t="str">
        <f>VLOOKUP(Tabla6[[#This Row],['# Vuelo]],'Validacion reclamo de equipaje'!P:Q,2,0)</f>
        <v>BARATA Y MORADA</v>
      </c>
      <c r="C1184" s="48">
        <v>0.93680555555555556</v>
      </c>
      <c r="D1184" s="48">
        <v>0.94444444444444453</v>
      </c>
      <c r="E1184" s="49">
        <f>'Reclamo de equipaje rediseñado'!$D1184-'Reclamo de equipaje rediseñado'!$C1184</f>
        <v>7.6388888888889728E-3</v>
      </c>
      <c r="F1184" s="48">
        <v>0.95486111111111116</v>
      </c>
      <c r="G1184" s="49">
        <f t="shared" si="18"/>
        <v>1.041666666666663E-2</v>
      </c>
      <c r="H1184" s="50">
        <v>41713</v>
      </c>
      <c r="I1184" s="51" t="s">
        <v>549</v>
      </c>
      <c r="J1184" s="51">
        <v>320</v>
      </c>
      <c r="K1184" s="51">
        <f>VLOOKUP(J1184,'Validacion reclamo de equipaje'!L:M,2,0)</f>
        <v>179</v>
      </c>
      <c r="L1184" s="51" t="str">
        <f>VLOOKUP(I1184,'Validacion reclamo de equipaje'!H:I,2,0)</f>
        <v>Nacional</v>
      </c>
      <c r="M1184" s="51" t="s">
        <v>522</v>
      </c>
    </row>
    <row r="1185" spans="1:13" x14ac:dyDescent="0.25">
      <c r="A1185">
        <v>432</v>
      </c>
      <c r="B1185" s="47" t="str">
        <f>VLOOKUP(Tabla6[[#This Row],['# Vuelo]],'Validacion reclamo de equipaje'!P:Q,2,0)</f>
        <v>BARATA Y MORADA</v>
      </c>
      <c r="C1185" s="52">
        <v>0.89027777777777783</v>
      </c>
      <c r="D1185" s="52">
        <v>0.90069444444444446</v>
      </c>
      <c r="E1185" s="53">
        <f>'Reclamo de equipaje rediseñado'!$D1185-'Reclamo de equipaje rediseñado'!$C1185</f>
        <v>1.041666666666663E-2</v>
      </c>
      <c r="F1185" s="52">
        <v>0.91736111111111107</v>
      </c>
      <c r="G1185" s="53">
        <f t="shared" si="18"/>
        <v>1.6666666666666607E-2</v>
      </c>
      <c r="H1185" s="54">
        <v>41715</v>
      </c>
      <c r="I1185" s="55" t="s">
        <v>549</v>
      </c>
      <c r="J1185" s="55">
        <v>320</v>
      </c>
      <c r="K1185" s="55">
        <f>VLOOKUP(J1185,'Validacion reclamo de equipaje'!L:M,2,0)</f>
        <v>179</v>
      </c>
      <c r="L1185" s="55" t="str">
        <f>VLOOKUP(I1185,'Validacion reclamo de equipaje'!H:I,2,0)</f>
        <v>Nacional</v>
      </c>
      <c r="M1185" s="55" t="s">
        <v>522</v>
      </c>
    </row>
    <row r="1186" spans="1:13" x14ac:dyDescent="0.25">
      <c r="A1186">
        <v>432</v>
      </c>
      <c r="B1186" s="47" t="str">
        <f>VLOOKUP(Tabla6[[#This Row],['# Vuelo]],'Validacion reclamo de equipaje'!P:Q,2,0)</f>
        <v>BARATA Y MORADA</v>
      </c>
      <c r="C1186" s="48">
        <v>0.8256944444444444</v>
      </c>
      <c r="D1186" s="48">
        <v>0.83263888888888893</v>
      </c>
      <c r="E1186" s="49">
        <f>'Reclamo de equipaje rediseñado'!$D1186-'Reclamo de equipaje rediseñado'!$C1186</f>
        <v>6.9444444444445308E-3</v>
      </c>
      <c r="F1186" s="48">
        <v>0.84375</v>
      </c>
      <c r="G1186" s="49">
        <f t="shared" si="18"/>
        <v>1.1111111111111072E-2</v>
      </c>
      <c r="H1186" s="50">
        <v>41716</v>
      </c>
      <c r="I1186" s="51" t="s">
        <v>549</v>
      </c>
      <c r="J1186" s="51">
        <v>320</v>
      </c>
      <c r="K1186" s="51">
        <f>VLOOKUP(J1186,'Validacion reclamo de equipaje'!L:M,2,0)</f>
        <v>179</v>
      </c>
      <c r="L1186" s="51" t="str">
        <f>VLOOKUP(I1186,'Validacion reclamo de equipaje'!H:I,2,0)</f>
        <v>Nacional</v>
      </c>
      <c r="M1186" s="51" t="s">
        <v>522</v>
      </c>
    </row>
    <row r="1187" spans="1:13" x14ac:dyDescent="0.25">
      <c r="A1187">
        <v>432</v>
      </c>
      <c r="B1187" s="47" t="str">
        <f>VLOOKUP(Tabla6[[#This Row],['# Vuelo]],'Validacion reclamo de equipaje'!P:Q,2,0)</f>
        <v>BARATA Y MORADA</v>
      </c>
      <c r="C1187" s="52">
        <v>0.93819444444444444</v>
      </c>
      <c r="D1187" s="52">
        <v>0.94236111111111109</v>
      </c>
      <c r="E1187" s="53">
        <f>'Reclamo de equipaje rediseñado'!$D1187-'Reclamo de equipaje rediseñado'!$C1187</f>
        <v>4.1666666666666519E-3</v>
      </c>
      <c r="F1187" s="52">
        <v>0.96250000000000002</v>
      </c>
      <c r="G1187" s="53">
        <f t="shared" si="18"/>
        <v>2.0138888888888928E-2</v>
      </c>
      <c r="H1187" s="54">
        <v>41721</v>
      </c>
      <c r="I1187" s="55" t="s">
        <v>549</v>
      </c>
      <c r="J1187" s="55">
        <v>320</v>
      </c>
      <c r="K1187" s="55">
        <f>VLOOKUP(J1187,'Validacion reclamo de equipaje'!L:M,2,0)</f>
        <v>179</v>
      </c>
      <c r="L1187" s="55" t="str">
        <f>VLOOKUP(I1187,'Validacion reclamo de equipaje'!H:I,2,0)</f>
        <v>Nacional</v>
      </c>
      <c r="M1187" s="55" t="s">
        <v>522</v>
      </c>
    </row>
    <row r="1188" spans="1:13" x14ac:dyDescent="0.25">
      <c r="A1188">
        <v>432</v>
      </c>
      <c r="B1188" s="47" t="str">
        <f>VLOOKUP(Tabla6[[#This Row],['# Vuelo]],'Validacion reclamo de equipaje'!P:Q,2,0)</f>
        <v>BARATA Y MORADA</v>
      </c>
      <c r="C1188" s="48">
        <v>0.87638888888888899</v>
      </c>
      <c r="D1188" s="48">
        <v>0.88194444444444453</v>
      </c>
      <c r="E1188" s="49">
        <f>'Reclamo de equipaje rediseñado'!$D1188-'Reclamo de equipaje rediseñado'!$C1188</f>
        <v>5.5555555555555358E-3</v>
      </c>
      <c r="F1188" s="48">
        <v>0.89236111111111116</v>
      </c>
      <c r="G1188" s="49">
        <f t="shared" si="18"/>
        <v>1.041666666666663E-2</v>
      </c>
      <c r="H1188" s="50">
        <v>41721</v>
      </c>
      <c r="I1188" s="51" t="s">
        <v>549</v>
      </c>
      <c r="J1188" s="51">
        <v>320</v>
      </c>
      <c r="K1188" s="51">
        <f>VLOOKUP(J1188,'Validacion reclamo de equipaje'!L:M,2,0)</f>
        <v>179</v>
      </c>
      <c r="L1188" s="51" t="str">
        <f>VLOOKUP(I1188,'Validacion reclamo de equipaje'!H:I,2,0)</f>
        <v>Nacional</v>
      </c>
      <c r="M1188" s="51" t="s">
        <v>522</v>
      </c>
    </row>
    <row r="1189" spans="1:13" x14ac:dyDescent="0.25">
      <c r="A1189">
        <v>432</v>
      </c>
      <c r="B1189" s="47" t="str">
        <f>VLOOKUP(Tabla6[[#This Row],['# Vuelo]],'Validacion reclamo de equipaje'!P:Q,2,0)</f>
        <v>BARATA Y MORADA</v>
      </c>
      <c r="C1189" s="52">
        <v>0.86458333333333337</v>
      </c>
      <c r="D1189" s="52">
        <v>0.875</v>
      </c>
      <c r="E1189" s="53">
        <f>'Reclamo de equipaje rediseñado'!$D1189-'Reclamo de equipaje rediseñado'!$C1189</f>
        <v>1.041666666666663E-2</v>
      </c>
      <c r="F1189" s="52">
        <v>0.88402777777777775</v>
      </c>
      <c r="G1189" s="53">
        <f t="shared" si="18"/>
        <v>9.0277777777777457E-3</v>
      </c>
      <c r="H1189" s="54">
        <v>41723</v>
      </c>
      <c r="I1189" s="55" t="s">
        <v>549</v>
      </c>
      <c r="J1189" s="55">
        <v>320</v>
      </c>
      <c r="K1189" s="55">
        <f>VLOOKUP(J1189,'Validacion reclamo de equipaje'!L:M,2,0)</f>
        <v>179</v>
      </c>
      <c r="L1189" s="55" t="str">
        <f>VLOOKUP(I1189,'Validacion reclamo de equipaje'!H:I,2,0)</f>
        <v>Nacional</v>
      </c>
      <c r="M1189" s="55" t="s">
        <v>522</v>
      </c>
    </row>
    <row r="1190" spans="1:13" x14ac:dyDescent="0.25">
      <c r="A1190">
        <v>432</v>
      </c>
      <c r="B1190" s="47" t="str">
        <f>VLOOKUP(Tabla6[[#This Row],['# Vuelo]],'Validacion reclamo de equipaje'!P:Q,2,0)</f>
        <v>BARATA Y MORADA</v>
      </c>
      <c r="C1190" s="48">
        <v>0.88263888888888886</v>
      </c>
      <c r="D1190" s="48">
        <v>0.88750000000000007</v>
      </c>
      <c r="E1190" s="49">
        <f>'Reclamo de equipaje rediseñado'!$D1190-'Reclamo de equipaje rediseñado'!$C1190</f>
        <v>4.8611111111112049E-3</v>
      </c>
      <c r="F1190" s="48">
        <v>0.90625</v>
      </c>
      <c r="G1190" s="49">
        <f t="shared" si="18"/>
        <v>1.8749999999999933E-2</v>
      </c>
      <c r="H1190" s="50">
        <v>41724</v>
      </c>
      <c r="I1190" s="51" t="s">
        <v>549</v>
      </c>
      <c r="J1190" s="51">
        <v>320</v>
      </c>
      <c r="K1190" s="51">
        <f>VLOOKUP(J1190,'Validacion reclamo de equipaje'!L:M,2,0)</f>
        <v>179</v>
      </c>
      <c r="L1190" s="51" t="str">
        <f>VLOOKUP(I1190,'Validacion reclamo de equipaje'!H:I,2,0)</f>
        <v>Nacional</v>
      </c>
      <c r="M1190" s="51" t="s">
        <v>522</v>
      </c>
    </row>
    <row r="1191" spans="1:13" x14ac:dyDescent="0.25">
      <c r="A1191">
        <v>432</v>
      </c>
      <c r="B1191" s="47" t="str">
        <f>VLOOKUP(Tabla6[[#This Row],['# Vuelo]],'Validacion reclamo de equipaje'!P:Q,2,0)</f>
        <v>BARATA Y MORADA</v>
      </c>
      <c r="C1191" s="52">
        <v>0.86597222222222225</v>
      </c>
      <c r="D1191" s="52">
        <v>0.87222222222222223</v>
      </c>
      <c r="E1191" s="53">
        <f>'Reclamo de equipaje rediseñado'!$D1191-'Reclamo de equipaje rediseñado'!$C1191</f>
        <v>6.2499999999999778E-3</v>
      </c>
      <c r="F1191" s="52">
        <v>0.88263888888888886</v>
      </c>
      <c r="G1191" s="53">
        <f t="shared" si="18"/>
        <v>1.041666666666663E-2</v>
      </c>
      <c r="H1191" s="54">
        <v>41725</v>
      </c>
      <c r="I1191" s="55" t="s">
        <v>549</v>
      </c>
      <c r="J1191" s="55">
        <v>320</v>
      </c>
      <c r="K1191" s="55">
        <f>VLOOKUP(J1191,'Validacion reclamo de equipaje'!L:M,2,0)</f>
        <v>179</v>
      </c>
      <c r="L1191" s="55" t="str">
        <f>VLOOKUP(I1191,'Validacion reclamo de equipaje'!H:I,2,0)</f>
        <v>Nacional</v>
      </c>
      <c r="M1191" s="55" t="s">
        <v>522</v>
      </c>
    </row>
    <row r="1192" spans="1:13" x14ac:dyDescent="0.25">
      <c r="A1192">
        <v>432</v>
      </c>
      <c r="B1192" s="47" t="str">
        <f>VLOOKUP(Tabla6[[#This Row],['# Vuelo]],'Validacion reclamo de equipaje'!P:Q,2,0)</f>
        <v>BARATA Y MORADA</v>
      </c>
      <c r="C1192" s="48">
        <v>0.87083333333333324</v>
      </c>
      <c r="D1192" s="48">
        <v>0.8833333333333333</v>
      </c>
      <c r="E1192" s="49">
        <f>'Reclamo de equipaje rediseñado'!$D1192-'Reclamo de equipaje rediseñado'!$C1192</f>
        <v>1.2500000000000067E-2</v>
      </c>
      <c r="F1192" s="48">
        <v>0.89166666666666661</v>
      </c>
      <c r="G1192" s="49">
        <f t="shared" si="18"/>
        <v>8.3333333333333037E-3</v>
      </c>
      <c r="H1192" s="50">
        <v>41726</v>
      </c>
      <c r="I1192" s="51" t="s">
        <v>549</v>
      </c>
      <c r="J1192" s="51">
        <v>320</v>
      </c>
      <c r="K1192" s="51">
        <f>VLOOKUP(J1192,'Validacion reclamo de equipaje'!L:M,2,0)</f>
        <v>179</v>
      </c>
      <c r="L1192" s="51" t="str">
        <f>VLOOKUP(I1192,'Validacion reclamo de equipaje'!H:I,2,0)</f>
        <v>Nacional</v>
      </c>
      <c r="M1192" s="51" t="s">
        <v>522</v>
      </c>
    </row>
    <row r="1193" spans="1:13" x14ac:dyDescent="0.25">
      <c r="A1193">
        <v>432</v>
      </c>
      <c r="B1193" s="47" t="str">
        <f>VLOOKUP(Tabla6[[#This Row],['# Vuelo]],'Validacion reclamo de equipaje'!P:Q,2,0)</f>
        <v>BARATA Y MORADA</v>
      </c>
      <c r="C1193" s="52">
        <v>0.93402777777777779</v>
      </c>
      <c r="D1193" s="52">
        <v>0.93541666666666667</v>
      </c>
      <c r="E1193" s="53">
        <f>'Reclamo de equipaje rediseñado'!$D1193-'Reclamo de equipaje rediseñado'!$C1193</f>
        <v>1.388888888888884E-3</v>
      </c>
      <c r="F1193" s="52">
        <v>0.94097222222222221</v>
      </c>
      <c r="G1193" s="53">
        <f t="shared" si="18"/>
        <v>5.5555555555555358E-3</v>
      </c>
      <c r="H1193" s="54">
        <v>41727</v>
      </c>
      <c r="I1193" s="55" t="s">
        <v>549</v>
      </c>
      <c r="J1193" s="55">
        <v>320</v>
      </c>
      <c r="K1193" s="55">
        <f>VLOOKUP(J1193,'Validacion reclamo de equipaje'!L:M,2,0)</f>
        <v>179</v>
      </c>
      <c r="L1193" s="55" t="str">
        <f>VLOOKUP(I1193,'Validacion reclamo de equipaje'!H:I,2,0)</f>
        <v>Nacional</v>
      </c>
      <c r="M1193" s="55" t="s">
        <v>522</v>
      </c>
    </row>
    <row r="1194" spans="1:13" x14ac:dyDescent="0.25">
      <c r="A1194">
        <v>430</v>
      </c>
      <c r="B1194" s="47" t="str">
        <f>VLOOKUP(Tabla6[[#This Row],['# Vuelo]],'Validacion reclamo de equipaje'!P:Q,2,0)</f>
        <v>BARATA Y MORADA</v>
      </c>
      <c r="C1194" s="48">
        <v>0.75416666666666676</v>
      </c>
      <c r="D1194" s="48">
        <v>0.76180555555555562</v>
      </c>
      <c r="E1194" s="49">
        <f>'Reclamo de equipaje rediseñado'!$D1194-'Reclamo de equipaje rediseñado'!$C1194</f>
        <v>7.6388888888888618E-3</v>
      </c>
      <c r="F1194" s="48">
        <v>0.77083333333333337</v>
      </c>
      <c r="G1194" s="49">
        <f t="shared" si="18"/>
        <v>9.0277777777777457E-3</v>
      </c>
      <c r="H1194" s="50">
        <v>41714</v>
      </c>
      <c r="I1194" s="51" t="s">
        <v>549</v>
      </c>
      <c r="J1194" s="51">
        <v>320</v>
      </c>
      <c r="K1194" s="51">
        <f>VLOOKUP(J1194,'Validacion reclamo de equipaje'!L:M,2,0)</f>
        <v>179</v>
      </c>
      <c r="L1194" s="51" t="str">
        <f>VLOOKUP(I1194,'Validacion reclamo de equipaje'!H:I,2,0)</f>
        <v>Nacional</v>
      </c>
      <c r="M1194" s="51" t="s">
        <v>522</v>
      </c>
    </row>
    <row r="1195" spans="1:13" x14ac:dyDescent="0.25">
      <c r="A1195">
        <v>430</v>
      </c>
      <c r="B1195" s="47" t="str">
        <f>VLOOKUP(Tabla6[[#This Row],['# Vuelo]],'Validacion reclamo de equipaje'!P:Q,2,0)</f>
        <v>BARATA Y MORADA</v>
      </c>
      <c r="C1195" s="52">
        <v>0.75277777777777777</v>
      </c>
      <c r="D1195" s="52">
        <v>0.76180555555555562</v>
      </c>
      <c r="E1195" s="53">
        <f>'Reclamo de equipaje rediseñado'!$D1195-'Reclamo de equipaje rediseñado'!$C1195</f>
        <v>9.0277777777778567E-3</v>
      </c>
      <c r="F1195" s="52">
        <v>0.77083333333333337</v>
      </c>
      <c r="G1195" s="53">
        <f t="shared" si="18"/>
        <v>9.0277777777777457E-3</v>
      </c>
      <c r="H1195" s="54">
        <v>41715</v>
      </c>
      <c r="I1195" s="55" t="s">
        <v>549</v>
      </c>
      <c r="J1195" s="55">
        <v>320</v>
      </c>
      <c r="K1195" s="55">
        <f>VLOOKUP(J1195,'Validacion reclamo de equipaje'!L:M,2,0)</f>
        <v>179</v>
      </c>
      <c r="L1195" s="55" t="str">
        <f>VLOOKUP(I1195,'Validacion reclamo de equipaje'!H:I,2,0)</f>
        <v>Nacional</v>
      </c>
      <c r="M1195" s="55" t="s">
        <v>522</v>
      </c>
    </row>
    <row r="1196" spans="1:13" x14ac:dyDescent="0.25">
      <c r="A1196">
        <v>430</v>
      </c>
      <c r="B1196" s="47" t="str">
        <f>VLOOKUP(Tabla6[[#This Row],['# Vuelo]],'Validacion reclamo de equipaje'!P:Q,2,0)</f>
        <v>BARATA Y MORADA</v>
      </c>
      <c r="C1196" s="48">
        <v>0.76458333333333339</v>
      </c>
      <c r="D1196" s="48">
        <v>0.77222222222222225</v>
      </c>
      <c r="E1196" s="49">
        <f>'Reclamo de equipaje rediseñado'!$D1196-'Reclamo de equipaje rediseñado'!$C1196</f>
        <v>7.6388888888888618E-3</v>
      </c>
      <c r="F1196" s="48">
        <v>0.77847222222222223</v>
      </c>
      <c r="G1196" s="49">
        <f t="shared" si="18"/>
        <v>6.2499999999999778E-3</v>
      </c>
      <c r="H1196" s="50">
        <v>41716</v>
      </c>
      <c r="I1196" s="51" t="s">
        <v>549</v>
      </c>
      <c r="J1196" s="51">
        <v>320</v>
      </c>
      <c r="K1196" s="51">
        <f>VLOOKUP(J1196,'Validacion reclamo de equipaje'!L:M,2,0)</f>
        <v>179</v>
      </c>
      <c r="L1196" s="51" t="str">
        <f>VLOOKUP(I1196,'Validacion reclamo de equipaje'!H:I,2,0)</f>
        <v>Nacional</v>
      </c>
      <c r="M1196" s="51" t="s">
        <v>522</v>
      </c>
    </row>
    <row r="1197" spans="1:13" x14ac:dyDescent="0.25">
      <c r="A1197">
        <v>430</v>
      </c>
      <c r="B1197" s="47" t="str">
        <f>VLOOKUP(Tabla6[[#This Row],['# Vuelo]],'Validacion reclamo de equipaje'!P:Q,2,0)</f>
        <v>BARATA Y MORADA</v>
      </c>
      <c r="C1197" s="52">
        <v>0.76180555555555562</v>
      </c>
      <c r="D1197" s="52">
        <v>0.77222222222222225</v>
      </c>
      <c r="E1197" s="53">
        <f>'Reclamo de equipaje rediseñado'!$D1197-'Reclamo de equipaje rediseñado'!$C1197</f>
        <v>1.041666666666663E-2</v>
      </c>
      <c r="F1197" s="52">
        <v>0.77847222222222223</v>
      </c>
      <c r="G1197" s="53">
        <f t="shared" si="18"/>
        <v>6.2499999999999778E-3</v>
      </c>
      <c r="H1197" s="54">
        <v>41716</v>
      </c>
      <c r="I1197" s="55" t="s">
        <v>549</v>
      </c>
      <c r="J1197" s="55">
        <v>320</v>
      </c>
      <c r="K1197" s="55">
        <f>VLOOKUP(J1197,'Validacion reclamo de equipaje'!L:M,2,0)</f>
        <v>179</v>
      </c>
      <c r="L1197" s="55" t="str">
        <f>VLOOKUP(I1197,'Validacion reclamo de equipaje'!H:I,2,0)</f>
        <v>Nacional</v>
      </c>
      <c r="M1197" s="55" t="s">
        <v>522</v>
      </c>
    </row>
    <row r="1198" spans="1:13" x14ac:dyDescent="0.25">
      <c r="A1198">
        <v>430</v>
      </c>
      <c r="B1198" s="47" t="str">
        <f>VLOOKUP(Tabla6[[#This Row],['# Vuelo]],'Validacion reclamo de equipaje'!P:Q,2,0)</f>
        <v>BARATA Y MORADA</v>
      </c>
      <c r="C1198" s="48">
        <v>0.7597222222222223</v>
      </c>
      <c r="D1198" s="48">
        <v>0.76874999999999993</v>
      </c>
      <c r="E1198" s="49">
        <f>'Reclamo de equipaje rediseñado'!$D1198-'Reclamo de equipaje rediseñado'!$C1198</f>
        <v>9.0277777777776347E-3</v>
      </c>
      <c r="F1198" s="48">
        <v>0.77847222222222223</v>
      </c>
      <c r="G1198" s="49">
        <f t="shared" si="18"/>
        <v>9.7222222222222987E-3</v>
      </c>
      <c r="H1198" s="50">
        <v>41718</v>
      </c>
      <c r="I1198" s="51" t="s">
        <v>549</v>
      </c>
      <c r="J1198" s="51">
        <v>320</v>
      </c>
      <c r="K1198" s="51">
        <f>VLOOKUP(J1198,'Validacion reclamo de equipaje'!L:M,2,0)</f>
        <v>179</v>
      </c>
      <c r="L1198" s="51" t="str">
        <f>VLOOKUP(I1198,'Validacion reclamo de equipaje'!H:I,2,0)</f>
        <v>Nacional</v>
      </c>
      <c r="M1198" s="51" t="s">
        <v>522</v>
      </c>
    </row>
    <row r="1199" spans="1:13" x14ac:dyDescent="0.25">
      <c r="A1199">
        <v>430</v>
      </c>
      <c r="B1199" s="47" t="str">
        <f>VLOOKUP(Tabla6[[#This Row],['# Vuelo]],'Validacion reclamo de equipaje'!P:Q,2,0)</f>
        <v>BARATA Y MORADA</v>
      </c>
      <c r="C1199" s="52">
        <v>0.76458333333333339</v>
      </c>
      <c r="D1199" s="52">
        <v>0.76666666666666661</v>
      </c>
      <c r="E1199" s="53">
        <f>'Reclamo de equipaje rediseñado'!$D1199-'Reclamo de equipaje rediseñado'!$C1199</f>
        <v>2.0833333333332149E-3</v>
      </c>
      <c r="F1199" s="52">
        <v>0.78333333333333333</v>
      </c>
      <c r="G1199" s="53">
        <f t="shared" si="18"/>
        <v>1.6666666666666718E-2</v>
      </c>
      <c r="H1199" s="54">
        <v>41720</v>
      </c>
      <c r="I1199" s="55" t="s">
        <v>549</v>
      </c>
      <c r="J1199" s="55">
        <v>320</v>
      </c>
      <c r="K1199" s="55">
        <f>VLOOKUP(J1199,'Validacion reclamo de equipaje'!L:M,2,0)</f>
        <v>179</v>
      </c>
      <c r="L1199" s="55" t="str">
        <f>VLOOKUP(I1199,'Validacion reclamo de equipaje'!H:I,2,0)</f>
        <v>Nacional</v>
      </c>
      <c r="M1199" s="55" t="s">
        <v>522</v>
      </c>
    </row>
    <row r="1200" spans="1:13" x14ac:dyDescent="0.25">
      <c r="A1200">
        <v>430</v>
      </c>
      <c r="B1200" s="47" t="str">
        <f>VLOOKUP(Tabla6[[#This Row],['# Vuelo]],'Validacion reclamo de equipaje'!P:Q,2,0)</f>
        <v>BARATA Y MORADA</v>
      </c>
      <c r="C1200" s="48">
        <v>0.74652777777777779</v>
      </c>
      <c r="D1200" s="48">
        <v>0.75347222222222221</v>
      </c>
      <c r="E1200" s="49">
        <f>'Reclamo de equipaje rediseñado'!$D1200-'Reclamo de equipaje rediseñado'!$C1200</f>
        <v>6.9444444444444198E-3</v>
      </c>
      <c r="F1200" s="48">
        <v>0.76666666666666661</v>
      </c>
      <c r="G1200" s="49">
        <f t="shared" si="18"/>
        <v>1.3194444444444398E-2</v>
      </c>
      <c r="H1200" s="50">
        <v>41721</v>
      </c>
      <c r="I1200" s="51" t="s">
        <v>549</v>
      </c>
      <c r="J1200" s="51">
        <v>320</v>
      </c>
      <c r="K1200" s="51">
        <f>VLOOKUP(J1200,'Validacion reclamo de equipaje'!L:M,2,0)</f>
        <v>179</v>
      </c>
      <c r="L1200" s="51" t="str">
        <f>VLOOKUP(I1200,'Validacion reclamo de equipaje'!H:I,2,0)</f>
        <v>Nacional</v>
      </c>
      <c r="M1200" s="51" t="s">
        <v>522</v>
      </c>
    </row>
    <row r="1201" spans="1:13" x14ac:dyDescent="0.25">
      <c r="A1201">
        <v>430</v>
      </c>
      <c r="B1201" s="47" t="str">
        <f>VLOOKUP(Tabla6[[#This Row],['# Vuelo]],'Validacion reclamo de equipaje'!P:Q,2,0)</f>
        <v>BARATA Y MORADA</v>
      </c>
      <c r="C1201" s="52">
        <v>0.75763888888888886</v>
      </c>
      <c r="D1201" s="52">
        <v>0.76597222222222217</v>
      </c>
      <c r="E1201" s="53">
        <f>'Reclamo de equipaje rediseñado'!$D1201-'Reclamo de equipaje rediseñado'!$C1201</f>
        <v>8.3333333333333037E-3</v>
      </c>
      <c r="F1201" s="52">
        <v>0.77361111111111114</v>
      </c>
      <c r="G1201" s="53">
        <f t="shared" si="18"/>
        <v>7.6388888888889728E-3</v>
      </c>
      <c r="H1201" s="54">
        <v>41725</v>
      </c>
      <c r="I1201" s="55" t="s">
        <v>549</v>
      </c>
      <c r="J1201" s="55">
        <v>320</v>
      </c>
      <c r="K1201" s="55">
        <f>VLOOKUP(J1201,'Validacion reclamo de equipaje'!L:M,2,0)</f>
        <v>179</v>
      </c>
      <c r="L1201" s="55" t="str">
        <f>VLOOKUP(I1201,'Validacion reclamo de equipaje'!H:I,2,0)</f>
        <v>Nacional</v>
      </c>
      <c r="M1201" s="55" t="s">
        <v>522</v>
      </c>
    </row>
    <row r="1202" spans="1:13" x14ac:dyDescent="0.25">
      <c r="A1202">
        <v>430</v>
      </c>
      <c r="B1202" s="47" t="str">
        <f>VLOOKUP(Tabla6[[#This Row],['# Vuelo]],'Validacion reclamo de equipaje'!P:Q,2,0)</f>
        <v>BARATA Y MORADA</v>
      </c>
      <c r="C1202" s="48">
        <v>0.75624999999999998</v>
      </c>
      <c r="D1202" s="48">
        <v>0.7631944444444444</v>
      </c>
      <c r="E1202" s="49">
        <f>'Reclamo de equipaje rediseñado'!$D1202-'Reclamo de equipaje rediseñado'!$C1202</f>
        <v>6.9444444444444198E-3</v>
      </c>
      <c r="F1202" s="48">
        <v>0.77638888888888891</v>
      </c>
      <c r="G1202" s="49">
        <f t="shared" si="18"/>
        <v>1.3194444444444509E-2</v>
      </c>
      <c r="H1202" s="50">
        <v>41725</v>
      </c>
      <c r="I1202" s="51" t="s">
        <v>549</v>
      </c>
      <c r="J1202" s="51">
        <v>320</v>
      </c>
      <c r="K1202" s="51">
        <f>VLOOKUP(J1202,'Validacion reclamo de equipaje'!L:M,2,0)</f>
        <v>179</v>
      </c>
      <c r="L1202" s="51" t="str">
        <f>VLOOKUP(I1202,'Validacion reclamo de equipaje'!H:I,2,0)</f>
        <v>Nacional</v>
      </c>
      <c r="M1202" s="51" t="s">
        <v>522</v>
      </c>
    </row>
    <row r="1203" spans="1:13" x14ac:dyDescent="0.25">
      <c r="A1203">
        <v>430</v>
      </c>
      <c r="B1203" s="47" t="str">
        <f>VLOOKUP(Tabla6[[#This Row],['# Vuelo]],'Validacion reclamo de equipaje'!P:Q,2,0)</f>
        <v>BARATA Y MORADA</v>
      </c>
      <c r="C1203" s="52">
        <v>0.77013888888888893</v>
      </c>
      <c r="D1203" s="52">
        <v>0.78125</v>
      </c>
      <c r="E1203" s="53">
        <f>'Reclamo de equipaje rediseñado'!$D1203-'Reclamo de equipaje rediseñado'!$C1203</f>
        <v>1.1111111111111072E-2</v>
      </c>
      <c r="F1203" s="52">
        <v>0.79791666666666661</v>
      </c>
      <c r="G1203" s="53">
        <f t="shared" si="18"/>
        <v>1.6666666666666607E-2</v>
      </c>
      <c r="H1203" s="54">
        <v>41726</v>
      </c>
      <c r="I1203" s="55" t="s">
        <v>549</v>
      </c>
      <c r="J1203" s="55">
        <v>320</v>
      </c>
      <c r="K1203" s="55">
        <f>VLOOKUP(J1203,'Validacion reclamo de equipaje'!L:M,2,0)</f>
        <v>179</v>
      </c>
      <c r="L1203" s="55" t="str">
        <f>VLOOKUP(I1203,'Validacion reclamo de equipaje'!H:I,2,0)</f>
        <v>Nacional</v>
      </c>
      <c r="M1203" s="55" t="s">
        <v>522</v>
      </c>
    </row>
    <row r="1204" spans="1:13" x14ac:dyDescent="0.25">
      <c r="A1204">
        <v>430</v>
      </c>
      <c r="B1204" s="47" t="str">
        <f>VLOOKUP(Tabla6[[#This Row],['# Vuelo]],'Validacion reclamo de equipaje'!P:Q,2,0)</f>
        <v>BARATA Y MORADA</v>
      </c>
      <c r="C1204" s="48">
        <v>0.76388888888888884</v>
      </c>
      <c r="D1204" s="48">
        <v>0.7680555555555556</v>
      </c>
      <c r="E1204" s="49">
        <f>'Reclamo de equipaje rediseñado'!$D1204-'Reclamo de equipaje rediseñado'!$C1204</f>
        <v>4.1666666666667629E-3</v>
      </c>
      <c r="F1204" s="48">
        <v>0.77430555555555547</v>
      </c>
      <c r="G1204" s="49">
        <f t="shared" si="18"/>
        <v>6.2499999999998668E-3</v>
      </c>
      <c r="H1204" s="50">
        <v>41729</v>
      </c>
      <c r="I1204" s="51" t="s">
        <v>549</v>
      </c>
      <c r="J1204" s="51">
        <v>320</v>
      </c>
      <c r="K1204" s="51">
        <f>VLOOKUP(J1204,'Validacion reclamo de equipaje'!L:M,2,0)</f>
        <v>179</v>
      </c>
      <c r="L1204" s="51" t="str">
        <f>VLOOKUP(I1204,'Validacion reclamo de equipaje'!H:I,2,0)</f>
        <v>Nacional</v>
      </c>
      <c r="M1204" s="51" t="s">
        <v>522</v>
      </c>
    </row>
    <row r="1205" spans="1:13" x14ac:dyDescent="0.25">
      <c r="A1205">
        <v>428</v>
      </c>
      <c r="B1205" s="47" t="str">
        <f>VLOOKUP(Tabla6[[#This Row],['# Vuelo]],'Validacion reclamo de equipaje'!P:Q,2,0)</f>
        <v>BARATA Y MORADA</v>
      </c>
      <c r="C1205" s="52">
        <v>0.66319444444444442</v>
      </c>
      <c r="D1205" s="52">
        <v>0.66527777777777775</v>
      </c>
      <c r="E1205" s="53">
        <f>'Reclamo de equipaje rediseñado'!$D1205-'Reclamo de equipaje rediseñado'!$C1205</f>
        <v>2.0833333333333259E-3</v>
      </c>
      <c r="F1205" s="52">
        <v>0.68263888888888891</v>
      </c>
      <c r="G1205" s="53">
        <f t="shared" si="18"/>
        <v>1.736111111111116E-2</v>
      </c>
      <c r="H1205" s="54">
        <v>41714</v>
      </c>
      <c r="I1205" s="55" t="s">
        <v>549</v>
      </c>
      <c r="J1205" s="55">
        <v>320</v>
      </c>
      <c r="K1205" s="55">
        <f>VLOOKUP(J1205,'Validacion reclamo de equipaje'!L:M,2,0)</f>
        <v>179</v>
      </c>
      <c r="L1205" s="55" t="str">
        <f>VLOOKUP(I1205,'Validacion reclamo de equipaje'!H:I,2,0)</f>
        <v>Nacional</v>
      </c>
      <c r="M1205" s="55" t="s">
        <v>522</v>
      </c>
    </row>
    <row r="1206" spans="1:13" x14ac:dyDescent="0.25">
      <c r="A1206">
        <v>428</v>
      </c>
      <c r="B1206" s="47" t="str">
        <f>VLOOKUP(Tabla6[[#This Row],['# Vuelo]],'Validacion reclamo de equipaje'!P:Q,2,0)</f>
        <v>BARATA Y MORADA</v>
      </c>
      <c r="C1206" s="48">
        <v>0.65902777777777777</v>
      </c>
      <c r="D1206" s="48">
        <v>0.66805555555555562</v>
      </c>
      <c r="E1206" s="49">
        <f>'Reclamo de equipaje rediseñado'!$D1206-'Reclamo de equipaje rediseñado'!$C1206</f>
        <v>9.0277777777778567E-3</v>
      </c>
      <c r="F1206" s="48">
        <v>0.68125000000000002</v>
      </c>
      <c r="G1206" s="49">
        <f t="shared" si="18"/>
        <v>1.3194444444444398E-2</v>
      </c>
      <c r="H1206" s="50">
        <v>41715</v>
      </c>
      <c r="I1206" s="51" t="s">
        <v>549</v>
      </c>
      <c r="J1206" s="51">
        <v>320</v>
      </c>
      <c r="K1206" s="51">
        <f>VLOOKUP(J1206,'Validacion reclamo de equipaje'!L:M,2,0)</f>
        <v>179</v>
      </c>
      <c r="L1206" s="51" t="str">
        <f>VLOOKUP(I1206,'Validacion reclamo de equipaje'!H:I,2,0)</f>
        <v>Nacional</v>
      </c>
      <c r="M1206" s="51" t="s">
        <v>522</v>
      </c>
    </row>
    <row r="1207" spans="1:13" x14ac:dyDescent="0.25">
      <c r="A1207">
        <v>428</v>
      </c>
      <c r="B1207" s="47" t="str">
        <f>VLOOKUP(Tabla6[[#This Row],['# Vuelo]],'Validacion reclamo de equipaje'!P:Q,2,0)</f>
        <v>BARATA Y MORADA</v>
      </c>
      <c r="C1207" s="52">
        <v>0.66041666666666665</v>
      </c>
      <c r="D1207" s="52">
        <v>0.67708333333333337</v>
      </c>
      <c r="E1207" s="53">
        <f>'Reclamo de equipaje rediseñado'!$D1207-'Reclamo de equipaje rediseñado'!$C1207</f>
        <v>1.6666666666666718E-2</v>
      </c>
      <c r="F1207" s="52">
        <v>0.68333333333333324</v>
      </c>
      <c r="G1207" s="53">
        <f t="shared" si="18"/>
        <v>6.2499999999998668E-3</v>
      </c>
      <c r="H1207" s="54">
        <v>41716</v>
      </c>
      <c r="I1207" s="55" t="s">
        <v>549</v>
      </c>
      <c r="J1207" s="55">
        <v>320</v>
      </c>
      <c r="K1207" s="55">
        <f>VLOOKUP(J1207,'Validacion reclamo de equipaje'!L:M,2,0)</f>
        <v>179</v>
      </c>
      <c r="L1207" s="55" t="str">
        <f>VLOOKUP(I1207,'Validacion reclamo de equipaje'!H:I,2,0)</f>
        <v>Nacional</v>
      </c>
      <c r="M1207" s="55" t="s">
        <v>522</v>
      </c>
    </row>
    <row r="1208" spans="1:13" x14ac:dyDescent="0.25">
      <c r="A1208">
        <v>428</v>
      </c>
      <c r="B1208" s="47" t="str">
        <f>VLOOKUP(Tabla6[[#This Row],['# Vuelo]],'Validacion reclamo de equipaje'!P:Q,2,0)</f>
        <v>BARATA Y MORADA</v>
      </c>
      <c r="C1208" s="48">
        <v>0.66805555555555562</v>
      </c>
      <c r="D1208" s="48">
        <v>0.67638888888888893</v>
      </c>
      <c r="E1208" s="49">
        <f>'Reclamo de equipaje rediseñado'!$D1208-'Reclamo de equipaje rediseñado'!$C1208</f>
        <v>8.3333333333333037E-3</v>
      </c>
      <c r="F1208" s="48">
        <v>0.68263888888888891</v>
      </c>
      <c r="G1208" s="49">
        <f t="shared" si="18"/>
        <v>6.2499999999999778E-3</v>
      </c>
      <c r="H1208" s="50">
        <v>41717</v>
      </c>
      <c r="I1208" s="51" t="s">
        <v>549</v>
      </c>
      <c r="J1208" s="51">
        <v>320</v>
      </c>
      <c r="K1208" s="51">
        <f>VLOOKUP(J1208,'Validacion reclamo de equipaje'!L:M,2,0)</f>
        <v>179</v>
      </c>
      <c r="L1208" s="51" t="str">
        <f>VLOOKUP(I1208,'Validacion reclamo de equipaje'!H:I,2,0)</f>
        <v>Nacional</v>
      </c>
      <c r="M1208" s="51" t="s">
        <v>522</v>
      </c>
    </row>
    <row r="1209" spans="1:13" x14ac:dyDescent="0.25">
      <c r="A1209">
        <v>428</v>
      </c>
      <c r="B1209" s="47" t="str">
        <f>VLOOKUP(Tabla6[[#This Row],['# Vuelo]],'Validacion reclamo de equipaje'!P:Q,2,0)</f>
        <v>BARATA Y MORADA</v>
      </c>
      <c r="C1209" s="52">
        <v>0.66388888888888886</v>
      </c>
      <c r="D1209" s="52">
        <v>0.67152777777777783</v>
      </c>
      <c r="E1209" s="53">
        <f>'Reclamo de equipaje rediseñado'!$D1209-'Reclamo de equipaje rediseñado'!$C1209</f>
        <v>7.6388888888889728E-3</v>
      </c>
      <c r="F1209" s="52">
        <v>0.67638888888888893</v>
      </c>
      <c r="G1209" s="53">
        <f t="shared" si="18"/>
        <v>4.8611111111110938E-3</v>
      </c>
      <c r="H1209" s="54">
        <v>41718</v>
      </c>
      <c r="I1209" s="55" t="s">
        <v>549</v>
      </c>
      <c r="J1209" s="55">
        <v>320</v>
      </c>
      <c r="K1209" s="55">
        <f>VLOOKUP(J1209,'Validacion reclamo de equipaje'!L:M,2,0)</f>
        <v>179</v>
      </c>
      <c r="L1209" s="55" t="str">
        <f>VLOOKUP(I1209,'Validacion reclamo de equipaje'!H:I,2,0)</f>
        <v>Nacional</v>
      </c>
      <c r="M1209" s="55" t="s">
        <v>522</v>
      </c>
    </row>
    <row r="1210" spans="1:13" x14ac:dyDescent="0.25">
      <c r="A1210">
        <v>428</v>
      </c>
      <c r="B1210" s="47" t="str">
        <f>VLOOKUP(Tabla6[[#This Row],['# Vuelo]],'Validacion reclamo de equipaje'!P:Q,2,0)</f>
        <v>BARATA Y MORADA</v>
      </c>
      <c r="C1210" s="48">
        <v>0.67222222222222217</v>
      </c>
      <c r="D1210" s="48">
        <v>0.67499999999999993</v>
      </c>
      <c r="E1210" s="49">
        <f>'Reclamo de equipaje rediseñado'!$D1210-'Reclamo de equipaje rediseñado'!$C1210</f>
        <v>2.7777777777777679E-3</v>
      </c>
      <c r="F1210" s="48">
        <v>0.69305555555555554</v>
      </c>
      <c r="G1210" s="49">
        <f t="shared" si="18"/>
        <v>1.8055555555555602E-2</v>
      </c>
      <c r="H1210" s="50">
        <v>41720</v>
      </c>
      <c r="I1210" s="51" t="s">
        <v>549</v>
      </c>
      <c r="J1210" s="51">
        <v>320</v>
      </c>
      <c r="K1210" s="51">
        <f>VLOOKUP(J1210,'Validacion reclamo de equipaje'!L:M,2,0)</f>
        <v>179</v>
      </c>
      <c r="L1210" s="51" t="str">
        <f>VLOOKUP(I1210,'Validacion reclamo de equipaje'!H:I,2,0)</f>
        <v>Nacional</v>
      </c>
      <c r="M1210" s="51" t="s">
        <v>522</v>
      </c>
    </row>
    <row r="1211" spans="1:13" x14ac:dyDescent="0.25">
      <c r="A1211">
        <v>428</v>
      </c>
      <c r="B1211" s="47" t="str">
        <f>VLOOKUP(Tabla6[[#This Row],['# Vuelo]],'Validacion reclamo de equipaje'!P:Q,2,0)</f>
        <v>BARATA Y MORADA</v>
      </c>
      <c r="C1211" s="52">
        <v>0.66041666666666665</v>
      </c>
      <c r="D1211" s="52">
        <v>0.66805555555555562</v>
      </c>
      <c r="E1211" s="53">
        <f>'Reclamo de equipaje rediseñado'!$D1211-'Reclamo de equipaje rediseñado'!$C1211</f>
        <v>7.6388888888889728E-3</v>
      </c>
      <c r="F1211" s="52">
        <v>0.67638888888888893</v>
      </c>
      <c r="G1211" s="53">
        <f t="shared" si="18"/>
        <v>8.3333333333333037E-3</v>
      </c>
      <c r="H1211" s="54">
        <v>41721</v>
      </c>
      <c r="I1211" s="55" t="s">
        <v>549</v>
      </c>
      <c r="J1211" s="55">
        <v>320</v>
      </c>
      <c r="K1211" s="55">
        <f>VLOOKUP(J1211,'Validacion reclamo de equipaje'!L:M,2,0)</f>
        <v>179</v>
      </c>
      <c r="L1211" s="55" t="str">
        <f>VLOOKUP(I1211,'Validacion reclamo de equipaje'!H:I,2,0)</f>
        <v>Nacional</v>
      </c>
      <c r="M1211" s="55" t="s">
        <v>522</v>
      </c>
    </row>
    <row r="1212" spans="1:13" x14ac:dyDescent="0.25">
      <c r="A1212">
        <v>428</v>
      </c>
      <c r="B1212" s="47" t="str">
        <f>VLOOKUP(Tabla6[[#This Row],['# Vuelo]],'Validacion reclamo de equipaje'!P:Q,2,0)</f>
        <v>BARATA Y MORADA</v>
      </c>
      <c r="C1212" s="48">
        <v>0.66597222222222219</v>
      </c>
      <c r="D1212" s="48">
        <v>0.67291666666666661</v>
      </c>
      <c r="E1212" s="49">
        <f>'Reclamo de equipaje rediseñado'!$D1212-'Reclamo de equipaje rediseñado'!$C1212</f>
        <v>6.9444444444444198E-3</v>
      </c>
      <c r="F1212" s="48">
        <v>0.67847222222222225</v>
      </c>
      <c r="G1212" s="49">
        <f t="shared" si="18"/>
        <v>5.5555555555556468E-3</v>
      </c>
      <c r="H1212" s="50">
        <v>41722</v>
      </c>
      <c r="I1212" s="51" t="s">
        <v>549</v>
      </c>
      <c r="J1212" s="51">
        <v>320</v>
      </c>
      <c r="K1212" s="51">
        <f>VLOOKUP(J1212,'Validacion reclamo de equipaje'!L:M,2,0)</f>
        <v>179</v>
      </c>
      <c r="L1212" s="51" t="str">
        <f>VLOOKUP(I1212,'Validacion reclamo de equipaje'!H:I,2,0)</f>
        <v>Nacional</v>
      </c>
      <c r="M1212" s="51" t="s">
        <v>522</v>
      </c>
    </row>
    <row r="1213" spans="1:13" x14ac:dyDescent="0.25">
      <c r="A1213">
        <v>428</v>
      </c>
      <c r="B1213" s="47" t="str">
        <f>VLOOKUP(Tabla6[[#This Row],['# Vuelo]],'Validacion reclamo de equipaje'!P:Q,2,0)</f>
        <v>BARATA Y MORADA</v>
      </c>
      <c r="C1213" s="52">
        <v>0.67638888888888893</v>
      </c>
      <c r="D1213" s="52">
        <v>0.68680555555555556</v>
      </c>
      <c r="E1213" s="53">
        <f>'Reclamo de equipaje rediseñado'!$D1213-'Reclamo de equipaje rediseñado'!$C1213</f>
        <v>1.041666666666663E-2</v>
      </c>
      <c r="F1213" s="52">
        <v>0.69513888888888886</v>
      </c>
      <c r="G1213" s="53">
        <f t="shared" si="18"/>
        <v>8.3333333333333037E-3</v>
      </c>
      <c r="H1213" s="54">
        <v>41725</v>
      </c>
      <c r="I1213" s="55" t="s">
        <v>549</v>
      </c>
      <c r="J1213" s="55">
        <v>320</v>
      </c>
      <c r="K1213" s="55">
        <f>VLOOKUP(J1213,'Validacion reclamo de equipaje'!L:M,2,0)</f>
        <v>179</v>
      </c>
      <c r="L1213" s="55" t="str">
        <f>VLOOKUP(I1213,'Validacion reclamo de equipaje'!H:I,2,0)</f>
        <v>Nacional</v>
      </c>
      <c r="M1213" s="55" t="s">
        <v>522</v>
      </c>
    </row>
    <row r="1214" spans="1:13" x14ac:dyDescent="0.25">
      <c r="A1214">
        <v>428</v>
      </c>
      <c r="B1214" s="47" t="str">
        <f>VLOOKUP(Tabla6[[#This Row],['# Vuelo]],'Validacion reclamo de equipaje'!P:Q,2,0)</f>
        <v>BARATA Y MORADA</v>
      </c>
      <c r="C1214" s="48">
        <v>0.70486111111111116</v>
      </c>
      <c r="D1214" s="48">
        <v>0.71250000000000002</v>
      </c>
      <c r="E1214" s="49">
        <f>'Reclamo de equipaje rediseñado'!$D1214-'Reclamo de equipaje rediseñado'!$C1214</f>
        <v>7.6388888888888618E-3</v>
      </c>
      <c r="F1214" s="48">
        <v>0.72499999999999998</v>
      </c>
      <c r="G1214" s="49">
        <f t="shared" si="18"/>
        <v>1.2499999999999956E-2</v>
      </c>
      <c r="H1214" s="50">
        <v>41725</v>
      </c>
      <c r="I1214" s="51" t="s">
        <v>549</v>
      </c>
      <c r="J1214" s="51">
        <v>320</v>
      </c>
      <c r="K1214" s="51">
        <f>VLOOKUP(J1214,'Validacion reclamo de equipaje'!L:M,2,0)</f>
        <v>179</v>
      </c>
      <c r="L1214" s="51" t="str">
        <f>VLOOKUP(I1214,'Validacion reclamo de equipaje'!H:I,2,0)</f>
        <v>Nacional</v>
      </c>
      <c r="M1214" s="51" t="s">
        <v>522</v>
      </c>
    </row>
    <row r="1215" spans="1:13" x14ac:dyDescent="0.25">
      <c r="A1215">
        <v>428</v>
      </c>
      <c r="B1215" s="47" t="str">
        <f>VLOOKUP(Tabla6[[#This Row],['# Vuelo]],'Validacion reclamo de equipaje'!P:Q,2,0)</f>
        <v>BARATA Y MORADA</v>
      </c>
      <c r="C1215" s="52">
        <v>0.66875000000000007</v>
      </c>
      <c r="D1215" s="52">
        <v>0.67638888888888893</v>
      </c>
      <c r="E1215" s="53">
        <f>'Reclamo de equipaje rediseñado'!$D1215-'Reclamo de equipaje rediseñado'!$C1215</f>
        <v>7.6388888888888618E-3</v>
      </c>
      <c r="F1215" s="52">
        <v>0.69374999999999998</v>
      </c>
      <c r="G1215" s="53">
        <f t="shared" si="18"/>
        <v>1.7361111111111049E-2</v>
      </c>
      <c r="H1215" s="54">
        <v>41726</v>
      </c>
      <c r="I1215" s="55" t="s">
        <v>549</v>
      </c>
      <c r="J1215" s="55">
        <v>320</v>
      </c>
      <c r="K1215" s="55">
        <f>VLOOKUP(J1215,'Validacion reclamo de equipaje'!L:M,2,0)</f>
        <v>179</v>
      </c>
      <c r="L1215" s="55" t="str">
        <f>VLOOKUP(I1215,'Validacion reclamo de equipaje'!H:I,2,0)</f>
        <v>Nacional</v>
      </c>
      <c r="M1215" s="55" t="s">
        <v>522</v>
      </c>
    </row>
    <row r="1216" spans="1:13" x14ac:dyDescent="0.25">
      <c r="A1216">
        <v>428</v>
      </c>
      <c r="B1216" s="47" t="str">
        <f>VLOOKUP(Tabla6[[#This Row],['# Vuelo]],'Validacion reclamo de equipaje'!P:Q,2,0)</f>
        <v>BARATA Y MORADA</v>
      </c>
      <c r="C1216" s="48">
        <v>0.6743055555555556</v>
      </c>
      <c r="D1216" s="48">
        <v>0.67708333333333337</v>
      </c>
      <c r="E1216" s="49">
        <f>'Reclamo de equipaje rediseñado'!$D1216-'Reclamo de equipaje rediseñado'!$C1216</f>
        <v>2.7777777777777679E-3</v>
      </c>
      <c r="F1216" s="48">
        <v>0.67986111111111114</v>
      </c>
      <c r="G1216" s="49">
        <f t="shared" si="18"/>
        <v>2.7777777777777679E-3</v>
      </c>
      <c r="H1216" s="50">
        <v>41729</v>
      </c>
      <c r="I1216" s="51" t="s">
        <v>549</v>
      </c>
      <c r="J1216" s="51">
        <v>320</v>
      </c>
      <c r="K1216" s="51">
        <f>VLOOKUP(J1216,'Validacion reclamo de equipaje'!L:M,2,0)</f>
        <v>179</v>
      </c>
      <c r="L1216" s="51" t="str">
        <f>VLOOKUP(I1216,'Validacion reclamo de equipaje'!H:I,2,0)</f>
        <v>Nacional</v>
      </c>
      <c r="M1216" s="51" t="s">
        <v>522</v>
      </c>
    </row>
    <row r="1217" spans="1:13" x14ac:dyDescent="0.25">
      <c r="A1217">
        <v>426</v>
      </c>
      <c r="B1217" s="47" t="str">
        <f>VLOOKUP(Tabla6[[#This Row],['# Vuelo]],'Validacion reclamo de equipaje'!P:Q,2,0)</f>
        <v>BARATA Y MORADA</v>
      </c>
      <c r="C1217" s="52">
        <v>0.56944444444444442</v>
      </c>
      <c r="D1217" s="52">
        <v>0.57638888888888895</v>
      </c>
      <c r="E1217" s="53">
        <f>'Reclamo de equipaje rediseñado'!$D1217-'Reclamo de equipaje rediseñado'!$C1217</f>
        <v>6.9444444444445308E-3</v>
      </c>
      <c r="F1217" s="52">
        <v>0.58750000000000002</v>
      </c>
      <c r="G1217" s="53">
        <f t="shared" si="18"/>
        <v>1.1111111111111072E-2</v>
      </c>
      <c r="H1217" s="54">
        <v>41715</v>
      </c>
      <c r="I1217" s="55" t="s">
        <v>549</v>
      </c>
      <c r="J1217" s="55">
        <v>320</v>
      </c>
      <c r="K1217" s="55">
        <f>VLOOKUP(J1217,'Validacion reclamo de equipaje'!L:M,2,0)</f>
        <v>179</v>
      </c>
      <c r="L1217" s="55" t="str">
        <f>VLOOKUP(I1217,'Validacion reclamo de equipaje'!H:I,2,0)</f>
        <v>Nacional</v>
      </c>
      <c r="M1217" s="55" t="s">
        <v>522</v>
      </c>
    </row>
    <row r="1218" spans="1:13" x14ac:dyDescent="0.25">
      <c r="A1218">
        <v>426</v>
      </c>
      <c r="B1218" s="47" t="str">
        <f>VLOOKUP(Tabla6[[#This Row],['# Vuelo]],'Validacion reclamo de equipaje'!P:Q,2,0)</f>
        <v>BARATA Y MORADA</v>
      </c>
      <c r="C1218" s="48">
        <v>0.56805555555555554</v>
      </c>
      <c r="D1218" s="48">
        <v>0.57430555555555551</v>
      </c>
      <c r="E1218" s="49">
        <f>'Reclamo de equipaje rediseñado'!$D1218-'Reclamo de equipaje rediseñado'!$C1218</f>
        <v>6.2499999999999778E-3</v>
      </c>
      <c r="F1218" s="48">
        <v>0.58472222222222225</v>
      </c>
      <c r="G1218" s="49">
        <f t="shared" si="18"/>
        <v>1.0416666666666741E-2</v>
      </c>
      <c r="H1218" s="50">
        <v>41716</v>
      </c>
      <c r="I1218" s="51" t="s">
        <v>549</v>
      </c>
      <c r="J1218" s="51">
        <v>320</v>
      </c>
      <c r="K1218" s="51">
        <f>VLOOKUP(J1218,'Validacion reclamo de equipaje'!L:M,2,0)</f>
        <v>179</v>
      </c>
      <c r="L1218" s="51" t="str">
        <f>VLOOKUP(I1218,'Validacion reclamo de equipaje'!H:I,2,0)</f>
        <v>Nacional</v>
      </c>
      <c r="M1218" s="51" t="s">
        <v>522</v>
      </c>
    </row>
    <row r="1219" spans="1:13" x14ac:dyDescent="0.25">
      <c r="A1219">
        <v>426</v>
      </c>
      <c r="B1219" s="47" t="str">
        <f>VLOOKUP(Tabla6[[#This Row],['# Vuelo]],'Validacion reclamo de equipaje'!P:Q,2,0)</f>
        <v>BARATA Y MORADA</v>
      </c>
      <c r="C1219" s="52">
        <v>0.57013888888888886</v>
      </c>
      <c r="D1219" s="52">
        <v>0.57916666666666672</v>
      </c>
      <c r="E1219" s="53">
        <f>'Reclamo de equipaje rediseñado'!$D1219-'Reclamo de equipaje rediseñado'!$C1219</f>
        <v>9.0277777777778567E-3</v>
      </c>
      <c r="F1219" s="52">
        <v>0.58888888888888891</v>
      </c>
      <c r="G1219" s="53">
        <f t="shared" ref="G1219:G1282" si="19">F1219-D1219</f>
        <v>9.7222222222221877E-3</v>
      </c>
      <c r="H1219" s="54">
        <v>41716</v>
      </c>
      <c r="I1219" s="55" t="s">
        <v>549</v>
      </c>
      <c r="J1219" s="55">
        <v>320</v>
      </c>
      <c r="K1219" s="55">
        <f>VLOOKUP(J1219,'Validacion reclamo de equipaje'!L:M,2,0)</f>
        <v>179</v>
      </c>
      <c r="L1219" s="55" t="str">
        <f>VLOOKUP(I1219,'Validacion reclamo de equipaje'!H:I,2,0)</f>
        <v>Nacional</v>
      </c>
      <c r="M1219" s="55" t="s">
        <v>522</v>
      </c>
    </row>
    <row r="1220" spans="1:13" x14ac:dyDescent="0.25">
      <c r="A1220">
        <v>426</v>
      </c>
      <c r="B1220" s="47" t="str">
        <f>VLOOKUP(Tabla6[[#This Row],['# Vuelo]],'Validacion reclamo de equipaje'!P:Q,2,0)</f>
        <v>BARATA Y MORADA</v>
      </c>
      <c r="C1220" s="48">
        <v>0.56805555555555554</v>
      </c>
      <c r="D1220" s="48">
        <v>0.57430555555555551</v>
      </c>
      <c r="E1220" s="49">
        <f>'Reclamo de equipaje rediseñado'!$D1220-'Reclamo de equipaje rediseñado'!$C1220</f>
        <v>6.2499999999999778E-3</v>
      </c>
      <c r="F1220" s="48">
        <v>0.59027777777777779</v>
      </c>
      <c r="G1220" s="49">
        <f t="shared" si="19"/>
        <v>1.5972222222222276E-2</v>
      </c>
      <c r="H1220" s="50">
        <v>41717</v>
      </c>
      <c r="I1220" s="51" t="s">
        <v>549</v>
      </c>
      <c r="J1220" s="51">
        <v>320</v>
      </c>
      <c r="K1220" s="51">
        <f>VLOOKUP(J1220,'Validacion reclamo de equipaje'!L:M,2,0)</f>
        <v>179</v>
      </c>
      <c r="L1220" s="51" t="str">
        <f>VLOOKUP(I1220,'Validacion reclamo de equipaje'!H:I,2,0)</f>
        <v>Nacional</v>
      </c>
      <c r="M1220" s="51" t="s">
        <v>522</v>
      </c>
    </row>
    <row r="1221" spans="1:13" x14ac:dyDescent="0.25">
      <c r="A1221">
        <v>426</v>
      </c>
      <c r="B1221" s="47" t="str">
        <f>VLOOKUP(Tabla6[[#This Row],['# Vuelo]],'Validacion reclamo de equipaje'!P:Q,2,0)</f>
        <v>BARATA Y MORADA</v>
      </c>
      <c r="C1221" s="52">
        <v>0.56597222222222221</v>
      </c>
      <c r="D1221" s="52">
        <v>0.57916666666666672</v>
      </c>
      <c r="E1221" s="53">
        <f>'Reclamo de equipaje rediseñado'!$D1221-'Reclamo de equipaje rediseñado'!$C1221</f>
        <v>1.3194444444444509E-2</v>
      </c>
      <c r="F1221" s="52">
        <v>0.58958333333333335</v>
      </c>
      <c r="G1221" s="53">
        <f t="shared" si="19"/>
        <v>1.041666666666663E-2</v>
      </c>
      <c r="H1221" s="54">
        <v>41718</v>
      </c>
      <c r="I1221" s="55" t="s">
        <v>549</v>
      </c>
      <c r="J1221" s="55">
        <v>320</v>
      </c>
      <c r="K1221" s="55">
        <f>VLOOKUP(J1221,'Validacion reclamo de equipaje'!L:M,2,0)</f>
        <v>179</v>
      </c>
      <c r="L1221" s="55" t="str">
        <f>VLOOKUP(I1221,'Validacion reclamo de equipaje'!H:I,2,0)</f>
        <v>Nacional</v>
      </c>
      <c r="M1221" s="55" t="s">
        <v>522</v>
      </c>
    </row>
    <row r="1222" spans="1:13" x14ac:dyDescent="0.25">
      <c r="A1222">
        <v>426</v>
      </c>
      <c r="B1222" s="47" t="str">
        <f>VLOOKUP(Tabla6[[#This Row],['# Vuelo]],'Validacion reclamo de equipaje'!P:Q,2,0)</f>
        <v>BARATA Y MORADA</v>
      </c>
      <c r="C1222" s="48">
        <v>0.59027777777777779</v>
      </c>
      <c r="D1222" s="48">
        <v>0.59513888888888888</v>
      </c>
      <c r="E1222" s="49">
        <f>'Reclamo de equipaje rediseñado'!$D1222-'Reclamo de equipaje rediseñado'!$C1222</f>
        <v>4.8611111111110938E-3</v>
      </c>
      <c r="F1222" s="48">
        <v>0.60902777777777783</v>
      </c>
      <c r="G1222" s="49">
        <f t="shared" si="19"/>
        <v>1.3888888888888951E-2</v>
      </c>
      <c r="H1222" s="50">
        <v>41720</v>
      </c>
      <c r="I1222" s="51" t="s">
        <v>549</v>
      </c>
      <c r="J1222" s="51">
        <v>320</v>
      </c>
      <c r="K1222" s="51">
        <f>VLOOKUP(J1222,'Validacion reclamo de equipaje'!L:M,2,0)</f>
        <v>179</v>
      </c>
      <c r="L1222" s="51" t="str">
        <f>VLOOKUP(I1222,'Validacion reclamo de equipaje'!H:I,2,0)</f>
        <v>Nacional</v>
      </c>
      <c r="M1222" s="51" t="s">
        <v>522</v>
      </c>
    </row>
    <row r="1223" spans="1:13" x14ac:dyDescent="0.25">
      <c r="A1223">
        <v>426</v>
      </c>
      <c r="B1223" s="47" t="str">
        <f>VLOOKUP(Tabla6[[#This Row],['# Vuelo]],'Validacion reclamo de equipaje'!P:Q,2,0)</f>
        <v>BARATA Y MORADA</v>
      </c>
      <c r="C1223" s="52">
        <v>0.57638888888888895</v>
      </c>
      <c r="D1223" s="52">
        <v>0.57986111111111105</v>
      </c>
      <c r="E1223" s="53">
        <f>'Reclamo de equipaje rediseñado'!$D1223-'Reclamo de equipaje rediseñado'!$C1223</f>
        <v>3.4722222222220989E-3</v>
      </c>
      <c r="F1223" s="52">
        <v>0.58958333333333335</v>
      </c>
      <c r="G1223" s="53">
        <f t="shared" si="19"/>
        <v>9.7222222222222987E-3</v>
      </c>
      <c r="H1223" s="54">
        <v>41722</v>
      </c>
      <c r="I1223" s="55" t="s">
        <v>549</v>
      </c>
      <c r="J1223" s="55">
        <v>320</v>
      </c>
      <c r="K1223" s="55">
        <f>VLOOKUP(J1223,'Validacion reclamo de equipaje'!L:M,2,0)</f>
        <v>179</v>
      </c>
      <c r="L1223" s="55" t="str">
        <f>VLOOKUP(I1223,'Validacion reclamo de equipaje'!H:I,2,0)</f>
        <v>Nacional</v>
      </c>
      <c r="M1223" s="55" t="s">
        <v>522</v>
      </c>
    </row>
    <row r="1224" spans="1:13" x14ac:dyDescent="0.25">
      <c r="A1224">
        <v>426</v>
      </c>
      <c r="B1224" s="47" t="str">
        <f>VLOOKUP(Tabla6[[#This Row],['# Vuelo]],'Validacion reclamo de equipaje'!P:Q,2,0)</f>
        <v>BARATA Y MORADA</v>
      </c>
      <c r="C1224" s="48">
        <v>0.56527777777777777</v>
      </c>
      <c r="D1224" s="48">
        <v>0.5708333333333333</v>
      </c>
      <c r="E1224" s="49">
        <f>'Reclamo de equipaje rediseñado'!$D1224-'Reclamo de equipaje rediseñado'!$C1224</f>
        <v>5.5555555555555358E-3</v>
      </c>
      <c r="F1224" s="48">
        <v>0.5805555555555556</v>
      </c>
      <c r="G1224" s="49">
        <f t="shared" si="19"/>
        <v>9.7222222222222987E-3</v>
      </c>
      <c r="H1224" s="50">
        <v>41725</v>
      </c>
      <c r="I1224" s="51" t="s">
        <v>549</v>
      </c>
      <c r="J1224" s="51">
        <v>320</v>
      </c>
      <c r="K1224" s="51">
        <f>VLOOKUP(J1224,'Validacion reclamo de equipaje'!L:M,2,0)</f>
        <v>179</v>
      </c>
      <c r="L1224" s="51" t="str">
        <f>VLOOKUP(I1224,'Validacion reclamo de equipaje'!H:I,2,0)</f>
        <v>Nacional</v>
      </c>
      <c r="M1224" s="51" t="s">
        <v>522</v>
      </c>
    </row>
    <row r="1225" spans="1:13" x14ac:dyDescent="0.25">
      <c r="A1225">
        <v>426</v>
      </c>
      <c r="B1225" s="47" t="str">
        <f>VLOOKUP(Tabla6[[#This Row],['# Vuelo]],'Validacion reclamo de equipaje'!P:Q,2,0)</f>
        <v>BARATA Y MORADA</v>
      </c>
      <c r="C1225" s="52">
        <v>0.5708333333333333</v>
      </c>
      <c r="D1225" s="52">
        <v>0.5854166666666667</v>
      </c>
      <c r="E1225" s="53">
        <f>'Reclamo de equipaje rediseñado'!$D1225-'Reclamo de equipaje rediseñado'!$C1225</f>
        <v>1.4583333333333393E-2</v>
      </c>
      <c r="F1225" s="52">
        <v>0.59097222222222223</v>
      </c>
      <c r="G1225" s="53">
        <f t="shared" si="19"/>
        <v>5.5555555555555358E-3</v>
      </c>
      <c r="H1225" s="54">
        <v>41725</v>
      </c>
      <c r="I1225" s="55" t="s">
        <v>549</v>
      </c>
      <c r="J1225" s="55">
        <v>320</v>
      </c>
      <c r="K1225" s="55">
        <f>VLOOKUP(J1225,'Validacion reclamo de equipaje'!L:M,2,0)</f>
        <v>179</v>
      </c>
      <c r="L1225" s="55" t="str">
        <f>VLOOKUP(I1225,'Validacion reclamo de equipaje'!H:I,2,0)</f>
        <v>Nacional</v>
      </c>
      <c r="M1225" s="55" t="s">
        <v>522</v>
      </c>
    </row>
    <row r="1226" spans="1:13" x14ac:dyDescent="0.25">
      <c r="A1226">
        <v>426</v>
      </c>
      <c r="B1226" s="47" t="str">
        <f>VLOOKUP(Tabla6[[#This Row],['# Vuelo]],'Validacion reclamo de equipaje'!P:Q,2,0)</f>
        <v>BARATA Y MORADA</v>
      </c>
      <c r="C1226" s="48">
        <v>0.57291666666666663</v>
      </c>
      <c r="D1226" s="48">
        <v>0.58194444444444449</v>
      </c>
      <c r="E1226" s="49">
        <f>'Reclamo de equipaje rediseñado'!$D1226-'Reclamo de equipaje rediseñado'!$C1226</f>
        <v>9.0277777777778567E-3</v>
      </c>
      <c r="F1226" s="48">
        <v>0.6</v>
      </c>
      <c r="G1226" s="49">
        <f t="shared" si="19"/>
        <v>1.8055555555555491E-2</v>
      </c>
      <c r="H1226" s="50">
        <v>41727</v>
      </c>
      <c r="I1226" s="51" t="s">
        <v>549</v>
      </c>
      <c r="J1226" s="51">
        <v>320</v>
      </c>
      <c r="K1226" s="51">
        <f>VLOOKUP(J1226,'Validacion reclamo de equipaje'!L:M,2,0)</f>
        <v>179</v>
      </c>
      <c r="L1226" s="51" t="str">
        <f>VLOOKUP(I1226,'Validacion reclamo de equipaje'!H:I,2,0)</f>
        <v>Nacional</v>
      </c>
      <c r="M1226" s="51" t="s">
        <v>522</v>
      </c>
    </row>
    <row r="1227" spans="1:13" x14ac:dyDescent="0.25">
      <c r="A1227">
        <v>426</v>
      </c>
      <c r="B1227" s="47" t="str">
        <f>VLOOKUP(Tabla6[[#This Row],['# Vuelo]],'Validacion reclamo de equipaje'!P:Q,2,0)</f>
        <v>BARATA Y MORADA</v>
      </c>
      <c r="C1227" s="52">
        <v>0.54166666666666663</v>
      </c>
      <c r="D1227" s="52">
        <v>0.57222222222222219</v>
      </c>
      <c r="E1227" s="53">
        <f>'Reclamo de equipaje rediseñado'!$D1227-'Reclamo de equipaje rediseñado'!$C1227</f>
        <v>3.0555555555555558E-2</v>
      </c>
      <c r="F1227" s="52">
        <v>0.5805555555555556</v>
      </c>
      <c r="G1227" s="53">
        <f t="shared" si="19"/>
        <v>8.3333333333334147E-3</v>
      </c>
      <c r="H1227" s="54">
        <v>41729</v>
      </c>
      <c r="I1227" s="55" t="s">
        <v>549</v>
      </c>
      <c r="J1227" s="55">
        <v>320</v>
      </c>
      <c r="K1227" s="55">
        <f>VLOOKUP(J1227,'Validacion reclamo de equipaje'!L:M,2,0)</f>
        <v>179</v>
      </c>
      <c r="L1227" s="55" t="str">
        <f>VLOOKUP(I1227,'Validacion reclamo de equipaje'!H:I,2,0)</f>
        <v>Nacional</v>
      </c>
      <c r="M1227" s="55" t="s">
        <v>522</v>
      </c>
    </row>
    <row r="1228" spans="1:13" x14ac:dyDescent="0.25">
      <c r="A1228">
        <v>424</v>
      </c>
      <c r="B1228" s="47" t="str">
        <f>VLOOKUP(Tabla6[[#This Row],['# Vuelo]],'Validacion reclamo de equipaje'!P:Q,2,0)</f>
        <v>BARATA Y MORADA</v>
      </c>
      <c r="C1228" s="48">
        <v>0.51388888888888895</v>
      </c>
      <c r="D1228" s="48">
        <v>0.5180555555555556</v>
      </c>
      <c r="E1228" s="49">
        <f>'Reclamo de equipaje rediseñado'!$D1228-'Reclamo de equipaje rediseñado'!$C1228</f>
        <v>4.1666666666666519E-3</v>
      </c>
      <c r="F1228" s="48">
        <v>0.54027777777777775</v>
      </c>
      <c r="G1228" s="49">
        <f t="shared" si="19"/>
        <v>2.2222222222222143E-2</v>
      </c>
      <c r="H1228" s="50">
        <v>41714</v>
      </c>
      <c r="I1228" s="51" t="s">
        <v>549</v>
      </c>
      <c r="J1228" s="51">
        <v>320</v>
      </c>
      <c r="K1228" s="51">
        <f>VLOOKUP(J1228,'Validacion reclamo de equipaje'!L:M,2,0)</f>
        <v>179</v>
      </c>
      <c r="L1228" s="51" t="str">
        <f>VLOOKUP(I1228,'Validacion reclamo de equipaje'!H:I,2,0)</f>
        <v>Nacional</v>
      </c>
      <c r="M1228" s="51" t="s">
        <v>522</v>
      </c>
    </row>
    <row r="1229" spans="1:13" x14ac:dyDescent="0.25">
      <c r="A1229">
        <v>424</v>
      </c>
      <c r="B1229" s="47" t="str">
        <f>VLOOKUP(Tabla6[[#This Row],['# Vuelo]],'Validacion reclamo de equipaje'!P:Q,2,0)</f>
        <v>BARATA Y MORADA</v>
      </c>
      <c r="C1229" s="52">
        <v>0.52361111111111114</v>
      </c>
      <c r="D1229" s="52">
        <v>0.53125</v>
      </c>
      <c r="E1229" s="53">
        <f>'Reclamo de equipaje rediseñado'!$D1229-'Reclamo de equipaje rediseñado'!$C1229</f>
        <v>7.6388888888888618E-3</v>
      </c>
      <c r="F1229" s="52">
        <v>0.54236111111111118</v>
      </c>
      <c r="G1229" s="53">
        <f t="shared" si="19"/>
        <v>1.1111111111111183E-2</v>
      </c>
      <c r="H1229" s="54">
        <v>41715</v>
      </c>
      <c r="I1229" s="55" t="s">
        <v>549</v>
      </c>
      <c r="J1229" s="55">
        <v>320</v>
      </c>
      <c r="K1229" s="55">
        <f>VLOOKUP(J1229,'Validacion reclamo de equipaje'!L:M,2,0)</f>
        <v>179</v>
      </c>
      <c r="L1229" s="55" t="str">
        <f>VLOOKUP(I1229,'Validacion reclamo de equipaje'!H:I,2,0)</f>
        <v>Nacional</v>
      </c>
      <c r="M1229" s="55" t="s">
        <v>522</v>
      </c>
    </row>
    <row r="1230" spans="1:13" x14ac:dyDescent="0.25">
      <c r="A1230">
        <v>424</v>
      </c>
      <c r="B1230" s="47" t="str">
        <f>VLOOKUP(Tabla6[[#This Row],['# Vuelo]],'Validacion reclamo de equipaje'!P:Q,2,0)</f>
        <v>BARATA Y MORADA</v>
      </c>
      <c r="C1230" s="48">
        <v>0.52013888888888882</v>
      </c>
      <c r="D1230" s="48">
        <v>0.52986111111111112</v>
      </c>
      <c r="E1230" s="49">
        <f>'Reclamo de equipaje rediseñado'!$D1230-'Reclamo de equipaje rediseñado'!$C1230</f>
        <v>9.7222222222222987E-3</v>
      </c>
      <c r="F1230" s="48">
        <v>0.54027777777777775</v>
      </c>
      <c r="G1230" s="49">
        <f t="shared" si="19"/>
        <v>1.041666666666663E-2</v>
      </c>
      <c r="H1230" s="50">
        <v>41716</v>
      </c>
      <c r="I1230" s="51" t="s">
        <v>549</v>
      </c>
      <c r="J1230" s="51">
        <v>320</v>
      </c>
      <c r="K1230" s="51">
        <f>VLOOKUP(J1230,'Validacion reclamo de equipaje'!L:M,2,0)</f>
        <v>179</v>
      </c>
      <c r="L1230" s="51" t="str">
        <f>VLOOKUP(I1230,'Validacion reclamo de equipaje'!H:I,2,0)</f>
        <v>Nacional</v>
      </c>
      <c r="M1230" s="51" t="s">
        <v>522</v>
      </c>
    </row>
    <row r="1231" spans="1:13" x14ac:dyDescent="0.25">
      <c r="A1231">
        <v>424</v>
      </c>
      <c r="B1231" s="47" t="str">
        <f>VLOOKUP(Tabla6[[#This Row],['# Vuelo]],'Validacion reclamo de equipaje'!P:Q,2,0)</f>
        <v>BARATA Y MORADA</v>
      </c>
      <c r="C1231" s="52">
        <v>0.52361111111111114</v>
      </c>
      <c r="D1231" s="52">
        <v>0.52986111111111112</v>
      </c>
      <c r="E1231" s="53">
        <f>'Reclamo de equipaje rediseñado'!$D1231-'Reclamo de equipaje rediseñado'!$C1231</f>
        <v>6.2499999999999778E-3</v>
      </c>
      <c r="F1231" s="52">
        <v>0.54166666666666663</v>
      </c>
      <c r="G1231" s="53">
        <f t="shared" si="19"/>
        <v>1.1805555555555514E-2</v>
      </c>
      <c r="H1231" s="54">
        <v>41717</v>
      </c>
      <c r="I1231" s="55" t="s">
        <v>549</v>
      </c>
      <c r="J1231" s="55">
        <v>320</v>
      </c>
      <c r="K1231" s="55">
        <f>VLOOKUP(J1231,'Validacion reclamo de equipaje'!L:M,2,0)</f>
        <v>179</v>
      </c>
      <c r="L1231" s="55" t="str">
        <f>VLOOKUP(I1231,'Validacion reclamo de equipaje'!H:I,2,0)</f>
        <v>Nacional</v>
      </c>
      <c r="M1231" s="55" t="s">
        <v>522</v>
      </c>
    </row>
    <row r="1232" spans="1:13" x14ac:dyDescent="0.25">
      <c r="A1232">
        <v>424</v>
      </c>
      <c r="B1232" s="47" t="str">
        <f>VLOOKUP(Tabla6[[#This Row],['# Vuelo]],'Validacion reclamo de equipaje'!P:Q,2,0)</f>
        <v>BARATA Y MORADA</v>
      </c>
      <c r="C1232" s="48">
        <v>0.52777777777777779</v>
      </c>
      <c r="D1232" s="48">
        <v>0.53611111111111109</v>
      </c>
      <c r="E1232" s="49">
        <f>'Reclamo de equipaje rediseñado'!$D1232-'Reclamo de equipaje rediseñado'!$C1232</f>
        <v>8.3333333333333037E-3</v>
      </c>
      <c r="F1232" s="48">
        <v>0.5444444444444444</v>
      </c>
      <c r="G1232" s="49">
        <f t="shared" si="19"/>
        <v>8.3333333333333037E-3</v>
      </c>
      <c r="H1232" s="50">
        <v>41718</v>
      </c>
      <c r="I1232" s="51" t="s">
        <v>549</v>
      </c>
      <c r="J1232" s="51">
        <v>320</v>
      </c>
      <c r="K1232" s="51">
        <f>VLOOKUP(J1232,'Validacion reclamo de equipaje'!L:M,2,0)</f>
        <v>179</v>
      </c>
      <c r="L1232" s="51" t="str">
        <f>VLOOKUP(I1232,'Validacion reclamo de equipaje'!H:I,2,0)</f>
        <v>Nacional</v>
      </c>
      <c r="M1232" s="51" t="s">
        <v>522</v>
      </c>
    </row>
    <row r="1233" spans="1:15" x14ac:dyDescent="0.25">
      <c r="A1233">
        <v>424</v>
      </c>
      <c r="B1233" s="47" t="str">
        <f>VLOOKUP(Tabla6[[#This Row],['# Vuelo]],'Validacion reclamo de equipaje'!P:Q,2,0)</f>
        <v>BARATA Y MORADA</v>
      </c>
      <c r="C1233" s="52">
        <v>0.51388888888888895</v>
      </c>
      <c r="D1233" s="52">
        <v>0.52361111111111114</v>
      </c>
      <c r="E1233" s="53">
        <f>'Reclamo de equipaje rediseñado'!$D1233-'Reclamo de equipaje rediseñado'!$C1233</f>
        <v>9.7222222222221877E-3</v>
      </c>
      <c r="F1233" s="52">
        <v>0.54166666666666663</v>
      </c>
      <c r="G1233" s="53">
        <f t="shared" si="19"/>
        <v>1.8055555555555491E-2</v>
      </c>
      <c r="H1233" s="54">
        <v>41720</v>
      </c>
      <c r="I1233" s="55" t="s">
        <v>549</v>
      </c>
      <c r="J1233" s="55">
        <v>320</v>
      </c>
      <c r="K1233" s="55">
        <f>VLOOKUP(J1233,'Validacion reclamo de equipaje'!L:M,2,0)</f>
        <v>179</v>
      </c>
      <c r="L1233" s="55" t="str">
        <f>VLOOKUP(I1233,'Validacion reclamo de equipaje'!H:I,2,0)</f>
        <v>Nacional</v>
      </c>
      <c r="M1233" s="55" t="s">
        <v>522</v>
      </c>
    </row>
    <row r="1234" spans="1:15" x14ac:dyDescent="0.25">
      <c r="A1234">
        <v>424</v>
      </c>
      <c r="B1234" s="47" t="str">
        <f>VLOOKUP(Tabla6[[#This Row],['# Vuelo]],'Validacion reclamo de equipaje'!P:Q,2,0)</f>
        <v>BARATA Y MORADA</v>
      </c>
      <c r="C1234" s="48">
        <v>0.51180555555555551</v>
      </c>
      <c r="D1234" s="48">
        <v>0.51944444444444449</v>
      </c>
      <c r="E1234" s="49">
        <f>'Reclamo de equipaje rediseñado'!$D1234-'Reclamo de equipaje rediseñado'!$C1234</f>
        <v>7.6388888888889728E-3</v>
      </c>
      <c r="F1234" s="48">
        <v>0.52638888888888891</v>
      </c>
      <c r="G1234" s="49">
        <f t="shared" si="19"/>
        <v>6.9444444444444198E-3</v>
      </c>
      <c r="H1234" s="50">
        <v>41721</v>
      </c>
      <c r="I1234" s="51" t="s">
        <v>549</v>
      </c>
      <c r="J1234" s="51">
        <v>320</v>
      </c>
      <c r="K1234" s="51">
        <f>VLOOKUP(J1234,'Validacion reclamo de equipaje'!L:M,2,0)</f>
        <v>179</v>
      </c>
      <c r="L1234" s="51" t="str">
        <f>VLOOKUP(I1234,'Validacion reclamo de equipaje'!H:I,2,0)</f>
        <v>Nacional</v>
      </c>
      <c r="M1234" s="51" t="s">
        <v>522</v>
      </c>
    </row>
    <row r="1235" spans="1:15" x14ac:dyDescent="0.25">
      <c r="A1235">
        <v>424</v>
      </c>
      <c r="B1235" s="47" t="str">
        <f>VLOOKUP(Tabla6[[#This Row],['# Vuelo]],'Validacion reclamo de equipaje'!P:Q,2,0)</f>
        <v>BARATA Y MORADA</v>
      </c>
      <c r="C1235" s="52">
        <v>0.51180555555555551</v>
      </c>
      <c r="D1235" s="52">
        <v>0.51944444444444449</v>
      </c>
      <c r="E1235" s="53">
        <f>'Reclamo de equipaje rediseñado'!$D1235-'Reclamo de equipaje rediseñado'!$C1235</f>
        <v>7.6388888888889728E-3</v>
      </c>
      <c r="F1235" s="52">
        <v>0.52638888888888891</v>
      </c>
      <c r="G1235" s="53">
        <f t="shared" si="19"/>
        <v>6.9444444444444198E-3</v>
      </c>
      <c r="H1235" s="54">
        <v>41721</v>
      </c>
      <c r="I1235" s="55" t="s">
        <v>549</v>
      </c>
      <c r="J1235" s="55">
        <v>320</v>
      </c>
      <c r="K1235" s="55">
        <f>VLOOKUP(J1235,'Validacion reclamo de equipaje'!L:M,2,0)</f>
        <v>179</v>
      </c>
      <c r="L1235" s="55" t="str">
        <f>VLOOKUP(I1235,'Validacion reclamo de equipaje'!H:I,2,0)</f>
        <v>Nacional</v>
      </c>
      <c r="M1235" s="55" t="s">
        <v>522</v>
      </c>
    </row>
    <row r="1236" spans="1:15" x14ac:dyDescent="0.25">
      <c r="A1236">
        <v>424</v>
      </c>
      <c r="B1236" s="47" t="str">
        <f>VLOOKUP(Tabla6[[#This Row],['# Vuelo]],'Validacion reclamo de equipaje'!P:Q,2,0)</f>
        <v>BARATA Y MORADA</v>
      </c>
      <c r="C1236" s="48">
        <v>0.51666666666666672</v>
      </c>
      <c r="D1236" s="48">
        <v>0.52152777777777781</v>
      </c>
      <c r="E1236" s="49">
        <f>'Reclamo de equipaje rediseñado'!$D1236-'Reclamo de equipaje rediseñado'!$C1236</f>
        <v>4.8611111111110938E-3</v>
      </c>
      <c r="F1236" s="48">
        <v>0.53055555555555556</v>
      </c>
      <c r="G1236" s="49">
        <f t="shared" si="19"/>
        <v>9.0277777777777457E-3</v>
      </c>
      <c r="H1236" s="50">
        <v>41722</v>
      </c>
      <c r="I1236" s="51" t="s">
        <v>549</v>
      </c>
      <c r="J1236" s="51">
        <v>320</v>
      </c>
      <c r="K1236" s="51">
        <f>VLOOKUP(J1236,'Validacion reclamo de equipaje'!L:M,2,0)</f>
        <v>179</v>
      </c>
      <c r="L1236" s="51" t="str">
        <f>VLOOKUP(I1236,'Validacion reclamo de equipaje'!H:I,2,0)</f>
        <v>Nacional</v>
      </c>
      <c r="M1236" s="51" t="s">
        <v>522</v>
      </c>
    </row>
    <row r="1237" spans="1:15" x14ac:dyDescent="0.25">
      <c r="A1237">
        <v>424</v>
      </c>
      <c r="B1237" s="47" t="str">
        <f>VLOOKUP(Tabla6[[#This Row],['# Vuelo]],'Validacion reclamo de equipaje'!P:Q,2,0)</f>
        <v>BARATA Y MORADA</v>
      </c>
      <c r="C1237" s="52">
        <v>0.51736111111111105</v>
      </c>
      <c r="D1237" s="52">
        <v>0.5229166666666667</v>
      </c>
      <c r="E1237" s="53">
        <f>'Reclamo de equipaje rediseñado'!$D1237-'Reclamo de equipaje rediseñado'!$C1237</f>
        <v>5.5555555555556468E-3</v>
      </c>
      <c r="F1237" s="52">
        <v>0.53402777777777777</v>
      </c>
      <c r="G1237" s="53">
        <f t="shared" si="19"/>
        <v>1.1111111111111072E-2</v>
      </c>
      <c r="H1237" s="54">
        <v>41725</v>
      </c>
      <c r="I1237" s="55" t="s">
        <v>549</v>
      </c>
      <c r="J1237" s="55">
        <v>320</v>
      </c>
      <c r="K1237" s="55">
        <f>VLOOKUP(J1237,'Validacion reclamo de equipaje'!L:M,2,0)</f>
        <v>179</v>
      </c>
      <c r="L1237" s="55" t="str">
        <f>VLOOKUP(I1237,'Validacion reclamo de equipaje'!H:I,2,0)</f>
        <v>Nacional</v>
      </c>
      <c r="M1237" s="55" t="s">
        <v>522</v>
      </c>
    </row>
    <row r="1238" spans="1:15" x14ac:dyDescent="0.25">
      <c r="A1238">
        <v>424</v>
      </c>
      <c r="B1238" s="47" t="str">
        <f>VLOOKUP(Tabla6[[#This Row],['# Vuelo]],'Validacion reclamo de equipaje'!P:Q,2,0)</f>
        <v>BARATA Y MORADA</v>
      </c>
      <c r="C1238" s="48">
        <v>0.51041666666666663</v>
      </c>
      <c r="D1238" s="48">
        <v>0.51736111111111105</v>
      </c>
      <c r="E1238" s="49">
        <f>'Reclamo de equipaje rediseñado'!$D1238-'Reclamo de equipaje rediseñado'!$C1238</f>
        <v>6.9444444444444198E-3</v>
      </c>
      <c r="F1238" s="48">
        <v>0.52708333333333335</v>
      </c>
      <c r="G1238" s="49">
        <f t="shared" si="19"/>
        <v>9.7222222222222987E-3</v>
      </c>
      <c r="H1238" s="50">
        <v>41725</v>
      </c>
      <c r="I1238" s="51" t="s">
        <v>549</v>
      </c>
      <c r="J1238" s="51">
        <v>320</v>
      </c>
      <c r="K1238" s="51">
        <f>VLOOKUP(J1238,'Validacion reclamo de equipaje'!L:M,2,0)</f>
        <v>179</v>
      </c>
      <c r="L1238" s="51" t="str">
        <f>VLOOKUP(I1238,'Validacion reclamo de equipaje'!H:I,2,0)</f>
        <v>Nacional</v>
      </c>
      <c r="M1238" s="51" t="s">
        <v>522</v>
      </c>
    </row>
    <row r="1239" spans="1:15" x14ac:dyDescent="0.25">
      <c r="A1239">
        <v>424</v>
      </c>
      <c r="B1239" s="47" t="str">
        <f>VLOOKUP(Tabla6[[#This Row],['# Vuelo]],'Validacion reclamo de equipaje'!P:Q,2,0)</f>
        <v>BARATA Y MORADA</v>
      </c>
      <c r="C1239" s="52">
        <v>0.51736111111111105</v>
      </c>
      <c r="D1239" s="52">
        <v>0.5229166666666667</v>
      </c>
      <c r="E1239" s="53">
        <f>'Reclamo de equipaje rediseñado'!$D1239-'Reclamo de equipaje rediseñado'!$C1239</f>
        <v>5.5555555555556468E-3</v>
      </c>
      <c r="F1239" s="52">
        <v>0.53333333333333333</v>
      </c>
      <c r="G1239" s="53">
        <f t="shared" si="19"/>
        <v>1.041666666666663E-2</v>
      </c>
      <c r="H1239" s="54">
        <v>41726</v>
      </c>
      <c r="I1239" s="55" t="s">
        <v>549</v>
      </c>
      <c r="J1239" s="55">
        <v>320</v>
      </c>
      <c r="K1239" s="55">
        <f>VLOOKUP(J1239,'Validacion reclamo de equipaje'!L:M,2,0)</f>
        <v>179</v>
      </c>
      <c r="L1239" s="55" t="str">
        <f>VLOOKUP(I1239,'Validacion reclamo de equipaje'!H:I,2,0)</f>
        <v>Nacional</v>
      </c>
      <c r="M1239" s="55" t="s">
        <v>522</v>
      </c>
    </row>
    <row r="1240" spans="1:15" x14ac:dyDescent="0.25">
      <c r="A1240">
        <v>424</v>
      </c>
      <c r="B1240" s="47" t="str">
        <f>VLOOKUP(Tabla6[[#This Row],['# Vuelo]],'Validacion reclamo de equipaje'!P:Q,2,0)</f>
        <v>BARATA Y MORADA</v>
      </c>
      <c r="C1240" s="48">
        <v>0.50763888888888886</v>
      </c>
      <c r="D1240" s="48">
        <v>0.52083333333333337</v>
      </c>
      <c r="E1240" s="49">
        <f>'Reclamo de equipaje rediseñado'!$D1240-'Reclamo de equipaje rediseñado'!$C1240</f>
        <v>1.3194444444444509E-2</v>
      </c>
      <c r="F1240" s="48">
        <v>0.53541666666666665</v>
      </c>
      <c r="G1240" s="49">
        <f t="shared" si="19"/>
        <v>1.4583333333333282E-2</v>
      </c>
      <c r="H1240" s="50">
        <v>41727</v>
      </c>
      <c r="I1240" s="51" t="s">
        <v>549</v>
      </c>
      <c r="J1240" s="51">
        <v>320</v>
      </c>
      <c r="K1240" s="51">
        <f>VLOOKUP(J1240,'Validacion reclamo de equipaje'!L:M,2,0)</f>
        <v>179</v>
      </c>
      <c r="L1240" s="51" t="str">
        <f>VLOOKUP(I1240,'Validacion reclamo de equipaje'!H:I,2,0)</f>
        <v>Nacional</v>
      </c>
      <c r="M1240" s="51" t="s">
        <v>522</v>
      </c>
    </row>
    <row r="1241" spans="1:15" x14ac:dyDescent="0.25">
      <c r="A1241">
        <v>424</v>
      </c>
      <c r="B1241" s="47" t="str">
        <f>VLOOKUP(Tabla6[[#This Row],['# Vuelo]],'Validacion reclamo de equipaje'!P:Q,2,0)</f>
        <v>BARATA Y MORADA</v>
      </c>
      <c r="C1241" s="52">
        <v>0.51944444444444449</v>
      </c>
      <c r="D1241" s="52">
        <v>0.52430555555555558</v>
      </c>
      <c r="E1241" s="53">
        <f>'Reclamo de equipaje rediseñado'!$D1241-'Reclamo de equipaje rediseñado'!$C1241</f>
        <v>4.8611111111110938E-3</v>
      </c>
      <c r="F1241" s="52">
        <v>0.53611111111111109</v>
      </c>
      <c r="G1241" s="53">
        <f t="shared" si="19"/>
        <v>1.1805555555555514E-2</v>
      </c>
      <c r="H1241" s="54">
        <v>41729</v>
      </c>
      <c r="I1241" s="55" t="s">
        <v>549</v>
      </c>
      <c r="J1241" s="55">
        <v>320</v>
      </c>
      <c r="K1241" s="55">
        <f>VLOOKUP(J1241,'Validacion reclamo de equipaje'!L:M,2,0)</f>
        <v>179</v>
      </c>
      <c r="L1241" s="55" t="str">
        <f>VLOOKUP(I1241,'Validacion reclamo de equipaje'!H:I,2,0)</f>
        <v>Nacional</v>
      </c>
      <c r="M1241" s="55" t="s">
        <v>522</v>
      </c>
    </row>
    <row r="1242" spans="1:15" x14ac:dyDescent="0.25">
      <c r="A1242">
        <v>422</v>
      </c>
      <c r="B1242" s="47" t="str">
        <f>VLOOKUP(Tabla6[[#This Row],['# Vuelo]],'Validacion reclamo de equipaje'!P:Q,2,0)</f>
        <v>BARATA Y MORADA</v>
      </c>
      <c r="C1242" s="48">
        <v>0.27569444444444446</v>
      </c>
      <c r="D1242" s="48">
        <v>0.28611111111111115</v>
      </c>
      <c r="E1242" s="49">
        <f>'Reclamo de equipaje rediseñado'!$D1242-'Reclamo de equipaje rediseñado'!$C1242</f>
        <v>1.0416666666666685E-2</v>
      </c>
      <c r="F1242" s="48">
        <v>0.29583333333333334</v>
      </c>
      <c r="G1242" s="49">
        <f t="shared" si="19"/>
        <v>9.7222222222221877E-3</v>
      </c>
      <c r="H1242" s="50">
        <v>41715</v>
      </c>
      <c r="I1242" s="51" t="s">
        <v>549</v>
      </c>
      <c r="J1242" s="51">
        <v>320</v>
      </c>
      <c r="K1242" s="51">
        <f>VLOOKUP(J1242,'Validacion reclamo de equipaje'!L:M,2,0)</f>
        <v>179</v>
      </c>
      <c r="L1242" s="51" t="str">
        <f>VLOOKUP(I1242,'Validacion reclamo de equipaje'!H:I,2,0)</f>
        <v>Nacional</v>
      </c>
      <c r="M1242" s="51" t="s">
        <v>522</v>
      </c>
    </row>
    <row r="1243" spans="1:15" x14ac:dyDescent="0.25">
      <c r="A1243">
        <v>422</v>
      </c>
      <c r="B1243" s="47" t="str">
        <f>VLOOKUP(Tabla6[[#This Row],['# Vuelo]],'Validacion reclamo de equipaje'!P:Q,2,0)</f>
        <v>BARATA Y MORADA</v>
      </c>
      <c r="C1243" s="52">
        <v>0.27708333333333335</v>
      </c>
      <c r="D1243" s="52">
        <v>0.28125</v>
      </c>
      <c r="E1243" s="53">
        <f>'Reclamo de equipaje rediseñado'!$D1243-'Reclamo de equipaje rediseñado'!$C1243</f>
        <v>4.1666666666666519E-3</v>
      </c>
      <c r="F1243" s="52">
        <v>0.29166666666666669</v>
      </c>
      <c r="G1243" s="53">
        <f t="shared" si="19"/>
        <v>1.0416666666666685E-2</v>
      </c>
      <c r="H1243" s="54">
        <v>41716</v>
      </c>
      <c r="I1243" s="55" t="s">
        <v>549</v>
      </c>
      <c r="J1243" s="55">
        <v>320</v>
      </c>
      <c r="K1243" s="55">
        <f>VLOOKUP(J1243,'Validacion reclamo de equipaje'!L:M,2,0)</f>
        <v>179</v>
      </c>
      <c r="L1243" s="55" t="str">
        <f>VLOOKUP(I1243,'Validacion reclamo de equipaje'!H:I,2,0)</f>
        <v>Nacional</v>
      </c>
      <c r="M1243" s="55" t="s">
        <v>522</v>
      </c>
    </row>
    <row r="1244" spans="1:15" x14ac:dyDescent="0.25">
      <c r="A1244">
        <v>422</v>
      </c>
      <c r="B1244" s="47" t="str">
        <f>VLOOKUP(Tabla6[[#This Row],['# Vuelo]],'Validacion reclamo de equipaje'!P:Q,2,0)</f>
        <v>BARATA Y MORADA</v>
      </c>
      <c r="C1244" s="48">
        <v>0.27638888888888885</v>
      </c>
      <c r="D1244" s="48">
        <v>0.28472222222222221</v>
      </c>
      <c r="E1244" s="49">
        <f>'Reclamo de equipaje rediseñado'!$D1244-'Reclamo de equipaje rediseñado'!$C1244</f>
        <v>8.3333333333333592E-3</v>
      </c>
      <c r="F1244" s="48">
        <v>0.30069444444444443</v>
      </c>
      <c r="G1244" s="49">
        <f t="shared" si="19"/>
        <v>1.5972222222222221E-2</v>
      </c>
      <c r="H1244" s="50">
        <v>41719</v>
      </c>
      <c r="I1244" s="51" t="s">
        <v>549</v>
      </c>
      <c r="J1244" s="51">
        <v>320</v>
      </c>
      <c r="K1244" s="51">
        <f>VLOOKUP(J1244,'Validacion reclamo de equipaje'!L:M,2,0)</f>
        <v>179</v>
      </c>
      <c r="L1244" s="51" t="str">
        <f>VLOOKUP(I1244,'Validacion reclamo de equipaje'!H:I,2,0)</f>
        <v>Nacional</v>
      </c>
      <c r="M1244" s="51" t="s">
        <v>522</v>
      </c>
    </row>
    <row r="1245" spans="1:15" x14ac:dyDescent="0.25">
      <c r="A1245">
        <v>422</v>
      </c>
      <c r="B1245" s="47" t="str">
        <f>VLOOKUP(Tabla6[[#This Row],['# Vuelo]],'Validacion reclamo de equipaje'!P:Q,2,0)</f>
        <v>BARATA Y MORADA</v>
      </c>
      <c r="C1245" s="52">
        <v>0.24513888888888888</v>
      </c>
      <c r="D1245" s="52">
        <v>0.26041666666666669</v>
      </c>
      <c r="E1245" s="53">
        <f>'Reclamo de equipaje rediseñado'!$D1245-'Reclamo de equipaje rediseñado'!$C1245</f>
        <v>1.5277777777777807E-2</v>
      </c>
      <c r="F1245" s="52">
        <v>0.27430555555555552</v>
      </c>
      <c r="G1245" s="53">
        <f t="shared" si="19"/>
        <v>1.388888888888884E-2</v>
      </c>
      <c r="H1245" s="54">
        <v>41722</v>
      </c>
      <c r="I1245" s="55" t="s">
        <v>549</v>
      </c>
      <c r="J1245" s="55">
        <v>320</v>
      </c>
      <c r="K1245" s="55">
        <f>VLOOKUP(J1245,'Validacion reclamo de equipaje'!L:M,2,0)</f>
        <v>179</v>
      </c>
      <c r="L1245" s="55" t="str">
        <f>VLOOKUP(I1245,'Validacion reclamo de equipaje'!H:I,2,0)</f>
        <v>Nacional</v>
      </c>
      <c r="M1245" s="55" t="s">
        <v>522</v>
      </c>
    </row>
    <row r="1246" spans="1:15" x14ac:dyDescent="0.25">
      <c r="A1246">
        <v>422</v>
      </c>
      <c r="B1246" s="47" t="str">
        <f>VLOOKUP(Tabla6[[#This Row],['# Vuelo]],'Validacion reclamo de equipaje'!P:Q,2,0)</f>
        <v>BARATA Y MORADA</v>
      </c>
      <c r="C1246" s="48">
        <v>0.26527777777777778</v>
      </c>
      <c r="D1246" s="48">
        <v>0.27152777777777776</v>
      </c>
      <c r="E1246" s="49">
        <f>'Reclamo de equipaje rediseñado'!$D1246-'Reclamo de equipaje rediseñado'!$C1246</f>
        <v>6.2499999999999778E-3</v>
      </c>
      <c r="F1246" s="48">
        <v>0.28402777777777777</v>
      </c>
      <c r="G1246" s="49">
        <f t="shared" si="19"/>
        <v>1.2500000000000011E-2</v>
      </c>
      <c r="H1246" s="50">
        <v>41723</v>
      </c>
      <c r="I1246" s="51" t="s">
        <v>549</v>
      </c>
      <c r="J1246" s="51">
        <v>320</v>
      </c>
      <c r="K1246" s="51">
        <f>VLOOKUP(J1246,'Validacion reclamo de equipaje'!L:M,2,0)</f>
        <v>179</v>
      </c>
      <c r="L1246" s="51" t="str">
        <f>VLOOKUP(I1246,'Validacion reclamo de equipaje'!H:I,2,0)</f>
        <v>Nacional</v>
      </c>
      <c r="M1246" s="51" t="s">
        <v>522</v>
      </c>
    </row>
    <row r="1247" spans="1:15" x14ac:dyDescent="0.25">
      <c r="A1247">
        <v>422</v>
      </c>
      <c r="B1247" s="47" t="str">
        <f>VLOOKUP(Tabla6[[#This Row],['# Vuelo]],'Validacion reclamo de equipaje'!P:Q,2,0)</f>
        <v>BARATA Y MORADA</v>
      </c>
      <c r="C1247" s="52">
        <v>0.26527777777777778</v>
      </c>
      <c r="D1247" s="52">
        <v>0.27152777777777776</v>
      </c>
      <c r="E1247" s="53">
        <f>'Reclamo de equipaje rediseñado'!$D1247-'Reclamo de equipaje rediseñado'!$C1247</f>
        <v>6.2499999999999778E-3</v>
      </c>
      <c r="F1247" s="52">
        <v>0.28402777777777777</v>
      </c>
      <c r="G1247" s="53">
        <f t="shared" si="19"/>
        <v>1.2500000000000011E-2</v>
      </c>
      <c r="H1247" s="54">
        <v>41723</v>
      </c>
      <c r="I1247" s="55" t="s">
        <v>549</v>
      </c>
      <c r="J1247" s="55">
        <v>320</v>
      </c>
      <c r="K1247" s="55">
        <f>VLOOKUP(J1247,'Validacion reclamo de equipaje'!L:M,2,0)</f>
        <v>179</v>
      </c>
      <c r="L1247" s="55" t="str">
        <f>VLOOKUP(I1247,'Validacion reclamo de equipaje'!H:I,2,0)</f>
        <v>Nacional</v>
      </c>
      <c r="M1247" s="55" t="s">
        <v>522</v>
      </c>
      <c r="O1247" s="27"/>
    </row>
    <row r="1248" spans="1:15" x14ac:dyDescent="0.25">
      <c r="A1248">
        <v>422</v>
      </c>
      <c r="B1248" s="47" t="str">
        <f>VLOOKUP(Tabla6[[#This Row],['# Vuelo]],'Validacion reclamo de equipaje'!P:Q,2,0)</f>
        <v>BARATA Y MORADA</v>
      </c>
      <c r="C1248" s="48">
        <v>0.27013888888888887</v>
      </c>
      <c r="D1248" s="48">
        <v>0.27777777777777779</v>
      </c>
      <c r="E1248" s="49">
        <f>'Reclamo de equipaje rediseñado'!$D1248-'Reclamo de equipaje rediseñado'!$C1248</f>
        <v>7.6388888888889173E-3</v>
      </c>
      <c r="F1248" s="48">
        <v>0.28680555555555554</v>
      </c>
      <c r="G1248" s="49">
        <f t="shared" si="19"/>
        <v>9.0277777777777457E-3</v>
      </c>
      <c r="H1248" s="50">
        <v>41725</v>
      </c>
      <c r="I1248" s="51" t="s">
        <v>549</v>
      </c>
      <c r="J1248" s="51">
        <v>320</v>
      </c>
      <c r="K1248" s="51">
        <f>VLOOKUP(J1248,'Validacion reclamo de equipaje'!L:M,2,0)</f>
        <v>179</v>
      </c>
      <c r="L1248" s="51" t="str">
        <f>VLOOKUP(I1248,'Validacion reclamo de equipaje'!H:I,2,0)</f>
        <v>Nacional</v>
      </c>
      <c r="M1248" s="51" t="s">
        <v>522</v>
      </c>
    </row>
    <row r="1249" spans="1:13" x14ac:dyDescent="0.25">
      <c r="A1249">
        <v>422</v>
      </c>
      <c r="B1249" s="47" t="str">
        <f>VLOOKUP(Tabla6[[#This Row],['# Vuelo]],'Validacion reclamo de equipaje'!P:Q,2,0)</f>
        <v>BARATA Y MORADA</v>
      </c>
      <c r="C1249" s="52">
        <v>0.22569444444444445</v>
      </c>
      <c r="D1249" s="52">
        <v>0.24305555555555555</v>
      </c>
      <c r="E1249" s="53">
        <f>'Reclamo de equipaje rediseñado'!$D1249-'Reclamo de equipaje rediseñado'!$C1249</f>
        <v>1.7361111111111105E-2</v>
      </c>
      <c r="F1249" s="52">
        <v>0.2638888888888889</v>
      </c>
      <c r="G1249" s="53">
        <f t="shared" si="19"/>
        <v>2.0833333333333343E-2</v>
      </c>
      <c r="H1249" s="54">
        <v>41726</v>
      </c>
      <c r="I1249" s="55" t="s">
        <v>549</v>
      </c>
      <c r="J1249" s="55">
        <v>320</v>
      </c>
      <c r="K1249" s="55">
        <f>VLOOKUP(J1249,'Validacion reclamo de equipaje'!L:M,2,0)</f>
        <v>179</v>
      </c>
      <c r="L1249" s="55" t="str">
        <f>VLOOKUP(I1249,'Validacion reclamo de equipaje'!H:I,2,0)</f>
        <v>Nacional</v>
      </c>
      <c r="M1249" s="55" t="s">
        <v>522</v>
      </c>
    </row>
    <row r="1250" spans="1:13" x14ac:dyDescent="0.25">
      <c r="A1250">
        <v>420</v>
      </c>
      <c r="B1250" s="47" t="str">
        <f>VLOOKUP(Tabla6[[#This Row],['# Vuelo]],'Validacion reclamo de equipaje'!P:Q,2,0)</f>
        <v>BARATA Y MORADA</v>
      </c>
      <c r="C1250" s="48">
        <v>0.23263888888888887</v>
      </c>
      <c r="D1250" s="48">
        <v>0.24861111111111112</v>
      </c>
      <c r="E1250" s="49">
        <f>'Reclamo de equipaje rediseñado'!$D1250-'Reclamo de equipaje rediseñado'!$C1250</f>
        <v>1.5972222222222249E-2</v>
      </c>
      <c r="F1250" s="48">
        <v>0.26805555555555555</v>
      </c>
      <c r="G1250" s="49">
        <f t="shared" si="19"/>
        <v>1.9444444444444431E-2</v>
      </c>
      <c r="H1250" s="50">
        <v>41719</v>
      </c>
      <c r="I1250" s="51" t="s">
        <v>549</v>
      </c>
      <c r="J1250" s="51">
        <v>320</v>
      </c>
      <c r="K1250" s="51">
        <f>VLOOKUP(J1250,'Validacion reclamo de equipaje'!L:M,2,0)</f>
        <v>179</v>
      </c>
      <c r="L1250" s="51" t="str">
        <f>VLOOKUP(I1250,'Validacion reclamo de equipaje'!H:I,2,0)</f>
        <v>Nacional</v>
      </c>
      <c r="M1250" s="51" t="s">
        <v>522</v>
      </c>
    </row>
    <row r="1251" spans="1:13" x14ac:dyDescent="0.25">
      <c r="A1251">
        <v>420</v>
      </c>
      <c r="B1251" s="47" t="str">
        <f>VLOOKUP(Tabla6[[#This Row],['# Vuelo]],'Validacion reclamo de equipaje'!P:Q,2,0)</f>
        <v>BARATA Y MORADA</v>
      </c>
      <c r="C1251" s="52">
        <v>0.23958333333333334</v>
      </c>
      <c r="D1251" s="52">
        <v>0.25416666666666665</v>
      </c>
      <c r="E1251" s="53">
        <f>'Reclamo de equipaje rediseñado'!$D1251-'Reclamo de equipaje rediseñado'!$C1251</f>
        <v>1.4583333333333309E-2</v>
      </c>
      <c r="F1251" s="52">
        <v>0.27361111111111108</v>
      </c>
      <c r="G1251" s="53">
        <f t="shared" si="19"/>
        <v>1.9444444444444431E-2</v>
      </c>
      <c r="H1251" s="54">
        <v>41722</v>
      </c>
      <c r="I1251" s="55" t="s">
        <v>549</v>
      </c>
      <c r="J1251" s="55">
        <v>320</v>
      </c>
      <c r="K1251" s="55">
        <f>VLOOKUP(J1251,'Validacion reclamo de equipaje'!L:M,2,0)</f>
        <v>179</v>
      </c>
      <c r="L1251" s="55" t="str">
        <f>VLOOKUP(I1251,'Validacion reclamo de equipaje'!H:I,2,0)</f>
        <v>Nacional</v>
      </c>
      <c r="M1251" s="55" t="s">
        <v>522</v>
      </c>
    </row>
    <row r="1252" spans="1:13" x14ac:dyDescent="0.25">
      <c r="A1252">
        <v>420</v>
      </c>
      <c r="B1252" s="47" t="str">
        <f>VLOOKUP(Tabla6[[#This Row],['# Vuelo]],'Validacion reclamo de equipaje'!P:Q,2,0)</f>
        <v>BARATA Y MORADA</v>
      </c>
      <c r="C1252" s="48">
        <v>0.75694444444444453</v>
      </c>
      <c r="D1252" s="48">
        <v>0.76180555555555562</v>
      </c>
      <c r="E1252" s="49">
        <f>'Reclamo de equipaje rediseñado'!$D1252-'Reclamo de equipaje rediseñado'!$C1252</f>
        <v>4.8611111111110938E-3</v>
      </c>
      <c r="F1252" s="48">
        <v>0.77222222222222225</v>
      </c>
      <c r="G1252" s="49">
        <f t="shared" si="19"/>
        <v>1.041666666666663E-2</v>
      </c>
      <c r="H1252" s="50">
        <v>41722</v>
      </c>
      <c r="I1252" s="51" t="s">
        <v>549</v>
      </c>
      <c r="J1252" s="51">
        <v>320</v>
      </c>
      <c r="K1252" s="51">
        <f>VLOOKUP(J1252,'Validacion reclamo de equipaje'!L:M,2,0)</f>
        <v>179</v>
      </c>
      <c r="L1252" s="51" t="str">
        <f>VLOOKUP(I1252,'Validacion reclamo de equipaje'!H:I,2,0)</f>
        <v>Nacional</v>
      </c>
      <c r="M1252" s="51" t="s">
        <v>522</v>
      </c>
    </row>
    <row r="1253" spans="1:13" x14ac:dyDescent="0.25">
      <c r="A1253">
        <v>420</v>
      </c>
      <c r="B1253" s="47" t="str">
        <f>VLOOKUP(Tabla6[[#This Row],['# Vuelo]],'Validacion reclamo de equipaje'!P:Q,2,0)</f>
        <v>BARATA Y MORADA</v>
      </c>
      <c r="C1253" s="52">
        <v>0.22569444444444445</v>
      </c>
      <c r="D1253" s="52">
        <v>0.23750000000000002</v>
      </c>
      <c r="E1253" s="53">
        <f>'Reclamo de equipaje rediseñado'!$D1253-'Reclamo de equipaje rediseñado'!$C1253</f>
        <v>1.1805555555555569E-2</v>
      </c>
      <c r="F1253" s="52">
        <v>0.25277777777777777</v>
      </c>
      <c r="G1253" s="53">
        <f t="shared" si="19"/>
        <v>1.5277777777777751E-2</v>
      </c>
      <c r="H1253" s="54">
        <v>41725</v>
      </c>
      <c r="I1253" s="55" t="s">
        <v>549</v>
      </c>
      <c r="J1253" s="55">
        <v>320</v>
      </c>
      <c r="K1253" s="55">
        <f>VLOOKUP(J1253,'Validacion reclamo de equipaje'!L:M,2,0)</f>
        <v>179</v>
      </c>
      <c r="L1253" s="55" t="str">
        <f>VLOOKUP(I1253,'Validacion reclamo de equipaje'!H:I,2,0)</f>
        <v>Nacional</v>
      </c>
      <c r="M1253" s="55" t="s">
        <v>522</v>
      </c>
    </row>
    <row r="1254" spans="1:13" x14ac:dyDescent="0.25">
      <c r="A1254">
        <v>419</v>
      </c>
      <c r="B1254" s="47" t="str">
        <f>VLOOKUP(Tabla6[[#This Row],['# Vuelo]],'Validacion reclamo de equipaje'!P:Q,2,0)</f>
        <v>BARATA Y MORADA</v>
      </c>
      <c r="C1254" s="48">
        <v>0.21666666666666667</v>
      </c>
      <c r="D1254" s="48">
        <v>0.22361111111111109</v>
      </c>
      <c r="E1254" s="49">
        <f>'Reclamo de equipaje rediseñado'!$D1254-'Reclamo de equipaje rediseñado'!$C1254</f>
        <v>6.9444444444444198E-3</v>
      </c>
      <c r="F1254" s="48">
        <v>0.22916666666666666</v>
      </c>
      <c r="G1254" s="49">
        <f t="shared" si="19"/>
        <v>5.5555555555555636E-3</v>
      </c>
      <c r="H1254" s="50">
        <v>41722</v>
      </c>
      <c r="I1254" s="51" t="s">
        <v>549</v>
      </c>
      <c r="J1254" s="51">
        <v>320</v>
      </c>
      <c r="K1254" s="51">
        <f>VLOOKUP(J1254,'Validacion reclamo de equipaje'!L:M,2,0)</f>
        <v>179</v>
      </c>
      <c r="L1254" s="51" t="str">
        <f>VLOOKUP(I1254,'Validacion reclamo de equipaje'!H:I,2,0)</f>
        <v>Nacional</v>
      </c>
      <c r="M1254" s="51" t="s">
        <v>522</v>
      </c>
    </row>
    <row r="1255" spans="1:13" x14ac:dyDescent="0.25">
      <c r="A1255">
        <v>417</v>
      </c>
      <c r="B1255" s="47" t="str">
        <f>VLOOKUP(Tabla6[[#This Row],['# Vuelo]],'Validacion reclamo de equipaje'!P:Q,2,0)</f>
        <v>INTERAVIÓN</v>
      </c>
      <c r="C1255" s="52">
        <v>0.24166666666666667</v>
      </c>
      <c r="D1255" s="52">
        <v>0.24861111111111112</v>
      </c>
      <c r="E1255" s="53">
        <f>'Reclamo de equipaje rediseñado'!$D1255-'Reclamo de equipaje rediseñado'!$C1255</f>
        <v>6.9444444444444475E-3</v>
      </c>
      <c r="F1255" s="52">
        <v>0.25</v>
      </c>
      <c r="G1255" s="53">
        <f t="shared" si="19"/>
        <v>1.388888888888884E-3</v>
      </c>
      <c r="H1255" s="54">
        <v>41716</v>
      </c>
      <c r="I1255" s="55" t="s">
        <v>549</v>
      </c>
      <c r="J1255" s="55">
        <v>320</v>
      </c>
      <c r="K1255" s="55">
        <f>VLOOKUP(J1255,'Validacion reclamo de equipaje'!L:M,2,0)</f>
        <v>179</v>
      </c>
      <c r="L1255" s="55" t="str">
        <f>VLOOKUP(I1255,'Validacion reclamo de equipaje'!H:I,2,0)</f>
        <v>Nacional</v>
      </c>
      <c r="M1255" s="55" t="s">
        <v>522</v>
      </c>
    </row>
    <row r="1256" spans="1:13" x14ac:dyDescent="0.25">
      <c r="A1256">
        <v>221</v>
      </c>
      <c r="B1256" s="47" t="str">
        <f>VLOOKUP(Tabla6[[#This Row],['# Vuelo]],'Validacion reclamo de equipaje'!P:Q,2,0)</f>
        <v>INTERAVIÓN</v>
      </c>
      <c r="C1256" s="48">
        <v>0.49791666666666662</v>
      </c>
      <c r="D1256" s="48">
        <v>0.51111111111111118</v>
      </c>
      <c r="E1256" s="49">
        <f>'Reclamo de equipaje rediseñado'!$D1256-'Reclamo de equipaje rediseñado'!$C1256</f>
        <v>1.3194444444444564E-2</v>
      </c>
      <c r="F1256" s="48">
        <v>0.52430555555555558</v>
      </c>
      <c r="G1256" s="49">
        <f t="shared" si="19"/>
        <v>1.3194444444444398E-2</v>
      </c>
      <c r="H1256" s="50">
        <v>41718</v>
      </c>
      <c r="I1256" s="51" t="s">
        <v>555</v>
      </c>
      <c r="J1256" s="51">
        <v>320</v>
      </c>
      <c r="K1256" s="51">
        <f>VLOOKUP(J1256,'Validacion reclamo de equipaje'!L:M,2,0)</f>
        <v>179</v>
      </c>
      <c r="L1256" s="51" t="str">
        <f>VLOOKUP(I1256,'Validacion reclamo de equipaje'!H:I,2,0)</f>
        <v>Internacional</v>
      </c>
      <c r="M1256" s="51" t="s">
        <v>523</v>
      </c>
    </row>
    <row r="1257" spans="1:13" x14ac:dyDescent="0.25">
      <c r="A1257">
        <v>3275</v>
      </c>
      <c r="B1257" s="47" t="str">
        <f>VLOOKUP(Tabla6[[#This Row],['# Vuelo]],'Validacion reclamo de equipaje'!P:Q,2,0)</f>
        <v>AEROLINEAS DE AMERICA</v>
      </c>
      <c r="C1257" s="52">
        <v>0.4465277777777778</v>
      </c>
      <c r="D1257" s="52">
        <v>0.45902777777777781</v>
      </c>
      <c r="E1257" s="53">
        <f>'Reclamo de equipaje rediseñado'!$D1257-'Reclamo de equipaje rediseñado'!$C1257</f>
        <v>1.2500000000000011E-2</v>
      </c>
      <c r="F1257" s="52">
        <v>0.46111111111111108</v>
      </c>
      <c r="G1257" s="53">
        <f t="shared" si="19"/>
        <v>2.0833333333332704E-3</v>
      </c>
      <c r="H1257" s="54">
        <v>41733</v>
      </c>
      <c r="I1257" s="55" t="s">
        <v>538</v>
      </c>
      <c r="J1257" s="55" t="s">
        <v>535</v>
      </c>
      <c r="K1257" s="55">
        <f>VLOOKUP(J1257,'Validacion reclamo de equipaje'!L:M,2,0)</f>
        <v>50</v>
      </c>
      <c r="L1257" s="55" t="str">
        <f>VLOOKUP(I1257,'Validacion reclamo de equipaje'!H:I,2,0)</f>
        <v>Internacional</v>
      </c>
      <c r="M1257" s="55" t="s">
        <v>523</v>
      </c>
    </row>
    <row r="1258" spans="1:13" x14ac:dyDescent="0.25">
      <c r="A1258">
        <v>3275</v>
      </c>
      <c r="B1258" s="47" t="str">
        <f>VLOOKUP(Tabla6[[#This Row],['# Vuelo]],'Validacion reclamo de equipaje'!P:Q,2,0)</f>
        <v>AEROLINEAS DE AMERICA</v>
      </c>
      <c r="C1258" s="48">
        <v>0.49583333333333335</v>
      </c>
      <c r="D1258" s="48">
        <v>0.5083333333333333</v>
      </c>
      <c r="E1258" s="49">
        <f>'Reclamo de equipaje rediseñado'!$D1258-'Reclamo de equipaje rediseñado'!$C1258</f>
        <v>1.2499999999999956E-2</v>
      </c>
      <c r="F1258" s="48">
        <v>0.51458333333333328</v>
      </c>
      <c r="G1258" s="49">
        <f t="shared" si="19"/>
        <v>6.2499999999999778E-3</v>
      </c>
      <c r="H1258" s="50">
        <v>41753</v>
      </c>
      <c r="I1258" s="51" t="s">
        <v>538</v>
      </c>
      <c r="J1258" s="51" t="s">
        <v>535</v>
      </c>
      <c r="K1258" s="51">
        <f>VLOOKUP(J1258,'Validacion reclamo de equipaje'!L:M,2,0)</f>
        <v>50</v>
      </c>
      <c r="L1258" s="51" t="str">
        <f>VLOOKUP(I1258,'Validacion reclamo de equipaje'!H:I,2,0)</f>
        <v>Internacional</v>
      </c>
      <c r="M1258" s="51" t="s">
        <v>523</v>
      </c>
    </row>
    <row r="1259" spans="1:13" x14ac:dyDescent="0.25">
      <c r="A1259">
        <v>3275</v>
      </c>
      <c r="B1259" s="47" t="str">
        <f>VLOOKUP(Tabla6[[#This Row],['# Vuelo]],'Validacion reclamo de equipaje'!P:Q,2,0)</f>
        <v>AEROLINEAS DE AMERICA</v>
      </c>
      <c r="C1259" s="52">
        <v>0.49027777777777781</v>
      </c>
      <c r="D1259" s="52">
        <v>0.5</v>
      </c>
      <c r="E1259" s="53">
        <f>'Reclamo de equipaje rediseñado'!$D1259-'Reclamo de equipaje rediseñado'!$C1259</f>
        <v>9.7222222222221877E-3</v>
      </c>
      <c r="F1259" s="52">
        <v>0.51041666666666663</v>
      </c>
      <c r="G1259" s="53">
        <f t="shared" si="19"/>
        <v>1.041666666666663E-2</v>
      </c>
      <c r="H1259" s="54">
        <v>41758</v>
      </c>
      <c r="I1259" s="55" t="s">
        <v>538</v>
      </c>
      <c r="J1259" s="55" t="s">
        <v>535</v>
      </c>
      <c r="K1259" s="55">
        <f>VLOOKUP(J1259,'Validacion reclamo de equipaje'!L:M,2,0)</f>
        <v>50</v>
      </c>
      <c r="L1259" s="55" t="str">
        <f>VLOOKUP(I1259,'Validacion reclamo de equipaje'!H:I,2,0)</f>
        <v>Internacional</v>
      </c>
      <c r="M1259" s="55" t="s">
        <v>523</v>
      </c>
    </row>
    <row r="1260" spans="1:13" x14ac:dyDescent="0.25">
      <c r="A1260">
        <v>2625</v>
      </c>
      <c r="B1260" s="47" t="str">
        <f>VLOOKUP(Tabla6[[#This Row],['# Vuelo]],'Validacion reclamo de equipaje'!P:Q,2,0)</f>
        <v>MEXICO AEREO</v>
      </c>
      <c r="C1260" s="48">
        <v>0.83819444444444446</v>
      </c>
      <c r="D1260" s="48">
        <v>0.84375</v>
      </c>
      <c r="E1260" s="49">
        <f>'Reclamo de equipaje rediseñado'!$D1260-'Reclamo de equipaje rediseñado'!$C1260</f>
        <v>5.5555555555555358E-3</v>
      </c>
      <c r="F1260" s="48">
        <v>0.87152777777777779</v>
      </c>
      <c r="G1260" s="49">
        <f t="shared" si="19"/>
        <v>2.777777777777779E-2</v>
      </c>
      <c r="H1260" s="50">
        <v>41730</v>
      </c>
      <c r="I1260" s="51" t="s">
        <v>541</v>
      </c>
      <c r="J1260" s="51" t="s">
        <v>535</v>
      </c>
      <c r="K1260" s="51">
        <f>VLOOKUP(J1260,'Validacion reclamo de equipaje'!L:M,2,0)</f>
        <v>50</v>
      </c>
      <c r="L1260" s="51" t="str">
        <f>VLOOKUP(I1260,'Validacion reclamo de equipaje'!H:I,2,0)</f>
        <v>Nacional</v>
      </c>
      <c r="M1260" s="51" t="s">
        <v>523</v>
      </c>
    </row>
    <row r="1261" spans="1:13" x14ac:dyDescent="0.25">
      <c r="A1261">
        <v>2625</v>
      </c>
      <c r="B1261" s="47" t="str">
        <f>VLOOKUP(Tabla6[[#This Row],['# Vuelo]],'Validacion reclamo de equipaje'!P:Q,2,0)</f>
        <v>MEXICO AEREO</v>
      </c>
      <c r="C1261" s="52">
        <v>0.82916666666666661</v>
      </c>
      <c r="D1261" s="52">
        <v>0.8354166666666667</v>
      </c>
      <c r="E1261" s="53">
        <f>'Reclamo de equipaje rediseñado'!$D1261-'Reclamo de equipaje rediseñado'!$C1261</f>
        <v>6.2500000000000888E-3</v>
      </c>
      <c r="F1261" s="52">
        <v>0.83680555555555547</v>
      </c>
      <c r="G1261" s="53">
        <f t="shared" si="19"/>
        <v>1.3888888888887729E-3</v>
      </c>
      <c r="H1261" s="54">
        <v>41732</v>
      </c>
      <c r="I1261" s="55" t="s">
        <v>541</v>
      </c>
      <c r="J1261" s="55" t="s">
        <v>535</v>
      </c>
      <c r="K1261" s="55">
        <f>VLOOKUP(J1261,'Validacion reclamo de equipaje'!L:M,2,0)</f>
        <v>50</v>
      </c>
      <c r="L1261" s="55" t="str">
        <f>VLOOKUP(I1261,'Validacion reclamo de equipaje'!H:I,2,0)</f>
        <v>Nacional</v>
      </c>
      <c r="M1261" s="55" t="s">
        <v>523</v>
      </c>
    </row>
    <row r="1262" spans="1:13" x14ac:dyDescent="0.25">
      <c r="A1262">
        <v>2625</v>
      </c>
      <c r="B1262" s="47" t="str">
        <f>VLOOKUP(Tabla6[[#This Row],['# Vuelo]],'Validacion reclamo de equipaje'!P:Q,2,0)</f>
        <v>MEXICO AEREO</v>
      </c>
      <c r="C1262" s="48">
        <v>0.95486111111111116</v>
      </c>
      <c r="D1262" s="48">
        <v>0.9590277777777777</v>
      </c>
      <c r="E1262" s="49">
        <f>'Reclamo de equipaje rediseñado'!$D1262-'Reclamo de equipaje rediseñado'!$C1262</f>
        <v>4.1666666666665408E-3</v>
      </c>
      <c r="F1262" s="48">
        <v>0.96458333333333324</v>
      </c>
      <c r="G1262" s="49">
        <f t="shared" si="19"/>
        <v>5.5555555555555358E-3</v>
      </c>
      <c r="H1262" s="50">
        <v>41736</v>
      </c>
      <c r="I1262" s="51" t="s">
        <v>541</v>
      </c>
      <c r="J1262" s="51" t="s">
        <v>535</v>
      </c>
      <c r="K1262" s="51">
        <f>VLOOKUP(J1262,'Validacion reclamo de equipaje'!L:M,2,0)</f>
        <v>50</v>
      </c>
      <c r="L1262" s="51" t="str">
        <f>VLOOKUP(I1262,'Validacion reclamo de equipaje'!H:I,2,0)</f>
        <v>Nacional</v>
      </c>
      <c r="M1262" s="51" t="s">
        <v>523</v>
      </c>
    </row>
    <row r="1263" spans="1:13" x14ac:dyDescent="0.25">
      <c r="A1263">
        <v>2625</v>
      </c>
      <c r="B1263" s="47" t="str">
        <f>VLOOKUP(Tabla6[[#This Row],['# Vuelo]],'Validacion reclamo de equipaje'!P:Q,2,0)</f>
        <v>MEXICO AEREO</v>
      </c>
      <c r="C1263" s="52">
        <v>0.96875</v>
      </c>
      <c r="D1263" s="52">
        <v>0.97361111111111109</v>
      </c>
      <c r="E1263" s="53">
        <f>'Reclamo de equipaje rediseñado'!$D1263-'Reclamo de equipaje rediseñado'!$C1263</f>
        <v>4.8611111111110938E-3</v>
      </c>
      <c r="F1263" s="52">
        <v>0.97569444444444453</v>
      </c>
      <c r="G1263" s="53">
        <f t="shared" si="19"/>
        <v>2.083333333333437E-3</v>
      </c>
      <c r="H1263" s="54">
        <v>41736</v>
      </c>
      <c r="I1263" s="55" t="s">
        <v>541</v>
      </c>
      <c r="J1263" s="55" t="s">
        <v>535</v>
      </c>
      <c r="K1263" s="55">
        <f>VLOOKUP(J1263,'Validacion reclamo de equipaje'!L:M,2,0)</f>
        <v>50</v>
      </c>
      <c r="L1263" s="55" t="str">
        <f>VLOOKUP(I1263,'Validacion reclamo de equipaje'!H:I,2,0)</f>
        <v>Nacional</v>
      </c>
      <c r="M1263" s="55" t="s">
        <v>523</v>
      </c>
    </row>
    <row r="1264" spans="1:13" x14ac:dyDescent="0.25">
      <c r="A1264">
        <v>2625</v>
      </c>
      <c r="B1264" s="47" t="str">
        <f>VLOOKUP(Tabla6[[#This Row],['# Vuelo]],'Validacion reclamo de equipaje'!P:Q,2,0)</f>
        <v>MEXICO AEREO</v>
      </c>
      <c r="C1264" s="48">
        <v>0.99652777777777779</v>
      </c>
      <c r="D1264" s="48">
        <v>1.0041666666666667</v>
      </c>
      <c r="E1264" s="49">
        <f>'Reclamo de equipaje rediseñado'!$D1264-'Reclamo de equipaje rediseñado'!$C1264</f>
        <v>7.6388888888888618E-3</v>
      </c>
      <c r="F1264" s="48">
        <v>1.0263888888888888</v>
      </c>
      <c r="G1264" s="49">
        <f t="shared" si="19"/>
        <v>2.2222222222222143E-2</v>
      </c>
      <c r="H1264" s="50">
        <v>41738</v>
      </c>
      <c r="I1264" s="51" t="s">
        <v>541</v>
      </c>
      <c r="J1264" s="51" t="s">
        <v>535</v>
      </c>
      <c r="K1264" s="51">
        <f>VLOOKUP(J1264,'Validacion reclamo de equipaje'!L:M,2,0)</f>
        <v>50</v>
      </c>
      <c r="L1264" s="51" t="str">
        <f>VLOOKUP(I1264,'Validacion reclamo de equipaje'!H:I,2,0)</f>
        <v>Nacional</v>
      </c>
      <c r="M1264" s="51" t="s">
        <v>523</v>
      </c>
    </row>
    <row r="1265" spans="1:13" x14ac:dyDescent="0.25">
      <c r="A1265">
        <v>2625</v>
      </c>
      <c r="B1265" s="47" t="str">
        <f>VLOOKUP(Tabla6[[#This Row],['# Vuelo]],'Validacion reclamo de equipaje'!P:Q,2,0)</f>
        <v>MEXICO AEREO</v>
      </c>
      <c r="C1265" s="52">
        <v>0.96944444444444444</v>
      </c>
      <c r="D1265" s="52">
        <v>0.97222222222222221</v>
      </c>
      <c r="E1265" s="53">
        <f>'Reclamo de equipaje rediseñado'!$D1265-'Reclamo de equipaje rediseñado'!$C1265</f>
        <v>2.7777777777777679E-3</v>
      </c>
      <c r="F1265" s="52">
        <v>0.98472222222222217</v>
      </c>
      <c r="G1265" s="53">
        <f t="shared" si="19"/>
        <v>1.2499999999999956E-2</v>
      </c>
      <c r="H1265" s="54">
        <v>41739</v>
      </c>
      <c r="I1265" s="55" t="s">
        <v>541</v>
      </c>
      <c r="J1265" s="55" t="s">
        <v>535</v>
      </c>
      <c r="K1265" s="55">
        <f>VLOOKUP(J1265,'Validacion reclamo de equipaje'!L:M,2,0)</f>
        <v>50</v>
      </c>
      <c r="L1265" s="55" t="str">
        <f>VLOOKUP(I1265,'Validacion reclamo de equipaje'!H:I,2,0)</f>
        <v>Nacional</v>
      </c>
      <c r="M1265" s="55" t="s">
        <v>523</v>
      </c>
    </row>
    <row r="1266" spans="1:13" x14ac:dyDescent="0.25">
      <c r="A1266">
        <v>2625</v>
      </c>
      <c r="B1266" s="47" t="str">
        <f>VLOOKUP(Tabla6[[#This Row],['# Vuelo]],'Validacion reclamo de equipaje'!P:Q,2,0)</f>
        <v>MEXICO AEREO</v>
      </c>
      <c r="C1266" s="48">
        <v>0.95833333333333337</v>
      </c>
      <c r="D1266" s="48">
        <v>0.96944444444444444</v>
      </c>
      <c r="E1266" s="49">
        <f>'Reclamo de equipaje rediseñado'!$D1266-'Reclamo de equipaje rediseñado'!$C1266</f>
        <v>1.1111111111111072E-2</v>
      </c>
      <c r="F1266" s="48">
        <v>0.97222222222222221</v>
      </c>
      <c r="G1266" s="49">
        <f t="shared" si="19"/>
        <v>2.7777777777777679E-3</v>
      </c>
      <c r="H1266" s="50">
        <v>41740</v>
      </c>
      <c r="I1266" s="51" t="s">
        <v>541</v>
      </c>
      <c r="J1266" s="51" t="s">
        <v>535</v>
      </c>
      <c r="K1266" s="51">
        <f>VLOOKUP(J1266,'Validacion reclamo de equipaje'!L:M,2,0)</f>
        <v>50</v>
      </c>
      <c r="L1266" s="51" t="str">
        <f>VLOOKUP(I1266,'Validacion reclamo de equipaje'!H:I,2,0)</f>
        <v>Nacional</v>
      </c>
      <c r="M1266" s="51" t="s">
        <v>523</v>
      </c>
    </row>
    <row r="1267" spans="1:13" x14ac:dyDescent="0.25">
      <c r="A1267">
        <v>2625</v>
      </c>
      <c r="B1267" s="47" t="str">
        <f>VLOOKUP(Tabla6[[#This Row],['# Vuelo]],'Validacion reclamo de equipaje'!P:Q,2,0)</f>
        <v>MEXICO AEREO</v>
      </c>
      <c r="C1267" s="52">
        <v>0.96388888888888891</v>
      </c>
      <c r="D1267" s="52">
        <v>0.97152777777777777</v>
      </c>
      <c r="E1267" s="53">
        <f>'Reclamo de equipaje rediseñado'!$D1267-'Reclamo de equipaje rediseñado'!$C1267</f>
        <v>7.6388888888888618E-3</v>
      </c>
      <c r="F1267" s="52">
        <v>0.97638888888888886</v>
      </c>
      <c r="G1267" s="53">
        <f t="shared" si="19"/>
        <v>4.8611111111110938E-3</v>
      </c>
      <c r="H1267" s="54">
        <v>41743</v>
      </c>
      <c r="I1267" s="55" t="s">
        <v>541</v>
      </c>
      <c r="J1267" s="55" t="s">
        <v>535</v>
      </c>
      <c r="K1267" s="55">
        <f>VLOOKUP(J1267,'Validacion reclamo de equipaje'!L:M,2,0)</f>
        <v>50</v>
      </c>
      <c r="L1267" s="55" t="str">
        <f>VLOOKUP(I1267,'Validacion reclamo de equipaje'!H:I,2,0)</f>
        <v>Nacional</v>
      </c>
      <c r="M1267" s="55" t="s">
        <v>523</v>
      </c>
    </row>
    <row r="1268" spans="1:13" x14ac:dyDescent="0.25">
      <c r="A1268">
        <v>2625</v>
      </c>
      <c r="B1268" s="47" t="str">
        <f>VLOOKUP(Tabla6[[#This Row],['# Vuelo]],'Validacion reclamo de equipaje'!P:Q,2,0)</f>
        <v>MEXICO AEREO</v>
      </c>
      <c r="C1268" s="48">
        <v>1.0055555555555555</v>
      </c>
      <c r="D1268" s="48">
        <v>1.0118055555555556</v>
      </c>
      <c r="E1268" s="49">
        <f>'Reclamo de equipaje rediseñado'!$D1268-'Reclamo de equipaje rediseñado'!$C1268</f>
        <v>6.2500000000000888E-3</v>
      </c>
      <c r="F1268" s="48">
        <v>1.0125</v>
      </c>
      <c r="G1268" s="49">
        <f t="shared" si="19"/>
        <v>6.9444444444433095E-4</v>
      </c>
      <c r="H1268" s="50">
        <v>41745</v>
      </c>
      <c r="I1268" s="51" t="s">
        <v>541</v>
      </c>
      <c r="J1268" s="51" t="s">
        <v>535</v>
      </c>
      <c r="K1268" s="51">
        <f>VLOOKUP(J1268,'Validacion reclamo de equipaje'!L:M,2,0)</f>
        <v>50</v>
      </c>
      <c r="L1268" s="51" t="str">
        <f>VLOOKUP(I1268,'Validacion reclamo de equipaje'!H:I,2,0)</f>
        <v>Nacional</v>
      </c>
      <c r="M1268" s="51" t="s">
        <v>523</v>
      </c>
    </row>
    <row r="1269" spans="1:13" x14ac:dyDescent="0.25">
      <c r="A1269">
        <v>2625</v>
      </c>
      <c r="B1269" s="47" t="str">
        <f>VLOOKUP(Tabla6[[#This Row],['# Vuelo]],'Validacion reclamo de equipaje'!P:Q,2,0)</f>
        <v>MEXICO AEREO</v>
      </c>
      <c r="C1269" s="52">
        <v>0.96666666666666667</v>
      </c>
      <c r="D1269" s="52">
        <v>0.97777777777777775</v>
      </c>
      <c r="E1269" s="53">
        <f>'Reclamo de equipaje rediseñado'!$D1269-'Reclamo de equipaje rediseñado'!$C1269</f>
        <v>1.1111111111111072E-2</v>
      </c>
      <c r="F1269" s="52">
        <v>0.98333333333333339</v>
      </c>
      <c r="G1269" s="53">
        <f t="shared" si="19"/>
        <v>5.5555555555556468E-3</v>
      </c>
      <c r="H1269" s="54">
        <v>41746</v>
      </c>
      <c r="I1269" s="55" t="s">
        <v>541</v>
      </c>
      <c r="J1269" s="55" t="s">
        <v>535</v>
      </c>
      <c r="K1269" s="55">
        <f>VLOOKUP(J1269,'Validacion reclamo de equipaje'!L:M,2,0)</f>
        <v>50</v>
      </c>
      <c r="L1269" s="55" t="str">
        <f>VLOOKUP(I1269,'Validacion reclamo de equipaje'!H:I,2,0)</f>
        <v>Nacional</v>
      </c>
      <c r="M1269" s="55" t="s">
        <v>523</v>
      </c>
    </row>
    <row r="1270" spans="1:13" x14ac:dyDescent="0.25">
      <c r="A1270">
        <v>2625</v>
      </c>
      <c r="B1270" s="47" t="str">
        <f>VLOOKUP(Tabla6[[#This Row],['# Vuelo]],'Validacion reclamo de equipaje'!P:Q,2,0)</f>
        <v>MEXICO AEREO</v>
      </c>
      <c r="C1270" s="48">
        <v>0.95486111111111116</v>
      </c>
      <c r="D1270" s="48">
        <v>0.97083333333333333</v>
      </c>
      <c r="E1270" s="49">
        <f>'Reclamo de equipaje rediseñado'!$D1270-'Reclamo de equipaje rediseñado'!$C1270</f>
        <v>1.5972222222222165E-2</v>
      </c>
      <c r="F1270" s="48">
        <v>0.97222222222222221</v>
      </c>
      <c r="G1270" s="49">
        <f t="shared" si="19"/>
        <v>1.388888888888884E-3</v>
      </c>
      <c r="H1270" s="50">
        <v>41749</v>
      </c>
      <c r="I1270" s="51" t="s">
        <v>541</v>
      </c>
      <c r="J1270" s="51" t="s">
        <v>535</v>
      </c>
      <c r="K1270" s="51">
        <f>VLOOKUP(J1270,'Validacion reclamo de equipaje'!L:M,2,0)</f>
        <v>50</v>
      </c>
      <c r="L1270" s="51" t="str">
        <f>VLOOKUP(I1270,'Validacion reclamo de equipaje'!H:I,2,0)</f>
        <v>Nacional</v>
      </c>
      <c r="M1270" s="51" t="s">
        <v>523</v>
      </c>
    </row>
    <row r="1271" spans="1:13" x14ac:dyDescent="0.25">
      <c r="A1271">
        <v>2625</v>
      </c>
      <c r="B1271" s="47" t="str">
        <f>VLOOKUP(Tabla6[[#This Row],['# Vuelo]],'Validacion reclamo de equipaje'!P:Q,2,0)</f>
        <v>MEXICO AEREO</v>
      </c>
      <c r="C1271" s="52">
        <v>0.95486111111111116</v>
      </c>
      <c r="D1271" s="52">
        <v>0.96250000000000002</v>
      </c>
      <c r="E1271" s="53">
        <f>'Reclamo de equipaje rediseñado'!$D1271-'Reclamo de equipaje rediseñado'!$C1271</f>
        <v>7.6388888888888618E-3</v>
      </c>
      <c r="F1271" s="52">
        <v>0.96388888888888891</v>
      </c>
      <c r="G1271" s="53">
        <f t="shared" si="19"/>
        <v>1.388888888888884E-3</v>
      </c>
      <c r="H1271" s="54">
        <v>41749</v>
      </c>
      <c r="I1271" s="55" t="s">
        <v>541</v>
      </c>
      <c r="J1271" s="55" t="s">
        <v>535</v>
      </c>
      <c r="K1271" s="55">
        <f>VLOOKUP(J1271,'Validacion reclamo de equipaje'!L:M,2,0)</f>
        <v>50</v>
      </c>
      <c r="L1271" s="55" t="str">
        <f>VLOOKUP(I1271,'Validacion reclamo de equipaje'!H:I,2,0)</f>
        <v>Nacional</v>
      </c>
      <c r="M1271" s="55" t="s">
        <v>523</v>
      </c>
    </row>
    <row r="1272" spans="1:13" x14ac:dyDescent="0.25">
      <c r="A1272">
        <v>2625</v>
      </c>
      <c r="B1272" s="47" t="str">
        <f>VLOOKUP(Tabla6[[#This Row],['# Vuelo]],'Validacion reclamo de equipaje'!P:Q,2,0)</f>
        <v>MEXICO AEREO</v>
      </c>
      <c r="C1272" s="48">
        <v>0.9604166666666667</v>
      </c>
      <c r="D1272" s="48">
        <v>0.96944444444444444</v>
      </c>
      <c r="E1272" s="49">
        <f>'Reclamo de equipaje rediseñado'!$D1272-'Reclamo de equipaje rediseñado'!$C1272</f>
        <v>9.0277777777777457E-3</v>
      </c>
      <c r="F1272" s="48">
        <v>0.97083333333333333</v>
      </c>
      <c r="G1272" s="49">
        <f t="shared" si="19"/>
        <v>1.388888888888884E-3</v>
      </c>
      <c r="H1272" s="50">
        <v>41757</v>
      </c>
      <c r="I1272" s="51" t="s">
        <v>541</v>
      </c>
      <c r="J1272" s="51" t="s">
        <v>535</v>
      </c>
      <c r="K1272" s="51">
        <f>VLOOKUP(J1272,'Validacion reclamo de equipaje'!L:M,2,0)</f>
        <v>50</v>
      </c>
      <c r="L1272" s="51" t="str">
        <f>VLOOKUP(I1272,'Validacion reclamo de equipaje'!H:I,2,0)</f>
        <v>Nacional</v>
      </c>
      <c r="M1272" s="51" t="s">
        <v>523</v>
      </c>
    </row>
    <row r="1273" spans="1:13" x14ac:dyDescent="0.25">
      <c r="A1273">
        <v>2625</v>
      </c>
      <c r="B1273" s="47" t="str">
        <f>VLOOKUP(Tabla6[[#This Row],['# Vuelo]],'Validacion reclamo de equipaje'!P:Q,2,0)</f>
        <v>MEXICO AEREO</v>
      </c>
      <c r="C1273" s="52">
        <v>0.96250000000000002</v>
      </c>
      <c r="D1273" s="52">
        <v>0.96666666666666667</v>
      </c>
      <c r="E1273" s="53">
        <f>'Reclamo de equipaje rediseñado'!$D1273-'Reclamo de equipaje rediseñado'!$C1273</f>
        <v>4.1666666666666519E-3</v>
      </c>
      <c r="F1273" s="52">
        <v>0.96875</v>
      </c>
      <c r="G1273" s="53">
        <f t="shared" si="19"/>
        <v>2.0833333333333259E-3</v>
      </c>
      <c r="H1273" s="54">
        <v>41759</v>
      </c>
      <c r="I1273" s="55" t="s">
        <v>541</v>
      </c>
      <c r="J1273" s="55" t="s">
        <v>535</v>
      </c>
      <c r="K1273" s="55">
        <f>VLOOKUP(J1273,'Validacion reclamo de equipaje'!L:M,2,0)</f>
        <v>50</v>
      </c>
      <c r="L1273" s="55" t="str">
        <f>VLOOKUP(I1273,'Validacion reclamo de equipaje'!H:I,2,0)</f>
        <v>Nacional</v>
      </c>
      <c r="M1273" s="55" t="s">
        <v>523</v>
      </c>
    </row>
    <row r="1274" spans="1:13" x14ac:dyDescent="0.25">
      <c r="A1274">
        <v>2625</v>
      </c>
      <c r="B1274" s="47" t="str">
        <f>VLOOKUP(Tabla6[[#This Row],['# Vuelo]],'Validacion reclamo de equipaje'!P:Q,2,0)</f>
        <v>MEXICO AEREO</v>
      </c>
      <c r="C1274" s="48">
        <v>0.9819444444444444</v>
      </c>
      <c r="D1274" s="48">
        <v>0.98819444444444438</v>
      </c>
      <c r="E1274" s="49">
        <f>'Reclamo de equipaje rediseñado'!$D1274-'Reclamo de equipaje rediseñado'!$C1274</f>
        <v>6.2499999999999778E-3</v>
      </c>
      <c r="F1274" s="48">
        <v>0.99305555555555547</v>
      </c>
      <c r="G1274" s="49">
        <f t="shared" si="19"/>
        <v>4.8611111111110938E-3</v>
      </c>
      <c r="H1274" s="50">
        <v>41759</v>
      </c>
      <c r="I1274" s="51" t="s">
        <v>541</v>
      </c>
      <c r="J1274" s="51" t="s">
        <v>535</v>
      </c>
      <c r="K1274" s="51">
        <f>VLOOKUP(J1274,'Validacion reclamo de equipaje'!L:M,2,0)</f>
        <v>50</v>
      </c>
      <c r="L1274" s="51" t="str">
        <f>VLOOKUP(I1274,'Validacion reclamo de equipaje'!H:I,2,0)</f>
        <v>Nacional</v>
      </c>
      <c r="M1274" s="51" t="s">
        <v>523</v>
      </c>
    </row>
    <row r="1275" spans="1:13" x14ac:dyDescent="0.25">
      <c r="A1275">
        <v>2622</v>
      </c>
      <c r="B1275" s="47" t="str">
        <f>VLOOKUP(Tabla6[[#This Row],['# Vuelo]],'Validacion reclamo de equipaje'!P:Q,2,0)</f>
        <v>MEXICO AEREO</v>
      </c>
      <c r="C1275" s="52">
        <v>0.44097222222222227</v>
      </c>
      <c r="D1275" s="52">
        <v>0.44444444444444442</v>
      </c>
      <c r="E1275" s="53">
        <f>'Reclamo de equipaje rediseñado'!$D1275-'Reclamo de equipaje rediseñado'!$C1275</f>
        <v>3.4722222222221544E-3</v>
      </c>
      <c r="F1275" s="52">
        <v>0.4513888888888889</v>
      </c>
      <c r="G1275" s="53">
        <f t="shared" si="19"/>
        <v>6.9444444444444753E-3</v>
      </c>
      <c r="H1275" s="54">
        <v>41730</v>
      </c>
      <c r="I1275" s="55" t="s">
        <v>542</v>
      </c>
      <c r="J1275" s="55" t="s">
        <v>535</v>
      </c>
      <c r="K1275" s="55">
        <f>VLOOKUP(J1275,'Validacion reclamo de equipaje'!L:M,2,0)</f>
        <v>50</v>
      </c>
      <c r="L1275" s="55" t="str">
        <f>VLOOKUP(I1275,'Validacion reclamo de equipaje'!H:I,2,0)</f>
        <v>Nacional</v>
      </c>
      <c r="M1275" s="55" t="s">
        <v>523</v>
      </c>
    </row>
    <row r="1276" spans="1:13" x14ac:dyDescent="0.25">
      <c r="A1276">
        <v>2622</v>
      </c>
      <c r="B1276" s="47" t="str">
        <f>VLOOKUP(Tabla6[[#This Row],['# Vuelo]],'Validacion reclamo de equipaje'!P:Q,2,0)</f>
        <v>MEXICO AEREO</v>
      </c>
      <c r="C1276" s="48">
        <v>0.44236111111111115</v>
      </c>
      <c r="D1276" s="48">
        <v>0.44722222222222219</v>
      </c>
      <c r="E1276" s="49">
        <f>'Reclamo de equipaje rediseñado'!$D1276-'Reclamo de equipaje rediseñado'!$C1276</f>
        <v>4.8611111111110383E-3</v>
      </c>
      <c r="F1276" s="48">
        <v>0.4548611111111111</v>
      </c>
      <c r="G1276" s="49">
        <f t="shared" si="19"/>
        <v>7.6388888888889173E-3</v>
      </c>
      <c r="H1276" s="50">
        <v>41731</v>
      </c>
      <c r="I1276" s="51" t="s">
        <v>542</v>
      </c>
      <c r="J1276" s="51" t="s">
        <v>535</v>
      </c>
      <c r="K1276" s="51">
        <f>VLOOKUP(J1276,'Validacion reclamo de equipaje'!L:M,2,0)</f>
        <v>50</v>
      </c>
      <c r="L1276" s="51" t="str">
        <f>VLOOKUP(I1276,'Validacion reclamo de equipaje'!H:I,2,0)</f>
        <v>Nacional</v>
      </c>
      <c r="M1276" s="51" t="s">
        <v>523</v>
      </c>
    </row>
    <row r="1277" spans="1:13" x14ac:dyDescent="0.25">
      <c r="A1277">
        <v>2622</v>
      </c>
      <c r="B1277" s="47" t="str">
        <f>VLOOKUP(Tabla6[[#This Row],['# Vuelo]],'Validacion reclamo de equipaje'!P:Q,2,0)</f>
        <v>MEXICO AEREO</v>
      </c>
      <c r="C1277" s="52">
        <v>0.44444444444444442</v>
      </c>
      <c r="D1277" s="52">
        <v>0.44722222222222219</v>
      </c>
      <c r="E1277" s="53">
        <f>'Reclamo de equipaje rediseñado'!$D1277-'Reclamo de equipaje rediseñado'!$C1277</f>
        <v>2.7777777777777679E-3</v>
      </c>
      <c r="F1277" s="52">
        <v>0.4548611111111111</v>
      </c>
      <c r="G1277" s="53">
        <f t="shared" si="19"/>
        <v>7.6388888888889173E-3</v>
      </c>
      <c r="H1277" s="54">
        <v>41732</v>
      </c>
      <c r="I1277" s="55" t="s">
        <v>542</v>
      </c>
      <c r="J1277" s="55" t="s">
        <v>535</v>
      </c>
      <c r="K1277" s="55">
        <f>VLOOKUP(J1277,'Validacion reclamo de equipaje'!L:M,2,0)</f>
        <v>50</v>
      </c>
      <c r="L1277" s="55" t="str">
        <f>VLOOKUP(I1277,'Validacion reclamo de equipaje'!H:I,2,0)</f>
        <v>Nacional</v>
      </c>
      <c r="M1277" s="55" t="s">
        <v>523</v>
      </c>
    </row>
    <row r="1278" spans="1:13" x14ac:dyDescent="0.25">
      <c r="A1278">
        <v>2622</v>
      </c>
      <c r="B1278" s="47" t="str">
        <f>VLOOKUP(Tabla6[[#This Row],['# Vuelo]],'Validacion reclamo de equipaje'!P:Q,2,0)</f>
        <v>MEXICO AEREO</v>
      </c>
      <c r="C1278" s="48">
        <v>0.44513888888888892</v>
      </c>
      <c r="D1278" s="48">
        <v>0.4458333333333333</v>
      </c>
      <c r="E1278" s="49">
        <f>'Reclamo de equipaje rediseñado'!$D1278-'Reclamo de equipaje rediseñado'!$C1278</f>
        <v>6.9444444444438647E-4</v>
      </c>
      <c r="F1278" s="48">
        <v>0.45069444444444445</v>
      </c>
      <c r="G1278" s="49">
        <f t="shared" si="19"/>
        <v>4.8611111111111494E-3</v>
      </c>
      <c r="H1278" s="50">
        <v>41733</v>
      </c>
      <c r="I1278" s="51" t="s">
        <v>542</v>
      </c>
      <c r="J1278" s="51" t="s">
        <v>535</v>
      </c>
      <c r="K1278" s="51">
        <f>VLOOKUP(J1278,'Validacion reclamo de equipaje'!L:M,2,0)</f>
        <v>50</v>
      </c>
      <c r="L1278" s="51" t="str">
        <f>VLOOKUP(I1278,'Validacion reclamo de equipaje'!H:I,2,0)</f>
        <v>Nacional</v>
      </c>
      <c r="M1278" s="51" t="s">
        <v>523</v>
      </c>
    </row>
    <row r="1279" spans="1:13" x14ac:dyDescent="0.25">
      <c r="A1279">
        <v>2622</v>
      </c>
      <c r="B1279" s="47" t="str">
        <f>VLOOKUP(Tabla6[[#This Row],['# Vuelo]],'Validacion reclamo de equipaje'!P:Q,2,0)</f>
        <v>MEXICO AEREO</v>
      </c>
      <c r="C1279" s="52">
        <v>0.76250000000000007</v>
      </c>
      <c r="D1279" s="52">
        <v>0.76458333333333339</v>
      </c>
      <c r="E1279" s="53">
        <f>'Reclamo de equipaje rediseñado'!$D1279-'Reclamo de equipaje rediseñado'!$C1279</f>
        <v>2.0833333333333259E-3</v>
      </c>
      <c r="F1279" s="52">
        <v>0.76736111111111116</v>
      </c>
      <c r="G1279" s="53">
        <f t="shared" si="19"/>
        <v>2.7777777777777679E-3</v>
      </c>
      <c r="H1279" s="54">
        <v>41736</v>
      </c>
      <c r="I1279" s="55" t="s">
        <v>542</v>
      </c>
      <c r="J1279" s="55" t="s">
        <v>535</v>
      </c>
      <c r="K1279" s="55">
        <f>VLOOKUP(J1279,'Validacion reclamo de equipaje'!L:M,2,0)</f>
        <v>50</v>
      </c>
      <c r="L1279" s="55" t="str">
        <f>VLOOKUP(I1279,'Validacion reclamo de equipaje'!H:I,2,0)</f>
        <v>Nacional</v>
      </c>
      <c r="M1279" s="55" t="s">
        <v>523</v>
      </c>
    </row>
    <row r="1280" spans="1:13" x14ac:dyDescent="0.25">
      <c r="A1280">
        <v>2622</v>
      </c>
      <c r="B1280" s="47" t="str">
        <f>VLOOKUP(Tabla6[[#This Row],['# Vuelo]],'Validacion reclamo de equipaje'!P:Q,2,0)</f>
        <v>MEXICO AEREO</v>
      </c>
      <c r="C1280" s="48">
        <v>0.75</v>
      </c>
      <c r="D1280" s="48">
        <v>0.76250000000000007</v>
      </c>
      <c r="E1280" s="49">
        <f>'Reclamo de equipaje rediseñado'!$D1280-'Reclamo de equipaje rediseñado'!$C1280</f>
        <v>1.2500000000000067E-2</v>
      </c>
      <c r="F1280" s="48">
        <v>0.77083333333333337</v>
      </c>
      <c r="G1280" s="49">
        <f t="shared" si="19"/>
        <v>8.3333333333333037E-3</v>
      </c>
      <c r="H1280" s="50">
        <v>41737</v>
      </c>
      <c r="I1280" s="51" t="s">
        <v>542</v>
      </c>
      <c r="J1280" s="51" t="s">
        <v>535</v>
      </c>
      <c r="K1280" s="51">
        <f>VLOOKUP(J1280,'Validacion reclamo de equipaje'!L:M,2,0)</f>
        <v>50</v>
      </c>
      <c r="L1280" s="51" t="str">
        <f>VLOOKUP(I1280,'Validacion reclamo de equipaje'!H:I,2,0)</f>
        <v>Nacional</v>
      </c>
      <c r="M1280" s="51" t="s">
        <v>523</v>
      </c>
    </row>
    <row r="1281" spans="1:13" x14ac:dyDescent="0.25">
      <c r="A1281">
        <v>2622</v>
      </c>
      <c r="B1281" s="47" t="str">
        <f>VLOOKUP(Tabla6[[#This Row],['# Vuelo]],'Validacion reclamo de equipaje'!P:Q,2,0)</f>
        <v>MEXICO AEREO</v>
      </c>
      <c r="C1281" s="52">
        <v>0.67499999999999993</v>
      </c>
      <c r="D1281" s="52">
        <v>0.68194444444444446</v>
      </c>
      <c r="E1281" s="53">
        <f>'Reclamo de equipaje rediseñado'!$D1281-'Reclamo de equipaje rediseñado'!$C1281</f>
        <v>6.9444444444445308E-3</v>
      </c>
      <c r="F1281" s="52">
        <v>0.68472222222222223</v>
      </c>
      <c r="G1281" s="53">
        <f t="shared" si="19"/>
        <v>2.7777777777777679E-3</v>
      </c>
      <c r="H1281" s="54">
        <v>41738</v>
      </c>
      <c r="I1281" s="55" t="s">
        <v>542</v>
      </c>
      <c r="J1281" s="55" t="s">
        <v>535</v>
      </c>
      <c r="K1281" s="55">
        <f>VLOOKUP(J1281,'Validacion reclamo de equipaje'!L:M,2,0)</f>
        <v>50</v>
      </c>
      <c r="L1281" s="55" t="str">
        <f>VLOOKUP(I1281,'Validacion reclamo de equipaje'!H:I,2,0)</f>
        <v>Nacional</v>
      </c>
      <c r="M1281" s="55" t="s">
        <v>523</v>
      </c>
    </row>
    <row r="1282" spans="1:13" x14ac:dyDescent="0.25">
      <c r="A1282">
        <v>2622</v>
      </c>
      <c r="B1282" s="47" t="str">
        <f>VLOOKUP(Tabla6[[#This Row],['# Vuelo]],'Validacion reclamo de equipaje'!P:Q,2,0)</f>
        <v>MEXICO AEREO</v>
      </c>
      <c r="C1282" s="48">
        <v>0.44097222222222227</v>
      </c>
      <c r="D1282" s="48">
        <v>0.44444444444444442</v>
      </c>
      <c r="E1282" s="49">
        <f>'Reclamo de equipaje rediseñado'!$D1282-'Reclamo de equipaje rediseñado'!$C1282</f>
        <v>3.4722222222221544E-3</v>
      </c>
      <c r="F1282" s="48">
        <v>0.4513888888888889</v>
      </c>
      <c r="G1282" s="49">
        <f t="shared" si="19"/>
        <v>6.9444444444444753E-3</v>
      </c>
      <c r="H1282" s="50">
        <v>41742</v>
      </c>
      <c r="I1282" s="51" t="s">
        <v>542</v>
      </c>
      <c r="J1282" s="51" t="s">
        <v>535</v>
      </c>
      <c r="K1282" s="51">
        <f>VLOOKUP(J1282,'Validacion reclamo de equipaje'!L:M,2,0)</f>
        <v>50</v>
      </c>
      <c r="L1282" s="51" t="str">
        <f>VLOOKUP(I1282,'Validacion reclamo de equipaje'!H:I,2,0)</f>
        <v>Nacional</v>
      </c>
      <c r="M1282" s="51" t="s">
        <v>523</v>
      </c>
    </row>
    <row r="1283" spans="1:13" x14ac:dyDescent="0.25">
      <c r="A1283">
        <v>2622</v>
      </c>
      <c r="B1283" s="47" t="str">
        <f>VLOOKUP(Tabla6[[#This Row],['# Vuelo]],'Validacion reclamo de equipaje'!P:Q,2,0)</f>
        <v>MEXICO AEREO</v>
      </c>
      <c r="C1283" s="52">
        <v>0.78472222222222221</v>
      </c>
      <c r="D1283" s="52">
        <v>0.7944444444444444</v>
      </c>
      <c r="E1283" s="53">
        <f>'Reclamo de equipaje rediseñado'!$D1283-'Reclamo de equipaje rediseñado'!$C1283</f>
        <v>9.7222222222221877E-3</v>
      </c>
      <c r="F1283" s="52">
        <v>0.79652777777777783</v>
      </c>
      <c r="G1283" s="53">
        <f t="shared" ref="G1283:G1346" si="20">F1283-D1283</f>
        <v>2.083333333333437E-3</v>
      </c>
      <c r="H1283" s="54">
        <v>41745</v>
      </c>
      <c r="I1283" s="55" t="s">
        <v>542</v>
      </c>
      <c r="J1283" s="55" t="s">
        <v>535</v>
      </c>
      <c r="K1283" s="55">
        <f>VLOOKUP(J1283,'Validacion reclamo de equipaje'!L:M,2,0)</f>
        <v>50</v>
      </c>
      <c r="L1283" s="55" t="str">
        <f>VLOOKUP(I1283,'Validacion reclamo de equipaje'!H:I,2,0)</f>
        <v>Nacional</v>
      </c>
      <c r="M1283" s="55" t="s">
        <v>523</v>
      </c>
    </row>
    <row r="1284" spans="1:13" x14ac:dyDescent="0.25">
      <c r="A1284">
        <v>2622</v>
      </c>
      <c r="B1284" s="47" t="str">
        <f>VLOOKUP(Tabla6[[#This Row],['# Vuelo]],'Validacion reclamo de equipaje'!P:Q,2,0)</f>
        <v>MEXICO AEREO</v>
      </c>
      <c r="C1284" s="48">
        <v>0.26666666666666666</v>
      </c>
      <c r="D1284" s="48">
        <v>0.27847222222222223</v>
      </c>
      <c r="E1284" s="49">
        <f>'Reclamo de equipaje rediseñado'!$D1284-'Reclamo de equipaje rediseñado'!$C1284</f>
        <v>1.1805555555555569E-2</v>
      </c>
      <c r="F1284" s="48">
        <v>0.30972222222222223</v>
      </c>
      <c r="G1284" s="49">
        <f t="shared" si="20"/>
        <v>3.125E-2</v>
      </c>
      <c r="H1284" s="50">
        <v>41747</v>
      </c>
      <c r="I1284" s="51" t="s">
        <v>542</v>
      </c>
      <c r="J1284" s="51" t="s">
        <v>535</v>
      </c>
      <c r="K1284" s="51">
        <f>VLOOKUP(J1284,'Validacion reclamo de equipaje'!L:M,2,0)</f>
        <v>50</v>
      </c>
      <c r="L1284" s="51" t="str">
        <f>VLOOKUP(I1284,'Validacion reclamo de equipaje'!H:I,2,0)</f>
        <v>Nacional</v>
      </c>
      <c r="M1284" s="51" t="s">
        <v>523</v>
      </c>
    </row>
    <row r="1285" spans="1:13" x14ac:dyDescent="0.25">
      <c r="A1285">
        <v>2622</v>
      </c>
      <c r="B1285" s="47" t="str">
        <f>VLOOKUP(Tabla6[[#This Row],['# Vuelo]],'Validacion reclamo de equipaje'!P:Q,2,0)</f>
        <v>MEXICO AEREO</v>
      </c>
      <c r="C1285" s="52">
        <v>0.77361111111111114</v>
      </c>
      <c r="D1285" s="52">
        <v>0.77916666666666667</v>
      </c>
      <c r="E1285" s="53">
        <f>'Reclamo de equipaje rediseñado'!$D1285-'Reclamo de equipaje rediseñado'!$C1285</f>
        <v>5.5555555555555358E-3</v>
      </c>
      <c r="F1285" s="52">
        <v>0.78333333333333333</v>
      </c>
      <c r="G1285" s="53">
        <f t="shared" si="20"/>
        <v>4.1666666666666519E-3</v>
      </c>
      <c r="H1285" s="54">
        <v>41748</v>
      </c>
      <c r="I1285" s="55" t="s">
        <v>542</v>
      </c>
      <c r="J1285" s="55" t="s">
        <v>535</v>
      </c>
      <c r="K1285" s="55">
        <f>VLOOKUP(J1285,'Validacion reclamo de equipaje'!L:M,2,0)</f>
        <v>50</v>
      </c>
      <c r="L1285" s="55" t="str">
        <f>VLOOKUP(I1285,'Validacion reclamo de equipaje'!H:I,2,0)</f>
        <v>Nacional</v>
      </c>
      <c r="M1285" s="55" t="s">
        <v>523</v>
      </c>
    </row>
    <row r="1286" spans="1:13" x14ac:dyDescent="0.25">
      <c r="A1286">
        <v>2622</v>
      </c>
      <c r="B1286" s="47" t="str">
        <f>VLOOKUP(Tabla6[[#This Row],['# Vuelo]],'Validacion reclamo de equipaje'!P:Q,2,0)</f>
        <v>MEXICO AEREO</v>
      </c>
      <c r="C1286" s="48">
        <v>0.77083333333333337</v>
      </c>
      <c r="D1286" s="48">
        <v>0.7729166666666667</v>
      </c>
      <c r="E1286" s="49">
        <f>'Reclamo de equipaje rediseñado'!$D1286-'Reclamo de equipaje rediseñado'!$C1286</f>
        <v>2.0833333333333259E-3</v>
      </c>
      <c r="F1286" s="48">
        <v>0.78125</v>
      </c>
      <c r="G1286" s="49">
        <f t="shared" si="20"/>
        <v>8.3333333333333037E-3</v>
      </c>
      <c r="H1286" s="50">
        <v>41749</v>
      </c>
      <c r="I1286" s="51" t="s">
        <v>542</v>
      </c>
      <c r="J1286" s="51" t="s">
        <v>535</v>
      </c>
      <c r="K1286" s="51">
        <f>VLOOKUP(J1286,'Validacion reclamo de equipaje'!L:M,2,0)</f>
        <v>50</v>
      </c>
      <c r="L1286" s="51" t="str">
        <f>VLOOKUP(I1286,'Validacion reclamo de equipaje'!H:I,2,0)</f>
        <v>Nacional</v>
      </c>
      <c r="M1286" s="51" t="s">
        <v>523</v>
      </c>
    </row>
    <row r="1287" spans="1:13" x14ac:dyDescent="0.25">
      <c r="A1287">
        <v>2622</v>
      </c>
      <c r="B1287" s="47" t="str">
        <f>VLOOKUP(Tabla6[[#This Row],['# Vuelo]],'Validacion reclamo de equipaje'!P:Q,2,0)</f>
        <v>MEXICO AEREO</v>
      </c>
      <c r="C1287" s="52">
        <v>0.76388888888888884</v>
      </c>
      <c r="D1287" s="52">
        <v>0.77430555555555547</v>
      </c>
      <c r="E1287" s="53">
        <f>'Reclamo de equipaje rediseñado'!$D1287-'Reclamo de equipaje rediseñado'!$C1287</f>
        <v>1.041666666666663E-2</v>
      </c>
      <c r="F1287" s="52">
        <v>0.78125</v>
      </c>
      <c r="G1287" s="53">
        <f t="shared" si="20"/>
        <v>6.9444444444445308E-3</v>
      </c>
      <c r="H1287" s="54">
        <v>41750</v>
      </c>
      <c r="I1287" s="55" t="s">
        <v>542</v>
      </c>
      <c r="J1287" s="55" t="s">
        <v>535</v>
      </c>
      <c r="K1287" s="55">
        <f>VLOOKUP(J1287,'Validacion reclamo de equipaje'!L:M,2,0)</f>
        <v>50</v>
      </c>
      <c r="L1287" s="55" t="str">
        <f>VLOOKUP(I1287,'Validacion reclamo de equipaje'!H:I,2,0)</f>
        <v>Nacional</v>
      </c>
      <c r="M1287" s="55" t="s">
        <v>523</v>
      </c>
    </row>
    <row r="1288" spans="1:13" x14ac:dyDescent="0.25">
      <c r="A1288">
        <v>2622</v>
      </c>
      <c r="B1288" s="47" t="str">
        <f>VLOOKUP(Tabla6[[#This Row],['# Vuelo]],'Validacion reclamo de equipaje'!P:Q,2,0)</f>
        <v>MEXICO AEREO</v>
      </c>
      <c r="C1288" s="48">
        <v>0.75</v>
      </c>
      <c r="D1288" s="48">
        <v>0.77083333333333337</v>
      </c>
      <c r="E1288" s="49">
        <f>'Reclamo de equipaje rediseñado'!$D1288-'Reclamo de equipaje rediseñado'!$C1288</f>
        <v>2.083333333333337E-2</v>
      </c>
      <c r="F1288" s="48">
        <v>0.77500000000000002</v>
      </c>
      <c r="G1288" s="49">
        <f t="shared" si="20"/>
        <v>4.1666666666666519E-3</v>
      </c>
      <c r="H1288" s="50">
        <v>41751</v>
      </c>
      <c r="I1288" s="51" t="s">
        <v>542</v>
      </c>
      <c r="J1288" s="51" t="s">
        <v>535</v>
      </c>
      <c r="K1288" s="51">
        <f>VLOOKUP(J1288,'Validacion reclamo de equipaje'!L:M,2,0)</f>
        <v>50</v>
      </c>
      <c r="L1288" s="51" t="str">
        <f>VLOOKUP(I1288,'Validacion reclamo de equipaje'!H:I,2,0)</f>
        <v>Nacional</v>
      </c>
      <c r="M1288" s="51" t="s">
        <v>523</v>
      </c>
    </row>
    <row r="1289" spans="1:13" x14ac:dyDescent="0.25">
      <c r="A1289">
        <v>2622</v>
      </c>
      <c r="B1289" s="47" t="str">
        <f>VLOOKUP(Tabla6[[#This Row],['# Vuelo]],'Validacion reclamo de equipaje'!P:Q,2,0)</f>
        <v>MEXICO AEREO</v>
      </c>
      <c r="C1289" s="52">
        <v>0.68055555555555547</v>
      </c>
      <c r="D1289" s="52">
        <v>0.68125000000000002</v>
      </c>
      <c r="E1289" s="53">
        <f>'Reclamo de equipaje rediseñado'!$D1289-'Reclamo de equipaje rediseñado'!$C1289</f>
        <v>6.94444444444553E-4</v>
      </c>
      <c r="F1289" s="52">
        <v>0.69097222222222221</v>
      </c>
      <c r="G1289" s="53">
        <f t="shared" si="20"/>
        <v>9.7222222222221877E-3</v>
      </c>
      <c r="H1289" s="54">
        <v>41753</v>
      </c>
      <c r="I1289" s="55" t="s">
        <v>542</v>
      </c>
      <c r="J1289" s="55" t="s">
        <v>535</v>
      </c>
      <c r="K1289" s="55">
        <f>VLOOKUP(J1289,'Validacion reclamo de equipaje'!L:M,2,0)</f>
        <v>50</v>
      </c>
      <c r="L1289" s="55" t="str">
        <f>VLOOKUP(I1289,'Validacion reclamo de equipaje'!H:I,2,0)</f>
        <v>Nacional</v>
      </c>
      <c r="M1289" s="55" t="s">
        <v>523</v>
      </c>
    </row>
    <row r="1290" spans="1:13" x14ac:dyDescent="0.25">
      <c r="A1290">
        <v>2622</v>
      </c>
      <c r="B1290" s="47" t="str">
        <f>VLOOKUP(Tabla6[[#This Row],['# Vuelo]],'Validacion reclamo de equipaje'!P:Q,2,0)</f>
        <v>MEXICO AEREO</v>
      </c>
      <c r="C1290" s="48">
        <v>0.7715277777777777</v>
      </c>
      <c r="D1290" s="48">
        <v>0.77500000000000002</v>
      </c>
      <c r="E1290" s="49">
        <f>'Reclamo de equipaje rediseñado'!$D1290-'Reclamo de equipaje rediseñado'!$C1290</f>
        <v>3.4722222222223209E-3</v>
      </c>
      <c r="F1290" s="48">
        <v>0.77916666666666667</v>
      </c>
      <c r="G1290" s="49">
        <f t="shared" si="20"/>
        <v>4.1666666666666519E-3</v>
      </c>
      <c r="H1290" s="50">
        <v>41756</v>
      </c>
      <c r="I1290" s="51" t="s">
        <v>542</v>
      </c>
      <c r="J1290" s="51" t="s">
        <v>535</v>
      </c>
      <c r="K1290" s="51">
        <f>VLOOKUP(J1290,'Validacion reclamo de equipaje'!L:M,2,0)</f>
        <v>50</v>
      </c>
      <c r="L1290" s="51" t="str">
        <f>VLOOKUP(I1290,'Validacion reclamo de equipaje'!H:I,2,0)</f>
        <v>Nacional</v>
      </c>
      <c r="M1290" s="51" t="s">
        <v>523</v>
      </c>
    </row>
    <row r="1291" spans="1:13" x14ac:dyDescent="0.25">
      <c r="A1291">
        <v>2622</v>
      </c>
      <c r="B1291" s="47" t="str">
        <f>VLOOKUP(Tabla6[[#This Row],['# Vuelo]],'Validacion reclamo de equipaje'!P:Q,2,0)</f>
        <v>MEXICO AEREO</v>
      </c>
      <c r="C1291" s="52">
        <v>0.77430555555555547</v>
      </c>
      <c r="D1291" s="52">
        <v>0.78055555555555556</v>
      </c>
      <c r="E1291" s="53">
        <f>'Reclamo de equipaje rediseñado'!$D1291-'Reclamo de equipaje rediseñado'!$C1291</f>
        <v>6.2500000000000888E-3</v>
      </c>
      <c r="F1291" s="52">
        <v>0.78472222222222221</v>
      </c>
      <c r="G1291" s="53">
        <f t="shared" si="20"/>
        <v>4.1666666666666519E-3</v>
      </c>
      <c r="H1291" s="54">
        <v>41758</v>
      </c>
      <c r="I1291" s="55" t="s">
        <v>542</v>
      </c>
      <c r="J1291" s="55" t="s">
        <v>535</v>
      </c>
      <c r="K1291" s="55">
        <f>VLOOKUP(J1291,'Validacion reclamo de equipaje'!L:M,2,0)</f>
        <v>50</v>
      </c>
      <c r="L1291" s="55" t="str">
        <f>VLOOKUP(I1291,'Validacion reclamo de equipaje'!H:I,2,0)</f>
        <v>Nacional</v>
      </c>
      <c r="M1291" s="55" t="s">
        <v>523</v>
      </c>
    </row>
    <row r="1292" spans="1:13" x14ac:dyDescent="0.25">
      <c r="A1292">
        <v>2622</v>
      </c>
      <c r="B1292" s="47" t="str">
        <f>VLOOKUP(Tabla6[[#This Row],['# Vuelo]],'Validacion reclamo de equipaje'!P:Q,2,0)</f>
        <v>MEXICO AEREO</v>
      </c>
      <c r="C1292" s="48">
        <v>0.79375000000000007</v>
      </c>
      <c r="D1292" s="48">
        <v>0.80069444444444438</v>
      </c>
      <c r="E1292" s="49">
        <f>'Reclamo de equipaje rediseñado'!$D1292-'Reclamo de equipaje rediseñado'!$C1292</f>
        <v>6.9444444444443088E-3</v>
      </c>
      <c r="F1292" s="48">
        <v>0.80138888888888893</v>
      </c>
      <c r="G1292" s="49">
        <f t="shared" si="20"/>
        <v>6.94444444444553E-4</v>
      </c>
      <c r="H1292" s="50">
        <v>41759</v>
      </c>
      <c r="I1292" s="51" t="s">
        <v>542</v>
      </c>
      <c r="J1292" s="51" t="s">
        <v>535</v>
      </c>
      <c r="K1292" s="51">
        <f>VLOOKUP(J1292,'Validacion reclamo de equipaje'!L:M,2,0)</f>
        <v>50</v>
      </c>
      <c r="L1292" s="51" t="str">
        <f>VLOOKUP(I1292,'Validacion reclamo de equipaje'!H:I,2,0)</f>
        <v>Nacional</v>
      </c>
      <c r="M1292" s="51" t="s">
        <v>523</v>
      </c>
    </row>
    <row r="1293" spans="1:13" x14ac:dyDescent="0.25">
      <c r="A1293">
        <v>2621</v>
      </c>
      <c r="B1293" s="47" t="str">
        <f>VLOOKUP(Tabla6[[#This Row],['# Vuelo]],'Validacion reclamo de equipaje'!P:Q,2,0)</f>
        <v>MEXICO AEREO</v>
      </c>
      <c r="C1293" s="52">
        <v>0.39097222222222222</v>
      </c>
      <c r="D1293" s="52">
        <v>0.39513888888888887</v>
      </c>
      <c r="E1293" s="53">
        <f>'Reclamo de equipaje rediseñado'!$D1293-'Reclamo de equipaje rediseñado'!$C1293</f>
        <v>4.1666666666666519E-3</v>
      </c>
      <c r="F1293" s="52">
        <v>0.39861111111111108</v>
      </c>
      <c r="G1293" s="53">
        <f t="shared" si="20"/>
        <v>3.4722222222222099E-3</v>
      </c>
      <c r="H1293" s="54">
        <v>41730</v>
      </c>
      <c r="I1293" s="55" t="s">
        <v>541</v>
      </c>
      <c r="J1293" s="55" t="s">
        <v>535</v>
      </c>
      <c r="K1293" s="55">
        <f>VLOOKUP(J1293,'Validacion reclamo de equipaje'!L:M,2,0)</f>
        <v>50</v>
      </c>
      <c r="L1293" s="55" t="str">
        <f>VLOOKUP(I1293,'Validacion reclamo de equipaje'!H:I,2,0)</f>
        <v>Nacional</v>
      </c>
      <c r="M1293" s="55" t="s">
        <v>523</v>
      </c>
    </row>
    <row r="1294" spans="1:13" x14ac:dyDescent="0.25">
      <c r="A1294">
        <v>2621</v>
      </c>
      <c r="B1294" s="47" t="str">
        <f>VLOOKUP(Tabla6[[#This Row],['# Vuelo]],'Validacion reclamo de equipaje'!P:Q,2,0)</f>
        <v>MEXICO AEREO</v>
      </c>
      <c r="C1294" s="48">
        <v>0.3833333333333333</v>
      </c>
      <c r="D1294" s="48">
        <v>0.39027777777777778</v>
      </c>
      <c r="E1294" s="49">
        <f>'Reclamo de equipaje rediseñado'!$D1294-'Reclamo de equipaje rediseñado'!$C1294</f>
        <v>6.9444444444444753E-3</v>
      </c>
      <c r="F1294" s="48">
        <v>0.39930555555555558</v>
      </c>
      <c r="G1294" s="49">
        <f t="shared" si="20"/>
        <v>9.0277777777778012E-3</v>
      </c>
      <c r="H1294" s="50">
        <v>41731</v>
      </c>
      <c r="I1294" s="51" t="s">
        <v>541</v>
      </c>
      <c r="J1294" s="51" t="s">
        <v>535</v>
      </c>
      <c r="K1294" s="51">
        <f>VLOOKUP(J1294,'Validacion reclamo de equipaje'!L:M,2,0)</f>
        <v>50</v>
      </c>
      <c r="L1294" s="51" t="str">
        <f>VLOOKUP(I1294,'Validacion reclamo de equipaje'!H:I,2,0)</f>
        <v>Nacional</v>
      </c>
      <c r="M1294" s="51" t="s">
        <v>523</v>
      </c>
    </row>
    <row r="1295" spans="1:13" x14ac:dyDescent="0.25">
      <c r="A1295">
        <v>2621</v>
      </c>
      <c r="B1295" s="47" t="str">
        <f>VLOOKUP(Tabla6[[#This Row],['# Vuelo]],'Validacion reclamo de equipaje'!P:Q,2,0)</f>
        <v>MEXICO AEREO</v>
      </c>
      <c r="C1295" s="52">
        <v>0.37986111111111115</v>
      </c>
      <c r="D1295" s="52">
        <v>0.38541666666666669</v>
      </c>
      <c r="E1295" s="53">
        <f>'Reclamo de equipaje rediseñado'!$D1295-'Reclamo de equipaje rediseñado'!$C1295</f>
        <v>5.5555555555555358E-3</v>
      </c>
      <c r="F1295" s="52">
        <v>0.3923611111111111</v>
      </c>
      <c r="G1295" s="53">
        <f t="shared" si="20"/>
        <v>6.9444444444444198E-3</v>
      </c>
      <c r="H1295" s="54">
        <v>41732</v>
      </c>
      <c r="I1295" s="55" t="s">
        <v>541</v>
      </c>
      <c r="J1295" s="55" t="s">
        <v>535</v>
      </c>
      <c r="K1295" s="55">
        <f>VLOOKUP(J1295,'Validacion reclamo de equipaje'!L:M,2,0)</f>
        <v>50</v>
      </c>
      <c r="L1295" s="55" t="str">
        <f>VLOOKUP(I1295,'Validacion reclamo de equipaje'!H:I,2,0)</f>
        <v>Nacional</v>
      </c>
      <c r="M1295" s="55" t="s">
        <v>523</v>
      </c>
    </row>
    <row r="1296" spans="1:13" x14ac:dyDescent="0.25">
      <c r="A1296">
        <v>2621</v>
      </c>
      <c r="B1296" s="47" t="str">
        <f>VLOOKUP(Tabla6[[#This Row],['# Vuelo]],'Validacion reclamo de equipaje'!P:Q,2,0)</f>
        <v>MEXICO AEREO</v>
      </c>
      <c r="C1296" s="48">
        <v>0.37013888888888885</v>
      </c>
      <c r="D1296" s="48">
        <v>0.375</v>
      </c>
      <c r="E1296" s="49">
        <f>'Reclamo de equipaje rediseñado'!$D1296-'Reclamo de equipaje rediseñado'!$C1296</f>
        <v>4.8611111111111494E-3</v>
      </c>
      <c r="F1296" s="48">
        <v>0.38055555555555554</v>
      </c>
      <c r="G1296" s="49">
        <f t="shared" si="20"/>
        <v>5.5555555555555358E-3</v>
      </c>
      <c r="H1296" s="50">
        <v>41733</v>
      </c>
      <c r="I1296" s="51" t="s">
        <v>541</v>
      </c>
      <c r="J1296" s="51" t="s">
        <v>535</v>
      </c>
      <c r="K1296" s="51">
        <f>VLOOKUP(J1296,'Validacion reclamo de equipaje'!L:M,2,0)</f>
        <v>50</v>
      </c>
      <c r="L1296" s="51" t="str">
        <f>VLOOKUP(I1296,'Validacion reclamo de equipaje'!H:I,2,0)</f>
        <v>Nacional</v>
      </c>
      <c r="M1296" s="51" t="s">
        <v>523</v>
      </c>
    </row>
    <row r="1297" spans="1:13" x14ac:dyDescent="0.25">
      <c r="A1297">
        <v>2621</v>
      </c>
      <c r="B1297" s="47" t="str">
        <f>VLOOKUP(Tabla6[[#This Row],['# Vuelo]],'Validacion reclamo de equipaje'!P:Q,2,0)</f>
        <v>MEXICO AEREO</v>
      </c>
      <c r="C1297" s="52">
        <v>0.39930555555555558</v>
      </c>
      <c r="D1297" s="52">
        <v>0.40972222222222227</v>
      </c>
      <c r="E1297" s="53">
        <f>'Reclamo de equipaje rediseñado'!$D1297-'Reclamo de equipaje rediseñado'!$C1297</f>
        <v>1.0416666666666685E-2</v>
      </c>
      <c r="F1297" s="52">
        <v>0.41666666666666669</v>
      </c>
      <c r="G1297" s="53">
        <f t="shared" si="20"/>
        <v>6.9444444444444198E-3</v>
      </c>
      <c r="H1297" s="54">
        <v>41737</v>
      </c>
      <c r="I1297" s="55" t="s">
        <v>541</v>
      </c>
      <c r="J1297" s="55" t="s">
        <v>535</v>
      </c>
      <c r="K1297" s="55">
        <f>VLOOKUP(J1297,'Validacion reclamo de equipaje'!L:M,2,0)</f>
        <v>50</v>
      </c>
      <c r="L1297" s="55" t="str">
        <f>VLOOKUP(I1297,'Validacion reclamo de equipaje'!H:I,2,0)</f>
        <v>Nacional</v>
      </c>
      <c r="M1297" s="55" t="s">
        <v>523</v>
      </c>
    </row>
    <row r="1298" spans="1:13" x14ac:dyDescent="0.25">
      <c r="A1298">
        <v>2621</v>
      </c>
      <c r="B1298" s="47" t="str">
        <f>VLOOKUP(Tabla6[[#This Row],['# Vuelo]],'Validacion reclamo de equipaje'!P:Q,2,0)</f>
        <v>MEXICO AEREO</v>
      </c>
      <c r="C1298" s="48">
        <v>0.38750000000000001</v>
      </c>
      <c r="D1298" s="48">
        <v>0.39444444444444443</v>
      </c>
      <c r="E1298" s="49">
        <f>'Reclamo de equipaje rediseñado'!$D1298-'Reclamo de equipaje rediseñado'!$C1298</f>
        <v>6.9444444444444198E-3</v>
      </c>
      <c r="F1298" s="48">
        <v>0.3972222222222222</v>
      </c>
      <c r="G1298" s="49">
        <f t="shared" si="20"/>
        <v>2.7777777777777679E-3</v>
      </c>
      <c r="H1298" s="50">
        <v>41738</v>
      </c>
      <c r="I1298" s="51" t="s">
        <v>541</v>
      </c>
      <c r="J1298" s="51" t="s">
        <v>535</v>
      </c>
      <c r="K1298" s="51">
        <f>VLOOKUP(J1298,'Validacion reclamo de equipaje'!L:M,2,0)</f>
        <v>50</v>
      </c>
      <c r="L1298" s="51" t="str">
        <f>VLOOKUP(I1298,'Validacion reclamo de equipaje'!H:I,2,0)</f>
        <v>Nacional</v>
      </c>
      <c r="M1298" s="51" t="s">
        <v>523</v>
      </c>
    </row>
    <row r="1299" spans="1:13" x14ac:dyDescent="0.25">
      <c r="A1299">
        <v>2621</v>
      </c>
      <c r="B1299" s="47" t="str">
        <f>VLOOKUP(Tabla6[[#This Row],['# Vuelo]],'Validacion reclamo de equipaje'!P:Q,2,0)</f>
        <v>MEXICO AEREO</v>
      </c>
      <c r="C1299" s="52">
        <v>0.39166666666666666</v>
      </c>
      <c r="D1299" s="52">
        <v>0.3979166666666667</v>
      </c>
      <c r="E1299" s="53">
        <f>'Reclamo de equipaje rediseñado'!$D1299-'Reclamo de equipaje rediseñado'!$C1299</f>
        <v>6.2500000000000333E-3</v>
      </c>
      <c r="F1299" s="52">
        <v>0.40069444444444446</v>
      </c>
      <c r="G1299" s="53">
        <f t="shared" si="20"/>
        <v>2.7777777777777679E-3</v>
      </c>
      <c r="H1299" s="54">
        <v>41739</v>
      </c>
      <c r="I1299" s="55" t="s">
        <v>541</v>
      </c>
      <c r="J1299" s="55" t="s">
        <v>535</v>
      </c>
      <c r="K1299" s="55">
        <f>VLOOKUP(J1299,'Validacion reclamo de equipaje'!L:M,2,0)</f>
        <v>50</v>
      </c>
      <c r="L1299" s="55" t="str">
        <f>VLOOKUP(I1299,'Validacion reclamo de equipaje'!H:I,2,0)</f>
        <v>Nacional</v>
      </c>
      <c r="M1299" s="55" t="s">
        <v>523</v>
      </c>
    </row>
    <row r="1300" spans="1:13" x14ac:dyDescent="0.25">
      <c r="A1300">
        <v>2621</v>
      </c>
      <c r="B1300" s="47" t="str">
        <f>VLOOKUP(Tabla6[[#This Row],['# Vuelo]],'Validacion reclamo de equipaje'!P:Q,2,0)</f>
        <v>MEXICO AEREO</v>
      </c>
      <c r="C1300" s="48">
        <v>0.30416666666666664</v>
      </c>
      <c r="D1300" s="48">
        <v>0.38958333333333334</v>
      </c>
      <c r="E1300" s="49">
        <f>'Reclamo de equipaje rediseñado'!$D1300-'Reclamo de equipaje rediseñado'!$C1300</f>
        <v>8.5416666666666696E-2</v>
      </c>
      <c r="F1300" s="48">
        <v>0.40625</v>
      </c>
      <c r="G1300" s="49">
        <f t="shared" si="20"/>
        <v>1.6666666666666663E-2</v>
      </c>
      <c r="H1300" s="50">
        <v>41741</v>
      </c>
      <c r="I1300" s="51" t="s">
        <v>541</v>
      </c>
      <c r="J1300" s="51" t="s">
        <v>535</v>
      </c>
      <c r="K1300" s="51">
        <f>VLOOKUP(J1300,'Validacion reclamo de equipaje'!L:M,2,0)</f>
        <v>50</v>
      </c>
      <c r="L1300" s="51" t="str">
        <f>VLOOKUP(I1300,'Validacion reclamo de equipaje'!H:I,2,0)</f>
        <v>Nacional</v>
      </c>
      <c r="M1300" s="51" t="s">
        <v>523</v>
      </c>
    </row>
    <row r="1301" spans="1:13" x14ac:dyDescent="0.25">
      <c r="A1301">
        <v>2621</v>
      </c>
      <c r="B1301" s="47" t="str">
        <f>VLOOKUP(Tabla6[[#This Row],['# Vuelo]],'Validacion reclamo de equipaje'!P:Q,2,0)</f>
        <v>MEXICO AEREO</v>
      </c>
      <c r="C1301" s="52">
        <v>0.39097222222222222</v>
      </c>
      <c r="D1301" s="52">
        <v>0.39513888888888887</v>
      </c>
      <c r="E1301" s="53">
        <f>'Reclamo de equipaje rediseñado'!$D1301-'Reclamo de equipaje rediseñado'!$C1301</f>
        <v>4.1666666666666519E-3</v>
      </c>
      <c r="F1301" s="52">
        <v>0.39861111111111108</v>
      </c>
      <c r="G1301" s="53">
        <f t="shared" si="20"/>
        <v>3.4722222222222099E-3</v>
      </c>
      <c r="H1301" s="54">
        <v>41742</v>
      </c>
      <c r="I1301" s="55" t="s">
        <v>541</v>
      </c>
      <c r="J1301" s="55" t="s">
        <v>535</v>
      </c>
      <c r="K1301" s="55">
        <f>VLOOKUP(J1301,'Validacion reclamo de equipaje'!L:M,2,0)</f>
        <v>50</v>
      </c>
      <c r="L1301" s="55" t="str">
        <f>VLOOKUP(I1301,'Validacion reclamo de equipaje'!H:I,2,0)</f>
        <v>Nacional</v>
      </c>
      <c r="M1301" s="55" t="s">
        <v>523</v>
      </c>
    </row>
    <row r="1302" spans="1:13" x14ac:dyDescent="0.25">
      <c r="A1302">
        <v>2621</v>
      </c>
      <c r="B1302" s="47" t="str">
        <f>VLOOKUP(Tabla6[[#This Row],['# Vuelo]],'Validacion reclamo de equipaje'!P:Q,2,0)</f>
        <v>MEXICO AEREO</v>
      </c>
      <c r="C1302" s="48">
        <v>0.18055555555555555</v>
      </c>
      <c r="D1302" s="48">
        <v>0.39444444444444443</v>
      </c>
      <c r="E1302" s="49">
        <f>'Reclamo de equipaje rediseñado'!$D1302-'Reclamo de equipaje rediseñado'!$C1302</f>
        <v>0.21388888888888888</v>
      </c>
      <c r="F1302" s="48">
        <v>0.3979166666666667</v>
      </c>
      <c r="G1302" s="49">
        <f t="shared" si="20"/>
        <v>3.4722222222222654E-3</v>
      </c>
      <c r="H1302" s="50">
        <v>41743</v>
      </c>
      <c r="I1302" s="51" t="s">
        <v>541</v>
      </c>
      <c r="J1302" s="51" t="s">
        <v>535</v>
      </c>
      <c r="K1302" s="51">
        <f>VLOOKUP(J1302,'Validacion reclamo de equipaje'!L:M,2,0)</f>
        <v>50</v>
      </c>
      <c r="L1302" s="51" t="str">
        <f>VLOOKUP(I1302,'Validacion reclamo de equipaje'!H:I,2,0)</f>
        <v>Nacional</v>
      </c>
      <c r="M1302" s="51" t="s">
        <v>523</v>
      </c>
    </row>
    <row r="1303" spans="1:13" x14ac:dyDescent="0.25">
      <c r="A1303">
        <v>2621</v>
      </c>
      <c r="B1303" s="47" t="str">
        <f>VLOOKUP(Tabla6[[#This Row],['# Vuelo]],'Validacion reclamo de equipaje'!P:Q,2,0)</f>
        <v>MEXICO AEREO</v>
      </c>
      <c r="C1303" s="52">
        <v>0.3972222222222222</v>
      </c>
      <c r="D1303" s="52">
        <v>0.40277777777777773</v>
      </c>
      <c r="E1303" s="53">
        <f>'Reclamo de equipaje rediseñado'!$D1303-'Reclamo de equipaje rediseñado'!$C1303</f>
        <v>5.5555555555555358E-3</v>
      </c>
      <c r="F1303" s="52">
        <v>0.40763888888888888</v>
      </c>
      <c r="G1303" s="53">
        <f t="shared" si="20"/>
        <v>4.8611111111111494E-3</v>
      </c>
      <c r="H1303" s="54">
        <v>41744</v>
      </c>
      <c r="I1303" s="55" t="s">
        <v>541</v>
      </c>
      <c r="J1303" s="55" t="s">
        <v>535</v>
      </c>
      <c r="K1303" s="55">
        <f>VLOOKUP(J1303,'Validacion reclamo de equipaje'!L:M,2,0)</f>
        <v>50</v>
      </c>
      <c r="L1303" s="55" t="str">
        <f>VLOOKUP(I1303,'Validacion reclamo de equipaje'!H:I,2,0)</f>
        <v>Nacional</v>
      </c>
      <c r="M1303" s="55" t="s">
        <v>523</v>
      </c>
    </row>
    <row r="1304" spans="1:13" x14ac:dyDescent="0.25">
      <c r="A1304">
        <v>2621</v>
      </c>
      <c r="B1304" s="47" t="str">
        <f>VLOOKUP(Tabla6[[#This Row],['# Vuelo]],'Validacion reclamo de equipaje'!P:Q,2,0)</f>
        <v>MEXICO AEREO</v>
      </c>
      <c r="C1304" s="48">
        <v>0.38958333333333334</v>
      </c>
      <c r="D1304" s="48">
        <v>0.3972222222222222</v>
      </c>
      <c r="E1304" s="49">
        <f>'Reclamo de equipaje rediseñado'!$D1304-'Reclamo de equipaje rediseñado'!$C1304</f>
        <v>7.6388888888888618E-3</v>
      </c>
      <c r="F1304" s="48">
        <v>0.39999999999999997</v>
      </c>
      <c r="G1304" s="49">
        <f t="shared" si="20"/>
        <v>2.7777777777777679E-3</v>
      </c>
      <c r="H1304" s="50">
        <v>41745</v>
      </c>
      <c r="I1304" s="51" t="s">
        <v>541</v>
      </c>
      <c r="J1304" s="51" t="s">
        <v>535</v>
      </c>
      <c r="K1304" s="51">
        <f>VLOOKUP(J1304,'Validacion reclamo de equipaje'!L:M,2,0)</f>
        <v>50</v>
      </c>
      <c r="L1304" s="51" t="str">
        <f>VLOOKUP(I1304,'Validacion reclamo de equipaje'!H:I,2,0)</f>
        <v>Nacional</v>
      </c>
      <c r="M1304" s="51" t="s">
        <v>523</v>
      </c>
    </row>
    <row r="1305" spans="1:13" x14ac:dyDescent="0.25">
      <c r="A1305">
        <v>2621</v>
      </c>
      <c r="B1305" s="47" t="str">
        <f>VLOOKUP(Tabla6[[#This Row],['# Vuelo]],'Validacion reclamo de equipaje'!P:Q,2,0)</f>
        <v>MEXICO AEREO</v>
      </c>
      <c r="C1305" s="52">
        <v>0.3888888888888889</v>
      </c>
      <c r="D1305" s="52">
        <v>0.39374999999999999</v>
      </c>
      <c r="E1305" s="53">
        <f>'Reclamo de equipaje rediseñado'!$D1305-'Reclamo de equipaje rediseñado'!$C1305</f>
        <v>4.8611111111110938E-3</v>
      </c>
      <c r="F1305" s="52">
        <v>0.40138888888888885</v>
      </c>
      <c r="G1305" s="53">
        <f t="shared" si="20"/>
        <v>7.6388888888888618E-3</v>
      </c>
      <c r="H1305" s="54">
        <v>41747</v>
      </c>
      <c r="I1305" s="55" t="s">
        <v>541</v>
      </c>
      <c r="J1305" s="55" t="s">
        <v>535</v>
      </c>
      <c r="K1305" s="55">
        <f>VLOOKUP(J1305,'Validacion reclamo de equipaje'!L:M,2,0)</f>
        <v>50</v>
      </c>
      <c r="L1305" s="55" t="str">
        <f>VLOOKUP(I1305,'Validacion reclamo de equipaje'!H:I,2,0)</f>
        <v>Nacional</v>
      </c>
      <c r="M1305" s="55" t="s">
        <v>523</v>
      </c>
    </row>
    <row r="1306" spans="1:13" x14ac:dyDescent="0.25">
      <c r="A1306">
        <v>2621</v>
      </c>
      <c r="B1306" s="47" t="str">
        <f>VLOOKUP(Tabla6[[#This Row],['# Vuelo]],'Validacion reclamo de equipaje'!P:Q,2,0)</f>
        <v>MEXICO AEREO</v>
      </c>
      <c r="C1306" s="48">
        <v>0.48472222222222222</v>
      </c>
      <c r="D1306" s="48">
        <v>0.49027777777777781</v>
      </c>
      <c r="E1306" s="49">
        <f>'Reclamo de equipaje rediseñado'!$D1306-'Reclamo de equipaje rediseñado'!$C1306</f>
        <v>5.5555555555555913E-3</v>
      </c>
      <c r="F1306" s="48">
        <v>0.49305555555555558</v>
      </c>
      <c r="G1306" s="49">
        <f t="shared" si="20"/>
        <v>2.7777777777777679E-3</v>
      </c>
      <c r="H1306" s="50">
        <v>41748</v>
      </c>
      <c r="I1306" s="51" t="s">
        <v>541</v>
      </c>
      <c r="J1306" s="51" t="s">
        <v>535</v>
      </c>
      <c r="K1306" s="51">
        <f>VLOOKUP(J1306,'Validacion reclamo de equipaje'!L:M,2,0)</f>
        <v>50</v>
      </c>
      <c r="L1306" s="51" t="str">
        <f>VLOOKUP(I1306,'Validacion reclamo de equipaje'!H:I,2,0)</f>
        <v>Nacional</v>
      </c>
      <c r="M1306" s="51" t="s">
        <v>523</v>
      </c>
    </row>
    <row r="1307" spans="1:13" x14ac:dyDescent="0.25">
      <c r="A1307">
        <v>2621</v>
      </c>
      <c r="B1307" s="47" t="str">
        <f>VLOOKUP(Tabla6[[#This Row],['# Vuelo]],'Validacion reclamo de equipaje'!P:Q,2,0)</f>
        <v>MEXICO AEREO</v>
      </c>
      <c r="C1307" s="52">
        <v>0.38194444444444442</v>
      </c>
      <c r="D1307" s="52">
        <v>0.3923611111111111</v>
      </c>
      <c r="E1307" s="53">
        <f>'Reclamo de equipaje rediseñado'!$D1307-'Reclamo de equipaje rediseñado'!$C1307</f>
        <v>1.0416666666666685E-2</v>
      </c>
      <c r="F1307" s="52">
        <v>0.39513888888888887</v>
      </c>
      <c r="G1307" s="53">
        <f t="shared" si="20"/>
        <v>2.7777777777777679E-3</v>
      </c>
      <c r="H1307" s="54">
        <v>41750</v>
      </c>
      <c r="I1307" s="55" t="s">
        <v>541</v>
      </c>
      <c r="J1307" s="55" t="s">
        <v>535</v>
      </c>
      <c r="K1307" s="55">
        <f>VLOOKUP(J1307,'Validacion reclamo de equipaje'!L:M,2,0)</f>
        <v>50</v>
      </c>
      <c r="L1307" s="55" t="str">
        <f>VLOOKUP(I1307,'Validacion reclamo de equipaje'!H:I,2,0)</f>
        <v>Nacional</v>
      </c>
      <c r="M1307" s="55" t="s">
        <v>523</v>
      </c>
    </row>
    <row r="1308" spans="1:13" x14ac:dyDescent="0.25">
      <c r="A1308">
        <v>2621</v>
      </c>
      <c r="B1308" s="47" t="str">
        <f>VLOOKUP(Tabla6[[#This Row],['# Vuelo]],'Validacion reclamo de equipaje'!P:Q,2,0)</f>
        <v>MEXICO AEREO</v>
      </c>
      <c r="C1308" s="48">
        <v>0.38819444444444445</v>
      </c>
      <c r="D1308" s="48">
        <v>0.39374999999999999</v>
      </c>
      <c r="E1308" s="49">
        <f>'Reclamo de equipaje rediseñado'!$D1308-'Reclamo de equipaje rediseñado'!$C1308</f>
        <v>5.5555555555555358E-3</v>
      </c>
      <c r="F1308" s="48">
        <v>0.39652777777777781</v>
      </c>
      <c r="G1308" s="49">
        <f t="shared" si="20"/>
        <v>2.7777777777778234E-3</v>
      </c>
      <c r="H1308" s="50">
        <v>41751</v>
      </c>
      <c r="I1308" s="51" t="s">
        <v>541</v>
      </c>
      <c r="J1308" s="51" t="s">
        <v>535</v>
      </c>
      <c r="K1308" s="51">
        <f>VLOOKUP(J1308,'Validacion reclamo de equipaje'!L:M,2,0)</f>
        <v>50</v>
      </c>
      <c r="L1308" s="51" t="str">
        <f>VLOOKUP(I1308,'Validacion reclamo de equipaje'!H:I,2,0)</f>
        <v>Nacional</v>
      </c>
      <c r="M1308" s="51" t="s">
        <v>523</v>
      </c>
    </row>
    <row r="1309" spans="1:13" x14ac:dyDescent="0.25">
      <c r="A1309">
        <v>2621</v>
      </c>
      <c r="B1309" s="47" t="str">
        <f>VLOOKUP(Tabla6[[#This Row],['# Vuelo]],'Validacion reclamo de equipaje'!P:Q,2,0)</f>
        <v>MEXICO AEREO</v>
      </c>
      <c r="C1309" s="52">
        <v>0.3888888888888889</v>
      </c>
      <c r="D1309" s="52">
        <v>0.3923611111111111</v>
      </c>
      <c r="E1309" s="53">
        <f>'Reclamo de equipaje rediseñado'!$D1309-'Reclamo de equipaje rediseñado'!$C1309</f>
        <v>3.4722222222222099E-3</v>
      </c>
      <c r="F1309" s="52">
        <v>0.40069444444444446</v>
      </c>
      <c r="G1309" s="53">
        <f t="shared" si="20"/>
        <v>8.3333333333333592E-3</v>
      </c>
      <c r="H1309" s="54">
        <v>41753</v>
      </c>
      <c r="I1309" s="55" t="s">
        <v>541</v>
      </c>
      <c r="J1309" s="55" t="s">
        <v>535</v>
      </c>
      <c r="K1309" s="55">
        <f>VLOOKUP(J1309,'Validacion reclamo de equipaje'!L:M,2,0)</f>
        <v>50</v>
      </c>
      <c r="L1309" s="55" t="str">
        <f>VLOOKUP(I1309,'Validacion reclamo de equipaje'!H:I,2,0)</f>
        <v>Nacional</v>
      </c>
      <c r="M1309" s="55" t="s">
        <v>523</v>
      </c>
    </row>
    <row r="1310" spans="1:13" x14ac:dyDescent="0.25">
      <c r="A1310">
        <v>2621</v>
      </c>
      <c r="B1310" s="47" t="str">
        <f>VLOOKUP(Tabla6[[#This Row],['# Vuelo]],'Validacion reclamo de equipaje'!P:Q,2,0)</f>
        <v>MEXICO AEREO</v>
      </c>
      <c r="C1310" s="48">
        <v>0.38958333333333334</v>
      </c>
      <c r="D1310" s="48">
        <v>0.39374999999999999</v>
      </c>
      <c r="E1310" s="49">
        <f>'Reclamo de equipaje rediseñado'!$D1310-'Reclamo de equipaje rediseñado'!$C1310</f>
        <v>4.1666666666666519E-3</v>
      </c>
      <c r="F1310" s="48">
        <v>0.3979166666666667</v>
      </c>
      <c r="G1310" s="49">
        <f t="shared" si="20"/>
        <v>4.1666666666667074E-3</v>
      </c>
      <c r="H1310" s="50">
        <v>41754</v>
      </c>
      <c r="I1310" s="51" t="s">
        <v>541</v>
      </c>
      <c r="J1310" s="51" t="s">
        <v>535</v>
      </c>
      <c r="K1310" s="51">
        <f>VLOOKUP(J1310,'Validacion reclamo de equipaje'!L:M,2,0)</f>
        <v>50</v>
      </c>
      <c r="L1310" s="51" t="str">
        <f>VLOOKUP(I1310,'Validacion reclamo de equipaje'!H:I,2,0)</f>
        <v>Nacional</v>
      </c>
      <c r="M1310" s="51" t="s">
        <v>523</v>
      </c>
    </row>
    <row r="1311" spans="1:13" x14ac:dyDescent="0.25">
      <c r="A1311">
        <v>2621</v>
      </c>
      <c r="B1311" s="47" t="str">
        <f>VLOOKUP(Tabla6[[#This Row],['# Vuelo]],'Validacion reclamo de equipaje'!P:Q,2,0)</f>
        <v>MEXICO AEREO</v>
      </c>
      <c r="C1311" s="52">
        <v>0.38958333333333334</v>
      </c>
      <c r="D1311" s="52">
        <v>0.39374999999999999</v>
      </c>
      <c r="E1311" s="53">
        <f>'Reclamo de equipaje rediseñado'!$D1311-'Reclamo de equipaje rediseñado'!$C1311</f>
        <v>4.1666666666666519E-3</v>
      </c>
      <c r="F1311" s="52">
        <v>0.3979166666666667</v>
      </c>
      <c r="G1311" s="53">
        <f t="shared" si="20"/>
        <v>4.1666666666667074E-3</v>
      </c>
      <c r="H1311" s="54">
        <v>41757</v>
      </c>
      <c r="I1311" s="55" t="s">
        <v>541</v>
      </c>
      <c r="J1311" s="55" t="s">
        <v>535</v>
      </c>
      <c r="K1311" s="55">
        <f>VLOOKUP(J1311,'Validacion reclamo de equipaje'!L:M,2,0)</f>
        <v>50</v>
      </c>
      <c r="L1311" s="55" t="str">
        <f>VLOOKUP(I1311,'Validacion reclamo de equipaje'!H:I,2,0)</f>
        <v>Nacional</v>
      </c>
      <c r="M1311" s="55" t="s">
        <v>523</v>
      </c>
    </row>
    <row r="1312" spans="1:13" x14ac:dyDescent="0.25">
      <c r="A1312">
        <v>2621</v>
      </c>
      <c r="B1312" s="47" t="str">
        <f>VLOOKUP(Tabla6[[#This Row],['# Vuelo]],'Validacion reclamo de equipaje'!P:Q,2,0)</f>
        <v>MEXICO AEREO</v>
      </c>
      <c r="C1312" s="48">
        <v>0.39027777777777778</v>
      </c>
      <c r="D1312" s="48">
        <v>0.39513888888888887</v>
      </c>
      <c r="E1312" s="49">
        <f>'Reclamo de equipaje rediseñado'!$D1312-'Reclamo de equipaje rediseñado'!$C1312</f>
        <v>4.8611111111110938E-3</v>
      </c>
      <c r="F1312" s="48">
        <v>0.39930555555555558</v>
      </c>
      <c r="G1312" s="49">
        <f t="shared" si="20"/>
        <v>4.1666666666667074E-3</v>
      </c>
      <c r="H1312" s="50">
        <v>41758</v>
      </c>
      <c r="I1312" s="51" t="s">
        <v>541</v>
      </c>
      <c r="J1312" s="51" t="s">
        <v>535</v>
      </c>
      <c r="K1312" s="51">
        <f>VLOOKUP(J1312,'Validacion reclamo de equipaje'!L:M,2,0)</f>
        <v>50</v>
      </c>
      <c r="L1312" s="51" t="str">
        <f>VLOOKUP(I1312,'Validacion reclamo de equipaje'!H:I,2,0)</f>
        <v>Nacional</v>
      </c>
      <c r="M1312" s="51" t="s">
        <v>523</v>
      </c>
    </row>
    <row r="1313" spans="1:13" x14ac:dyDescent="0.25">
      <c r="A1313">
        <v>2469</v>
      </c>
      <c r="B1313" s="47" t="str">
        <f>VLOOKUP(Tabla6[[#This Row],['# Vuelo]],'Validacion reclamo de equipaje'!P:Q,2,0)</f>
        <v>MEXICO AEREO</v>
      </c>
      <c r="C1313" s="52">
        <v>1.0208333333333333</v>
      </c>
      <c r="D1313" s="52">
        <v>1.0256944444444445</v>
      </c>
      <c r="E1313" s="53">
        <f>'Reclamo de equipaje rediseñado'!$D1313-'Reclamo de equipaje rediseñado'!$C1313</f>
        <v>4.8611111111112049E-3</v>
      </c>
      <c r="F1313" s="52">
        <v>1.0284722222222222</v>
      </c>
      <c r="G1313" s="53">
        <f t="shared" si="20"/>
        <v>2.7777777777777679E-3</v>
      </c>
      <c r="H1313" s="54">
        <v>41730</v>
      </c>
      <c r="I1313" s="55" t="s">
        <v>545</v>
      </c>
      <c r="J1313" s="55" t="s">
        <v>535</v>
      </c>
      <c r="K1313" s="55">
        <f>VLOOKUP(J1313,'Validacion reclamo de equipaje'!L:M,2,0)</f>
        <v>50</v>
      </c>
      <c r="L1313" s="55" t="str">
        <f>VLOOKUP(I1313,'Validacion reclamo de equipaje'!H:I,2,0)</f>
        <v>Nacional</v>
      </c>
      <c r="M1313" s="55" t="s">
        <v>523</v>
      </c>
    </row>
    <row r="1314" spans="1:13" x14ac:dyDescent="0.25">
      <c r="A1314">
        <v>2469</v>
      </c>
      <c r="B1314" s="47" t="str">
        <f>VLOOKUP(Tabla6[[#This Row],['# Vuelo]],'Validacion reclamo de equipaje'!P:Q,2,0)</f>
        <v>MEXICO AEREO</v>
      </c>
      <c r="C1314" s="48">
        <v>0.98055555555555562</v>
      </c>
      <c r="D1314" s="48">
        <v>0.98611111111111116</v>
      </c>
      <c r="E1314" s="49">
        <f>'Reclamo de equipaje rediseñado'!$D1314-'Reclamo de equipaje rediseñado'!$C1314</f>
        <v>5.5555555555555358E-3</v>
      </c>
      <c r="F1314" s="48">
        <v>0.99097222222222225</v>
      </c>
      <c r="G1314" s="49">
        <f t="shared" si="20"/>
        <v>4.8611111111110938E-3</v>
      </c>
      <c r="H1314" s="50">
        <v>41731</v>
      </c>
      <c r="I1314" s="51" t="s">
        <v>545</v>
      </c>
      <c r="J1314" s="51" t="s">
        <v>535</v>
      </c>
      <c r="K1314" s="51">
        <f>VLOOKUP(J1314,'Validacion reclamo de equipaje'!L:M,2,0)</f>
        <v>50</v>
      </c>
      <c r="L1314" s="51" t="str">
        <f>VLOOKUP(I1314,'Validacion reclamo de equipaje'!H:I,2,0)</f>
        <v>Nacional</v>
      </c>
      <c r="M1314" s="51" t="s">
        <v>523</v>
      </c>
    </row>
    <row r="1315" spans="1:13" x14ac:dyDescent="0.25">
      <c r="A1315">
        <v>2469</v>
      </c>
      <c r="B1315" s="47" t="str">
        <f>VLOOKUP(Tabla6[[#This Row],['# Vuelo]],'Validacion reclamo de equipaje'!P:Q,2,0)</f>
        <v>MEXICO AEREO</v>
      </c>
      <c r="C1315" s="52">
        <v>0.96805555555555556</v>
      </c>
      <c r="D1315" s="52">
        <v>0.97361111111111109</v>
      </c>
      <c r="E1315" s="53">
        <f>'Reclamo de equipaje rediseñado'!$D1315-'Reclamo de equipaje rediseñado'!$C1315</f>
        <v>5.5555555555555358E-3</v>
      </c>
      <c r="F1315" s="52">
        <v>0.97638888888888886</v>
      </c>
      <c r="G1315" s="53">
        <f t="shared" si="20"/>
        <v>2.7777777777777679E-3</v>
      </c>
      <c r="H1315" s="54">
        <v>41732</v>
      </c>
      <c r="I1315" s="55" t="s">
        <v>545</v>
      </c>
      <c r="J1315" s="55" t="s">
        <v>535</v>
      </c>
      <c r="K1315" s="55">
        <f>VLOOKUP(J1315,'Validacion reclamo de equipaje'!L:M,2,0)</f>
        <v>50</v>
      </c>
      <c r="L1315" s="55" t="str">
        <f>VLOOKUP(I1315,'Validacion reclamo de equipaje'!H:I,2,0)</f>
        <v>Nacional</v>
      </c>
      <c r="M1315" s="55" t="s">
        <v>523</v>
      </c>
    </row>
    <row r="1316" spans="1:13" x14ac:dyDescent="0.25">
      <c r="A1316">
        <v>2469</v>
      </c>
      <c r="B1316" s="47" t="str">
        <f>VLOOKUP(Tabla6[[#This Row],['# Vuelo]],'Validacion reclamo de equipaje'!P:Q,2,0)</f>
        <v>MEXICO AEREO</v>
      </c>
      <c r="C1316" s="48">
        <v>0.91041666666666676</v>
      </c>
      <c r="D1316" s="48">
        <v>0.91736111111111107</v>
      </c>
      <c r="E1316" s="49">
        <f>'Reclamo de equipaje rediseñado'!$D1316-'Reclamo de equipaje rediseñado'!$C1316</f>
        <v>6.9444444444443088E-3</v>
      </c>
      <c r="F1316" s="48">
        <v>0.91875000000000007</v>
      </c>
      <c r="G1316" s="49">
        <f t="shared" si="20"/>
        <v>1.388888888888995E-3</v>
      </c>
      <c r="H1316" s="50">
        <v>41734</v>
      </c>
      <c r="I1316" s="51" t="s">
        <v>545</v>
      </c>
      <c r="J1316" s="51" t="s">
        <v>535</v>
      </c>
      <c r="K1316" s="51">
        <f>VLOOKUP(J1316,'Validacion reclamo de equipaje'!L:M,2,0)</f>
        <v>50</v>
      </c>
      <c r="L1316" s="51" t="str">
        <f>VLOOKUP(I1316,'Validacion reclamo de equipaje'!H:I,2,0)</f>
        <v>Nacional</v>
      </c>
      <c r="M1316" s="51" t="s">
        <v>523</v>
      </c>
    </row>
    <row r="1317" spans="1:13" x14ac:dyDescent="0.25">
      <c r="A1317">
        <v>2469</v>
      </c>
      <c r="B1317" s="47" t="str">
        <f>VLOOKUP(Tabla6[[#This Row],['# Vuelo]],'Validacion reclamo de equipaje'!P:Q,2,0)</f>
        <v>MEXICO AEREO</v>
      </c>
      <c r="C1317" s="52">
        <v>1.0138888888888888</v>
      </c>
      <c r="D1317" s="52">
        <v>1.0152777777777777</v>
      </c>
      <c r="E1317" s="53">
        <f>'Reclamo de equipaje rediseñado'!$D1317-'Reclamo de equipaje rediseñado'!$C1317</f>
        <v>1.388888888888884E-3</v>
      </c>
      <c r="F1317" s="52">
        <v>1.0166666666666666</v>
      </c>
      <c r="G1317" s="53">
        <f t="shared" si="20"/>
        <v>1.388888888888884E-3</v>
      </c>
      <c r="H1317" s="54">
        <v>41734</v>
      </c>
      <c r="I1317" s="55" t="s">
        <v>545</v>
      </c>
      <c r="J1317" s="55" t="s">
        <v>535</v>
      </c>
      <c r="K1317" s="55">
        <f>VLOOKUP(J1317,'Validacion reclamo de equipaje'!L:M,2,0)</f>
        <v>50</v>
      </c>
      <c r="L1317" s="55" t="str">
        <f>VLOOKUP(I1317,'Validacion reclamo de equipaje'!H:I,2,0)</f>
        <v>Nacional</v>
      </c>
      <c r="M1317" s="55" t="s">
        <v>523</v>
      </c>
    </row>
    <row r="1318" spans="1:13" x14ac:dyDescent="0.25">
      <c r="A1318">
        <v>2469</v>
      </c>
      <c r="B1318" s="47" t="str">
        <f>VLOOKUP(Tabla6[[#This Row],['# Vuelo]],'Validacion reclamo de equipaje'!P:Q,2,0)</f>
        <v>MEXICO AEREO</v>
      </c>
      <c r="C1318" s="48">
        <v>0.97916666666666663</v>
      </c>
      <c r="D1318" s="48">
        <v>0.98541666666666661</v>
      </c>
      <c r="E1318" s="49">
        <f>'Reclamo de equipaje rediseñado'!$D1318-'Reclamo de equipaje rediseñado'!$C1318</f>
        <v>6.2499999999999778E-3</v>
      </c>
      <c r="F1318" s="48">
        <v>0.98819444444444438</v>
      </c>
      <c r="G1318" s="49">
        <f t="shared" si="20"/>
        <v>2.7777777777777679E-3</v>
      </c>
      <c r="H1318" s="50">
        <v>41736</v>
      </c>
      <c r="I1318" s="51" t="s">
        <v>545</v>
      </c>
      <c r="J1318" s="51" t="s">
        <v>535</v>
      </c>
      <c r="K1318" s="51">
        <f>VLOOKUP(J1318,'Validacion reclamo de equipaje'!L:M,2,0)</f>
        <v>50</v>
      </c>
      <c r="L1318" s="51" t="str">
        <f>VLOOKUP(I1318,'Validacion reclamo de equipaje'!H:I,2,0)</f>
        <v>Nacional</v>
      </c>
      <c r="M1318" s="51" t="s">
        <v>523</v>
      </c>
    </row>
    <row r="1319" spans="1:13" x14ac:dyDescent="0.25">
      <c r="A1319">
        <v>2469</v>
      </c>
      <c r="B1319" s="47" t="str">
        <f>VLOOKUP(Tabla6[[#This Row],['# Vuelo]],'Validacion reclamo de equipaje'!P:Q,2,0)</f>
        <v>MEXICO AEREO</v>
      </c>
      <c r="C1319" s="52">
        <v>0.97291666666666676</v>
      </c>
      <c r="D1319" s="52">
        <v>0.98125000000000007</v>
      </c>
      <c r="E1319" s="53">
        <f>'Reclamo de equipaje rediseñado'!$D1319-'Reclamo de equipaje rediseñado'!$C1319</f>
        <v>8.3333333333333037E-3</v>
      </c>
      <c r="F1319" s="52">
        <v>0.98263888888888884</v>
      </c>
      <c r="G1319" s="53">
        <f t="shared" si="20"/>
        <v>1.3888888888887729E-3</v>
      </c>
      <c r="H1319" s="54">
        <v>41738</v>
      </c>
      <c r="I1319" s="55" t="s">
        <v>545</v>
      </c>
      <c r="J1319" s="55" t="s">
        <v>535</v>
      </c>
      <c r="K1319" s="55">
        <f>VLOOKUP(J1319,'Validacion reclamo de equipaje'!L:M,2,0)</f>
        <v>50</v>
      </c>
      <c r="L1319" s="55" t="str">
        <f>VLOOKUP(I1319,'Validacion reclamo de equipaje'!H:I,2,0)</f>
        <v>Nacional</v>
      </c>
      <c r="M1319" s="55" t="s">
        <v>523</v>
      </c>
    </row>
    <row r="1320" spans="1:13" x14ac:dyDescent="0.25">
      <c r="A1320">
        <v>2469</v>
      </c>
      <c r="B1320" s="47" t="str">
        <f>VLOOKUP(Tabla6[[#This Row],['# Vuelo]],'Validacion reclamo de equipaje'!P:Q,2,0)</f>
        <v>MEXICO AEREO</v>
      </c>
      <c r="C1320" s="48">
        <v>0.98819444444444438</v>
      </c>
      <c r="D1320" s="48">
        <v>0.99375000000000002</v>
      </c>
      <c r="E1320" s="49">
        <f>'Reclamo de equipaje rediseñado'!$D1320-'Reclamo de equipaje rediseñado'!$C1320</f>
        <v>5.5555555555556468E-3</v>
      </c>
      <c r="F1320" s="48">
        <v>0.99513888888888891</v>
      </c>
      <c r="G1320" s="49">
        <f t="shared" si="20"/>
        <v>1.388888888888884E-3</v>
      </c>
      <c r="H1320" s="50">
        <v>41739</v>
      </c>
      <c r="I1320" s="51" t="s">
        <v>545</v>
      </c>
      <c r="J1320" s="51" t="s">
        <v>535</v>
      </c>
      <c r="K1320" s="51">
        <f>VLOOKUP(J1320,'Validacion reclamo de equipaje'!L:M,2,0)</f>
        <v>50</v>
      </c>
      <c r="L1320" s="51" t="str">
        <f>VLOOKUP(I1320,'Validacion reclamo de equipaje'!H:I,2,0)</f>
        <v>Nacional</v>
      </c>
      <c r="M1320" s="51" t="s">
        <v>523</v>
      </c>
    </row>
    <row r="1321" spans="1:13" x14ac:dyDescent="0.25">
      <c r="A1321">
        <v>2469</v>
      </c>
      <c r="B1321" s="47" t="str">
        <f>VLOOKUP(Tabla6[[#This Row],['# Vuelo]],'Validacion reclamo de equipaje'!P:Q,2,0)</f>
        <v>MEXICO AEREO</v>
      </c>
      <c r="C1321" s="52">
        <v>0.97777777777777775</v>
      </c>
      <c r="D1321" s="52">
        <v>0.98749999999999993</v>
      </c>
      <c r="E1321" s="53">
        <f>'Reclamo de equipaje rediseñado'!$D1321-'Reclamo de equipaje rediseñado'!$C1321</f>
        <v>9.7222222222221877E-3</v>
      </c>
      <c r="F1321" s="52">
        <v>0.9902777777777777</v>
      </c>
      <c r="G1321" s="53">
        <f t="shared" si="20"/>
        <v>2.7777777777777679E-3</v>
      </c>
      <c r="H1321" s="54">
        <v>41740</v>
      </c>
      <c r="I1321" s="55" t="s">
        <v>545</v>
      </c>
      <c r="J1321" s="55" t="s">
        <v>535</v>
      </c>
      <c r="K1321" s="55">
        <f>VLOOKUP(J1321,'Validacion reclamo de equipaje'!L:M,2,0)</f>
        <v>50</v>
      </c>
      <c r="L1321" s="55" t="str">
        <f>VLOOKUP(I1321,'Validacion reclamo de equipaje'!H:I,2,0)</f>
        <v>Nacional</v>
      </c>
      <c r="M1321" s="55" t="s">
        <v>523</v>
      </c>
    </row>
    <row r="1322" spans="1:13" x14ac:dyDescent="0.25">
      <c r="A1322">
        <v>2469</v>
      </c>
      <c r="B1322" s="47" t="str">
        <f>VLOOKUP(Tabla6[[#This Row],['# Vuelo]],'Validacion reclamo de equipaje'!P:Q,2,0)</f>
        <v>MEXICO AEREO</v>
      </c>
      <c r="C1322" s="48">
        <v>0.97361111111111109</v>
      </c>
      <c r="D1322" s="48">
        <v>0.97986111111111107</v>
      </c>
      <c r="E1322" s="49">
        <f>'Reclamo de equipaje rediseñado'!$D1322-'Reclamo de equipaje rediseñado'!$C1322</f>
        <v>6.2499999999999778E-3</v>
      </c>
      <c r="F1322" s="48">
        <v>0.98263888888888884</v>
      </c>
      <c r="G1322" s="49">
        <f t="shared" si="20"/>
        <v>2.7777777777777679E-3</v>
      </c>
      <c r="H1322" s="50">
        <v>41743</v>
      </c>
      <c r="I1322" s="51" t="s">
        <v>545</v>
      </c>
      <c r="J1322" s="51" t="s">
        <v>535</v>
      </c>
      <c r="K1322" s="51">
        <f>VLOOKUP(J1322,'Validacion reclamo de equipaje'!L:M,2,0)</f>
        <v>50</v>
      </c>
      <c r="L1322" s="51" t="str">
        <f>VLOOKUP(I1322,'Validacion reclamo de equipaje'!H:I,2,0)</f>
        <v>Nacional</v>
      </c>
      <c r="M1322" s="51" t="s">
        <v>523</v>
      </c>
    </row>
    <row r="1323" spans="1:13" x14ac:dyDescent="0.25">
      <c r="A1323">
        <v>2469</v>
      </c>
      <c r="B1323" s="47" t="str">
        <f>VLOOKUP(Tabla6[[#This Row],['# Vuelo]],'Validacion reclamo de equipaje'!P:Q,2,0)</f>
        <v>MEXICO AEREO</v>
      </c>
      <c r="C1323" s="52">
        <v>6.25E-2</v>
      </c>
      <c r="D1323" s="52">
        <v>7.0833333333333331E-2</v>
      </c>
      <c r="E1323" s="53">
        <f>'Reclamo de equipaje rediseñado'!$D1323-'Reclamo de equipaje rediseñado'!$C1323</f>
        <v>8.3333333333333315E-3</v>
      </c>
      <c r="F1323" s="52">
        <v>7.4999999999999997E-2</v>
      </c>
      <c r="G1323" s="53">
        <f t="shared" si="20"/>
        <v>4.1666666666666657E-3</v>
      </c>
      <c r="H1323" s="54">
        <v>41745</v>
      </c>
      <c r="I1323" s="55" t="s">
        <v>545</v>
      </c>
      <c r="J1323" s="55" t="s">
        <v>535</v>
      </c>
      <c r="K1323" s="55">
        <f>VLOOKUP(J1323,'Validacion reclamo de equipaje'!L:M,2,0)</f>
        <v>50</v>
      </c>
      <c r="L1323" s="55" t="str">
        <f>VLOOKUP(I1323,'Validacion reclamo de equipaje'!H:I,2,0)</f>
        <v>Nacional</v>
      </c>
      <c r="M1323" s="55" t="s">
        <v>523</v>
      </c>
    </row>
    <row r="1324" spans="1:13" x14ac:dyDescent="0.25">
      <c r="A1324">
        <v>2469</v>
      </c>
      <c r="B1324" s="47" t="str">
        <f>VLOOKUP(Tabla6[[#This Row],['# Vuelo]],'Validacion reclamo de equipaje'!P:Q,2,0)</f>
        <v>MEXICO AEREO</v>
      </c>
      <c r="C1324" s="48">
        <v>0.98611111111111116</v>
      </c>
      <c r="D1324" s="48">
        <v>0.99791666666666667</v>
      </c>
      <c r="E1324" s="49">
        <f>'Reclamo de equipaje rediseñado'!$D1324-'Reclamo de equipaje rediseñado'!$C1324</f>
        <v>1.1805555555555514E-2</v>
      </c>
      <c r="F1324" s="48">
        <v>0.99930555555555556</v>
      </c>
      <c r="G1324" s="49">
        <f t="shared" si="20"/>
        <v>1.388888888888884E-3</v>
      </c>
      <c r="H1324" s="50">
        <v>41749</v>
      </c>
      <c r="I1324" s="51" t="s">
        <v>545</v>
      </c>
      <c r="J1324" s="51" t="s">
        <v>535</v>
      </c>
      <c r="K1324" s="51">
        <f>VLOOKUP(J1324,'Validacion reclamo de equipaje'!L:M,2,0)</f>
        <v>50</v>
      </c>
      <c r="L1324" s="51" t="str">
        <f>VLOOKUP(I1324,'Validacion reclamo de equipaje'!H:I,2,0)</f>
        <v>Nacional</v>
      </c>
      <c r="M1324" s="51" t="s">
        <v>523</v>
      </c>
    </row>
    <row r="1325" spans="1:13" x14ac:dyDescent="0.25">
      <c r="A1325">
        <v>2469</v>
      </c>
      <c r="B1325" s="47" t="str">
        <f>VLOOKUP(Tabla6[[#This Row],['# Vuelo]],'Validacion reclamo de equipaje'!P:Q,2,0)</f>
        <v>MEXICO AEREO</v>
      </c>
      <c r="C1325" s="52">
        <v>0.99375000000000002</v>
      </c>
      <c r="D1325" s="52">
        <v>0.99930555555555556</v>
      </c>
      <c r="E1325" s="53">
        <f>'Reclamo de equipaje rediseñado'!$D1325-'Reclamo de equipaje rediseñado'!$C1325</f>
        <v>5.5555555555555358E-3</v>
      </c>
      <c r="F1325" s="52">
        <v>1.0034722222222221</v>
      </c>
      <c r="G1325" s="53">
        <f t="shared" si="20"/>
        <v>4.1666666666665408E-3</v>
      </c>
      <c r="H1325" s="54">
        <v>41751</v>
      </c>
      <c r="I1325" s="55" t="s">
        <v>545</v>
      </c>
      <c r="J1325" s="55" t="s">
        <v>535</v>
      </c>
      <c r="K1325" s="55">
        <f>VLOOKUP(J1325,'Validacion reclamo de equipaje'!L:M,2,0)</f>
        <v>50</v>
      </c>
      <c r="L1325" s="55" t="str">
        <f>VLOOKUP(I1325,'Validacion reclamo de equipaje'!H:I,2,0)</f>
        <v>Nacional</v>
      </c>
      <c r="M1325" s="55" t="s">
        <v>523</v>
      </c>
    </row>
    <row r="1326" spans="1:13" x14ac:dyDescent="0.25">
      <c r="A1326">
        <v>2469</v>
      </c>
      <c r="B1326" s="47" t="str">
        <f>VLOOKUP(Tabla6[[#This Row],['# Vuelo]],'Validacion reclamo de equipaje'!P:Q,2,0)</f>
        <v>MEXICO AEREO</v>
      </c>
      <c r="C1326" s="48">
        <v>0.96875</v>
      </c>
      <c r="D1326" s="48">
        <v>0.9784722222222223</v>
      </c>
      <c r="E1326" s="49">
        <f>'Reclamo de equipaje rediseñado'!$D1326-'Reclamo de equipaje rediseñado'!$C1326</f>
        <v>9.7222222222222987E-3</v>
      </c>
      <c r="F1326" s="48">
        <v>0.98055555555555562</v>
      </c>
      <c r="G1326" s="49">
        <f t="shared" si="20"/>
        <v>2.0833333333333259E-3</v>
      </c>
      <c r="H1326" s="50">
        <v>41753</v>
      </c>
      <c r="I1326" s="51" t="s">
        <v>545</v>
      </c>
      <c r="J1326" s="51" t="s">
        <v>535</v>
      </c>
      <c r="K1326" s="51">
        <f>VLOOKUP(J1326,'Validacion reclamo de equipaje'!L:M,2,0)</f>
        <v>50</v>
      </c>
      <c r="L1326" s="51" t="str">
        <f>VLOOKUP(I1326,'Validacion reclamo de equipaje'!H:I,2,0)</f>
        <v>Nacional</v>
      </c>
      <c r="M1326" s="51" t="s">
        <v>523</v>
      </c>
    </row>
    <row r="1327" spans="1:13" x14ac:dyDescent="0.25">
      <c r="A1327">
        <v>2469</v>
      </c>
      <c r="B1327" s="47" t="str">
        <f>VLOOKUP(Tabla6[[#This Row],['# Vuelo]],'Validacion reclamo de equipaje'!P:Q,2,0)</f>
        <v>MEXICO AEREO</v>
      </c>
      <c r="C1327" s="52">
        <v>0.97013888888888899</v>
      </c>
      <c r="D1327" s="52">
        <v>0.9770833333333333</v>
      </c>
      <c r="E1327" s="53">
        <f>'Reclamo de equipaje rediseñado'!$D1327-'Reclamo de equipaje rediseñado'!$C1327</f>
        <v>6.9444444444443088E-3</v>
      </c>
      <c r="F1327" s="52">
        <v>0.97986111111111107</v>
      </c>
      <c r="G1327" s="53">
        <f t="shared" si="20"/>
        <v>2.7777777777777679E-3</v>
      </c>
      <c r="H1327" s="54">
        <v>41757</v>
      </c>
      <c r="I1327" s="55" t="s">
        <v>545</v>
      </c>
      <c r="J1327" s="55" t="s">
        <v>535</v>
      </c>
      <c r="K1327" s="55">
        <f>VLOOKUP(J1327,'Validacion reclamo de equipaje'!L:M,2,0)</f>
        <v>50</v>
      </c>
      <c r="L1327" s="55" t="str">
        <f>VLOOKUP(I1327,'Validacion reclamo de equipaje'!H:I,2,0)</f>
        <v>Nacional</v>
      </c>
      <c r="M1327" s="55" t="s">
        <v>523</v>
      </c>
    </row>
    <row r="1328" spans="1:13" x14ac:dyDescent="0.25">
      <c r="A1328">
        <v>2469</v>
      </c>
      <c r="B1328" s="47" t="str">
        <f>VLOOKUP(Tabla6[[#This Row],['# Vuelo]],'Validacion reclamo de equipaje'!P:Q,2,0)</f>
        <v>MEXICO AEREO</v>
      </c>
      <c r="C1328" s="48">
        <v>0.97152777777777777</v>
      </c>
      <c r="D1328" s="48">
        <v>0.97499999999999998</v>
      </c>
      <c r="E1328" s="49">
        <f>'Reclamo de equipaje rediseñado'!$D1328-'Reclamo de equipaje rediseñado'!$C1328</f>
        <v>3.4722222222222099E-3</v>
      </c>
      <c r="F1328" s="48">
        <v>0.97777777777777775</v>
      </c>
      <c r="G1328" s="49">
        <f t="shared" si="20"/>
        <v>2.7777777777777679E-3</v>
      </c>
      <c r="H1328" s="50">
        <v>41759</v>
      </c>
      <c r="I1328" s="51" t="s">
        <v>545</v>
      </c>
      <c r="J1328" s="51" t="s">
        <v>535</v>
      </c>
      <c r="K1328" s="51">
        <f>VLOOKUP(J1328,'Validacion reclamo de equipaje'!L:M,2,0)</f>
        <v>50</v>
      </c>
      <c r="L1328" s="51" t="str">
        <f>VLOOKUP(I1328,'Validacion reclamo de equipaje'!H:I,2,0)</f>
        <v>Nacional</v>
      </c>
      <c r="M1328" s="51" t="s">
        <v>523</v>
      </c>
    </row>
    <row r="1329" spans="1:13" x14ac:dyDescent="0.25">
      <c r="A1329">
        <v>2469</v>
      </c>
      <c r="B1329" s="47" t="str">
        <f>VLOOKUP(Tabla6[[#This Row],['# Vuelo]],'Validacion reclamo de equipaje'!P:Q,2,0)</f>
        <v>MEXICO AEREO</v>
      </c>
      <c r="C1329" s="52">
        <v>0.96805555555555556</v>
      </c>
      <c r="D1329" s="52">
        <v>0.97916666666666663</v>
      </c>
      <c r="E1329" s="53">
        <f>'Reclamo de equipaje rediseñado'!$D1329-'Reclamo de equipaje rediseñado'!$C1329</f>
        <v>1.1111111111111072E-2</v>
      </c>
      <c r="F1329" s="52">
        <v>0.98263888888888884</v>
      </c>
      <c r="G1329" s="53">
        <f t="shared" si="20"/>
        <v>3.4722222222222099E-3</v>
      </c>
      <c r="H1329" s="54">
        <v>41759</v>
      </c>
      <c r="I1329" s="55" t="s">
        <v>545</v>
      </c>
      <c r="J1329" s="55" t="s">
        <v>535</v>
      </c>
      <c r="K1329" s="55">
        <f>VLOOKUP(J1329,'Validacion reclamo de equipaje'!L:M,2,0)</f>
        <v>50</v>
      </c>
      <c r="L1329" s="55" t="str">
        <f>VLOOKUP(I1329,'Validacion reclamo de equipaje'!H:I,2,0)</f>
        <v>Nacional</v>
      </c>
      <c r="M1329" s="55" t="s">
        <v>523</v>
      </c>
    </row>
    <row r="1330" spans="1:13" x14ac:dyDescent="0.25">
      <c r="A1330">
        <v>2335</v>
      </c>
      <c r="B1330" s="47" t="str">
        <f>VLOOKUP(Tabla6[[#This Row],['# Vuelo]],'Validacion reclamo de equipaje'!P:Q,2,0)</f>
        <v>MEXICO AEREO</v>
      </c>
      <c r="C1330" s="48">
        <v>0.95486111111111116</v>
      </c>
      <c r="D1330" s="48">
        <v>0.95972222222222225</v>
      </c>
      <c r="E1330" s="49">
        <f>'Reclamo de equipaje rediseñado'!$D1330-'Reclamo de equipaje rediseñado'!$C1330</f>
        <v>4.8611111111110938E-3</v>
      </c>
      <c r="F1330" s="48">
        <v>0.96527777777777779</v>
      </c>
      <c r="G1330" s="49">
        <f t="shared" si="20"/>
        <v>5.5555555555555358E-3</v>
      </c>
      <c r="H1330" s="50">
        <v>41730</v>
      </c>
      <c r="I1330" s="51" t="s">
        <v>542</v>
      </c>
      <c r="J1330" s="51" t="s">
        <v>535</v>
      </c>
      <c r="K1330" s="51">
        <f>VLOOKUP(J1330,'Validacion reclamo de equipaje'!L:M,2,0)</f>
        <v>50</v>
      </c>
      <c r="L1330" s="51" t="str">
        <f>VLOOKUP(I1330,'Validacion reclamo de equipaje'!H:I,2,0)</f>
        <v>Nacional</v>
      </c>
      <c r="M1330" s="51" t="s">
        <v>523</v>
      </c>
    </row>
    <row r="1331" spans="1:13" x14ac:dyDescent="0.25">
      <c r="A1331">
        <v>2335</v>
      </c>
      <c r="B1331" s="47" t="str">
        <f>VLOOKUP(Tabla6[[#This Row],['# Vuelo]],'Validacion reclamo de equipaje'!P:Q,2,0)</f>
        <v>MEXICO AEREO</v>
      </c>
      <c r="C1331" s="52">
        <v>0.96597222222222223</v>
      </c>
      <c r="D1331" s="52">
        <v>0.97013888888888899</v>
      </c>
      <c r="E1331" s="53">
        <f>'Reclamo de equipaje rediseñado'!$D1331-'Reclamo de equipaje rediseñado'!$C1331</f>
        <v>4.1666666666667629E-3</v>
      </c>
      <c r="F1331" s="52">
        <v>0.97638888888888886</v>
      </c>
      <c r="G1331" s="53">
        <f t="shared" si="20"/>
        <v>6.2499999999998668E-3</v>
      </c>
      <c r="H1331" s="54">
        <v>41731</v>
      </c>
      <c r="I1331" s="55" t="s">
        <v>542</v>
      </c>
      <c r="J1331" s="55" t="s">
        <v>535</v>
      </c>
      <c r="K1331" s="55">
        <f>VLOOKUP(J1331,'Validacion reclamo de equipaje'!L:M,2,0)</f>
        <v>50</v>
      </c>
      <c r="L1331" s="55" t="str">
        <f>VLOOKUP(I1331,'Validacion reclamo de equipaje'!H:I,2,0)</f>
        <v>Nacional</v>
      </c>
      <c r="M1331" s="55" t="s">
        <v>523</v>
      </c>
    </row>
    <row r="1332" spans="1:13" x14ac:dyDescent="0.25">
      <c r="A1332">
        <v>2335</v>
      </c>
      <c r="B1332" s="47" t="str">
        <f>VLOOKUP(Tabla6[[#This Row],['# Vuelo]],'Validacion reclamo de equipaje'!P:Q,2,0)</f>
        <v>MEXICO AEREO</v>
      </c>
      <c r="C1332" s="48">
        <v>0.95833333333333337</v>
      </c>
      <c r="D1332" s="48">
        <v>0.97777777777777775</v>
      </c>
      <c r="E1332" s="49">
        <f>'Reclamo de equipaje rediseñado'!$D1332-'Reclamo de equipaje rediseñado'!$C1332</f>
        <v>1.9444444444444375E-2</v>
      </c>
      <c r="F1332" s="48">
        <v>0.97986111111111107</v>
      </c>
      <c r="G1332" s="49">
        <f t="shared" si="20"/>
        <v>2.0833333333333259E-3</v>
      </c>
      <c r="H1332" s="50">
        <v>41732</v>
      </c>
      <c r="I1332" s="51" t="s">
        <v>542</v>
      </c>
      <c r="J1332" s="51" t="s">
        <v>535</v>
      </c>
      <c r="K1332" s="51">
        <f>VLOOKUP(J1332,'Validacion reclamo de equipaje'!L:M,2,0)</f>
        <v>50</v>
      </c>
      <c r="L1332" s="51" t="str">
        <f>VLOOKUP(I1332,'Validacion reclamo de equipaje'!H:I,2,0)</f>
        <v>Nacional</v>
      </c>
      <c r="M1332" s="51" t="s">
        <v>523</v>
      </c>
    </row>
    <row r="1333" spans="1:13" x14ac:dyDescent="0.25">
      <c r="A1333">
        <v>2335</v>
      </c>
      <c r="B1333" s="47" t="str">
        <f>VLOOKUP(Tabla6[[#This Row],['# Vuelo]],'Validacion reclamo de equipaje'!P:Q,2,0)</f>
        <v>MEXICO AEREO</v>
      </c>
      <c r="C1333" s="52">
        <v>0.95972222222222225</v>
      </c>
      <c r="D1333" s="52">
        <v>0.96597222222222223</v>
      </c>
      <c r="E1333" s="53">
        <f>'Reclamo de equipaje rediseñado'!$D1333-'Reclamo de equipaje rediseñado'!$C1333</f>
        <v>6.2499999999999778E-3</v>
      </c>
      <c r="F1333" s="52">
        <v>0.9770833333333333</v>
      </c>
      <c r="G1333" s="53">
        <f t="shared" si="20"/>
        <v>1.1111111111111072E-2</v>
      </c>
      <c r="H1333" s="54">
        <v>41734</v>
      </c>
      <c r="I1333" s="55" t="s">
        <v>542</v>
      </c>
      <c r="J1333" s="55" t="s">
        <v>535</v>
      </c>
      <c r="K1333" s="55">
        <f>VLOOKUP(J1333,'Validacion reclamo de equipaje'!L:M,2,0)</f>
        <v>50</v>
      </c>
      <c r="L1333" s="55" t="str">
        <f>VLOOKUP(I1333,'Validacion reclamo de equipaje'!H:I,2,0)</f>
        <v>Nacional</v>
      </c>
      <c r="M1333" s="55" t="s">
        <v>523</v>
      </c>
    </row>
    <row r="1334" spans="1:13" x14ac:dyDescent="0.25">
      <c r="A1334">
        <v>2335</v>
      </c>
      <c r="B1334" s="47" t="str">
        <f>VLOOKUP(Tabla6[[#This Row],['# Vuelo]],'Validacion reclamo de equipaje'!P:Q,2,0)</f>
        <v>MEXICO AEREO</v>
      </c>
      <c r="C1334" s="48">
        <v>0.95277777777777783</v>
      </c>
      <c r="D1334" s="48">
        <v>0.95624999999999993</v>
      </c>
      <c r="E1334" s="49">
        <f>'Reclamo de equipaje rediseñado'!$D1334-'Reclamo de equipaje rediseñado'!$C1334</f>
        <v>3.4722222222220989E-3</v>
      </c>
      <c r="F1334" s="48">
        <v>0.9590277777777777</v>
      </c>
      <c r="G1334" s="49">
        <f t="shared" si="20"/>
        <v>2.7777777777777679E-3</v>
      </c>
      <c r="H1334" s="50">
        <v>41736</v>
      </c>
      <c r="I1334" s="51" t="s">
        <v>542</v>
      </c>
      <c r="J1334" s="51" t="s">
        <v>535</v>
      </c>
      <c r="K1334" s="51">
        <f>VLOOKUP(J1334,'Validacion reclamo de equipaje'!L:M,2,0)</f>
        <v>50</v>
      </c>
      <c r="L1334" s="51" t="str">
        <f>VLOOKUP(I1334,'Validacion reclamo de equipaje'!H:I,2,0)</f>
        <v>Nacional</v>
      </c>
      <c r="M1334" s="51" t="s">
        <v>523</v>
      </c>
    </row>
    <row r="1335" spans="1:13" x14ac:dyDescent="0.25">
      <c r="A1335">
        <v>2335</v>
      </c>
      <c r="B1335" s="47" t="str">
        <f>VLOOKUP(Tabla6[[#This Row],['# Vuelo]],'Validacion reclamo de equipaje'!P:Q,2,0)</f>
        <v>MEXICO AEREO</v>
      </c>
      <c r="C1335" s="52">
        <v>0.95277777777777783</v>
      </c>
      <c r="D1335" s="52">
        <v>0.95972222222222225</v>
      </c>
      <c r="E1335" s="53">
        <f>'Reclamo de equipaje rediseñado'!$D1335-'Reclamo de equipaje rediseñado'!$C1335</f>
        <v>6.9444444444444198E-3</v>
      </c>
      <c r="F1335" s="52">
        <v>0.96319444444444446</v>
      </c>
      <c r="G1335" s="53">
        <f t="shared" si="20"/>
        <v>3.4722222222222099E-3</v>
      </c>
      <c r="H1335" s="54">
        <v>41738</v>
      </c>
      <c r="I1335" s="55" t="s">
        <v>542</v>
      </c>
      <c r="J1335" s="55" t="s">
        <v>535</v>
      </c>
      <c r="K1335" s="55">
        <f>VLOOKUP(J1335,'Validacion reclamo de equipaje'!L:M,2,0)</f>
        <v>50</v>
      </c>
      <c r="L1335" s="55" t="str">
        <f>VLOOKUP(I1335,'Validacion reclamo de equipaje'!H:I,2,0)</f>
        <v>Nacional</v>
      </c>
      <c r="M1335" s="55" t="s">
        <v>523</v>
      </c>
    </row>
    <row r="1336" spans="1:13" x14ac:dyDescent="0.25">
      <c r="A1336">
        <v>2335</v>
      </c>
      <c r="B1336" s="47" t="str">
        <f>VLOOKUP(Tabla6[[#This Row],['# Vuelo]],'Validacion reclamo de equipaje'!P:Q,2,0)</f>
        <v>MEXICO AEREO</v>
      </c>
      <c r="C1336" s="48">
        <v>0.9868055555555556</v>
      </c>
      <c r="D1336" s="48">
        <v>0.99236111111111114</v>
      </c>
      <c r="E1336" s="49">
        <f>'Reclamo de equipaje rediseñado'!$D1336-'Reclamo de equipaje rediseñado'!$C1336</f>
        <v>5.5555555555555358E-3</v>
      </c>
      <c r="F1336" s="48">
        <v>0.99375000000000002</v>
      </c>
      <c r="G1336" s="49">
        <f t="shared" si="20"/>
        <v>1.388888888888884E-3</v>
      </c>
      <c r="H1336" s="50">
        <v>41739</v>
      </c>
      <c r="I1336" s="51" t="s">
        <v>542</v>
      </c>
      <c r="J1336" s="51" t="s">
        <v>535</v>
      </c>
      <c r="K1336" s="51">
        <f>VLOOKUP(J1336,'Validacion reclamo de equipaje'!L:M,2,0)</f>
        <v>50</v>
      </c>
      <c r="L1336" s="51" t="str">
        <f>VLOOKUP(I1336,'Validacion reclamo de equipaje'!H:I,2,0)</f>
        <v>Nacional</v>
      </c>
      <c r="M1336" s="51" t="s">
        <v>523</v>
      </c>
    </row>
    <row r="1337" spans="1:13" x14ac:dyDescent="0.25">
      <c r="A1337">
        <v>2335</v>
      </c>
      <c r="B1337" s="47" t="str">
        <f>VLOOKUP(Tabla6[[#This Row],['# Vuelo]],'Validacion reclamo de equipaje'!P:Q,2,0)</f>
        <v>MEXICO AEREO</v>
      </c>
      <c r="C1337" s="52">
        <v>0.96111111111111114</v>
      </c>
      <c r="D1337" s="52">
        <v>0.99652777777777779</v>
      </c>
      <c r="E1337" s="53">
        <f>'Reclamo de equipaje rediseñado'!$D1337-'Reclamo de equipaje rediseñado'!$C1337</f>
        <v>3.5416666666666652E-2</v>
      </c>
      <c r="F1337" s="52">
        <v>0.99791666666666667</v>
      </c>
      <c r="G1337" s="53">
        <f t="shared" si="20"/>
        <v>1.388888888888884E-3</v>
      </c>
      <c r="H1337" s="54">
        <v>41740</v>
      </c>
      <c r="I1337" s="55" t="s">
        <v>542</v>
      </c>
      <c r="J1337" s="55" t="s">
        <v>535</v>
      </c>
      <c r="K1337" s="55">
        <f>VLOOKUP(J1337,'Validacion reclamo de equipaje'!L:M,2,0)</f>
        <v>50</v>
      </c>
      <c r="L1337" s="55" t="str">
        <f>VLOOKUP(I1337,'Validacion reclamo de equipaje'!H:I,2,0)</f>
        <v>Nacional</v>
      </c>
      <c r="M1337" s="55" t="s">
        <v>523</v>
      </c>
    </row>
    <row r="1338" spans="1:13" x14ac:dyDescent="0.25">
      <c r="A1338">
        <v>2335</v>
      </c>
      <c r="B1338" s="47" t="str">
        <f>VLOOKUP(Tabla6[[#This Row],['# Vuelo]],'Validacion reclamo de equipaje'!P:Q,2,0)</f>
        <v>MEXICO AEREO</v>
      </c>
      <c r="C1338" s="48">
        <v>0.94930555555555562</v>
      </c>
      <c r="D1338" s="48">
        <v>0.9590277777777777</v>
      </c>
      <c r="E1338" s="49">
        <f>'Reclamo de equipaje rediseñado'!$D1338-'Reclamo de equipaje rediseñado'!$C1338</f>
        <v>9.7222222222220767E-3</v>
      </c>
      <c r="F1338" s="48">
        <v>0.96597222222222223</v>
      </c>
      <c r="G1338" s="49">
        <f t="shared" si="20"/>
        <v>6.9444444444445308E-3</v>
      </c>
      <c r="H1338" s="50">
        <v>41743</v>
      </c>
      <c r="I1338" s="51" t="s">
        <v>542</v>
      </c>
      <c r="J1338" s="51" t="s">
        <v>535</v>
      </c>
      <c r="K1338" s="51">
        <f>VLOOKUP(J1338,'Validacion reclamo de equipaje'!L:M,2,0)</f>
        <v>50</v>
      </c>
      <c r="L1338" s="51" t="str">
        <f>VLOOKUP(I1338,'Validacion reclamo de equipaje'!H:I,2,0)</f>
        <v>Nacional</v>
      </c>
      <c r="M1338" s="51" t="s">
        <v>523</v>
      </c>
    </row>
    <row r="1339" spans="1:13" x14ac:dyDescent="0.25">
      <c r="A1339">
        <v>2335</v>
      </c>
      <c r="B1339" s="47" t="str">
        <f>VLOOKUP(Tabla6[[#This Row],['# Vuelo]],'Validacion reclamo de equipaje'!P:Q,2,0)</f>
        <v>MEXICO AEREO</v>
      </c>
      <c r="C1339" s="52">
        <v>0.97430555555555554</v>
      </c>
      <c r="D1339" s="52">
        <v>0.98263888888888884</v>
      </c>
      <c r="E1339" s="53">
        <f>'Reclamo de equipaje rediseñado'!$D1339-'Reclamo de equipaje rediseñado'!$C1339</f>
        <v>8.3333333333333037E-3</v>
      </c>
      <c r="F1339" s="52">
        <v>0.98541666666666661</v>
      </c>
      <c r="G1339" s="53">
        <f t="shared" si="20"/>
        <v>2.7777777777777679E-3</v>
      </c>
      <c r="H1339" s="54">
        <v>41745</v>
      </c>
      <c r="I1339" s="55" t="s">
        <v>542</v>
      </c>
      <c r="J1339" s="55" t="s">
        <v>535</v>
      </c>
      <c r="K1339" s="55">
        <f>VLOOKUP(J1339,'Validacion reclamo de equipaje'!L:M,2,0)</f>
        <v>50</v>
      </c>
      <c r="L1339" s="55" t="str">
        <f>VLOOKUP(I1339,'Validacion reclamo de equipaje'!H:I,2,0)</f>
        <v>Nacional</v>
      </c>
      <c r="M1339" s="55" t="s">
        <v>523</v>
      </c>
    </row>
    <row r="1340" spans="1:13" x14ac:dyDescent="0.25">
      <c r="A1340">
        <v>2335</v>
      </c>
      <c r="B1340" s="47" t="str">
        <f>VLOOKUP(Tabla6[[#This Row],['# Vuelo]],'Validacion reclamo de equipaje'!P:Q,2,0)</f>
        <v>MEXICO AEREO</v>
      </c>
      <c r="C1340" s="48">
        <v>0.96180555555555547</v>
      </c>
      <c r="D1340" s="48">
        <v>0.9784722222222223</v>
      </c>
      <c r="E1340" s="49">
        <f>'Reclamo de equipaje rediseñado'!$D1340-'Reclamo de equipaje rediseñado'!$C1340</f>
        <v>1.6666666666666829E-2</v>
      </c>
      <c r="F1340" s="48">
        <v>0.98472222222222217</v>
      </c>
      <c r="G1340" s="49">
        <f t="shared" si="20"/>
        <v>6.2499999999998668E-3</v>
      </c>
      <c r="H1340" s="50">
        <v>41744</v>
      </c>
      <c r="I1340" s="51" t="s">
        <v>542</v>
      </c>
      <c r="J1340" s="51" t="s">
        <v>535</v>
      </c>
      <c r="K1340" s="51">
        <f>VLOOKUP(J1340,'Validacion reclamo de equipaje'!L:M,2,0)</f>
        <v>50</v>
      </c>
      <c r="L1340" s="51" t="str">
        <f>VLOOKUP(I1340,'Validacion reclamo de equipaje'!H:I,2,0)</f>
        <v>Nacional</v>
      </c>
      <c r="M1340" s="51" t="s">
        <v>523</v>
      </c>
    </row>
    <row r="1341" spans="1:13" x14ac:dyDescent="0.25">
      <c r="A1341">
        <v>2335</v>
      </c>
      <c r="B1341" s="47" t="str">
        <f>VLOOKUP(Tabla6[[#This Row],['# Vuelo]],'Validacion reclamo de equipaje'!P:Q,2,0)</f>
        <v>MEXICO AEREO</v>
      </c>
      <c r="C1341" s="52">
        <v>0.95000000000000007</v>
      </c>
      <c r="D1341" s="52">
        <v>0.95624999999999993</v>
      </c>
      <c r="E1341" s="53">
        <f>'Reclamo de equipaje rediseñado'!$D1341-'Reclamo de equipaje rediseñado'!$C1341</f>
        <v>6.2499999999998668E-3</v>
      </c>
      <c r="F1341" s="52">
        <v>0.9604166666666667</v>
      </c>
      <c r="G1341" s="53">
        <f t="shared" si="20"/>
        <v>4.1666666666667629E-3</v>
      </c>
      <c r="H1341" s="54">
        <v>41746</v>
      </c>
      <c r="I1341" s="55" t="s">
        <v>542</v>
      </c>
      <c r="J1341" s="55" t="s">
        <v>535</v>
      </c>
      <c r="K1341" s="55">
        <f>VLOOKUP(J1341,'Validacion reclamo de equipaje'!L:M,2,0)</f>
        <v>50</v>
      </c>
      <c r="L1341" s="55" t="str">
        <f>VLOOKUP(I1341,'Validacion reclamo de equipaje'!H:I,2,0)</f>
        <v>Nacional</v>
      </c>
      <c r="M1341" s="55" t="s">
        <v>523</v>
      </c>
    </row>
    <row r="1342" spans="1:13" x14ac:dyDescent="0.25">
      <c r="A1342">
        <v>2335</v>
      </c>
      <c r="B1342" s="47" t="str">
        <f>VLOOKUP(Tabla6[[#This Row],['# Vuelo]],'Validacion reclamo de equipaje'!P:Q,2,0)</f>
        <v>MEXICO AEREO</v>
      </c>
      <c r="C1342" s="48">
        <v>0.96527777777777779</v>
      </c>
      <c r="D1342" s="48">
        <v>0.97499999999999998</v>
      </c>
      <c r="E1342" s="49">
        <f>'Reclamo de equipaje rediseñado'!$D1342-'Reclamo de equipaje rediseñado'!$C1342</f>
        <v>9.7222222222221877E-3</v>
      </c>
      <c r="F1342" s="48">
        <v>0.97638888888888886</v>
      </c>
      <c r="G1342" s="49">
        <f t="shared" si="20"/>
        <v>1.388888888888884E-3</v>
      </c>
      <c r="H1342" s="50">
        <v>41749</v>
      </c>
      <c r="I1342" s="51" t="s">
        <v>542</v>
      </c>
      <c r="J1342" s="51" t="s">
        <v>535</v>
      </c>
      <c r="K1342" s="51">
        <f>VLOOKUP(J1342,'Validacion reclamo de equipaje'!L:M,2,0)</f>
        <v>50</v>
      </c>
      <c r="L1342" s="51" t="str">
        <f>VLOOKUP(I1342,'Validacion reclamo de equipaje'!H:I,2,0)</f>
        <v>Nacional</v>
      </c>
      <c r="M1342" s="51" t="s">
        <v>523</v>
      </c>
    </row>
    <row r="1343" spans="1:13" x14ac:dyDescent="0.25">
      <c r="A1343">
        <v>2335</v>
      </c>
      <c r="B1343" s="47" t="str">
        <f>VLOOKUP(Tabla6[[#This Row],['# Vuelo]],'Validacion reclamo de equipaje'!P:Q,2,0)</f>
        <v>MEXICO AEREO</v>
      </c>
      <c r="C1343" s="52">
        <v>0.96458333333333324</v>
      </c>
      <c r="D1343" s="52">
        <v>0.96597222222222223</v>
      </c>
      <c r="E1343" s="53">
        <f>'Reclamo de equipaje rediseñado'!$D1343-'Reclamo de equipaje rediseñado'!$C1343</f>
        <v>1.388888888888995E-3</v>
      </c>
      <c r="F1343" s="52">
        <v>0.96736111111111101</v>
      </c>
      <c r="G1343" s="53">
        <f t="shared" si="20"/>
        <v>1.3888888888887729E-3</v>
      </c>
      <c r="H1343" s="54">
        <v>41751</v>
      </c>
      <c r="I1343" s="55" t="s">
        <v>542</v>
      </c>
      <c r="J1343" s="55" t="s">
        <v>535</v>
      </c>
      <c r="K1343" s="55">
        <f>VLOOKUP(J1343,'Validacion reclamo de equipaje'!L:M,2,0)</f>
        <v>50</v>
      </c>
      <c r="L1343" s="55" t="str">
        <f>VLOOKUP(I1343,'Validacion reclamo de equipaje'!H:I,2,0)</f>
        <v>Nacional</v>
      </c>
      <c r="M1343" s="55" t="s">
        <v>523</v>
      </c>
    </row>
    <row r="1344" spans="1:13" x14ac:dyDescent="0.25">
      <c r="A1344">
        <v>2335</v>
      </c>
      <c r="B1344" s="47" t="str">
        <f>VLOOKUP(Tabla6[[#This Row],['# Vuelo]],'Validacion reclamo de equipaje'!P:Q,2,0)</f>
        <v>MEXICO AEREO</v>
      </c>
      <c r="C1344" s="48">
        <v>0.96597222222222223</v>
      </c>
      <c r="D1344" s="48">
        <v>0.97638888888888886</v>
      </c>
      <c r="E1344" s="49">
        <f>'Reclamo de equipaje rediseñado'!$D1344-'Reclamo de equipaje rediseñado'!$C1344</f>
        <v>1.041666666666663E-2</v>
      </c>
      <c r="F1344" s="48">
        <v>0.98333333333333339</v>
      </c>
      <c r="G1344" s="49">
        <f t="shared" si="20"/>
        <v>6.9444444444445308E-3</v>
      </c>
      <c r="H1344" s="50">
        <v>41753</v>
      </c>
      <c r="I1344" s="51" t="s">
        <v>542</v>
      </c>
      <c r="J1344" s="51" t="s">
        <v>535</v>
      </c>
      <c r="K1344" s="51">
        <f>VLOOKUP(J1344,'Validacion reclamo de equipaje'!L:M,2,0)</f>
        <v>50</v>
      </c>
      <c r="L1344" s="51" t="str">
        <f>VLOOKUP(I1344,'Validacion reclamo de equipaje'!H:I,2,0)</f>
        <v>Nacional</v>
      </c>
      <c r="M1344" s="51" t="s">
        <v>523</v>
      </c>
    </row>
    <row r="1345" spans="1:13" x14ac:dyDescent="0.25">
      <c r="A1345">
        <v>2335</v>
      </c>
      <c r="B1345" s="47" t="str">
        <f>VLOOKUP(Tabla6[[#This Row],['# Vuelo]],'Validacion reclamo de equipaje'!P:Q,2,0)</f>
        <v>MEXICO AEREO</v>
      </c>
      <c r="C1345" s="52">
        <v>0.95416666666666661</v>
      </c>
      <c r="D1345" s="52">
        <v>0.95972222222222225</v>
      </c>
      <c r="E1345" s="53">
        <f>'Reclamo de equipaje rediseñado'!$D1345-'Reclamo de equipaje rediseñado'!$C1345</f>
        <v>5.5555555555556468E-3</v>
      </c>
      <c r="F1345" s="52">
        <v>0.96319444444444446</v>
      </c>
      <c r="G1345" s="53">
        <f t="shared" si="20"/>
        <v>3.4722222222222099E-3</v>
      </c>
      <c r="H1345" s="54">
        <v>41757</v>
      </c>
      <c r="I1345" s="55" t="s">
        <v>542</v>
      </c>
      <c r="J1345" s="55" t="s">
        <v>535</v>
      </c>
      <c r="K1345" s="55">
        <f>VLOOKUP(J1345,'Validacion reclamo de equipaje'!L:M,2,0)</f>
        <v>50</v>
      </c>
      <c r="L1345" s="55" t="str">
        <f>VLOOKUP(I1345,'Validacion reclamo de equipaje'!H:I,2,0)</f>
        <v>Nacional</v>
      </c>
      <c r="M1345" s="55" t="s">
        <v>523</v>
      </c>
    </row>
    <row r="1346" spans="1:13" x14ac:dyDescent="0.25">
      <c r="A1346">
        <v>2335</v>
      </c>
      <c r="B1346" s="47" t="str">
        <f>VLOOKUP(Tabla6[[#This Row],['# Vuelo]],'Validacion reclamo de equipaje'!P:Q,2,0)</f>
        <v>MEXICO AEREO</v>
      </c>
      <c r="C1346" s="48">
        <v>0.96458333333333324</v>
      </c>
      <c r="D1346" s="48">
        <v>0.96875</v>
      </c>
      <c r="E1346" s="49">
        <f>'Reclamo de equipaje rediseñado'!$D1346-'Reclamo de equipaje rediseñado'!$C1346</f>
        <v>4.1666666666667629E-3</v>
      </c>
      <c r="F1346" s="48">
        <v>0.97083333333333333</v>
      </c>
      <c r="G1346" s="49">
        <f t="shared" si="20"/>
        <v>2.0833333333333259E-3</v>
      </c>
      <c r="H1346" s="50">
        <v>41759</v>
      </c>
      <c r="I1346" s="51" t="s">
        <v>542</v>
      </c>
      <c r="J1346" s="51" t="s">
        <v>535</v>
      </c>
      <c r="K1346" s="51">
        <f>VLOOKUP(J1346,'Validacion reclamo de equipaje'!L:M,2,0)</f>
        <v>50</v>
      </c>
      <c r="L1346" s="51" t="str">
        <f>VLOOKUP(I1346,'Validacion reclamo de equipaje'!H:I,2,0)</f>
        <v>Nacional</v>
      </c>
      <c r="M1346" s="51" t="s">
        <v>523</v>
      </c>
    </row>
    <row r="1347" spans="1:13" x14ac:dyDescent="0.25">
      <c r="A1347">
        <v>2335</v>
      </c>
      <c r="B1347" s="47" t="str">
        <f>VLOOKUP(Tabla6[[#This Row],['# Vuelo]],'Validacion reclamo de equipaje'!P:Q,2,0)</f>
        <v>MEXICO AEREO</v>
      </c>
      <c r="C1347" s="52">
        <v>0.98611111111111116</v>
      </c>
      <c r="D1347" s="52">
        <v>0.99305555555555547</v>
      </c>
      <c r="E1347" s="53">
        <f>'Reclamo de equipaje rediseñado'!$D1347-'Reclamo de equipaje rediseñado'!$C1347</f>
        <v>6.9444444444443088E-3</v>
      </c>
      <c r="F1347" s="52">
        <v>0.99791666666666667</v>
      </c>
      <c r="G1347" s="53">
        <f t="shared" ref="G1347:G1410" si="21">F1347-D1347</f>
        <v>4.8611111111112049E-3</v>
      </c>
      <c r="H1347" s="54">
        <v>41759</v>
      </c>
      <c r="I1347" s="55" t="s">
        <v>542</v>
      </c>
      <c r="J1347" s="55" t="s">
        <v>535</v>
      </c>
      <c r="K1347" s="55">
        <f>VLOOKUP(J1347,'Validacion reclamo de equipaje'!L:M,2,0)</f>
        <v>50</v>
      </c>
      <c r="L1347" s="55" t="str">
        <f>VLOOKUP(I1347,'Validacion reclamo de equipaje'!H:I,2,0)</f>
        <v>Nacional</v>
      </c>
      <c r="M1347" s="55" t="s">
        <v>523</v>
      </c>
    </row>
    <row r="1348" spans="1:13" x14ac:dyDescent="0.25">
      <c r="A1348">
        <v>2320</v>
      </c>
      <c r="B1348" s="47" t="str">
        <f>VLOOKUP(Tabla6[[#This Row],['# Vuelo]],'Validacion reclamo de equipaje'!P:Q,2,0)</f>
        <v>MEXICO AEREO</v>
      </c>
      <c r="C1348" s="48">
        <v>0.50972222222222219</v>
      </c>
      <c r="D1348" s="48">
        <v>0.53125</v>
      </c>
      <c r="E1348" s="49">
        <f>'Reclamo de equipaje rediseñado'!$D1348-'Reclamo de equipaje rediseñado'!$C1348</f>
        <v>2.1527777777777812E-2</v>
      </c>
      <c r="F1348" s="48">
        <v>0.5395833333333333</v>
      </c>
      <c r="G1348" s="49">
        <f t="shared" si="21"/>
        <v>8.3333333333333037E-3</v>
      </c>
      <c r="H1348" s="50">
        <v>41730</v>
      </c>
      <c r="I1348" s="51" t="s">
        <v>544</v>
      </c>
      <c r="J1348" s="51" t="s">
        <v>535</v>
      </c>
      <c r="K1348" s="51">
        <f>VLOOKUP(J1348,'Validacion reclamo de equipaje'!L:M,2,0)</f>
        <v>50</v>
      </c>
      <c r="L1348" s="51" t="str">
        <f>VLOOKUP(I1348,'Validacion reclamo de equipaje'!H:I,2,0)</f>
        <v>Nacional</v>
      </c>
      <c r="M1348" s="51" t="s">
        <v>523</v>
      </c>
    </row>
    <row r="1349" spans="1:13" x14ac:dyDescent="0.25">
      <c r="A1349">
        <v>2320</v>
      </c>
      <c r="B1349" s="47" t="str">
        <f>VLOOKUP(Tabla6[[#This Row],['# Vuelo]],'Validacion reclamo de equipaje'!P:Q,2,0)</f>
        <v>MEXICO AEREO</v>
      </c>
      <c r="C1349" s="52">
        <v>0.52847222222222223</v>
      </c>
      <c r="D1349" s="52">
        <v>0.53541666666666665</v>
      </c>
      <c r="E1349" s="53">
        <f>'Reclamo de equipaje rediseñado'!$D1349-'Reclamo de equipaje rediseñado'!$C1349</f>
        <v>6.9444444444444198E-3</v>
      </c>
      <c r="F1349" s="52">
        <v>0.53749999999999998</v>
      </c>
      <c r="G1349" s="53">
        <f t="shared" si="21"/>
        <v>2.0833333333333259E-3</v>
      </c>
      <c r="H1349" s="54">
        <v>41731</v>
      </c>
      <c r="I1349" s="55" t="s">
        <v>544</v>
      </c>
      <c r="J1349" s="55" t="s">
        <v>535</v>
      </c>
      <c r="K1349" s="55">
        <f>VLOOKUP(J1349,'Validacion reclamo de equipaje'!L:M,2,0)</f>
        <v>50</v>
      </c>
      <c r="L1349" s="55" t="str">
        <f>VLOOKUP(I1349,'Validacion reclamo de equipaje'!H:I,2,0)</f>
        <v>Nacional</v>
      </c>
      <c r="M1349" s="55" t="s">
        <v>523</v>
      </c>
    </row>
    <row r="1350" spans="1:13" x14ac:dyDescent="0.25">
      <c r="A1350">
        <v>2320</v>
      </c>
      <c r="B1350" s="47" t="str">
        <f>VLOOKUP(Tabla6[[#This Row],['# Vuelo]],'Validacion reclamo de equipaje'!P:Q,2,0)</f>
        <v>MEXICO AEREO</v>
      </c>
      <c r="C1350" s="48">
        <v>0.53680555555555554</v>
      </c>
      <c r="D1350" s="48">
        <v>0.54236111111111118</v>
      </c>
      <c r="E1350" s="49">
        <f>'Reclamo de equipaje rediseñado'!$D1350-'Reclamo de equipaje rediseñado'!$C1350</f>
        <v>5.5555555555556468E-3</v>
      </c>
      <c r="F1350" s="48">
        <v>0.54652777777777783</v>
      </c>
      <c r="G1350" s="49">
        <f t="shared" si="21"/>
        <v>4.1666666666666519E-3</v>
      </c>
      <c r="H1350" s="50">
        <v>41733</v>
      </c>
      <c r="I1350" s="51" t="s">
        <v>544</v>
      </c>
      <c r="J1350" s="51" t="s">
        <v>535</v>
      </c>
      <c r="K1350" s="51">
        <f>VLOOKUP(J1350,'Validacion reclamo de equipaje'!L:M,2,0)</f>
        <v>50</v>
      </c>
      <c r="L1350" s="51" t="str">
        <f>VLOOKUP(I1350,'Validacion reclamo de equipaje'!H:I,2,0)</f>
        <v>Nacional</v>
      </c>
      <c r="M1350" s="51" t="s">
        <v>523</v>
      </c>
    </row>
    <row r="1351" spans="1:13" x14ac:dyDescent="0.25">
      <c r="A1351">
        <v>2320</v>
      </c>
      <c r="B1351" s="47" t="str">
        <f>VLOOKUP(Tabla6[[#This Row],['# Vuelo]],'Validacion reclamo de equipaje'!P:Q,2,0)</f>
        <v>MEXICO AEREO</v>
      </c>
      <c r="C1351" s="52">
        <v>0.56180555555555556</v>
      </c>
      <c r="D1351" s="52">
        <v>0.56597222222222221</v>
      </c>
      <c r="E1351" s="53">
        <f>'Reclamo de equipaje rediseñado'!$D1351-'Reclamo de equipaje rediseñado'!$C1351</f>
        <v>4.1666666666666519E-3</v>
      </c>
      <c r="F1351" s="52">
        <v>0.57291666666666663</v>
      </c>
      <c r="G1351" s="53">
        <f t="shared" si="21"/>
        <v>6.9444444444444198E-3</v>
      </c>
      <c r="H1351" s="54">
        <v>41735</v>
      </c>
      <c r="I1351" s="55" t="s">
        <v>544</v>
      </c>
      <c r="J1351" s="55" t="s">
        <v>535</v>
      </c>
      <c r="K1351" s="55">
        <f>VLOOKUP(J1351,'Validacion reclamo de equipaje'!L:M,2,0)</f>
        <v>50</v>
      </c>
      <c r="L1351" s="55" t="str">
        <f>VLOOKUP(I1351,'Validacion reclamo de equipaje'!H:I,2,0)</f>
        <v>Nacional</v>
      </c>
      <c r="M1351" s="55" t="s">
        <v>523</v>
      </c>
    </row>
    <row r="1352" spans="1:13" x14ac:dyDescent="0.25">
      <c r="A1352">
        <v>2320</v>
      </c>
      <c r="B1352" s="47" t="str">
        <f>VLOOKUP(Tabla6[[#This Row],['# Vuelo]],'Validacion reclamo de equipaje'!P:Q,2,0)</f>
        <v>MEXICO AEREO</v>
      </c>
      <c r="C1352" s="48">
        <v>0.49652777777777773</v>
      </c>
      <c r="D1352" s="48">
        <v>0.5</v>
      </c>
      <c r="E1352" s="49">
        <f>'Reclamo de equipaje rediseñado'!$D1352-'Reclamo de equipaje rediseñado'!$C1352</f>
        <v>3.4722222222222654E-3</v>
      </c>
      <c r="F1352" s="48">
        <v>0.50347222222222221</v>
      </c>
      <c r="G1352" s="49">
        <f t="shared" si="21"/>
        <v>3.4722222222222099E-3</v>
      </c>
      <c r="H1352" s="50">
        <v>41736</v>
      </c>
      <c r="I1352" s="51" t="s">
        <v>544</v>
      </c>
      <c r="J1352" s="51" t="s">
        <v>535</v>
      </c>
      <c r="K1352" s="51">
        <f>VLOOKUP(J1352,'Validacion reclamo de equipaje'!L:M,2,0)</f>
        <v>50</v>
      </c>
      <c r="L1352" s="51" t="str">
        <f>VLOOKUP(I1352,'Validacion reclamo de equipaje'!H:I,2,0)</f>
        <v>Nacional</v>
      </c>
      <c r="M1352" s="51" t="s">
        <v>523</v>
      </c>
    </row>
    <row r="1353" spans="1:13" x14ac:dyDescent="0.25">
      <c r="A1353">
        <v>2320</v>
      </c>
      <c r="B1353" s="47" t="str">
        <f>VLOOKUP(Tabla6[[#This Row],['# Vuelo]],'Validacion reclamo de equipaje'!P:Q,2,0)</f>
        <v>MEXICO AEREO</v>
      </c>
      <c r="C1353" s="52">
        <v>0.50347222222222221</v>
      </c>
      <c r="D1353" s="52">
        <v>0.50694444444444442</v>
      </c>
      <c r="E1353" s="53">
        <f>'Reclamo de equipaje rediseñado'!$D1353-'Reclamo de equipaje rediseñado'!$C1353</f>
        <v>3.4722222222222099E-3</v>
      </c>
      <c r="F1353" s="52">
        <v>0.50972222222222219</v>
      </c>
      <c r="G1353" s="53">
        <f t="shared" si="21"/>
        <v>2.7777777777777679E-3</v>
      </c>
      <c r="H1353" s="54">
        <v>41737</v>
      </c>
      <c r="I1353" s="55" t="s">
        <v>544</v>
      </c>
      <c r="J1353" s="55" t="s">
        <v>535</v>
      </c>
      <c r="K1353" s="55">
        <f>VLOOKUP(J1353,'Validacion reclamo de equipaje'!L:M,2,0)</f>
        <v>50</v>
      </c>
      <c r="L1353" s="55" t="str">
        <f>VLOOKUP(I1353,'Validacion reclamo de equipaje'!H:I,2,0)</f>
        <v>Nacional</v>
      </c>
      <c r="M1353" s="55" t="s">
        <v>523</v>
      </c>
    </row>
    <row r="1354" spans="1:13" x14ac:dyDescent="0.25">
      <c r="A1354">
        <v>2320</v>
      </c>
      <c r="B1354" s="47" t="str">
        <f>VLOOKUP(Tabla6[[#This Row],['# Vuelo]],'Validacion reclamo de equipaje'!P:Q,2,0)</f>
        <v>MEXICO AEREO</v>
      </c>
      <c r="C1354" s="48">
        <v>0.49652777777777773</v>
      </c>
      <c r="D1354" s="48">
        <v>0.5</v>
      </c>
      <c r="E1354" s="49">
        <f>'Reclamo de equipaje rediseñado'!$D1354-'Reclamo de equipaje rediseñado'!$C1354</f>
        <v>3.4722222222222654E-3</v>
      </c>
      <c r="F1354" s="48">
        <v>0.50347222222222221</v>
      </c>
      <c r="G1354" s="49">
        <f t="shared" si="21"/>
        <v>3.4722222222222099E-3</v>
      </c>
      <c r="H1354" s="50">
        <v>41738</v>
      </c>
      <c r="I1354" s="51" t="s">
        <v>544</v>
      </c>
      <c r="J1354" s="51" t="s">
        <v>535</v>
      </c>
      <c r="K1354" s="51">
        <f>VLOOKUP(J1354,'Validacion reclamo de equipaje'!L:M,2,0)</f>
        <v>50</v>
      </c>
      <c r="L1354" s="51" t="str">
        <f>VLOOKUP(I1354,'Validacion reclamo de equipaje'!H:I,2,0)</f>
        <v>Nacional</v>
      </c>
      <c r="M1354" s="51" t="s">
        <v>523</v>
      </c>
    </row>
    <row r="1355" spans="1:13" x14ac:dyDescent="0.25">
      <c r="A1355">
        <v>2320</v>
      </c>
      <c r="B1355" s="47" t="str">
        <f>VLOOKUP(Tabla6[[#This Row],['# Vuelo]],'Validacion reclamo de equipaje'!P:Q,2,0)</f>
        <v>MEXICO AEREO</v>
      </c>
      <c r="C1355" s="52">
        <v>0.49513888888888885</v>
      </c>
      <c r="D1355" s="52">
        <v>0.50347222222222221</v>
      </c>
      <c r="E1355" s="53">
        <f>'Reclamo de equipaje rediseñado'!$D1355-'Reclamo de equipaje rediseñado'!$C1355</f>
        <v>8.3333333333333592E-3</v>
      </c>
      <c r="F1355" s="52">
        <v>0.50694444444444442</v>
      </c>
      <c r="G1355" s="53">
        <f t="shared" si="21"/>
        <v>3.4722222222222099E-3</v>
      </c>
      <c r="H1355" s="54">
        <v>41739</v>
      </c>
      <c r="I1355" s="55" t="s">
        <v>544</v>
      </c>
      <c r="J1355" s="55" t="s">
        <v>535</v>
      </c>
      <c r="K1355" s="55">
        <f>VLOOKUP(J1355,'Validacion reclamo de equipaje'!L:M,2,0)</f>
        <v>50</v>
      </c>
      <c r="L1355" s="55" t="str">
        <f>VLOOKUP(I1355,'Validacion reclamo de equipaje'!H:I,2,0)</f>
        <v>Nacional</v>
      </c>
      <c r="M1355" s="55" t="s">
        <v>523</v>
      </c>
    </row>
    <row r="1356" spans="1:13" x14ac:dyDescent="0.25">
      <c r="A1356">
        <v>2320</v>
      </c>
      <c r="B1356" s="47" t="str">
        <f>VLOOKUP(Tabla6[[#This Row],['# Vuelo]],'Validacion reclamo de equipaje'!P:Q,2,0)</f>
        <v>MEXICO AEREO</v>
      </c>
      <c r="C1356" s="48">
        <v>0.49861111111111112</v>
      </c>
      <c r="D1356" s="48">
        <v>0.50347222222222221</v>
      </c>
      <c r="E1356" s="49">
        <f>'Reclamo de equipaje rediseñado'!$D1356-'Reclamo de equipaje rediseñado'!$C1356</f>
        <v>4.8611111111110938E-3</v>
      </c>
      <c r="F1356" s="48">
        <v>0.50902777777777775</v>
      </c>
      <c r="G1356" s="49">
        <f t="shared" si="21"/>
        <v>5.5555555555555358E-3</v>
      </c>
      <c r="H1356" s="50">
        <v>41741</v>
      </c>
      <c r="I1356" s="51" t="s">
        <v>544</v>
      </c>
      <c r="J1356" s="51" t="s">
        <v>535</v>
      </c>
      <c r="K1356" s="51">
        <f>VLOOKUP(J1356,'Validacion reclamo de equipaje'!L:M,2,0)</f>
        <v>50</v>
      </c>
      <c r="L1356" s="51" t="str">
        <f>VLOOKUP(I1356,'Validacion reclamo de equipaje'!H:I,2,0)</f>
        <v>Nacional</v>
      </c>
      <c r="M1356" s="51" t="s">
        <v>523</v>
      </c>
    </row>
    <row r="1357" spans="1:13" x14ac:dyDescent="0.25">
      <c r="A1357">
        <v>2320</v>
      </c>
      <c r="B1357" s="47" t="str">
        <f>VLOOKUP(Tabla6[[#This Row],['# Vuelo]],'Validacion reclamo de equipaje'!P:Q,2,0)</f>
        <v>MEXICO AEREO</v>
      </c>
      <c r="C1357" s="52">
        <v>0.50972222222222219</v>
      </c>
      <c r="D1357" s="52">
        <v>0.53125</v>
      </c>
      <c r="E1357" s="53">
        <f>'Reclamo de equipaje rediseñado'!$D1357-'Reclamo de equipaje rediseñado'!$C1357</f>
        <v>2.1527777777777812E-2</v>
      </c>
      <c r="F1357" s="52">
        <v>0.5395833333333333</v>
      </c>
      <c r="G1357" s="53">
        <f t="shared" si="21"/>
        <v>8.3333333333333037E-3</v>
      </c>
      <c r="H1357" s="54">
        <v>41742</v>
      </c>
      <c r="I1357" s="55" t="s">
        <v>544</v>
      </c>
      <c r="J1357" s="55" t="s">
        <v>535</v>
      </c>
      <c r="K1357" s="55">
        <f>VLOOKUP(J1357,'Validacion reclamo de equipaje'!L:M,2,0)</f>
        <v>50</v>
      </c>
      <c r="L1357" s="55" t="str">
        <f>VLOOKUP(I1357,'Validacion reclamo de equipaje'!H:I,2,0)</f>
        <v>Nacional</v>
      </c>
      <c r="M1357" s="55" t="s">
        <v>523</v>
      </c>
    </row>
    <row r="1358" spans="1:13" x14ac:dyDescent="0.25">
      <c r="A1358">
        <v>2320</v>
      </c>
      <c r="B1358" s="47" t="str">
        <f>VLOOKUP(Tabla6[[#This Row],['# Vuelo]],'Validacion reclamo de equipaje'!P:Q,2,0)</f>
        <v>MEXICO AEREO</v>
      </c>
      <c r="C1358" s="48">
        <v>0.4916666666666667</v>
      </c>
      <c r="D1358" s="48">
        <v>0.49652777777777773</v>
      </c>
      <c r="E1358" s="49">
        <f>'Reclamo de equipaje rediseñado'!$D1358-'Reclamo de equipaje rediseñado'!$C1358</f>
        <v>4.8611111111110383E-3</v>
      </c>
      <c r="F1358" s="48">
        <v>0.4993055555555555</v>
      </c>
      <c r="G1358" s="49">
        <f t="shared" si="21"/>
        <v>2.7777777777777679E-3</v>
      </c>
      <c r="H1358" s="50">
        <v>41743</v>
      </c>
      <c r="I1358" s="51" t="s">
        <v>544</v>
      </c>
      <c r="J1358" s="51" t="s">
        <v>535</v>
      </c>
      <c r="K1358" s="51">
        <f>VLOOKUP(J1358,'Validacion reclamo de equipaje'!L:M,2,0)</f>
        <v>50</v>
      </c>
      <c r="L1358" s="51" t="str">
        <f>VLOOKUP(I1358,'Validacion reclamo de equipaje'!H:I,2,0)</f>
        <v>Nacional</v>
      </c>
      <c r="M1358" s="51" t="s">
        <v>523</v>
      </c>
    </row>
    <row r="1359" spans="1:13" x14ac:dyDescent="0.25">
      <c r="A1359">
        <v>2320</v>
      </c>
      <c r="B1359" s="47" t="str">
        <f>VLOOKUP(Tabla6[[#This Row],['# Vuelo]],'Validacion reclamo de equipaje'!P:Q,2,0)</f>
        <v>MEXICO AEREO</v>
      </c>
      <c r="C1359" s="52">
        <v>0.49791666666666662</v>
      </c>
      <c r="D1359" s="52">
        <v>0.50277777777777777</v>
      </c>
      <c r="E1359" s="53">
        <f>'Reclamo de equipaje rediseñado'!$D1359-'Reclamo de equipaje rediseñado'!$C1359</f>
        <v>4.8611111111111494E-3</v>
      </c>
      <c r="F1359" s="52">
        <v>0.50694444444444442</v>
      </c>
      <c r="G1359" s="53">
        <f t="shared" si="21"/>
        <v>4.1666666666666519E-3</v>
      </c>
      <c r="H1359" s="54">
        <v>41744</v>
      </c>
      <c r="I1359" s="55" t="s">
        <v>544</v>
      </c>
      <c r="J1359" s="55" t="s">
        <v>535</v>
      </c>
      <c r="K1359" s="55">
        <f>VLOOKUP(J1359,'Validacion reclamo de equipaje'!L:M,2,0)</f>
        <v>50</v>
      </c>
      <c r="L1359" s="55" t="str">
        <f>VLOOKUP(I1359,'Validacion reclamo de equipaje'!H:I,2,0)</f>
        <v>Nacional</v>
      </c>
      <c r="M1359" s="55" t="s">
        <v>523</v>
      </c>
    </row>
    <row r="1360" spans="1:13" x14ac:dyDescent="0.25">
      <c r="A1360">
        <v>2320</v>
      </c>
      <c r="B1360" s="47" t="str">
        <f>VLOOKUP(Tabla6[[#This Row],['# Vuelo]],'Validacion reclamo de equipaje'!P:Q,2,0)</f>
        <v>MEXICO AEREO</v>
      </c>
      <c r="C1360" s="48">
        <v>0.4993055555555555</v>
      </c>
      <c r="D1360" s="48">
        <v>0.50416666666666665</v>
      </c>
      <c r="E1360" s="49">
        <f>'Reclamo de equipaje rediseñado'!$D1360-'Reclamo de equipaje rediseñado'!$C1360</f>
        <v>4.8611111111111494E-3</v>
      </c>
      <c r="F1360" s="48">
        <v>0.50486111111111109</v>
      </c>
      <c r="G1360" s="49">
        <f t="shared" si="21"/>
        <v>6.9444444444444198E-4</v>
      </c>
      <c r="H1360" s="50">
        <v>41745</v>
      </c>
      <c r="I1360" s="51" t="s">
        <v>544</v>
      </c>
      <c r="J1360" s="51" t="s">
        <v>535</v>
      </c>
      <c r="K1360" s="51">
        <f>VLOOKUP(J1360,'Validacion reclamo de equipaje'!L:M,2,0)</f>
        <v>50</v>
      </c>
      <c r="L1360" s="51" t="str">
        <f>VLOOKUP(I1360,'Validacion reclamo de equipaje'!H:I,2,0)</f>
        <v>Nacional</v>
      </c>
      <c r="M1360" s="51" t="s">
        <v>523</v>
      </c>
    </row>
    <row r="1361" spans="1:13" x14ac:dyDescent="0.25">
      <c r="A1361">
        <v>2320</v>
      </c>
      <c r="B1361" s="47" t="str">
        <f>VLOOKUP(Tabla6[[#This Row],['# Vuelo]],'Validacion reclamo de equipaje'!P:Q,2,0)</f>
        <v>MEXICO AEREO</v>
      </c>
      <c r="C1361" s="52">
        <v>0.58611111111111114</v>
      </c>
      <c r="D1361" s="52">
        <v>0.59513888888888888</v>
      </c>
      <c r="E1361" s="53">
        <f>'Reclamo de equipaje rediseñado'!$D1361-'Reclamo de equipaje rediseñado'!$C1361</f>
        <v>9.0277777777777457E-3</v>
      </c>
      <c r="F1361" s="52">
        <v>0.59722222222222221</v>
      </c>
      <c r="G1361" s="53">
        <f t="shared" si="21"/>
        <v>2.0833333333333259E-3</v>
      </c>
      <c r="H1361" s="54">
        <v>41748</v>
      </c>
      <c r="I1361" s="55" t="s">
        <v>544</v>
      </c>
      <c r="J1361" s="55" t="s">
        <v>535</v>
      </c>
      <c r="K1361" s="55">
        <f>VLOOKUP(J1361,'Validacion reclamo de equipaje'!L:M,2,0)</f>
        <v>50</v>
      </c>
      <c r="L1361" s="55" t="str">
        <f>VLOOKUP(I1361,'Validacion reclamo de equipaje'!H:I,2,0)</f>
        <v>Nacional</v>
      </c>
      <c r="M1361" s="55" t="s">
        <v>523</v>
      </c>
    </row>
    <row r="1362" spans="1:13" x14ac:dyDescent="0.25">
      <c r="A1362">
        <v>2320</v>
      </c>
      <c r="B1362" s="47" t="str">
        <f>VLOOKUP(Tabla6[[#This Row],['# Vuelo]],'Validacion reclamo de equipaje'!P:Q,2,0)</f>
        <v>MEXICO AEREO</v>
      </c>
      <c r="C1362" s="48">
        <v>0.5083333333333333</v>
      </c>
      <c r="D1362" s="48">
        <v>0.50972222222222219</v>
      </c>
      <c r="E1362" s="49">
        <f>'Reclamo de equipaje rediseñado'!$D1362-'Reclamo de equipaje rediseñado'!$C1362</f>
        <v>1.388888888888884E-3</v>
      </c>
      <c r="F1362" s="48">
        <v>0.51041666666666663</v>
      </c>
      <c r="G1362" s="49">
        <f t="shared" si="21"/>
        <v>6.9444444444444198E-4</v>
      </c>
      <c r="H1362" s="50">
        <v>41749</v>
      </c>
      <c r="I1362" s="51" t="s">
        <v>544</v>
      </c>
      <c r="J1362" s="51" t="s">
        <v>535</v>
      </c>
      <c r="K1362" s="51">
        <f>VLOOKUP(J1362,'Validacion reclamo de equipaje'!L:M,2,0)</f>
        <v>50</v>
      </c>
      <c r="L1362" s="51" t="str">
        <f>VLOOKUP(I1362,'Validacion reclamo de equipaje'!H:I,2,0)</f>
        <v>Nacional</v>
      </c>
      <c r="M1362" s="51" t="s">
        <v>523</v>
      </c>
    </row>
    <row r="1363" spans="1:13" x14ac:dyDescent="0.25">
      <c r="A1363">
        <v>2320</v>
      </c>
      <c r="B1363" s="47" t="str">
        <f>VLOOKUP(Tabla6[[#This Row],['# Vuelo]],'Validacion reclamo de equipaje'!P:Q,2,0)</f>
        <v>MEXICO AEREO</v>
      </c>
      <c r="C1363" s="52">
        <v>0.4861111111111111</v>
      </c>
      <c r="D1363" s="52">
        <v>0.49374999999999997</v>
      </c>
      <c r="E1363" s="53">
        <f>'Reclamo de equipaje rediseñado'!$D1363-'Reclamo de equipaje rediseñado'!$C1363</f>
        <v>7.6388888888888618E-3</v>
      </c>
      <c r="F1363" s="52">
        <v>0.5</v>
      </c>
      <c r="G1363" s="53">
        <f t="shared" si="21"/>
        <v>6.2500000000000333E-3</v>
      </c>
      <c r="H1363" s="54">
        <v>41750</v>
      </c>
      <c r="I1363" s="55" t="s">
        <v>544</v>
      </c>
      <c r="J1363" s="55" t="s">
        <v>535</v>
      </c>
      <c r="K1363" s="55">
        <f>VLOOKUP(J1363,'Validacion reclamo de equipaje'!L:M,2,0)</f>
        <v>50</v>
      </c>
      <c r="L1363" s="55" t="str">
        <f>VLOOKUP(I1363,'Validacion reclamo de equipaje'!H:I,2,0)</f>
        <v>Nacional</v>
      </c>
      <c r="M1363" s="55" t="s">
        <v>523</v>
      </c>
    </row>
    <row r="1364" spans="1:13" x14ac:dyDescent="0.25">
      <c r="A1364">
        <v>2320</v>
      </c>
      <c r="B1364" s="47" t="str">
        <f>VLOOKUP(Tabla6[[#This Row],['# Vuelo]],'Validacion reclamo de equipaje'!P:Q,2,0)</f>
        <v>MEXICO AEREO</v>
      </c>
      <c r="C1364" s="48">
        <v>0.49722222222222223</v>
      </c>
      <c r="D1364" s="48">
        <v>0.50277777777777777</v>
      </c>
      <c r="E1364" s="49">
        <f>'Reclamo de equipaje rediseñado'!$D1364-'Reclamo de equipaje rediseñado'!$C1364</f>
        <v>5.5555555555555358E-3</v>
      </c>
      <c r="F1364" s="48">
        <v>0.50902777777777775</v>
      </c>
      <c r="G1364" s="49">
        <f t="shared" si="21"/>
        <v>6.2499999999999778E-3</v>
      </c>
      <c r="H1364" s="50">
        <v>41751</v>
      </c>
      <c r="I1364" s="51" t="s">
        <v>544</v>
      </c>
      <c r="J1364" s="51" t="s">
        <v>535</v>
      </c>
      <c r="K1364" s="51">
        <f>VLOOKUP(J1364,'Validacion reclamo de equipaje'!L:M,2,0)</f>
        <v>50</v>
      </c>
      <c r="L1364" s="51" t="str">
        <f>VLOOKUP(I1364,'Validacion reclamo de equipaje'!H:I,2,0)</f>
        <v>Nacional</v>
      </c>
      <c r="M1364" s="51" t="s">
        <v>523</v>
      </c>
    </row>
    <row r="1365" spans="1:13" x14ac:dyDescent="0.25">
      <c r="A1365">
        <v>2320</v>
      </c>
      <c r="B1365" s="47" t="str">
        <f>VLOOKUP(Tabla6[[#This Row],['# Vuelo]],'Validacion reclamo de equipaje'!P:Q,2,0)</f>
        <v>MEXICO AEREO</v>
      </c>
      <c r="C1365" s="52">
        <v>0.49861111111111112</v>
      </c>
      <c r="D1365" s="52">
        <v>0.50208333333333333</v>
      </c>
      <c r="E1365" s="53">
        <f>'Reclamo de equipaje rediseñado'!$D1365-'Reclamo de equipaje rediseñado'!$C1365</f>
        <v>3.4722222222222099E-3</v>
      </c>
      <c r="F1365" s="52">
        <v>0.50902777777777775</v>
      </c>
      <c r="G1365" s="53">
        <f t="shared" si="21"/>
        <v>6.9444444444444198E-3</v>
      </c>
      <c r="H1365" s="54">
        <v>41753</v>
      </c>
      <c r="I1365" s="55" t="s">
        <v>544</v>
      </c>
      <c r="J1365" s="55" t="s">
        <v>535</v>
      </c>
      <c r="K1365" s="55">
        <f>VLOOKUP(J1365,'Validacion reclamo de equipaje'!L:M,2,0)</f>
        <v>50</v>
      </c>
      <c r="L1365" s="55" t="str">
        <f>VLOOKUP(I1365,'Validacion reclamo de equipaje'!H:I,2,0)</f>
        <v>Nacional</v>
      </c>
      <c r="M1365" s="55" t="s">
        <v>523</v>
      </c>
    </row>
    <row r="1366" spans="1:13" x14ac:dyDescent="0.25">
      <c r="A1366">
        <v>2320</v>
      </c>
      <c r="B1366" s="47" t="str">
        <f>VLOOKUP(Tabla6[[#This Row],['# Vuelo]],'Validacion reclamo de equipaje'!P:Q,2,0)</f>
        <v>MEXICO AEREO</v>
      </c>
      <c r="C1366" s="48">
        <v>0.49027777777777781</v>
      </c>
      <c r="D1366" s="48">
        <v>0.49513888888888885</v>
      </c>
      <c r="E1366" s="49">
        <f>'Reclamo de equipaje rediseñado'!$D1366-'Reclamo de equipaje rediseñado'!$C1366</f>
        <v>4.8611111111110383E-3</v>
      </c>
      <c r="F1366" s="48">
        <v>0.50208333333333333</v>
      </c>
      <c r="G1366" s="49">
        <f t="shared" si="21"/>
        <v>6.9444444444444753E-3</v>
      </c>
      <c r="H1366" s="50">
        <v>41754</v>
      </c>
      <c r="I1366" s="51" t="s">
        <v>544</v>
      </c>
      <c r="J1366" s="51" t="s">
        <v>535</v>
      </c>
      <c r="K1366" s="51">
        <f>VLOOKUP(J1366,'Validacion reclamo de equipaje'!L:M,2,0)</f>
        <v>50</v>
      </c>
      <c r="L1366" s="51" t="str">
        <f>VLOOKUP(I1366,'Validacion reclamo de equipaje'!H:I,2,0)</f>
        <v>Nacional</v>
      </c>
      <c r="M1366" s="51" t="s">
        <v>523</v>
      </c>
    </row>
    <row r="1367" spans="1:13" x14ac:dyDescent="0.25">
      <c r="A1367">
        <v>2320</v>
      </c>
      <c r="B1367" s="47" t="str">
        <f>VLOOKUP(Tabla6[[#This Row],['# Vuelo]],'Validacion reclamo de equipaje'!P:Q,2,0)</f>
        <v>MEXICO AEREO</v>
      </c>
      <c r="C1367" s="52">
        <v>0.5</v>
      </c>
      <c r="D1367" s="52">
        <v>0.50416666666666665</v>
      </c>
      <c r="E1367" s="53">
        <f>'Reclamo de equipaje rediseñado'!$D1367-'Reclamo de equipaje rediseñado'!$C1367</f>
        <v>4.1666666666666519E-3</v>
      </c>
      <c r="F1367" s="52">
        <v>0.50902777777777775</v>
      </c>
      <c r="G1367" s="53">
        <f t="shared" si="21"/>
        <v>4.8611111111110938E-3</v>
      </c>
      <c r="H1367" s="54">
        <v>41756</v>
      </c>
      <c r="I1367" s="55" t="s">
        <v>544</v>
      </c>
      <c r="J1367" s="55" t="s">
        <v>535</v>
      </c>
      <c r="K1367" s="55">
        <f>VLOOKUP(J1367,'Validacion reclamo de equipaje'!L:M,2,0)</f>
        <v>50</v>
      </c>
      <c r="L1367" s="55" t="str">
        <f>VLOOKUP(I1367,'Validacion reclamo de equipaje'!H:I,2,0)</f>
        <v>Nacional</v>
      </c>
      <c r="M1367" s="55" t="s">
        <v>523</v>
      </c>
    </row>
    <row r="1368" spans="1:13" x14ac:dyDescent="0.25">
      <c r="A1368">
        <v>2320</v>
      </c>
      <c r="B1368" s="47" t="str">
        <f>VLOOKUP(Tabla6[[#This Row],['# Vuelo]],'Validacion reclamo de equipaje'!P:Q,2,0)</f>
        <v>MEXICO AEREO</v>
      </c>
      <c r="C1368" s="48">
        <v>0.49861111111111112</v>
      </c>
      <c r="D1368" s="48">
        <v>0.50138888888888888</v>
      </c>
      <c r="E1368" s="49">
        <f>'Reclamo de equipaje rediseñado'!$D1368-'Reclamo de equipaje rediseñado'!$C1368</f>
        <v>2.7777777777777679E-3</v>
      </c>
      <c r="F1368" s="48">
        <v>0.50694444444444442</v>
      </c>
      <c r="G1368" s="49">
        <f t="shared" si="21"/>
        <v>5.5555555555555358E-3</v>
      </c>
      <c r="H1368" s="50">
        <v>41757</v>
      </c>
      <c r="I1368" s="51" t="s">
        <v>544</v>
      </c>
      <c r="J1368" s="51" t="s">
        <v>535</v>
      </c>
      <c r="K1368" s="51">
        <f>VLOOKUP(J1368,'Validacion reclamo de equipaje'!L:M,2,0)</f>
        <v>50</v>
      </c>
      <c r="L1368" s="51" t="str">
        <f>VLOOKUP(I1368,'Validacion reclamo de equipaje'!H:I,2,0)</f>
        <v>Nacional</v>
      </c>
      <c r="M1368" s="51" t="s">
        <v>523</v>
      </c>
    </row>
    <row r="1369" spans="1:13" x14ac:dyDescent="0.25">
      <c r="A1369">
        <v>2320</v>
      </c>
      <c r="B1369" s="47" t="str">
        <f>VLOOKUP(Tabla6[[#This Row],['# Vuelo]],'Validacion reclamo de equipaje'!P:Q,2,0)</f>
        <v>MEXICO AEREO</v>
      </c>
      <c r="C1369" s="52">
        <v>0.49652777777777773</v>
      </c>
      <c r="D1369" s="52">
        <v>0.50277777777777777</v>
      </c>
      <c r="E1369" s="53">
        <f>'Reclamo de equipaje rediseñado'!$D1369-'Reclamo de equipaje rediseñado'!$C1369</f>
        <v>6.2500000000000333E-3</v>
      </c>
      <c r="F1369" s="52">
        <v>0.5083333333333333</v>
      </c>
      <c r="G1369" s="53">
        <f t="shared" si="21"/>
        <v>5.5555555555555358E-3</v>
      </c>
      <c r="H1369" s="54">
        <v>41758</v>
      </c>
      <c r="I1369" s="55" t="s">
        <v>544</v>
      </c>
      <c r="J1369" s="55" t="s">
        <v>535</v>
      </c>
      <c r="K1369" s="55">
        <f>VLOOKUP(J1369,'Validacion reclamo de equipaje'!L:M,2,0)</f>
        <v>50</v>
      </c>
      <c r="L1369" s="55" t="str">
        <f>VLOOKUP(I1369,'Validacion reclamo de equipaje'!H:I,2,0)</f>
        <v>Nacional</v>
      </c>
      <c r="M1369" s="55" t="s">
        <v>523</v>
      </c>
    </row>
    <row r="1370" spans="1:13" x14ac:dyDescent="0.25">
      <c r="A1370">
        <v>2320</v>
      </c>
      <c r="B1370" s="47" t="str">
        <f>VLOOKUP(Tabla6[[#This Row],['# Vuelo]],'Validacion reclamo de equipaje'!P:Q,2,0)</f>
        <v>MEXICO AEREO</v>
      </c>
      <c r="C1370" s="48">
        <v>0.50763888888888886</v>
      </c>
      <c r="D1370" s="48">
        <v>0.52777777777777779</v>
      </c>
      <c r="E1370" s="49">
        <f>'Reclamo de equipaje rediseñado'!$D1370-'Reclamo de equipaje rediseñado'!$C1370</f>
        <v>2.0138888888888928E-2</v>
      </c>
      <c r="F1370" s="48">
        <v>0.53472222222222221</v>
      </c>
      <c r="G1370" s="49">
        <f t="shared" si="21"/>
        <v>6.9444444444444198E-3</v>
      </c>
      <c r="H1370" s="50">
        <v>41759</v>
      </c>
      <c r="I1370" s="51" t="s">
        <v>544</v>
      </c>
      <c r="J1370" s="51" t="s">
        <v>535</v>
      </c>
      <c r="K1370" s="51">
        <f>VLOOKUP(J1370,'Validacion reclamo de equipaje'!L:M,2,0)</f>
        <v>50</v>
      </c>
      <c r="L1370" s="51" t="str">
        <f>VLOOKUP(I1370,'Validacion reclamo de equipaje'!H:I,2,0)</f>
        <v>Nacional</v>
      </c>
      <c r="M1370" s="51" t="s">
        <v>523</v>
      </c>
    </row>
    <row r="1371" spans="1:13" x14ac:dyDescent="0.25">
      <c r="A1371">
        <v>2301</v>
      </c>
      <c r="B1371" s="47" t="str">
        <f>VLOOKUP(Tabla6[[#This Row],['# Vuelo]],'Validacion reclamo de equipaje'!P:Q,2,0)</f>
        <v>MEXICO AEREO</v>
      </c>
      <c r="C1371" s="52">
        <v>0.69513888888888886</v>
      </c>
      <c r="D1371" s="52">
        <v>0.69861111111111107</v>
      </c>
      <c r="E1371" s="53">
        <f>'Reclamo de equipaje rediseñado'!$D1371-'Reclamo de equipaje rediseñado'!$C1371</f>
        <v>3.4722222222222099E-3</v>
      </c>
      <c r="F1371" s="52">
        <v>0.70138888888888884</v>
      </c>
      <c r="G1371" s="53">
        <f t="shared" si="21"/>
        <v>2.7777777777777679E-3</v>
      </c>
      <c r="H1371" s="54">
        <v>41730</v>
      </c>
      <c r="I1371" s="55" t="s">
        <v>547</v>
      </c>
      <c r="J1371" s="55" t="s">
        <v>535</v>
      </c>
      <c r="K1371" s="55">
        <f>VLOOKUP(J1371,'Validacion reclamo de equipaje'!L:M,2,0)</f>
        <v>50</v>
      </c>
      <c r="L1371" s="55" t="str">
        <f>VLOOKUP(I1371,'Validacion reclamo de equipaje'!H:I,2,0)</f>
        <v>Nacional</v>
      </c>
      <c r="M1371" s="55" t="s">
        <v>523</v>
      </c>
    </row>
    <row r="1372" spans="1:13" x14ac:dyDescent="0.25">
      <c r="A1372">
        <v>2301</v>
      </c>
      <c r="B1372" s="47" t="str">
        <f>VLOOKUP(Tabla6[[#This Row],['# Vuelo]],'Validacion reclamo de equipaje'!P:Q,2,0)</f>
        <v>MEXICO AEREO</v>
      </c>
      <c r="C1372" s="48">
        <v>0.69930555555555562</v>
      </c>
      <c r="D1372" s="48">
        <v>0.70833333333333337</v>
      </c>
      <c r="E1372" s="49">
        <f>'Reclamo de equipaje rediseñado'!$D1372-'Reclamo de equipaje rediseñado'!$C1372</f>
        <v>9.0277777777777457E-3</v>
      </c>
      <c r="F1372" s="48">
        <v>0.7104166666666667</v>
      </c>
      <c r="G1372" s="49">
        <f t="shared" si="21"/>
        <v>2.0833333333333259E-3</v>
      </c>
      <c r="H1372" s="50">
        <v>41731</v>
      </c>
      <c r="I1372" s="51" t="s">
        <v>547</v>
      </c>
      <c r="J1372" s="51" t="s">
        <v>535</v>
      </c>
      <c r="K1372" s="51">
        <f>VLOOKUP(J1372,'Validacion reclamo de equipaje'!L:M,2,0)</f>
        <v>50</v>
      </c>
      <c r="L1372" s="51" t="str">
        <f>VLOOKUP(I1372,'Validacion reclamo de equipaje'!H:I,2,0)</f>
        <v>Nacional</v>
      </c>
      <c r="M1372" s="51" t="s">
        <v>523</v>
      </c>
    </row>
    <row r="1373" spans="1:13" x14ac:dyDescent="0.25">
      <c r="A1373">
        <v>2301</v>
      </c>
      <c r="B1373" s="47" t="str">
        <f>VLOOKUP(Tabla6[[#This Row],['# Vuelo]],'Validacion reclamo de equipaje'!P:Q,2,0)</f>
        <v>MEXICO AEREO</v>
      </c>
      <c r="C1373" s="52">
        <v>0.69444444444444453</v>
      </c>
      <c r="D1373" s="52">
        <v>0.70000000000000007</v>
      </c>
      <c r="E1373" s="53">
        <f>'Reclamo de equipaje rediseñado'!$D1373-'Reclamo de equipaje rediseñado'!$C1373</f>
        <v>5.5555555555555358E-3</v>
      </c>
      <c r="F1373" s="52">
        <v>0.70208333333333339</v>
      </c>
      <c r="G1373" s="53">
        <f t="shared" si="21"/>
        <v>2.0833333333333259E-3</v>
      </c>
      <c r="H1373" s="54">
        <v>41732</v>
      </c>
      <c r="I1373" s="55" t="s">
        <v>547</v>
      </c>
      <c r="J1373" s="55" t="s">
        <v>535</v>
      </c>
      <c r="K1373" s="55">
        <f>VLOOKUP(J1373,'Validacion reclamo de equipaje'!L:M,2,0)</f>
        <v>50</v>
      </c>
      <c r="L1373" s="55" t="str">
        <f>VLOOKUP(I1373,'Validacion reclamo de equipaje'!H:I,2,0)</f>
        <v>Nacional</v>
      </c>
      <c r="M1373" s="55" t="s">
        <v>523</v>
      </c>
    </row>
    <row r="1374" spans="1:13" x14ac:dyDescent="0.25">
      <c r="A1374">
        <v>2301</v>
      </c>
      <c r="B1374" s="47" t="str">
        <f>VLOOKUP(Tabla6[[#This Row],['# Vuelo]],'Validacion reclamo de equipaje'!P:Q,2,0)</f>
        <v>MEXICO AEREO</v>
      </c>
      <c r="C1374" s="48">
        <v>0.69861111111111107</v>
      </c>
      <c r="D1374" s="48">
        <v>0.70763888888888893</v>
      </c>
      <c r="E1374" s="49">
        <f>'Reclamo de equipaje rediseñado'!$D1374-'Reclamo de equipaje rediseñado'!$C1374</f>
        <v>9.0277777777778567E-3</v>
      </c>
      <c r="F1374" s="48">
        <v>0.70972222222222225</v>
      </c>
      <c r="G1374" s="49">
        <f t="shared" si="21"/>
        <v>2.0833333333333259E-3</v>
      </c>
      <c r="H1374" s="50">
        <v>41733</v>
      </c>
      <c r="I1374" s="51" t="s">
        <v>547</v>
      </c>
      <c r="J1374" s="51" t="s">
        <v>535</v>
      </c>
      <c r="K1374" s="51">
        <f>VLOOKUP(J1374,'Validacion reclamo de equipaje'!L:M,2,0)</f>
        <v>50</v>
      </c>
      <c r="L1374" s="51" t="str">
        <f>VLOOKUP(I1374,'Validacion reclamo de equipaje'!H:I,2,0)</f>
        <v>Nacional</v>
      </c>
      <c r="M1374" s="51" t="s">
        <v>523</v>
      </c>
    </row>
    <row r="1375" spans="1:13" x14ac:dyDescent="0.25">
      <c r="A1375">
        <v>2301</v>
      </c>
      <c r="B1375" s="47" t="str">
        <f>VLOOKUP(Tabla6[[#This Row],['# Vuelo]],'Validacion reclamo de equipaje'!P:Q,2,0)</f>
        <v>MEXICO AEREO</v>
      </c>
      <c r="C1375" s="52">
        <v>0.71527777777777779</v>
      </c>
      <c r="D1375" s="52">
        <v>0.71875</v>
      </c>
      <c r="E1375" s="53">
        <f>'Reclamo de equipaje rediseñado'!$D1375-'Reclamo de equipaje rediseñado'!$C1375</f>
        <v>3.4722222222222099E-3</v>
      </c>
      <c r="F1375" s="52">
        <v>0.72569444444444453</v>
      </c>
      <c r="G1375" s="53">
        <f t="shared" si="21"/>
        <v>6.9444444444445308E-3</v>
      </c>
      <c r="H1375" s="54">
        <v>41735</v>
      </c>
      <c r="I1375" s="55" t="s">
        <v>547</v>
      </c>
      <c r="J1375" s="55" t="s">
        <v>535</v>
      </c>
      <c r="K1375" s="55">
        <f>VLOOKUP(J1375,'Validacion reclamo de equipaje'!L:M,2,0)</f>
        <v>50</v>
      </c>
      <c r="L1375" s="55" t="str">
        <f>VLOOKUP(I1375,'Validacion reclamo de equipaje'!H:I,2,0)</f>
        <v>Nacional</v>
      </c>
      <c r="M1375" s="55" t="s">
        <v>523</v>
      </c>
    </row>
    <row r="1376" spans="1:13" x14ac:dyDescent="0.25">
      <c r="A1376">
        <v>2301</v>
      </c>
      <c r="B1376" s="47" t="str">
        <f>VLOOKUP(Tabla6[[#This Row],['# Vuelo]],'Validacion reclamo de equipaje'!P:Q,2,0)</f>
        <v>MEXICO AEREO</v>
      </c>
      <c r="C1376" s="48">
        <v>0.70347222222222217</v>
      </c>
      <c r="D1376" s="48">
        <v>0.70763888888888893</v>
      </c>
      <c r="E1376" s="49">
        <f>'Reclamo de equipaje rediseñado'!$D1376-'Reclamo de equipaje rediseñado'!$C1376</f>
        <v>4.1666666666667629E-3</v>
      </c>
      <c r="F1376" s="48">
        <v>0.71111111111111114</v>
      </c>
      <c r="G1376" s="49">
        <f t="shared" si="21"/>
        <v>3.4722222222222099E-3</v>
      </c>
      <c r="H1376" s="50">
        <v>41736</v>
      </c>
      <c r="I1376" s="51" t="s">
        <v>547</v>
      </c>
      <c r="J1376" s="51" t="s">
        <v>535</v>
      </c>
      <c r="K1376" s="51">
        <f>VLOOKUP(J1376,'Validacion reclamo de equipaje'!L:M,2,0)</f>
        <v>50</v>
      </c>
      <c r="L1376" s="51" t="str">
        <f>VLOOKUP(I1376,'Validacion reclamo de equipaje'!H:I,2,0)</f>
        <v>Nacional</v>
      </c>
      <c r="M1376" s="51" t="s">
        <v>523</v>
      </c>
    </row>
    <row r="1377" spans="1:13" x14ac:dyDescent="0.25">
      <c r="A1377">
        <v>2301</v>
      </c>
      <c r="B1377" s="47" t="str">
        <f>VLOOKUP(Tabla6[[#This Row],['# Vuelo]],'Validacion reclamo de equipaje'!P:Q,2,0)</f>
        <v>MEXICO AEREO</v>
      </c>
      <c r="C1377" s="52">
        <v>0.71180555555555547</v>
      </c>
      <c r="D1377" s="52">
        <v>0.71875</v>
      </c>
      <c r="E1377" s="53">
        <f>'Reclamo de equipaje rediseñado'!$D1377-'Reclamo de equipaje rediseñado'!$C1377</f>
        <v>6.9444444444445308E-3</v>
      </c>
      <c r="F1377" s="52">
        <v>0.72222222222222221</v>
      </c>
      <c r="G1377" s="53">
        <f t="shared" si="21"/>
        <v>3.4722222222222099E-3</v>
      </c>
      <c r="H1377" s="54">
        <v>41737</v>
      </c>
      <c r="I1377" s="55" t="s">
        <v>547</v>
      </c>
      <c r="J1377" s="55" t="s">
        <v>535</v>
      </c>
      <c r="K1377" s="55">
        <f>VLOOKUP(J1377,'Validacion reclamo de equipaje'!L:M,2,0)</f>
        <v>50</v>
      </c>
      <c r="L1377" s="55" t="str">
        <f>VLOOKUP(I1377,'Validacion reclamo de equipaje'!H:I,2,0)</f>
        <v>Nacional</v>
      </c>
      <c r="M1377" s="55" t="s">
        <v>523</v>
      </c>
    </row>
    <row r="1378" spans="1:13" x14ac:dyDescent="0.25">
      <c r="A1378">
        <v>2301</v>
      </c>
      <c r="B1378" s="47" t="str">
        <f>VLOOKUP(Tabla6[[#This Row],['# Vuelo]],'Validacion reclamo de equipaje'!P:Q,2,0)</f>
        <v>MEXICO AEREO</v>
      </c>
      <c r="C1378" s="48">
        <v>0.70486111111111116</v>
      </c>
      <c r="D1378" s="48">
        <v>0.70694444444444438</v>
      </c>
      <c r="E1378" s="49">
        <f>'Reclamo de equipaje rediseñado'!$D1378-'Reclamo de equipaje rediseñado'!$C1378</f>
        <v>2.0833333333332149E-3</v>
      </c>
      <c r="F1378" s="48">
        <v>0.71180555555555547</v>
      </c>
      <c r="G1378" s="49">
        <f t="shared" si="21"/>
        <v>4.8611111111110938E-3</v>
      </c>
      <c r="H1378" s="50">
        <v>41739</v>
      </c>
      <c r="I1378" s="51" t="s">
        <v>547</v>
      </c>
      <c r="J1378" s="51" t="s">
        <v>535</v>
      </c>
      <c r="K1378" s="51">
        <f>VLOOKUP(J1378,'Validacion reclamo de equipaje'!L:M,2,0)</f>
        <v>50</v>
      </c>
      <c r="L1378" s="51" t="str">
        <f>VLOOKUP(I1378,'Validacion reclamo de equipaje'!H:I,2,0)</f>
        <v>Nacional</v>
      </c>
      <c r="M1378" s="51" t="s">
        <v>523</v>
      </c>
    </row>
    <row r="1379" spans="1:13" x14ac:dyDescent="0.25">
      <c r="A1379">
        <v>2301</v>
      </c>
      <c r="B1379" s="47" t="str">
        <f>VLOOKUP(Tabla6[[#This Row],['# Vuelo]],'Validacion reclamo de equipaje'!P:Q,2,0)</f>
        <v>MEXICO AEREO</v>
      </c>
      <c r="C1379" s="52">
        <v>0.69444444444444453</v>
      </c>
      <c r="D1379" s="52">
        <v>0.70694444444444438</v>
      </c>
      <c r="E1379" s="53">
        <f>'Reclamo de equipaje rediseñado'!$D1379-'Reclamo de equipaje rediseñado'!$C1379</f>
        <v>1.2499999999999845E-2</v>
      </c>
      <c r="F1379" s="52">
        <v>0.71458333333333324</v>
      </c>
      <c r="G1379" s="53">
        <f t="shared" si="21"/>
        <v>7.6388888888888618E-3</v>
      </c>
      <c r="H1379" s="54">
        <v>41741</v>
      </c>
      <c r="I1379" s="55" t="s">
        <v>547</v>
      </c>
      <c r="J1379" s="55" t="s">
        <v>535</v>
      </c>
      <c r="K1379" s="55">
        <f>VLOOKUP(J1379,'Validacion reclamo de equipaje'!L:M,2,0)</f>
        <v>50</v>
      </c>
      <c r="L1379" s="55" t="str">
        <f>VLOOKUP(I1379,'Validacion reclamo de equipaje'!H:I,2,0)</f>
        <v>Nacional</v>
      </c>
      <c r="M1379" s="55" t="s">
        <v>523</v>
      </c>
    </row>
    <row r="1380" spans="1:13" x14ac:dyDescent="0.25">
      <c r="A1380">
        <v>2301</v>
      </c>
      <c r="B1380" s="47" t="str">
        <f>VLOOKUP(Tabla6[[#This Row],['# Vuelo]],'Validacion reclamo de equipaje'!P:Q,2,0)</f>
        <v>MEXICO AEREO</v>
      </c>
      <c r="C1380" s="48">
        <v>0.7055555555555556</v>
      </c>
      <c r="D1380" s="48">
        <v>0.70972222222222225</v>
      </c>
      <c r="E1380" s="49">
        <f>'Reclamo de equipaje rediseñado'!$D1380-'Reclamo de equipaje rediseñado'!$C1380</f>
        <v>4.1666666666666519E-3</v>
      </c>
      <c r="F1380" s="48">
        <v>0.71458333333333324</v>
      </c>
      <c r="G1380" s="49">
        <f t="shared" si="21"/>
        <v>4.8611111111109828E-3</v>
      </c>
      <c r="H1380" s="50">
        <v>41743</v>
      </c>
      <c r="I1380" s="51" t="s">
        <v>547</v>
      </c>
      <c r="J1380" s="51" t="s">
        <v>535</v>
      </c>
      <c r="K1380" s="51">
        <f>VLOOKUP(J1380,'Validacion reclamo de equipaje'!L:M,2,0)</f>
        <v>50</v>
      </c>
      <c r="L1380" s="51" t="str">
        <f>VLOOKUP(I1380,'Validacion reclamo de equipaje'!H:I,2,0)</f>
        <v>Nacional</v>
      </c>
      <c r="M1380" s="51" t="s">
        <v>523</v>
      </c>
    </row>
    <row r="1381" spans="1:13" x14ac:dyDescent="0.25">
      <c r="A1381">
        <v>2301</v>
      </c>
      <c r="B1381" s="47" t="str">
        <f>VLOOKUP(Tabla6[[#This Row],['# Vuelo]],'Validacion reclamo de equipaje'!P:Q,2,0)</f>
        <v>MEXICO AEREO</v>
      </c>
      <c r="C1381" s="52">
        <v>0.61736111111111114</v>
      </c>
      <c r="D1381" s="52">
        <v>0.70416666666666661</v>
      </c>
      <c r="E1381" s="53">
        <f>'Reclamo de equipaje rediseñado'!$D1381-'Reclamo de equipaje rediseñado'!$C1381</f>
        <v>8.6805555555555469E-2</v>
      </c>
      <c r="F1381" s="52">
        <v>0.70624999999999993</v>
      </c>
      <c r="G1381" s="53">
        <f t="shared" si="21"/>
        <v>2.0833333333333259E-3</v>
      </c>
      <c r="H1381" s="54">
        <v>41745</v>
      </c>
      <c r="I1381" s="55" t="s">
        <v>547</v>
      </c>
      <c r="J1381" s="55" t="s">
        <v>535</v>
      </c>
      <c r="K1381" s="55">
        <f>VLOOKUP(J1381,'Validacion reclamo de equipaje'!L:M,2,0)</f>
        <v>50</v>
      </c>
      <c r="L1381" s="55" t="str">
        <f>VLOOKUP(I1381,'Validacion reclamo de equipaje'!H:I,2,0)</f>
        <v>Nacional</v>
      </c>
      <c r="M1381" s="55" t="s">
        <v>523</v>
      </c>
    </row>
    <row r="1382" spans="1:13" x14ac:dyDescent="0.25">
      <c r="A1382">
        <v>2301</v>
      </c>
      <c r="B1382" s="47" t="str">
        <f>VLOOKUP(Tabla6[[#This Row],['# Vuelo]],'Validacion reclamo de equipaje'!P:Q,2,0)</f>
        <v>MEXICO AEREO</v>
      </c>
      <c r="C1382" s="48">
        <v>0.70138888888888884</v>
      </c>
      <c r="D1382" s="48">
        <v>0.70833333333333337</v>
      </c>
      <c r="E1382" s="49">
        <f>'Reclamo de equipaje rediseñado'!$D1382-'Reclamo de equipaje rediseñado'!$C1382</f>
        <v>6.9444444444445308E-3</v>
      </c>
      <c r="F1382" s="48">
        <v>0.71319444444444446</v>
      </c>
      <c r="G1382" s="49">
        <f t="shared" si="21"/>
        <v>4.8611111111110938E-3</v>
      </c>
      <c r="H1382" s="50">
        <v>41746</v>
      </c>
      <c r="I1382" s="51" t="s">
        <v>547</v>
      </c>
      <c r="J1382" s="51" t="s">
        <v>535</v>
      </c>
      <c r="K1382" s="51">
        <f>VLOOKUP(J1382,'Validacion reclamo de equipaje'!L:M,2,0)</f>
        <v>50</v>
      </c>
      <c r="L1382" s="51" t="str">
        <f>VLOOKUP(I1382,'Validacion reclamo de equipaje'!H:I,2,0)</f>
        <v>Nacional</v>
      </c>
      <c r="M1382" s="51" t="s">
        <v>523</v>
      </c>
    </row>
    <row r="1383" spans="1:13" x14ac:dyDescent="0.25">
      <c r="A1383">
        <v>2301</v>
      </c>
      <c r="B1383" s="47" t="str">
        <f>VLOOKUP(Tabla6[[#This Row],['# Vuelo]],'Validacion reclamo de equipaje'!P:Q,2,0)</f>
        <v>MEXICO AEREO</v>
      </c>
      <c r="C1383" s="52">
        <v>0.20902777777777778</v>
      </c>
      <c r="D1383" s="52">
        <v>0.21319444444444444</v>
      </c>
      <c r="E1383" s="53">
        <f>'Reclamo de equipaje rediseñado'!$D1383-'Reclamo de equipaje rediseñado'!$C1383</f>
        <v>4.1666666666666519E-3</v>
      </c>
      <c r="F1383" s="52">
        <v>0.21597222222222223</v>
      </c>
      <c r="G1383" s="53">
        <f t="shared" si="21"/>
        <v>2.7777777777777957E-3</v>
      </c>
      <c r="H1383" s="54">
        <v>41747</v>
      </c>
      <c r="I1383" s="55" t="s">
        <v>547</v>
      </c>
      <c r="J1383" s="55" t="s">
        <v>535</v>
      </c>
      <c r="K1383" s="55">
        <f>VLOOKUP(J1383,'Validacion reclamo de equipaje'!L:M,2,0)</f>
        <v>50</v>
      </c>
      <c r="L1383" s="55" t="str">
        <f>VLOOKUP(I1383,'Validacion reclamo de equipaje'!H:I,2,0)</f>
        <v>Nacional</v>
      </c>
      <c r="M1383" s="55" t="s">
        <v>523</v>
      </c>
    </row>
    <row r="1384" spans="1:13" x14ac:dyDescent="0.25">
      <c r="A1384">
        <v>2301</v>
      </c>
      <c r="B1384" s="47" t="str">
        <f>VLOOKUP(Tabla6[[#This Row],['# Vuelo]],'Validacion reclamo de equipaje'!P:Q,2,0)</f>
        <v>MEXICO AEREO</v>
      </c>
      <c r="C1384" s="48">
        <v>0.74236111111111114</v>
      </c>
      <c r="D1384" s="48">
        <v>0.74722222222222223</v>
      </c>
      <c r="E1384" s="49">
        <f>'Reclamo de equipaje rediseñado'!$D1384-'Reclamo de equipaje rediseñado'!$C1384</f>
        <v>4.8611111111110938E-3</v>
      </c>
      <c r="F1384" s="48">
        <v>0.75208333333333333</v>
      </c>
      <c r="G1384" s="49">
        <f t="shared" si="21"/>
        <v>4.8611111111110938E-3</v>
      </c>
      <c r="H1384" s="50">
        <v>41748</v>
      </c>
      <c r="I1384" s="51" t="s">
        <v>547</v>
      </c>
      <c r="J1384" s="51" t="s">
        <v>535</v>
      </c>
      <c r="K1384" s="51">
        <f>VLOOKUP(J1384,'Validacion reclamo de equipaje'!L:M,2,0)</f>
        <v>50</v>
      </c>
      <c r="L1384" s="51" t="str">
        <f>VLOOKUP(I1384,'Validacion reclamo de equipaje'!H:I,2,0)</f>
        <v>Nacional</v>
      </c>
      <c r="M1384" s="51" t="s">
        <v>523</v>
      </c>
    </row>
    <row r="1385" spans="1:13" x14ac:dyDescent="0.25">
      <c r="A1385">
        <v>2301</v>
      </c>
      <c r="B1385" s="47" t="str">
        <f>VLOOKUP(Tabla6[[#This Row],['# Vuelo]],'Validacion reclamo de equipaje'!P:Q,2,0)</f>
        <v>MEXICO AEREO</v>
      </c>
      <c r="C1385" s="52">
        <v>0.70000000000000007</v>
      </c>
      <c r="D1385" s="52">
        <v>0.7055555555555556</v>
      </c>
      <c r="E1385" s="53">
        <f>'Reclamo de equipaje rediseñado'!$D1385-'Reclamo de equipaje rediseñado'!$C1385</f>
        <v>5.5555555555555358E-3</v>
      </c>
      <c r="F1385" s="52">
        <v>0.70694444444444438</v>
      </c>
      <c r="G1385" s="53">
        <f t="shared" si="21"/>
        <v>1.3888888888887729E-3</v>
      </c>
      <c r="H1385" s="54">
        <v>41751</v>
      </c>
      <c r="I1385" s="55" t="s">
        <v>547</v>
      </c>
      <c r="J1385" s="55" t="s">
        <v>535</v>
      </c>
      <c r="K1385" s="55">
        <f>VLOOKUP(J1385,'Validacion reclamo de equipaje'!L:M,2,0)</f>
        <v>50</v>
      </c>
      <c r="L1385" s="55" t="str">
        <f>VLOOKUP(I1385,'Validacion reclamo de equipaje'!H:I,2,0)</f>
        <v>Nacional</v>
      </c>
      <c r="M1385" s="55" t="s">
        <v>523</v>
      </c>
    </row>
    <row r="1386" spans="1:13" x14ac:dyDescent="0.25">
      <c r="A1386">
        <v>2301</v>
      </c>
      <c r="B1386" s="47" t="str">
        <f>VLOOKUP(Tabla6[[#This Row],['# Vuelo]],'Validacion reclamo de equipaje'!P:Q,2,0)</f>
        <v>MEXICO AEREO</v>
      </c>
      <c r="C1386" s="48">
        <v>0.71527777777777779</v>
      </c>
      <c r="D1386" s="48">
        <v>0.72083333333333333</v>
      </c>
      <c r="E1386" s="49">
        <f>'Reclamo de equipaje rediseñado'!$D1386-'Reclamo de equipaje rediseñado'!$C1386</f>
        <v>5.5555555555555358E-3</v>
      </c>
      <c r="F1386" s="48">
        <v>0.72638888888888886</v>
      </c>
      <c r="G1386" s="49">
        <f t="shared" si="21"/>
        <v>5.5555555555555358E-3</v>
      </c>
      <c r="H1386" s="50">
        <v>41754</v>
      </c>
      <c r="I1386" s="51" t="s">
        <v>547</v>
      </c>
      <c r="J1386" s="51" t="s">
        <v>535</v>
      </c>
      <c r="K1386" s="51">
        <f>VLOOKUP(J1386,'Validacion reclamo de equipaje'!L:M,2,0)</f>
        <v>50</v>
      </c>
      <c r="L1386" s="51" t="str">
        <f>VLOOKUP(I1386,'Validacion reclamo de equipaje'!H:I,2,0)</f>
        <v>Nacional</v>
      </c>
      <c r="M1386" s="51" t="s">
        <v>523</v>
      </c>
    </row>
    <row r="1387" spans="1:13" x14ac:dyDescent="0.25">
      <c r="A1387">
        <v>2301</v>
      </c>
      <c r="B1387" s="47" t="str">
        <f>VLOOKUP(Tabla6[[#This Row],['# Vuelo]],'Validacion reclamo de equipaje'!P:Q,2,0)</f>
        <v>MEXICO AEREO</v>
      </c>
      <c r="C1387" s="52">
        <v>0.70208333333333339</v>
      </c>
      <c r="D1387" s="52">
        <v>0.70833333333333337</v>
      </c>
      <c r="E1387" s="53">
        <f>'Reclamo de equipaje rediseñado'!$D1387-'Reclamo de equipaje rediseñado'!$C1387</f>
        <v>6.2499999999999778E-3</v>
      </c>
      <c r="F1387" s="52">
        <v>0.71527777777777779</v>
      </c>
      <c r="G1387" s="53">
        <f t="shared" si="21"/>
        <v>6.9444444444444198E-3</v>
      </c>
      <c r="H1387" s="54">
        <v>41757</v>
      </c>
      <c r="I1387" s="55" t="s">
        <v>547</v>
      </c>
      <c r="J1387" s="55" t="s">
        <v>535</v>
      </c>
      <c r="K1387" s="55">
        <f>VLOOKUP(J1387,'Validacion reclamo de equipaje'!L:M,2,0)</f>
        <v>50</v>
      </c>
      <c r="L1387" s="55" t="str">
        <f>VLOOKUP(I1387,'Validacion reclamo de equipaje'!H:I,2,0)</f>
        <v>Nacional</v>
      </c>
      <c r="M1387" s="55" t="s">
        <v>523</v>
      </c>
    </row>
    <row r="1388" spans="1:13" x14ac:dyDescent="0.25">
      <c r="A1388">
        <v>2301</v>
      </c>
      <c r="B1388" s="47" t="str">
        <f>VLOOKUP(Tabla6[[#This Row],['# Vuelo]],'Validacion reclamo de equipaje'!P:Q,2,0)</f>
        <v>MEXICO AEREO</v>
      </c>
      <c r="C1388" s="48">
        <v>0.70000000000000007</v>
      </c>
      <c r="D1388" s="48">
        <v>0.7055555555555556</v>
      </c>
      <c r="E1388" s="49">
        <f>'Reclamo de equipaje rediseñado'!$D1388-'Reclamo de equipaje rediseñado'!$C1388</f>
        <v>5.5555555555555358E-3</v>
      </c>
      <c r="F1388" s="48">
        <v>0.7104166666666667</v>
      </c>
      <c r="G1388" s="49">
        <f t="shared" si="21"/>
        <v>4.8611111111110938E-3</v>
      </c>
      <c r="H1388" s="50">
        <v>41758</v>
      </c>
      <c r="I1388" s="51" t="s">
        <v>547</v>
      </c>
      <c r="J1388" s="51" t="s">
        <v>535</v>
      </c>
      <c r="K1388" s="51">
        <f>VLOOKUP(J1388,'Validacion reclamo de equipaje'!L:M,2,0)</f>
        <v>50</v>
      </c>
      <c r="L1388" s="51" t="str">
        <f>VLOOKUP(I1388,'Validacion reclamo de equipaje'!H:I,2,0)</f>
        <v>Nacional</v>
      </c>
      <c r="M1388" s="51" t="s">
        <v>523</v>
      </c>
    </row>
    <row r="1389" spans="1:13" x14ac:dyDescent="0.25">
      <c r="A1389">
        <v>2277</v>
      </c>
      <c r="B1389" s="47" t="str">
        <f>VLOOKUP(Tabla6[[#This Row],['# Vuelo]],'Validacion reclamo de equipaje'!P:Q,2,0)</f>
        <v>MEXICO AEREO</v>
      </c>
      <c r="C1389" s="52">
        <v>0.9291666666666667</v>
      </c>
      <c r="D1389" s="52">
        <v>0.93541666666666667</v>
      </c>
      <c r="E1389" s="53">
        <f>'Reclamo de equipaje rediseñado'!$D1389-'Reclamo de equipaje rediseñado'!$C1389</f>
        <v>6.2499999999999778E-3</v>
      </c>
      <c r="F1389" s="52">
        <v>0.94097222222222221</v>
      </c>
      <c r="G1389" s="53">
        <f t="shared" si="21"/>
        <v>5.5555555555555358E-3</v>
      </c>
      <c r="H1389" s="54">
        <v>41730</v>
      </c>
      <c r="I1389" s="55" t="s">
        <v>542</v>
      </c>
      <c r="J1389" s="55" t="s">
        <v>535</v>
      </c>
      <c r="K1389" s="55">
        <f>VLOOKUP(J1389,'Validacion reclamo de equipaje'!L:M,2,0)</f>
        <v>50</v>
      </c>
      <c r="L1389" s="55" t="str">
        <f>VLOOKUP(I1389,'Validacion reclamo de equipaje'!H:I,2,0)</f>
        <v>Nacional</v>
      </c>
      <c r="M1389" s="55" t="s">
        <v>523</v>
      </c>
    </row>
    <row r="1390" spans="1:13" x14ac:dyDescent="0.25">
      <c r="A1390">
        <v>2277</v>
      </c>
      <c r="B1390" s="47" t="str">
        <f>VLOOKUP(Tabla6[[#This Row],['# Vuelo]],'Validacion reclamo de equipaje'!P:Q,2,0)</f>
        <v>MEXICO AEREO</v>
      </c>
      <c r="C1390" s="48">
        <v>0.93958333333333333</v>
      </c>
      <c r="D1390" s="48">
        <v>0.94374999999999998</v>
      </c>
      <c r="E1390" s="49">
        <f>'Reclamo de equipaje rediseñado'!$D1390-'Reclamo de equipaje rediseñado'!$C1390</f>
        <v>4.1666666666666519E-3</v>
      </c>
      <c r="F1390" s="48">
        <v>0.94444444444444453</v>
      </c>
      <c r="G1390" s="49">
        <f t="shared" si="21"/>
        <v>6.94444444444553E-4</v>
      </c>
      <c r="H1390" s="50">
        <v>41731</v>
      </c>
      <c r="I1390" s="51" t="s">
        <v>542</v>
      </c>
      <c r="J1390" s="51" t="s">
        <v>535</v>
      </c>
      <c r="K1390" s="51">
        <f>VLOOKUP(J1390,'Validacion reclamo de equipaje'!L:M,2,0)</f>
        <v>50</v>
      </c>
      <c r="L1390" s="51" t="str">
        <f>VLOOKUP(I1390,'Validacion reclamo de equipaje'!H:I,2,0)</f>
        <v>Nacional</v>
      </c>
      <c r="M1390" s="51" t="s">
        <v>523</v>
      </c>
    </row>
    <row r="1391" spans="1:13" x14ac:dyDescent="0.25">
      <c r="A1391">
        <v>2277</v>
      </c>
      <c r="B1391" s="47" t="str">
        <f>VLOOKUP(Tabla6[[#This Row],['# Vuelo]],'Validacion reclamo de equipaje'!P:Q,2,0)</f>
        <v>MEXICO AEREO</v>
      </c>
      <c r="C1391" s="52">
        <v>0.94236111111111109</v>
      </c>
      <c r="D1391" s="52">
        <v>0.95138888888888884</v>
      </c>
      <c r="E1391" s="53">
        <f>'Reclamo de equipaje rediseñado'!$D1391-'Reclamo de equipaje rediseñado'!$C1391</f>
        <v>9.0277777777777457E-3</v>
      </c>
      <c r="F1391" s="52">
        <v>0.95416666666666661</v>
      </c>
      <c r="G1391" s="53">
        <f t="shared" si="21"/>
        <v>2.7777777777777679E-3</v>
      </c>
      <c r="H1391" s="54">
        <v>41732</v>
      </c>
      <c r="I1391" s="55" t="s">
        <v>542</v>
      </c>
      <c r="J1391" s="55" t="s">
        <v>535</v>
      </c>
      <c r="K1391" s="55">
        <f>VLOOKUP(J1391,'Validacion reclamo de equipaje'!L:M,2,0)</f>
        <v>50</v>
      </c>
      <c r="L1391" s="55" t="str">
        <f>VLOOKUP(I1391,'Validacion reclamo de equipaje'!H:I,2,0)</f>
        <v>Nacional</v>
      </c>
      <c r="M1391" s="55" t="s">
        <v>523</v>
      </c>
    </row>
    <row r="1392" spans="1:13" x14ac:dyDescent="0.25">
      <c r="A1392">
        <v>2277</v>
      </c>
      <c r="B1392" s="47" t="str">
        <f>VLOOKUP(Tabla6[[#This Row],['# Vuelo]],'Validacion reclamo de equipaje'!P:Q,2,0)</f>
        <v>MEXICO AEREO</v>
      </c>
      <c r="C1392" s="48">
        <v>0.92638888888888893</v>
      </c>
      <c r="D1392" s="48">
        <v>0.93472222222222223</v>
      </c>
      <c r="E1392" s="49">
        <f>'Reclamo de equipaje rediseñado'!$D1392-'Reclamo de equipaje rediseñado'!$C1392</f>
        <v>8.3333333333333037E-3</v>
      </c>
      <c r="F1392" s="48">
        <v>0.9375</v>
      </c>
      <c r="G1392" s="49">
        <f t="shared" si="21"/>
        <v>2.7777777777777679E-3</v>
      </c>
      <c r="H1392" s="50">
        <v>41734</v>
      </c>
      <c r="I1392" s="51" t="s">
        <v>542</v>
      </c>
      <c r="J1392" s="51" t="s">
        <v>535</v>
      </c>
      <c r="K1392" s="51">
        <f>VLOOKUP(J1392,'Validacion reclamo de equipaje'!L:M,2,0)</f>
        <v>50</v>
      </c>
      <c r="L1392" s="51" t="str">
        <f>VLOOKUP(I1392,'Validacion reclamo de equipaje'!H:I,2,0)</f>
        <v>Nacional</v>
      </c>
      <c r="M1392" s="51" t="s">
        <v>523</v>
      </c>
    </row>
    <row r="1393" spans="1:13" x14ac:dyDescent="0.25">
      <c r="A1393">
        <v>2277</v>
      </c>
      <c r="B1393" s="47" t="str">
        <f>VLOOKUP(Tabla6[[#This Row],['# Vuelo]],'Validacion reclamo de equipaje'!P:Q,2,0)</f>
        <v>MEXICO AEREO</v>
      </c>
      <c r="C1393" s="52">
        <v>0.94791666666666663</v>
      </c>
      <c r="D1393" s="52">
        <v>0.94930555555555562</v>
      </c>
      <c r="E1393" s="53">
        <f>'Reclamo de equipaje rediseñado'!$D1393-'Reclamo de equipaje rediseñado'!$C1393</f>
        <v>1.388888888888995E-3</v>
      </c>
      <c r="F1393" s="52">
        <v>0.95138888888888884</v>
      </c>
      <c r="G1393" s="53">
        <f t="shared" si="21"/>
        <v>2.0833333333332149E-3</v>
      </c>
      <c r="H1393" s="54">
        <v>41734</v>
      </c>
      <c r="I1393" s="55" t="s">
        <v>542</v>
      </c>
      <c r="J1393" s="55" t="s">
        <v>535</v>
      </c>
      <c r="K1393" s="55">
        <f>VLOOKUP(J1393,'Validacion reclamo de equipaje'!L:M,2,0)</f>
        <v>50</v>
      </c>
      <c r="L1393" s="55" t="str">
        <f>VLOOKUP(I1393,'Validacion reclamo de equipaje'!H:I,2,0)</f>
        <v>Nacional</v>
      </c>
      <c r="M1393" s="55" t="s">
        <v>523</v>
      </c>
    </row>
    <row r="1394" spans="1:13" x14ac:dyDescent="0.25">
      <c r="A1394">
        <v>2277</v>
      </c>
      <c r="B1394" s="47" t="str">
        <f>VLOOKUP(Tabla6[[#This Row],['# Vuelo]],'Validacion reclamo de equipaje'!P:Q,2,0)</f>
        <v>MEXICO AEREO</v>
      </c>
      <c r="C1394" s="48">
        <v>0.9375</v>
      </c>
      <c r="D1394" s="48">
        <v>0.9472222222222223</v>
      </c>
      <c r="E1394" s="49">
        <f>'Reclamo de equipaje rediseñado'!$D1394-'Reclamo de equipaje rediseñado'!$C1394</f>
        <v>9.7222222222222987E-3</v>
      </c>
      <c r="F1394" s="48">
        <v>0.9506944444444444</v>
      </c>
      <c r="G1394" s="49">
        <f t="shared" si="21"/>
        <v>3.4722222222220989E-3</v>
      </c>
      <c r="H1394" s="50">
        <v>41736</v>
      </c>
      <c r="I1394" s="51" t="s">
        <v>542</v>
      </c>
      <c r="J1394" s="51" t="s">
        <v>535</v>
      </c>
      <c r="K1394" s="51">
        <f>VLOOKUP(J1394,'Validacion reclamo de equipaje'!L:M,2,0)</f>
        <v>50</v>
      </c>
      <c r="L1394" s="51" t="str">
        <f>VLOOKUP(I1394,'Validacion reclamo de equipaje'!H:I,2,0)</f>
        <v>Nacional</v>
      </c>
      <c r="M1394" s="51" t="s">
        <v>523</v>
      </c>
    </row>
    <row r="1395" spans="1:13" x14ac:dyDescent="0.25">
      <c r="A1395">
        <v>2277</v>
      </c>
      <c r="B1395" s="47" t="str">
        <f>VLOOKUP(Tabla6[[#This Row],['# Vuelo]],'Validacion reclamo de equipaje'!P:Q,2,0)</f>
        <v>MEXICO AEREO</v>
      </c>
      <c r="C1395" s="52">
        <v>0.94097222222222221</v>
      </c>
      <c r="D1395" s="52">
        <v>0.94652777777777775</v>
      </c>
      <c r="E1395" s="53">
        <f>'Reclamo de equipaje rediseñado'!$D1395-'Reclamo de equipaje rediseñado'!$C1395</f>
        <v>5.5555555555555358E-3</v>
      </c>
      <c r="F1395" s="52">
        <v>0.94861111111111107</v>
      </c>
      <c r="G1395" s="53">
        <f t="shared" si="21"/>
        <v>2.0833333333333259E-3</v>
      </c>
      <c r="H1395" s="54">
        <v>41736</v>
      </c>
      <c r="I1395" s="55" t="s">
        <v>542</v>
      </c>
      <c r="J1395" s="55" t="s">
        <v>535</v>
      </c>
      <c r="K1395" s="55">
        <f>VLOOKUP(J1395,'Validacion reclamo de equipaje'!L:M,2,0)</f>
        <v>50</v>
      </c>
      <c r="L1395" s="55" t="str">
        <f>VLOOKUP(I1395,'Validacion reclamo de equipaje'!H:I,2,0)</f>
        <v>Nacional</v>
      </c>
      <c r="M1395" s="55" t="s">
        <v>523</v>
      </c>
    </row>
    <row r="1396" spans="1:13" x14ac:dyDescent="0.25">
      <c r="A1396">
        <v>2277</v>
      </c>
      <c r="B1396" s="47" t="str">
        <f>VLOOKUP(Tabla6[[#This Row],['# Vuelo]],'Validacion reclamo de equipaje'!P:Q,2,0)</f>
        <v>MEXICO AEREO</v>
      </c>
      <c r="C1396" s="48">
        <v>0.96875</v>
      </c>
      <c r="D1396" s="48">
        <v>0.9770833333333333</v>
      </c>
      <c r="E1396" s="49">
        <f>'Reclamo de equipaje rediseñado'!$D1396-'Reclamo de equipaje rediseñado'!$C1396</f>
        <v>8.3333333333333037E-3</v>
      </c>
      <c r="F1396" s="48">
        <v>0.97916666666666663</v>
      </c>
      <c r="G1396" s="49">
        <f t="shared" si="21"/>
        <v>2.0833333333333259E-3</v>
      </c>
      <c r="H1396" s="50">
        <v>41738</v>
      </c>
      <c r="I1396" s="51" t="s">
        <v>542</v>
      </c>
      <c r="J1396" s="51" t="s">
        <v>535</v>
      </c>
      <c r="K1396" s="51">
        <f>VLOOKUP(J1396,'Validacion reclamo de equipaje'!L:M,2,0)</f>
        <v>50</v>
      </c>
      <c r="L1396" s="51" t="str">
        <f>VLOOKUP(I1396,'Validacion reclamo de equipaje'!H:I,2,0)</f>
        <v>Nacional</v>
      </c>
      <c r="M1396" s="51" t="s">
        <v>523</v>
      </c>
    </row>
    <row r="1397" spans="1:13" x14ac:dyDescent="0.25">
      <c r="A1397">
        <v>2277</v>
      </c>
      <c r="B1397" s="47" t="str">
        <f>VLOOKUP(Tabla6[[#This Row],['# Vuelo]],'Validacion reclamo de equipaje'!P:Q,2,0)</f>
        <v>MEXICO AEREO</v>
      </c>
      <c r="C1397" s="52">
        <v>0.95000000000000007</v>
      </c>
      <c r="D1397" s="52">
        <v>0.95624999999999993</v>
      </c>
      <c r="E1397" s="53">
        <f>'Reclamo de equipaje rediseñado'!$D1397-'Reclamo de equipaje rediseñado'!$C1397</f>
        <v>6.2499999999998668E-3</v>
      </c>
      <c r="F1397" s="52">
        <v>0.95763888888888893</v>
      </c>
      <c r="G1397" s="53">
        <f t="shared" si="21"/>
        <v>1.388888888888995E-3</v>
      </c>
      <c r="H1397" s="54">
        <v>41739</v>
      </c>
      <c r="I1397" s="55" t="s">
        <v>542</v>
      </c>
      <c r="J1397" s="55" t="s">
        <v>535</v>
      </c>
      <c r="K1397" s="55">
        <f>VLOOKUP(J1397,'Validacion reclamo de equipaje'!L:M,2,0)</f>
        <v>50</v>
      </c>
      <c r="L1397" s="55" t="str">
        <f>VLOOKUP(I1397,'Validacion reclamo de equipaje'!H:I,2,0)</f>
        <v>Nacional</v>
      </c>
      <c r="M1397" s="55" t="s">
        <v>523</v>
      </c>
    </row>
    <row r="1398" spans="1:13" x14ac:dyDescent="0.25">
      <c r="A1398">
        <v>2277</v>
      </c>
      <c r="B1398" s="47" t="str">
        <f>VLOOKUP(Tabla6[[#This Row],['# Vuelo]],'Validacion reclamo de equipaje'!P:Q,2,0)</f>
        <v>MEXICO AEREO</v>
      </c>
      <c r="C1398" s="48">
        <v>0.9902777777777777</v>
      </c>
      <c r="D1398" s="48">
        <v>0.99861111111111101</v>
      </c>
      <c r="E1398" s="49">
        <f>'Reclamo de equipaje rediseñado'!$D1398-'Reclamo de equipaje rediseñado'!$C1398</f>
        <v>8.3333333333333037E-3</v>
      </c>
      <c r="F1398" s="48">
        <v>0.99930555555555556</v>
      </c>
      <c r="G1398" s="49">
        <f t="shared" si="21"/>
        <v>6.94444444444553E-4</v>
      </c>
      <c r="H1398" s="50">
        <v>41740</v>
      </c>
      <c r="I1398" s="51" t="s">
        <v>542</v>
      </c>
      <c r="J1398" s="51" t="s">
        <v>535</v>
      </c>
      <c r="K1398" s="51">
        <f>VLOOKUP(J1398,'Validacion reclamo de equipaje'!L:M,2,0)</f>
        <v>50</v>
      </c>
      <c r="L1398" s="51" t="str">
        <f>VLOOKUP(I1398,'Validacion reclamo de equipaje'!H:I,2,0)</f>
        <v>Nacional</v>
      </c>
      <c r="M1398" s="51" t="s">
        <v>523</v>
      </c>
    </row>
    <row r="1399" spans="1:13" x14ac:dyDescent="0.25">
      <c r="A1399">
        <v>2277</v>
      </c>
      <c r="B1399" s="47" t="str">
        <f>VLOOKUP(Tabla6[[#This Row],['# Vuelo]],'Validacion reclamo de equipaje'!P:Q,2,0)</f>
        <v>MEXICO AEREO</v>
      </c>
      <c r="C1399" s="52">
        <v>0.9291666666666667</v>
      </c>
      <c r="D1399" s="52">
        <v>0.93541666666666667</v>
      </c>
      <c r="E1399" s="53">
        <f>'Reclamo de equipaje rediseñado'!$D1399-'Reclamo de equipaje rediseñado'!$C1399</f>
        <v>6.2499999999999778E-3</v>
      </c>
      <c r="F1399" s="52">
        <v>0.94097222222222221</v>
      </c>
      <c r="G1399" s="53">
        <f t="shared" si="21"/>
        <v>5.5555555555555358E-3</v>
      </c>
      <c r="H1399" s="54">
        <v>41742</v>
      </c>
      <c r="I1399" s="55" t="s">
        <v>542</v>
      </c>
      <c r="J1399" s="55" t="s">
        <v>535</v>
      </c>
      <c r="K1399" s="55">
        <f>VLOOKUP(J1399,'Validacion reclamo de equipaje'!L:M,2,0)</f>
        <v>50</v>
      </c>
      <c r="L1399" s="55" t="str">
        <f>VLOOKUP(I1399,'Validacion reclamo de equipaje'!H:I,2,0)</f>
        <v>Nacional</v>
      </c>
      <c r="M1399" s="55" t="s">
        <v>523</v>
      </c>
    </row>
    <row r="1400" spans="1:13" x14ac:dyDescent="0.25">
      <c r="A1400">
        <v>2277</v>
      </c>
      <c r="B1400" s="47" t="str">
        <f>VLOOKUP(Tabla6[[#This Row],['# Vuelo]],'Validacion reclamo de equipaje'!P:Q,2,0)</f>
        <v>MEXICO AEREO</v>
      </c>
      <c r="C1400" s="48">
        <v>0.93888888888888899</v>
      </c>
      <c r="D1400" s="48">
        <v>0.94305555555555554</v>
      </c>
      <c r="E1400" s="49">
        <f>'Reclamo de equipaje rediseñado'!$D1400-'Reclamo de equipaje rediseñado'!$C1400</f>
        <v>4.1666666666665408E-3</v>
      </c>
      <c r="F1400" s="48">
        <v>0.94930555555555562</v>
      </c>
      <c r="G1400" s="49">
        <f t="shared" si="21"/>
        <v>6.2500000000000888E-3</v>
      </c>
      <c r="H1400" s="50">
        <v>41743</v>
      </c>
      <c r="I1400" s="51" t="s">
        <v>542</v>
      </c>
      <c r="J1400" s="51" t="s">
        <v>535</v>
      </c>
      <c r="K1400" s="51">
        <f>VLOOKUP(J1400,'Validacion reclamo de equipaje'!L:M,2,0)</f>
        <v>50</v>
      </c>
      <c r="L1400" s="51" t="str">
        <f>VLOOKUP(I1400,'Validacion reclamo de equipaje'!H:I,2,0)</f>
        <v>Nacional</v>
      </c>
      <c r="M1400" s="51" t="s">
        <v>523</v>
      </c>
    </row>
    <row r="1401" spans="1:13" x14ac:dyDescent="0.25">
      <c r="A1401">
        <v>2277</v>
      </c>
      <c r="B1401" s="47" t="str">
        <f>VLOOKUP(Tabla6[[#This Row],['# Vuelo]],'Validacion reclamo de equipaje'!P:Q,2,0)</f>
        <v>MEXICO AEREO</v>
      </c>
      <c r="C1401" s="52">
        <v>0.92638888888888893</v>
      </c>
      <c r="D1401" s="52">
        <v>0.93333333333333324</v>
      </c>
      <c r="E1401" s="53">
        <f>'Reclamo de equipaje rediseñado'!$D1401-'Reclamo de equipaje rediseñado'!$C1401</f>
        <v>6.9444444444443088E-3</v>
      </c>
      <c r="F1401" s="52">
        <v>0.9375</v>
      </c>
      <c r="G1401" s="53">
        <f t="shared" si="21"/>
        <v>4.1666666666667629E-3</v>
      </c>
      <c r="H1401" s="54">
        <v>41744</v>
      </c>
      <c r="I1401" s="55" t="s">
        <v>542</v>
      </c>
      <c r="J1401" s="55" t="s">
        <v>535</v>
      </c>
      <c r="K1401" s="55">
        <f>VLOOKUP(J1401,'Validacion reclamo de equipaje'!L:M,2,0)</f>
        <v>50</v>
      </c>
      <c r="L1401" s="55" t="str">
        <f>VLOOKUP(I1401,'Validacion reclamo de equipaje'!H:I,2,0)</f>
        <v>Nacional</v>
      </c>
      <c r="M1401" s="55" t="s">
        <v>523</v>
      </c>
    </row>
    <row r="1402" spans="1:13" x14ac:dyDescent="0.25">
      <c r="A1402">
        <v>2277</v>
      </c>
      <c r="B1402" s="47" t="str">
        <f>VLOOKUP(Tabla6[[#This Row],['# Vuelo]],'Validacion reclamo de equipaje'!P:Q,2,0)</f>
        <v>MEXICO AEREO</v>
      </c>
      <c r="C1402" s="48">
        <v>0.93819444444444444</v>
      </c>
      <c r="D1402" s="48">
        <v>0.94791666666666663</v>
      </c>
      <c r="E1402" s="49">
        <f>'Reclamo de equipaje rediseñado'!$D1402-'Reclamo de equipaje rediseñado'!$C1402</f>
        <v>9.7222222222221877E-3</v>
      </c>
      <c r="F1402" s="48">
        <v>0.95138888888888884</v>
      </c>
      <c r="G1402" s="49">
        <f t="shared" si="21"/>
        <v>3.4722222222222099E-3</v>
      </c>
      <c r="H1402" s="50">
        <v>41749</v>
      </c>
      <c r="I1402" s="51" t="s">
        <v>542</v>
      </c>
      <c r="J1402" s="51" t="s">
        <v>535</v>
      </c>
      <c r="K1402" s="51">
        <f>VLOOKUP(J1402,'Validacion reclamo de equipaje'!L:M,2,0)</f>
        <v>50</v>
      </c>
      <c r="L1402" s="51" t="str">
        <f>VLOOKUP(I1402,'Validacion reclamo de equipaje'!H:I,2,0)</f>
        <v>Nacional</v>
      </c>
      <c r="M1402" s="51" t="s">
        <v>523</v>
      </c>
    </row>
    <row r="1403" spans="1:13" x14ac:dyDescent="0.25">
      <c r="A1403">
        <v>2277</v>
      </c>
      <c r="B1403" s="47" t="str">
        <f>VLOOKUP(Tabla6[[#This Row],['# Vuelo]],'Validacion reclamo de equipaje'!P:Q,2,0)</f>
        <v>MEXICO AEREO</v>
      </c>
      <c r="C1403" s="52">
        <v>0.93888888888888899</v>
      </c>
      <c r="D1403" s="52">
        <v>0.94791666666666663</v>
      </c>
      <c r="E1403" s="53">
        <f>'Reclamo de equipaje rediseñado'!$D1403-'Reclamo de equipaje rediseñado'!$C1403</f>
        <v>9.0277777777776347E-3</v>
      </c>
      <c r="F1403" s="52">
        <v>0.95000000000000007</v>
      </c>
      <c r="G1403" s="53">
        <f t="shared" si="21"/>
        <v>2.083333333333437E-3</v>
      </c>
      <c r="H1403" s="54">
        <v>41749</v>
      </c>
      <c r="I1403" s="55" t="s">
        <v>542</v>
      </c>
      <c r="J1403" s="55" t="s">
        <v>535</v>
      </c>
      <c r="K1403" s="55">
        <f>VLOOKUP(J1403,'Validacion reclamo de equipaje'!L:M,2,0)</f>
        <v>50</v>
      </c>
      <c r="L1403" s="55" t="str">
        <f>VLOOKUP(I1403,'Validacion reclamo de equipaje'!H:I,2,0)</f>
        <v>Nacional</v>
      </c>
      <c r="M1403" s="55" t="s">
        <v>523</v>
      </c>
    </row>
    <row r="1404" spans="1:13" x14ac:dyDescent="0.25">
      <c r="A1404">
        <v>2277</v>
      </c>
      <c r="B1404" s="47" t="str">
        <f>VLOOKUP(Tabla6[[#This Row],['# Vuelo]],'Validacion reclamo de equipaje'!P:Q,2,0)</f>
        <v>MEXICO AEREO</v>
      </c>
      <c r="C1404" s="48">
        <v>0.94305555555555554</v>
      </c>
      <c r="D1404" s="48">
        <v>0.95000000000000007</v>
      </c>
      <c r="E1404" s="49">
        <f>'Reclamo de equipaje rediseñado'!$D1404-'Reclamo de equipaje rediseñado'!$C1404</f>
        <v>6.9444444444445308E-3</v>
      </c>
      <c r="F1404" s="48">
        <v>0.95208333333333339</v>
      </c>
      <c r="G1404" s="49">
        <f t="shared" si="21"/>
        <v>2.0833333333333259E-3</v>
      </c>
      <c r="H1404" s="50">
        <v>41753</v>
      </c>
      <c r="I1404" s="51" t="s">
        <v>542</v>
      </c>
      <c r="J1404" s="51" t="s">
        <v>535</v>
      </c>
      <c r="K1404" s="51">
        <f>VLOOKUP(J1404,'Validacion reclamo de equipaje'!L:M,2,0)</f>
        <v>50</v>
      </c>
      <c r="L1404" s="51" t="str">
        <f>VLOOKUP(I1404,'Validacion reclamo de equipaje'!H:I,2,0)</f>
        <v>Nacional</v>
      </c>
      <c r="M1404" s="51" t="s">
        <v>523</v>
      </c>
    </row>
    <row r="1405" spans="1:13" x14ac:dyDescent="0.25">
      <c r="A1405">
        <v>2277</v>
      </c>
      <c r="B1405" s="47" t="str">
        <f>VLOOKUP(Tabla6[[#This Row],['# Vuelo]],'Validacion reclamo de equipaje'!P:Q,2,0)</f>
        <v>MEXICO AEREO</v>
      </c>
      <c r="C1405" s="52">
        <v>0.94444444444444453</v>
      </c>
      <c r="D1405" s="52">
        <v>0.95208333333333339</v>
      </c>
      <c r="E1405" s="53">
        <f>'Reclamo de equipaje rediseñado'!$D1405-'Reclamo de equipaje rediseñado'!$C1405</f>
        <v>7.6388888888888618E-3</v>
      </c>
      <c r="F1405" s="52">
        <v>0.9555555555555556</v>
      </c>
      <c r="G1405" s="53">
        <f t="shared" si="21"/>
        <v>3.4722222222222099E-3</v>
      </c>
      <c r="H1405" s="54">
        <v>41757</v>
      </c>
      <c r="I1405" s="55" t="s">
        <v>542</v>
      </c>
      <c r="J1405" s="55" t="s">
        <v>535</v>
      </c>
      <c r="K1405" s="55">
        <f>VLOOKUP(J1405,'Validacion reclamo de equipaje'!L:M,2,0)</f>
        <v>50</v>
      </c>
      <c r="L1405" s="55" t="str">
        <f>VLOOKUP(I1405,'Validacion reclamo de equipaje'!H:I,2,0)</f>
        <v>Nacional</v>
      </c>
      <c r="M1405" s="55" t="s">
        <v>523</v>
      </c>
    </row>
    <row r="1406" spans="1:13" x14ac:dyDescent="0.25">
      <c r="A1406">
        <v>2277</v>
      </c>
      <c r="B1406" s="47" t="str">
        <f>VLOOKUP(Tabla6[[#This Row],['# Vuelo]],'Validacion reclamo de equipaje'!P:Q,2,0)</f>
        <v>MEXICO AEREO</v>
      </c>
      <c r="C1406" s="48">
        <v>0.94861111111111107</v>
      </c>
      <c r="D1406" s="48">
        <v>0.95624999999999993</v>
      </c>
      <c r="E1406" s="49">
        <f>'Reclamo de equipaje rediseñado'!$D1406-'Reclamo de equipaje rediseñado'!$C1406</f>
        <v>7.6388888888888618E-3</v>
      </c>
      <c r="F1406" s="48">
        <v>0.95833333333333337</v>
      </c>
      <c r="G1406" s="49">
        <f t="shared" si="21"/>
        <v>2.083333333333437E-3</v>
      </c>
      <c r="H1406" s="50">
        <v>41759</v>
      </c>
      <c r="I1406" s="51" t="s">
        <v>542</v>
      </c>
      <c r="J1406" s="51" t="s">
        <v>535</v>
      </c>
      <c r="K1406" s="51">
        <f>VLOOKUP(J1406,'Validacion reclamo de equipaje'!L:M,2,0)</f>
        <v>50</v>
      </c>
      <c r="L1406" s="51" t="str">
        <f>VLOOKUP(I1406,'Validacion reclamo de equipaje'!H:I,2,0)</f>
        <v>Nacional</v>
      </c>
      <c r="M1406" s="51" t="s">
        <v>523</v>
      </c>
    </row>
    <row r="1407" spans="1:13" x14ac:dyDescent="0.25">
      <c r="A1407">
        <v>2277</v>
      </c>
      <c r="B1407" s="47" t="str">
        <f>VLOOKUP(Tabla6[[#This Row],['# Vuelo]],'Validacion reclamo de equipaje'!P:Q,2,0)</f>
        <v>MEXICO AEREO</v>
      </c>
      <c r="C1407" s="52">
        <v>0.94374999999999998</v>
      </c>
      <c r="D1407" s="52">
        <v>0.95486111111111116</v>
      </c>
      <c r="E1407" s="53">
        <f>'Reclamo de equipaje rediseñado'!$D1407-'Reclamo de equipaje rediseñado'!$C1407</f>
        <v>1.1111111111111183E-2</v>
      </c>
      <c r="F1407" s="52">
        <v>0.95763888888888893</v>
      </c>
      <c r="G1407" s="53">
        <f t="shared" si="21"/>
        <v>2.7777777777777679E-3</v>
      </c>
      <c r="H1407" s="54">
        <v>41759</v>
      </c>
      <c r="I1407" s="55" t="s">
        <v>542</v>
      </c>
      <c r="J1407" s="55" t="s">
        <v>535</v>
      </c>
      <c r="K1407" s="55">
        <f>VLOOKUP(J1407,'Validacion reclamo de equipaje'!L:M,2,0)</f>
        <v>50</v>
      </c>
      <c r="L1407" s="55" t="str">
        <f>VLOOKUP(I1407,'Validacion reclamo de equipaje'!H:I,2,0)</f>
        <v>Nacional</v>
      </c>
      <c r="M1407" s="55" t="s">
        <v>523</v>
      </c>
    </row>
    <row r="1408" spans="1:13" x14ac:dyDescent="0.25">
      <c r="A1408">
        <v>2219</v>
      </c>
      <c r="B1408" s="47" t="str">
        <f>VLOOKUP(Tabla6[[#This Row],['# Vuelo]],'Validacion reclamo de equipaje'!P:Q,2,0)</f>
        <v>MEXICO AEREO</v>
      </c>
      <c r="C1408" s="48">
        <v>0.75486111111111109</v>
      </c>
      <c r="D1408" s="48">
        <v>0.7631944444444444</v>
      </c>
      <c r="E1408" s="49">
        <f>'Reclamo de equipaje rediseñado'!$D1408-'Reclamo de equipaje rediseñado'!$C1408</f>
        <v>8.3333333333333037E-3</v>
      </c>
      <c r="F1408" s="48">
        <v>0.76666666666666661</v>
      </c>
      <c r="G1408" s="49">
        <f t="shared" si="21"/>
        <v>3.4722222222222099E-3</v>
      </c>
      <c r="H1408" s="50">
        <v>41733</v>
      </c>
      <c r="I1408" s="51" t="s">
        <v>548</v>
      </c>
      <c r="J1408" s="51" t="s">
        <v>535</v>
      </c>
      <c r="K1408" s="51">
        <f>VLOOKUP(J1408,'Validacion reclamo de equipaje'!L:M,2,0)</f>
        <v>50</v>
      </c>
      <c r="L1408" s="51" t="str">
        <f>VLOOKUP(I1408,'Validacion reclamo de equipaje'!H:I,2,0)</f>
        <v>Nacional</v>
      </c>
      <c r="M1408" s="51" t="s">
        <v>523</v>
      </c>
    </row>
    <row r="1409" spans="1:13" x14ac:dyDescent="0.25">
      <c r="A1409">
        <v>2219</v>
      </c>
      <c r="B1409" s="47" t="str">
        <f>VLOOKUP(Tabla6[[#This Row],['# Vuelo]],'Validacion reclamo de equipaje'!P:Q,2,0)</f>
        <v>MEXICO AEREO</v>
      </c>
      <c r="C1409" s="52">
        <v>0.57152777777777775</v>
      </c>
      <c r="D1409" s="52">
        <v>0.57638888888888895</v>
      </c>
      <c r="E1409" s="53">
        <f>'Reclamo de equipaje rediseñado'!$D1409-'Reclamo de equipaje rediseñado'!$C1409</f>
        <v>4.8611111111112049E-3</v>
      </c>
      <c r="F1409" s="52">
        <v>0.57986111111111105</v>
      </c>
      <c r="G1409" s="53">
        <f t="shared" si="21"/>
        <v>3.4722222222220989E-3</v>
      </c>
      <c r="H1409" s="54">
        <v>41730</v>
      </c>
      <c r="I1409" s="55" t="s">
        <v>548</v>
      </c>
      <c r="J1409" s="55" t="s">
        <v>535</v>
      </c>
      <c r="K1409" s="55">
        <f>VLOOKUP(J1409,'Validacion reclamo de equipaje'!L:M,2,0)</f>
        <v>50</v>
      </c>
      <c r="L1409" s="55" t="str">
        <f>VLOOKUP(I1409,'Validacion reclamo de equipaje'!H:I,2,0)</f>
        <v>Nacional</v>
      </c>
      <c r="M1409" s="55" t="s">
        <v>523</v>
      </c>
    </row>
    <row r="1410" spans="1:13" x14ac:dyDescent="0.25">
      <c r="A1410">
        <v>2219</v>
      </c>
      <c r="B1410" s="47" t="str">
        <f>VLOOKUP(Tabla6[[#This Row],['# Vuelo]],'Validacion reclamo de equipaje'!P:Q,2,0)</f>
        <v>MEXICO AEREO</v>
      </c>
      <c r="C1410" s="48">
        <v>0.59236111111111112</v>
      </c>
      <c r="D1410" s="48">
        <v>0.59930555555555554</v>
      </c>
      <c r="E1410" s="49">
        <f>'Reclamo de equipaje rediseñado'!$D1410-'Reclamo de equipaje rediseñado'!$C1410</f>
        <v>6.9444444444444198E-3</v>
      </c>
      <c r="F1410" s="48">
        <v>0.60972222222222217</v>
      </c>
      <c r="G1410" s="49">
        <f t="shared" si="21"/>
        <v>1.041666666666663E-2</v>
      </c>
      <c r="H1410" s="50">
        <v>41731</v>
      </c>
      <c r="I1410" s="51" t="s">
        <v>548</v>
      </c>
      <c r="J1410" s="51" t="s">
        <v>535</v>
      </c>
      <c r="K1410" s="51">
        <f>VLOOKUP(J1410,'Validacion reclamo de equipaje'!L:M,2,0)</f>
        <v>50</v>
      </c>
      <c r="L1410" s="51" t="str">
        <f>VLOOKUP(I1410,'Validacion reclamo de equipaje'!H:I,2,0)</f>
        <v>Nacional</v>
      </c>
      <c r="M1410" s="51" t="s">
        <v>523</v>
      </c>
    </row>
    <row r="1411" spans="1:13" x14ac:dyDescent="0.25">
      <c r="A1411">
        <v>2219</v>
      </c>
      <c r="B1411" s="47" t="str">
        <f>VLOOKUP(Tabla6[[#This Row],['# Vuelo]],'Validacion reclamo de equipaje'!P:Q,2,0)</f>
        <v>MEXICO AEREO</v>
      </c>
      <c r="C1411" s="52">
        <v>8.3333333333333329E-2</v>
      </c>
      <c r="D1411" s="52">
        <v>8.6805555555555566E-2</v>
      </c>
      <c r="E1411" s="53">
        <f>'Reclamo de equipaje rediseñado'!$D1411-'Reclamo de equipaje rediseñado'!$C1411</f>
        <v>3.4722222222222376E-3</v>
      </c>
      <c r="F1411" s="52">
        <v>9.375E-2</v>
      </c>
      <c r="G1411" s="53">
        <f t="shared" ref="G1411:G1474" si="22">F1411-D1411</f>
        <v>6.9444444444444337E-3</v>
      </c>
      <c r="H1411" s="54">
        <v>41732</v>
      </c>
      <c r="I1411" s="55" t="s">
        <v>548</v>
      </c>
      <c r="J1411" s="55" t="s">
        <v>535</v>
      </c>
      <c r="K1411" s="55">
        <f>VLOOKUP(J1411,'Validacion reclamo de equipaje'!L:M,2,0)</f>
        <v>50</v>
      </c>
      <c r="L1411" s="55" t="str">
        <f>VLOOKUP(I1411,'Validacion reclamo de equipaje'!H:I,2,0)</f>
        <v>Nacional</v>
      </c>
      <c r="M1411" s="55" t="s">
        <v>523</v>
      </c>
    </row>
    <row r="1412" spans="1:13" x14ac:dyDescent="0.25">
      <c r="A1412">
        <v>2219</v>
      </c>
      <c r="B1412" s="47" t="str">
        <f>VLOOKUP(Tabla6[[#This Row],['# Vuelo]],'Validacion reclamo de equipaje'!P:Q,2,0)</f>
        <v>MEXICO AEREO</v>
      </c>
      <c r="C1412" s="48">
        <v>0.58750000000000002</v>
      </c>
      <c r="D1412" s="48">
        <v>0.59166666666666667</v>
      </c>
      <c r="E1412" s="49">
        <f>'Reclamo de equipaje rediseñado'!$D1412-'Reclamo de equipaje rediseñado'!$C1412</f>
        <v>4.1666666666666519E-3</v>
      </c>
      <c r="F1412" s="48">
        <v>0.60138888888888886</v>
      </c>
      <c r="G1412" s="49">
        <f t="shared" si="22"/>
        <v>9.7222222222221877E-3</v>
      </c>
      <c r="H1412" s="50">
        <v>41733</v>
      </c>
      <c r="I1412" s="51" t="s">
        <v>548</v>
      </c>
      <c r="J1412" s="51" t="s">
        <v>535</v>
      </c>
      <c r="K1412" s="51">
        <f>VLOOKUP(J1412,'Validacion reclamo de equipaje'!L:M,2,0)</f>
        <v>50</v>
      </c>
      <c r="L1412" s="51" t="str">
        <f>VLOOKUP(I1412,'Validacion reclamo de equipaje'!H:I,2,0)</f>
        <v>Nacional</v>
      </c>
      <c r="M1412" s="51" t="s">
        <v>523</v>
      </c>
    </row>
    <row r="1413" spans="1:13" x14ac:dyDescent="0.25">
      <c r="A1413">
        <v>2219</v>
      </c>
      <c r="B1413" s="47" t="str">
        <f>VLOOKUP(Tabla6[[#This Row],['# Vuelo]],'Validacion reclamo de equipaje'!P:Q,2,0)</f>
        <v>MEXICO AEREO</v>
      </c>
      <c r="C1413" s="52">
        <v>0.57638888888888895</v>
      </c>
      <c r="D1413" s="52">
        <v>0.5805555555555556</v>
      </c>
      <c r="E1413" s="53">
        <f>'Reclamo de equipaje rediseñado'!$D1413-'Reclamo de equipaje rediseñado'!$C1413</f>
        <v>4.1666666666666519E-3</v>
      </c>
      <c r="F1413" s="52">
        <v>0.58680555555555558</v>
      </c>
      <c r="G1413" s="53">
        <f t="shared" si="22"/>
        <v>6.2499999999999778E-3</v>
      </c>
      <c r="H1413" s="54">
        <v>41735</v>
      </c>
      <c r="I1413" s="55" t="s">
        <v>548</v>
      </c>
      <c r="J1413" s="55" t="s">
        <v>535</v>
      </c>
      <c r="K1413" s="55">
        <f>VLOOKUP(J1413,'Validacion reclamo de equipaje'!L:M,2,0)</f>
        <v>50</v>
      </c>
      <c r="L1413" s="55" t="str">
        <f>VLOOKUP(I1413,'Validacion reclamo de equipaje'!H:I,2,0)</f>
        <v>Nacional</v>
      </c>
      <c r="M1413" s="55" t="s">
        <v>523</v>
      </c>
    </row>
    <row r="1414" spans="1:13" x14ac:dyDescent="0.25">
      <c r="A1414">
        <v>2219</v>
      </c>
      <c r="B1414" s="47" t="str">
        <f>VLOOKUP(Tabla6[[#This Row],['# Vuelo]],'Validacion reclamo de equipaje'!P:Q,2,0)</f>
        <v>MEXICO AEREO</v>
      </c>
      <c r="C1414" s="48">
        <v>0.57152777777777775</v>
      </c>
      <c r="D1414" s="48">
        <v>0.57638888888888895</v>
      </c>
      <c r="E1414" s="49">
        <f>'Reclamo de equipaje rediseñado'!$D1414-'Reclamo de equipaje rediseñado'!$C1414</f>
        <v>4.8611111111112049E-3</v>
      </c>
      <c r="F1414" s="48">
        <v>0.57986111111111105</v>
      </c>
      <c r="G1414" s="49">
        <f t="shared" si="22"/>
        <v>3.4722222222220989E-3</v>
      </c>
      <c r="H1414" s="50">
        <v>41742</v>
      </c>
      <c r="I1414" s="51" t="s">
        <v>548</v>
      </c>
      <c r="J1414" s="51" t="s">
        <v>535</v>
      </c>
      <c r="K1414" s="51">
        <f>VLOOKUP(J1414,'Validacion reclamo de equipaje'!L:M,2,0)</f>
        <v>50</v>
      </c>
      <c r="L1414" s="51" t="str">
        <f>VLOOKUP(I1414,'Validacion reclamo de equipaje'!H:I,2,0)</f>
        <v>Nacional</v>
      </c>
      <c r="M1414" s="51" t="s">
        <v>523</v>
      </c>
    </row>
    <row r="1415" spans="1:13" x14ac:dyDescent="0.25">
      <c r="A1415">
        <v>2193</v>
      </c>
      <c r="B1415" s="47" t="str">
        <f>VLOOKUP(Tabla6[[#This Row],['# Vuelo]],'Validacion reclamo de equipaje'!P:Q,2,0)</f>
        <v>MEXICO AEREO</v>
      </c>
      <c r="C1415" s="52">
        <v>0.83124999999999993</v>
      </c>
      <c r="D1415" s="52">
        <v>0.8340277777777777</v>
      </c>
      <c r="E1415" s="53">
        <f>'Reclamo de equipaje rediseñado'!$D1415-'Reclamo de equipaje rediseñado'!$C1415</f>
        <v>2.7777777777777679E-3</v>
      </c>
      <c r="F1415" s="52">
        <v>0.84513888888888899</v>
      </c>
      <c r="G1415" s="53">
        <f t="shared" si="22"/>
        <v>1.1111111111111294E-2</v>
      </c>
      <c r="H1415" s="54">
        <v>41734</v>
      </c>
      <c r="I1415" s="55" t="s">
        <v>549</v>
      </c>
      <c r="J1415" s="55" t="s">
        <v>535</v>
      </c>
      <c r="K1415" s="55">
        <f>VLOOKUP(J1415,'Validacion reclamo de equipaje'!L:M,2,0)</f>
        <v>50</v>
      </c>
      <c r="L1415" s="55" t="str">
        <f>VLOOKUP(I1415,'Validacion reclamo de equipaje'!H:I,2,0)</f>
        <v>Nacional</v>
      </c>
      <c r="M1415" s="55" t="s">
        <v>523</v>
      </c>
    </row>
    <row r="1416" spans="1:13" x14ac:dyDescent="0.25">
      <c r="A1416">
        <v>2193</v>
      </c>
      <c r="B1416" s="47" t="str">
        <f>VLOOKUP(Tabla6[[#This Row],['# Vuelo]],'Validacion reclamo de equipaje'!P:Q,2,0)</f>
        <v>MEXICO AEREO</v>
      </c>
      <c r="C1416" s="48">
        <v>0.85069444444444453</v>
      </c>
      <c r="D1416" s="48">
        <v>0.86458333333333337</v>
      </c>
      <c r="E1416" s="49">
        <f>'Reclamo de equipaje rediseñado'!$D1416-'Reclamo de equipaje rediseñado'!$C1416</f>
        <v>1.388888888888884E-2</v>
      </c>
      <c r="F1416" s="48">
        <v>0.87430555555555556</v>
      </c>
      <c r="G1416" s="49">
        <f t="shared" si="22"/>
        <v>9.7222222222221877E-3</v>
      </c>
      <c r="H1416" s="50">
        <v>41730</v>
      </c>
      <c r="I1416" s="51" t="s">
        <v>549</v>
      </c>
      <c r="J1416" s="51" t="s">
        <v>535</v>
      </c>
      <c r="K1416" s="51">
        <f>VLOOKUP(J1416,'Validacion reclamo de equipaje'!L:M,2,0)</f>
        <v>50</v>
      </c>
      <c r="L1416" s="51" t="str">
        <f>VLOOKUP(I1416,'Validacion reclamo de equipaje'!H:I,2,0)</f>
        <v>Nacional</v>
      </c>
      <c r="M1416" s="51" t="s">
        <v>523</v>
      </c>
    </row>
    <row r="1417" spans="1:13" x14ac:dyDescent="0.25">
      <c r="A1417">
        <v>2193</v>
      </c>
      <c r="B1417" s="47" t="str">
        <f>VLOOKUP(Tabla6[[#This Row],['# Vuelo]],'Validacion reclamo de equipaje'!P:Q,2,0)</f>
        <v>MEXICO AEREO</v>
      </c>
      <c r="C1417" s="52">
        <v>0.84027777777777779</v>
      </c>
      <c r="D1417" s="52">
        <v>0.85486111111111107</v>
      </c>
      <c r="E1417" s="53">
        <f>'Reclamo de equipaje rediseñado'!$D1417-'Reclamo de equipaje rediseñado'!$C1417</f>
        <v>1.4583333333333282E-2</v>
      </c>
      <c r="F1417" s="52">
        <v>0.85833333333333339</v>
      </c>
      <c r="G1417" s="53">
        <f t="shared" si="22"/>
        <v>3.4722222222223209E-3</v>
      </c>
      <c r="H1417" s="54">
        <v>41730</v>
      </c>
      <c r="I1417" s="55" t="s">
        <v>549</v>
      </c>
      <c r="J1417" s="55" t="s">
        <v>535</v>
      </c>
      <c r="K1417" s="55">
        <f>VLOOKUP(J1417,'Validacion reclamo de equipaje'!L:M,2,0)</f>
        <v>50</v>
      </c>
      <c r="L1417" s="55" t="str">
        <f>VLOOKUP(I1417,'Validacion reclamo de equipaje'!H:I,2,0)</f>
        <v>Nacional</v>
      </c>
      <c r="M1417" s="55" t="s">
        <v>523</v>
      </c>
    </row>
    <row r="1418" spans="1:13" x14ac:dyDescent="0.25">
      <c r="A1418">
        <v>2193</v>
      </c>
      <c r="B1418" s="47" t="str">
        <f>VLOOKUP(Tabla6[[#This Row],['# Vuelo]],'Validacion reclamo de equipaje'!P:Q,2,0)</f>
        <v>MEXICO AEREO</v>
      </c>
      <c r="C1418" s="48">
        <v>0.85069444444444453</v>
      </c>
      <c r="D1418" s="48">
        <v>0.85763888888888884</v>
      </c>
      <c r="E1418" s="49">
        <f>'Reclamo de equipaje rediseñado'!$D1418-'Reclamo de equipaje rediseñado'!$C1418</f>
        <v>6.9444444444443088E-3</v>
      </c>
      <c r="F1418" s="48">
        <v>0.85972222222222217</v>
      </c>
      <c r="G1418" s="49">
        <f t="shared" si="22"/>
        <v>2.0833333333333259E-3</v>
      </c>
      <c r="H1418" s="50">
        <v>41731</v>
      </c>
      <c r="I1418" s="51" t="s">
        <v>549</v>
      </c>
      <c r="J1418" s="51" t="s">
        <v>535</v>
      </c>
      <c r="K1418" s="51">
        <f>VLOOKUP(J1418,'Validacion reclamo de equipaje'!L:M,2,0)</f>
        <v>50</v>
      </c>
      <c r="L1418" s="51" t="str">
        <f>VLOOKUP(I1418,'Validacion reclamo de equipaje'!H:I,2,0)</f>
        <v>Nacional</v>
      </c>
      <c r="M1418" s="51" t="s">
        <v>523</v>
      </c>
    </row>
    <row r="1419" spans="1:13" x14ac:dyDescent="0.25">
      <c r="A1419">
        <v>2193</v>
      </c>
      <c r="B1419" s="47" t="str">
        <f>VLOOKUP(Tabla6[[#This Row],['# Vuelo]],'Validacion reclamo de equipaje'!P:Q,2,0)</f>
        <v>MEXICO AEREO</v>
      </c>
      <c r="C1419" s="52">
        <v>0.84236111111111101</v>
      </c>
      <c r="D1419" s="52">
        <v>0.84791666666666676</v>
      </c>
      <c r="E1419" s="53">
        <f>'Reclamo de equipaje rediseñado'!$D1419-'Reclamo de equipaje rediseñado'!$C1419</f>
        <v>5.5555555555557579E-3</v>
      </c>
      <c r="F1419" s="52">
        <v>0.85</v>
      </c>
      <c r="G1419" s="53">
        <f t="shared" si="22"/>
        <v>2.0833333333332149E-3</v>
      </c>
      <c r="H1419" s="54">
        <v>41732</v>
      </c>
      <c r="I1419" s="55" t="s">
        <v>549</v>
      </c>
      <c r="J1419" s="55" t="s">
        <v>535</v>
      </c>
      <c r="K1419" s="55">
        <f>VLOOKUP(J1419,'Validacion reclamo de equipaje'!L:M,2,0)</f>
        <v>50</v>
      </c>
      <c r="L1419" s="55" t="str">
        <f>VLOOKUP(I1419,'Validacion reclamo de equipaje'!H:I,2,0)</f>
        <v>Nacional</v>
      </c>
      <c r="M1419" s="55" t="s">
        <v>523</v>
      </c>
    </row>
    <row r="1420" spans="1:13" x14ac:dyDescent="0.25">
      <c r="A1420">
        <v>2193</v>
      </c>
      <c r="B1420" s="47" t="str">
        <f>VLOOKUP(Tabla6[[#This Row],['# Vuelo]],'Validacion reclamo de equipaje'!P:Q,2,0)</f>
        <v>MEXICO AEREO</v>
      </c>
      <c r="C1420" s="48">
        <v>0.84375</v>
      </c>
      <c r="D1420" s="48">
        <v>0.84722222222222221</v>
      </c>
      <c r="E1420" s="49">
        <f>'Reclamo de equipaje rediseñado'!$D1420-'Reclamo de equipaje rediseñado'!$C1420</f>
        <v>3.4722222222222099E-3</v>
      </c>
      <c r="F1420" s="48">
        <v>0.84791666666666676</v>
      </c>
      <c r="G1420" s="49">
        <f t="shared" si="22"/>
        <v>6.94444444444553E-4</v>
      </c>
      <c r="H1420" s="50">
        <v>41734</v>
      </c>
      <c r="I1420" s="51" t="s">
        <v>549</v>
      </c>
      <c r="J1420" s="51" t="s">
        <v>535</v>
      </c>
      <c r="K1420" s="51">
        <f>VLOOKUP(J1420,'Validacion reclamo de equipaje'!L:M,2,0)</f>
        <v>50</v>
      </c>
      <c r="L1420" s="51" t="str">
        <f>VLOOKUP(I1420,'Validacion reclamo de equipaje'!H:I,2,0)</f>
        <v>Nacional</v>
      </c>
      <c r="M1420" s="51" t="s">
        <v>523</v>
      </c>
    </row>
    <row r="1421" spans="1:13" x14ac:dyDescent="0.25">
      <c r="A1421">
        <v>2193</v>
      </c>
      <c r="B1421" s="47" t="str">
        <f>VLOOKUP(Tabla6[[#This Row],['# Vuelo]],'Validacion reclamo de equipaje'!P:Q,2,0)</f>
        <v>MEXICO AEREO</v>
      </c>
      <c r="C1421" s="52">
        <v>0.34722222222222227</v>
      </c>
      <c r="D1421" s="52">
        <v>0.34861111111111115</v>
      </c>
      <c r="E1421" s="53">
        <f>'Reclamo de equipaje rediseñado'!$D1421-'Reclamo de equipaje rediseñado'!$C1421</f>
        <v>1.388888888888884E-3</v>
      </c>
      <c r="F1421" s="52">
        <v>0.35000000000000003</v>
      </c>
      <c r="G1421" s="53">
        <f t="shared" si="22"/>
        <v>1.388888888888884E-3</v>
      </c>
      <c r="H1421" s="54">
        <v>41735</v>
      </c>
      <c r="I1421" s="55" t="s">
        <v>549</v>
      </c>
      <c r="J1421" s="55" t="s">
        <v>535</v>
      </c>
      <c r="K1421" s="55">
        <f>VLOOKUP(J1421,'Validacion reclamo de equipaje'!L:M,2,0)</f>
        <v>50</v>
      </c>
      <c r="L1421" s="55" t="str">
        <f>VLOOKUP(I1421,'Validacion reclamo de equipaje'!H:I,2,0)</f>
        <v>Nacional</v>
      </c>
      <c r="M1421" s="55" t="s">
        <v>523</v>
      </c>
    </row>
    <row r="1422" spans="1:13" x14ac:dyDescent="0.25">
      <c r="A1422">
        <v>2193</v>
      </c>
      <c r="B1422" s="47" t="str">
        <f>VLOOKUP(Tabla6[[#This Row],['# Vuelo]],'Validacion reclamo de equipaje'!P:Q,2,0)</f>
        <v>MEXICO AEREO</v>
      </c>
      <c r="C1422" s="48">
        <v>0.9277777777777777</v>
      </c>
      <c r="D1422" s="48">
        <v>0.93055555555555547</v>
      </c>
      <c r="E1422" s="49">
        <f>'Reclamo de equipaje rediseñado'!$D1422-'Reclamo de equipaje rediseñado'!$C1422</f>
        <v>2.7777777777777679E-3</v>
      </c>
      <c r="F1422" s="48">
        <v>0.93819444444444444</v>
      </c>
      <c r="G1422" s="49">
        <f t="shared" si="22"/>
        <v>7.6388888888889728E-3</v>
      </c>
      <c r="H1422" s="50">
        <v>41736</v>
      </c>
      <c r="I1422" s="51" t="s">
        <v>549</v>
      </c>
      <c r="J1422" s="51" t="s">
        <v>535</v>
      </c>
      <c r="K1422" s="51">
        <f>VLOOKUP(J1422,'Validacion reclamo de equipaje'!L:M,2,0)</f>
        <v>50</v>
      </c>
      <c r="L1422" s="51" t="str">
        <f>VLOOKUP(I1422,'Validacion reclamo de equipaje'!H:I,2,0)</f>
        <v>Nacional</v>
      </c>
      <c r="M1422" s="51" t="s">
        <v>523</v>
      </c>
    </row>
    <row r="1423" spans="1:13" x14ac:dyDescent="0.25">
      <c r="A1423">
        <v>2193</v>
      </c>
      <c r="B1423" s="47" t="str">
        <f>VLOOKUP(Tabla6[[#This Row],['# Vuelo]],'Validacion reclamo de equipaje'!P:Q,2,0)</f>
        <v>MEXICO AEREO</v>
      </c>
      <c r="C1423" s="52">
        <v>0.93611111111111101</v>
      </c>
      <c r="D1423" s="52">
        <v>0.94305555555555554</v>
      </c>
      <c r="E1423" s="53">
        <f>'Reclamo de equipaje rediseñado'!$D1423-'Reclamo de equipaje rediseñado'!$C1423</f>
        <v>6.9444444444445308E-3</v>
      </c>
      <c r="F1423" s="52">
        <v>0.9458333333333333</v>
      </c>
      <c r="G1423" s="53">
        <f t="shared" si="22"/>
        <v>2.7777777777777679E-3</v>
      </c>
      <c r="H1423" s="54">
        <v>41736</v>
      </c>
      <c r="I1423" s="55" t="s">
        <v>549</v>
      </c>
      <c r="J1423" s="55" t="s">
        <v>535</v>
      </c>
      <c r="K1423" s="55">
        <f>VLOOKUP(J1423,'Validacion reclamo de equipaje'!L:M,2,0)</f>
        <v>50</v>
      </c>
      <c r="L1423" s="55" t="str">
        <f>VLOOKUP(I1423,'Validacion reclamo de equipaje'!H:I,2,0)</f>
        <v>Nacional</v>
      </c>
      <c r="M1423" s="55" t="s">
        <v>523</v>
      </c>
    </row>
    <row r="1424" spans="1:13" x14ac:dyDescent="0.25">
      <c r="A1424">
        <v>2193</v>
      </c>
      <c r="B1424" s="47" t="str">
        <f>VLOOKUP(Tabla6[[#This Row],['# Vuelo]],'Validacion reclamo de equipaje'!P:Q,2,0)</f>
        <v>MEXICO AEREO</v>
      </c>
      <c r="C1424" s="48">
        <v>0.93958333333333333</v>
      </c>
      <c r="D1424" s="48">
        <v>0.94652777777777775</v>
      </c>
      <c r="E1424" s="49">
        <f>'Reclamo de equipaje rediseñado'!$D1424-'Reclamo de equipaje rediseñado'!$C1424</f>
        <v>6.9444444444444198E-3</v>
      </c>
      <c r="F1424" s="48">
        <v>0.94930555555555562</v>
      </c>
      <c r="G1424" s="49">
        <f t="shared" si="22"/>
        <v>2.7777777777778789E-3</v>
      </c>
      <c r="H1424" s="50">
        <v>41739</v>
      </c>
      <c r="I1424" s="51" t="s">
        <v>549</v>
      </c>
      <c r="J1424" s="51" t="s">
        <v>535</v>
      </c>
      <c r="K1424" s="51">
        <f>VLOOKUP(J1424,'Validacion reclamo de equipaje'!L:M,2,0)</f>
        <v>50</v>
      </c>
      <c r="L1424" s="51" t="str">
        <f>VLOOKUP(I1424,'Validacion reclamo de equipaje'!H:I,2,0)</f>
        <v>Nacional</v>
      </c>
      <c r="M1424" s="51" t="s">
        <v>523</v>
      </c>
    </row>
    <row r="1425" spans="1:13" x14ac:dyDescent="0.25">
      <c r="A1425">
        <v>2193</v>
      </c>
      <c r="B1425" s="47" t="str">
        <f>VLOOKUP(Tabla6[[#This Row],['# Vuelo]],'Validacion reclamo de equipaje'!P:Q,2,0)</f>
        <v>MEXICO AEREO</v>
      </c>
      <c r="C1425" s="52">
        <v>0.91249999999999998</v>
      </c>
      <c r="D1425" s="52">
        <v>0.92638888888888893</v>
      </c>
      <c r="E1425" s="53">
        <f>'Reclamo de equipaje rediseñado'!$D1425-'Reclamo de equipaje rediseñado'!$C1425</f>
        <v>1.3888888888888951E-2</v>
      </c>
      <c r="F1425" s="52">
        <v>0.92847222222222225</v>
      </c>
      <c r="G1425" s="53">
        <f t="shared" si="22"/>
        <v>2.0833333333333259E-3</v>
      </c>
      <c r="H1425" s="54">
        <v>41740</v>
      </c>
      <c r="I1425" s="55" t="s">
        <v>549</v>
      </c>
      <c r="J1425" s="55" t="s">
        <v>535</v>
      </c>
      <c r="K1425" s="55">
        <f>VLOOKUP(J1425,'Validacion reclamo de equipaje'!L:M,2,0)</f>
        <v>50</v>
      </c>
      <c r="L1425" s="55" t="str">
        <f>VLOOKUP(I1425,'Validacion reclamo de equipaje'!H:I,2,0)</f>
        <v>Nacional</v>
      </c>
      <c r="M1425" s="55" t="s">
        <v>523</v>
      </c>
    </row>
    <row r="1426" spans="1:13" x14ac:dyDescent="0.25">
      <c r="A1426">
        <v>2193</v>
      </c>
      <c r="B1426" s="47" t="str">
        <f>VLOOKUP(Tabla6[[#This Row],['# Vuelo]],'Validacion reclamo de equipaje'!P:Q,2,0)</f>
        <v>MEXICO AEREO</v>
      </c>
      <c r="C1426" s="48">
        <v>0.85069444444444453</v>
      </c>
      <c r="D1426" s="48">
        <v>0.86458333333333337</v>
      </c>
      <c r="E1426" s="49">
        <f>'Reclamo de equipaje rediseñado'!$D1426-'Reclamo de equipaje rediseñado'!$C1426</f>
        <v>1.388888888888884E-2</v>
      </c>
      <c r="F1426" s="48">
        <v>0.87430555555555556</v>
      </c>
      <c r="G1426" s="49">
        <f t="shared" si="22"/>
        <v>9.7222222222221877E-3</v>
      </c>
      <c r="H1426" s="50">
        <v>41742</v>
      </c>
      <c r="I1426" s="51" t="s">
        <v>549</v>
      </c>
      <c r="J1426" s="51" t="s">
        <v>535</v>
      </c>
      <c r="K1426" s="51">
        <f>VLOOKUP(J1426,'Validacion reclamo de equipaje'!L:M,2,0)</f>
        <v>50</v>
      </c>
      <c r="L1426" s="51" t="str">
        <f>VLOOKUP(I1426,'Validacion reclamo de equipaje'!H:I,2,0)</f>
        <v>Nacional</v>
      </c>
      <c r="M1426" s="51" t="s">
        <v>523</v>
      </c>
    </row>
    <row r="1427" spans="1:13" x14ac:dyDescent="0.25">
      <c r="A1427">
        <v>2193</v>
      </c>
      <c r="B1427" s="47" t="str">
        <f>VLOOKUP(Tabla6[[#This Row],['# Vuelo]],'Validacion reclamo de equipaje'!P:Q,2,0)</f>
        <v>MEXICO AEREO</v>
      </c>
      <c r="C1427" s="52">
        <v>0.96527777777777779</v>
      </c>
      <c r="D1427" s="52">
        <v>0.97222222222222221</v>
      </c>
      <c r="E1427" s="53">
        <f>'Reclamo de equipaje rediseñado'!$D1427-'Reclamo de equipaje rediseñado'!$C1427</f>
        <v>6.9444444444444198E-3</v>
      </c>
      <c r="F1427" s="52">
        <v>0.97569444444444453</v>
      </c>
      <c r="G1427" s="53">
        <f t="shared" si="22"/>
        <v>3.4722222222223209E-3</v>
      </c>
      <c r="H1427" s="54">
        <v>41745</v>
      </c>
      <c r="I1427" s="55" t="s">
        <v>549</v>
      </c>
      <c r="J1427" s="55" t="s">
        <v>535</v>
      </c>
      <c r="K1427" s="55">
        <f>VLOOKUP(J1427,'Validacion reclamo de equipaje'!L:M,2,0)</f>
        <v>50</v>
      </c>
      <c r="L1427" s="55" t="str">
        <f>VLOOKUP(I1427,'Validacion reclamo de equipaje'!H:I,2,0)</f>
        <v>Nacional</v>
      </c>
      <c r="M1427" s="55" t="s">
        <v>523</v>
      </c>
    </row>
    <row r="1428" spans="1:13" x14ac:dyDescent="0.25">
      <c r="A1428">
        <v>2193</v>
      </c>
      <c r="B1428" s="47" t="str">
        <f>VLOOKUP(Tabla6[[#This Row],['# Vuelo]],'Validacion reclamo de equipaje'!P:Q,2,0)</f>
        <v>MEXICO AEREO</v>
      </c>
      <c r="C1428" s="48">
        <v>0.92986111111111114</v>
      </c>
      <c r="D1428" s="48">
        <v>0.9375</v>
      </c>
      <c r="E1428" s="49">
        <f>'Reclamo de equipaje rediseñado'!$D1428-'Reclamo de equipaje rediseñado'!$C1428</f>
        <v>7.6388888888888618E-3</v>
      </c>
      <c r="F1428" s="48">
        <v>0.9458333333333333</v>
      </c>
      <c r="G1428" s="49">
        <f t="shared" si="22"/>
        <v>8.3333333333333037E-3</v>
      </c>
      <c r="H1428" s="50">
        <v>41744</v>
      </c>
      <c r="I1428" s="51" t="s">
        <v>549</v>
      </c>
      <c r="J1428" s="51" t="s">
        <v>535</v>
      </c>
      <c r="K1428" s="51">
        <f>VLOOKUP(J1428,'Validacion reclamo de equipaje'!L:M,2,0)</f>
        <v>50</v>
      </c>
      <c r="L1428" s="51" t="str">
        <f>VLOOKUP(I1428,'Validacion reclamo de equipaje'!H:I,2,0)</f>
        <v>Nacional</v>
      </c>
      <c r="M1428" s="51" t="s">
        <v>523</v>
      </c>
    </row>
    <row r="1429" spans="1:13" x14ac:dyDescent="0.25">
      <c r="A1429">
        <v>2193</v>
      </c>
      <c r="B1429" s="47" t="str">
        <f>VLOOKUP(Tabla6[[#This Row],['# Vuelo]],'Validacion reclamo de equipaje'!P:Q,2,0)</f>
        <v>MEXICO AEREO</v>
      </c>
      <c r="C1429" s="52">
        <v>0.94166666666666676</v>
      </c>
      <c r="D1429" s="52">
        <v>0.94652777777777775</v>
      </c>
      <c r="E1429" s="53">
        <f>'Reclamo de equipaje rediseñado'!$D1429-'Reclamo de equipaje rediseñado'!$C1429</f>
        <v>4.8611111111109828E-3</v>
      </c>
      <c r="F1429" s="52">
        <v>0.94930555555555562</v>
      </c>
      <c r="G1429" s="53">
        <f t="shared" si="22"/>
        <v>2.7777777777778789E-3</v>
      </c>
      <c r="H1429" s="54">
        <v>41746</v>
      </c>
      <c r="I1429" s="55" t="s">
        <v>549</v>
      </c>
      <c r="J1429" s="55" t="s">
        <v>535</v>
      </c>
      <c r="K1429" s="55">
        <f>VLOOKUP(J1429,'Validacion reclamo de equipaje'!L:M,2,0)</f>
        <v>50</v>
      </c>
      <c r="L1429" s="55" t="str">
        <f>VLOOKUP(I1429,'Validacion reclamo de equipaje'!H:I,2,0)</f>
        <v>Nacional</v>
      </c>
      <c r="M1429" s="55" t="s">
        <v>523</v>
      </c>
    </row>
    <row r="1430" spans="1:13" x14ac:dyDescent="0.25">
      <c r="A1430">
        <v>2193</v>
      </c>
      <c r="B1430" s="47" t="str">
        <f>VLOOKUP(Tabla6[[#This Row],['# Vuelo]],'Validacion reclamo de equipaje'!P:Q,2,0)</f>
        <v>MEXICO AEREO</v>
      </c>
      <c r="C1430" s="48">
        <v>4.8611111111111112E-2</v>
      </c>
      <c r="D1430" s="48">
        <v>5.2083333333333336E-2</v>
      </c>
      <c r="E1430" s="49">
        <f>'Reclamo de equipaje rediseñado'!$D1430-'Reclamo de equipaje rediseñado'!$C1430</f>
        <v>3.4722222222222238E-3</v>
      </c>
      <c r="F1430" s="48">
        <v>5.347222222222222E-2</v>
      </c>
      <c r="G1430" s="49">
        <f t="shared" si="22"/>
        <v>1.388888888888884E-3</v>
      </c>
      <c r="H1430" s="50">
        <v>41747</v>
      </c>
      <c r="I1430" s="51" t="s">
        <v>549</v>
      </c>
      <c r="J1430" s="51" t="s">
        <v>535</v>
      </c>
      <c r="K1430" s="51">
        <f>VLOOKUP(J1430,'Validacion reclamo de equipaje'!L:M,2,0)</f>
        <v>50</v>
      </c>
      <c r="L1430" s="51" t="str">
        <f>VLOOKUP(I1430,'Validacion reclamo de equipaje'!H:I,2,0)</f>
        <v>Nacional</v>
      </c>
      <c r="M1430" s="51" t="s">
        <v>523</v>
      </c>
    </row>
    <row r="1431" spans="1:13" x14ac:dyDescent="0.25">
      <c r="A1431">
        <v>2193</v>
      </c>
      <c r="B1431" s="47" t="str">
        <f>VLOOKUP(Tabla6[[#This Row],['# Vuelo]],'Validacion reclamo de equipaje'!P:Q,2,0)</f>
        <v>MEXICO AEREO</v>
      </c>
      <c r="C1431" s="52">
        <v>0.9555555555555556</v>
      </c>
      <c r="D1431" s="52">
        <v>0.96458333333333324</v>
      </c>
      <c r="E1431" s="53">
        <f>'Reclamo de equipaje rediseñado'!$D1431-'Reclamo de equipaje rediseñado'!$C1431</f>
        <v>9.0277777777776347E-3</v>
      </c>
      <c r="F1431" s="52">
        <v>0.96597222222222223</v>
      </c>
      <c r="G1431" s="53">
        <f t="shared" si="22"/>
        <v>1.388888888888995E-3</v>
      </c>
      <c r="H1431" s="54">
        <v>41749</v>
      </c>
      <c r="I1431" s="55" t="s">
        <v>549</v>
      </c>
      <c r="J1431" s="55" t="s">
        <v>535</v>
      </c>
      <c r="K1431" s="55">
        <f>VLOOKUP(J1431,'Validacion reclamo de equipaje'!L:M,2,0)</f>
        <v>50</v>
      </c>
      <c r="L1431" s="55" t="str">
        <f>VLOOKUP(I1431,'Validacion reclamo de equipaje'!H:I,2,0)</f>
        <v>Nacional</v>
      </c>
      <c r="M1431" s="55" t="s">
        <v>523</v>
      </c>
    </row>
    <row r="1432" spans="1:13" x14ac:dyDescent="0.25">
      <c r="A1432">
        <v>2193</v>
      </c>
      <c r="B1432" s="47" t="str">
        <f>VLOOKUP(Tabla6[[#This Row],['# Vuelo]],'Validacion reclamo de equipaje'!P:Q,2,0)</f>
        <v>MEXICO AEREO</v>
      </c>
      <c r="C1432" s="48">
        <v>0.93611111111111101</v>
      </c>
      <c r="D1432" s="48">
        <v>0.94236111111111109</v>
      </c>
      <c r="E1432" s="49">
        <f>'Reclamo de equipaje rediseñado'!$D1432-'Reclamo de equipaje rediseñado'!$C1432</f>
        <v>6.2500000000000888E-3</v>
      </c>
      <c r="F1432" s="48">
        <v>0.94444444444444453</v>
      </c>
      <c r="G1432" s="49">
        <f t="shared" si="22"/>
        <v>2.083333333333437E-3</v>
      </c>
      <c r="H1432" s="50">
        <v>41749</v>
      </c>
      <c r="I1432" s="51" t="s">
        <v>549</v>
      </c>
      <c r="J1432" s="51" t="s">
        <v>535</v>
      </c>
      <c r="K1432" s="51">
        <f>VLOOKUP(J1432,'Validacion reclamo de equipaje'!L:M,2,0)</f>
        <v>50</v>
      </c>
      <c r="L1432" s="51" t="str">
        <f>VLOOKUP(I1432,'Validacion reclamo de equipaje'!H:I,2,0)</f>
        <v>Nacional</v>
      </c>
      <c r="M1432" s="51" t="s">
        <v>523</v>
      </c>
    </row>
    <row r="1433" spans="1:13" x14ac:dyDescent="0.25">
      <c r="A1433">
        <v>2193</v>
      </c>
      <c r="B1433" s="47" t="str">
        <f>VLOOKUP(Tabla6[[#This Row],['# Vuelo]],'Validacion reclamo de equipaje'!P:Q,2,0)</f>
        <v>MEXICO AEREO</v>
      </c>
      <c r="C1433" s="52">
        <v>0.92013888888888884</v>
      </c>
      <c r="D1433" s="52">
        <v>0.92361111111111116</v>
      </c>
      <c r="E1433" s="53">
        <f>'Reclamo de equipaje rediseñado'!$D1433-'Reclamo de equipaje rediseñado'!$C1433</f>
        <v>3.4722222222223209E-3</v>
      </c>
      <c r="F1433" s="52">
        <v>0.9243055555555556</v>
      </c>
      <c r="G1433" s="53">
        <f t="shared" si="22"/>
        <v>6.9444444444444198E-4</v>
      </c>
      <c r="H1433" s="54">
        <v>41751</v>
      </c>
      <c r="I1433" s="55" t="s">
        <v>549</v>
      </c>
      <c r="J1433" s="55" t="s">
        <v>535</v>
      </c>
      <c r="K1433" s="55">
        <f>VLOOKUP(J1433,'Validacion reclamo de equipaje'!L:M,2,0)</f>
        <v>50</v>
      </c>
      <c r="L1433" s="55" t="str">
        <f>VLOOKUP(I1433,'Validacion reclamo de equipaje'!H:I,2,0)</f>
        <v>Nacional</v>
      </c>
      <c r="M1433" s="55" t="s">
        <v>523</v>
      </c>
    </row>
    <row r="1434" spans="1:13" x14ac:dyDescent="0.25">
      <c r="A1434">
        <v>2193</v>
      </c>
      <c r="B1434" s="47" t="str">
        <f>VLOOKUP(Tabla6[[#This Row],['# Vuelo]],'Validacion reclamo de equipaje'!P:Q,2,0)</f>
        <v>MEXICO AEREO</v>
      </c>
      <c r="C1434" s="48">
        <v>0.92638888888888893</v>
      </c>
      <c r="D1434" s="48">
        <v>0.93333333333333324</v>
      </c>
      <c r="E1434" s="49">
        <f>'Reclamo de equipaje rediseñado'!$D1434-'Reclamo de equipaje rediseñado'!$C1434</f>
        <v>6.9444444444443088E-3</v>
      </c>
      <c r="F1434" s="48">
        <v>0.93611111111111101</v>
      </c>
      <c r="G1434" s="49">
        <f t="shared" si="22"/>
        <v>2.7777777777777679E-3</v>
      </c>
      <c r="H1434" s="50">
        <v>41753</v>
      </c>
      <c r="I1434" s="51" t="s">
        <v>549</v>
      </c>
      <c r="J1434" s="51" t="s">
        <v>535</v>
      </c>
      <c r="K1434" s="51">
        <f>VLOOKUP(J1434,'Validacion reclamo de equipaje'!L:M,2,0)</f>
        <v>50</v>
      </c>
      <c r="L1434" s="51" t="str">
        <f>VLOOKUP(I1434,'Validacion reclamo de equipaje'!H:I,2,0)</f>
        <v>Nacional</v>
      </c>
      <c r="M1434" s="51" t="s">
        <v>523</v>
      </c>
    </row>
    <row r="1435" spans="1:13" x14ac:dyDescent="0.25">
      <c r="A1435">
        <v>2193</v>
      </c>
      <c r="B1435" s="47" t="str">
        <f>VLOOKUP(Tabla6[[#This Row],['# Vuelo]],'Validacion reclamo de equipaje'!P:Q,2,0)</f>
        <v>MEXICO AEREO</v>
      </c>
      <c r="C1435" s="52">
        <v>0.94791666666666663</v>
      </c>
      <c r="D1435" s="52">
        <v>0.95694444444444438</v>
      </c>
      <c r="E1435" s="53">
        <f>'Reclamo de equipaje rediseñado'!$D1435-'Reclamo de equipaje rediseñado'!$C1435</f>
        <v>9.0277777777777457E-3</v>
      </c>
      <c r="F1435" s="52">
        <v>0.9590277777777777</v>
      </c>
      <c r="G1435" s="53">
        <f t="shared" si="22"/>
        <v>2.0833333333333259E-3</v>
      </c>
      <c r="H1435" s="54">
        <v>41755</v>
      </c>
      <c r="I1435" s="55" t="s">
        <v>549</v>
      </c>
      <c r="J1435" s="55" t="s">
        <v>535</v>
      </c>
      <c r="K1435" s="55">
        <f>VLOOKUP(J1435,'Validacion reclamo de equipaje'!L:M,2,0)</f>
        <v>50</v>
      </c>
      <c r="L1435" s="55" t="str">
        <f>VLOOKUP(I1435,'Validacion reclamo de equipaje'!H:I,2,0)</f>
        <v>Nacional</v>
      </c>
      <c r="M1435" s="55" t="s">
        <v>523</v>
      </c>
    </row>
    <row r="1436" spans="1:13" x14ac:dyDescent="0.25">
      <c r="A1436">
        <v>2193</v>
      </c>
      <c r="B1436" s="47" t="str">
        <f>VLOOKUP(Tabla6[[#This Row],['# Vuelo]],'Validacion reclamo de equipaje'!P:Q,2,0)</f>
        <v>MEXICO AEREO</v>
      </c>
      <c r="C1436" s="48">
        <v>0.98472222222222217</v>
      </c>
      <c r="D1436" s="48">
        <v>0.99513888888888891</v>
      </c>
      <c r="E1436" s="49">
        <f>'Reclamo de equipaje rediseñado'!$D1436-'Reclamo de equipaje rediseñado'!$C1436</f>
        <v>1.0416666666666741E-2</v>
      </c>
      <c r="F1436" s="48">
        <v>0.99930555555555556</v>
      </c>
      <c r="G1436" s="49">
        <f t="shared" si="22"/>
        <v>4.1666666666666519E-3</v>
      </c>
      <c r="H1436" s="50">
        <v>41757</v>
      </c>
      <c r="I1436" s="51" t="s">
        <v>549</v>
      </c>
      <c r="J1436" s="51" t="s">
        <v>535</v>
      </c>
      <c r="K1436" s="51">
        <f>VLOOKUP(J1436,'Validacion reclamo de equipaje'!L:M,2,0)</f>
        <v>50</v>
      </c>
      <c r="L1436" s="51" t="str">
        <f>VLOOKUP(I1436,'Validacion reclamo de equipaje'!H:I,2,0)</f>
        <v>Nacional</v>
      </c>
      <c r="M1436" s="51" t="s">
        <v>523</v>
      </c>
    </row>
    <row r="1437" spans="1:13" x14ac:dyDescent="0.25">
      <c r="A1437">
        <v>2193</v>
      </c>
      <c r="B1437" s="47" t="str">
        <f>VLOOKUP(Tabla6[[#This Row],['# Vuelo]],'Validacion reclamo de equipaje'!P:Q,2,0)</f>
        <v>MEXICO AEREO</v>
      </c>
      <c r="C1437" s="52">
        <v>0.96319444444444446</v>
      </c>
      <c r="D1437" s="52">
        <v>0.97777777777777775</v>
      </c>
      <c r="E1437" s="53">
        <f>'Reclamo de equipaje rediseñado'!$D1437-'Reclamo de equipaje rediseñado'!$C1437</f>
        <v>1.4583333333333282E-2</v>
      </c>
      <c r="F1437" s="52">
        <v>0.98263888888888884</v>
      </c>
      <c r="G1437" s="53">
        <f t="shared" si="22"/>
        <v>4.8611111111110938E-3</v>
      </c>
      <c r="H1437" s="54">
        <v>41759</v>
      </c>
      <c r="I1437" s="55" t="s">
        <v>549</v>
      </c>
      <c r="J1437" s="55" t="s">
        <v>535</v>
      </c>
      <c r="K1437" s="55">
        <f>VLOOKUP(J1437,'Validacion reclamo de equipaje'!L:M,2,0)</f>
        <v>50</v>
      </c>
      <c r="L1437" s="55" t="str">
        <f>VLOOKUP(I1437,'Validacion reclamo de equipaje'!H:I,2,0)</f>
        <v>Nacional</v>
      </c>
      <c r="M1437" s="55" t="s">
        <v>523</v>
      </c>
    </row>
    <row r="1438" spans="1:13" x14ac:dyDescent="0.25">
      <c r="A1438">
        <v>2193</v>
      </c>
      <c r="B1438" s="47" t="str">
        <f>VLOOKUP(Tabla6[[#This Row],['# Vuelo]],'Validacion reclamo de equipaje'!P:Q,2,0)</f>
        <v>MEXICO AEREO</v>
      </c>
      <c r="C1438" s="48">
        <v>0.97916666666666663</v>
      </c>
      <c r="D1438" s="48">
        <v>0.98611111111111116</v>
      </c>
      <c r="E1438" s="49">
        <f>'Reclamo de equipaje rediseñado'!$D1438-'Reclamo de equipaje rediseñado'!$C1438</f>
        <v>6.9444444444445308E-3</v>
      </c>
      <c r="F1438" s="48">
        <v>0.99722222222222223</v>
      </c>
      <c r="G1438" s="49">
        <f t="shared" si="22"/>
        <v>1.1111111111111072E-2</v>
      </c>
      <c r="H1438" s="50">
        <v>41759</v>
      </c>
      <c r="I1438" s="51" t="s">
        <v>549</v>
      </c>
      <c r="J1438" s="51" t="s">
        <v>535</v>
      </c>
      <c r="K1438" s="51">
        <f>VLOOKUP(J1438,'Validacion reclamo de equipaje'!L:M,2,0)</f>
        <v>50</v>
      </c>
      <c r="L1438" s="51" t="str">
        <f>VLOOKUP(I1438,'Validacion reclamo de equipaje'!H:I,2,0)</f>
        <v>Nacional</v>
      </c>
      <c r="M1438" s="51" t="s">
        <v>523</v>
      </c>
    </row>
    <row r="1439" spans="1:13" x14ac:dyDescent="0.25">
      <c r="A1439">
        <v>2185</v>
      </c>
      <c r="B1439" s="47" t="str">
        <f>VLOOKUP(Tabla6[[#This Row],['# Vuelo]],'Validacion reclamo de equipaje'!P:Q,2,0)</f>
        <v>MEXICO AEREO</v>
      </c>
      <c r="C1439" s="52">
        <v>0.89236111111111116</v>
      </c>
      <c r="D1439" s="52">
        <v>0.8965277777777777</v>
      </c>
      <c r="E1439" s="53">
        <f>'Reclamo de equipaje rediseñado'!$D1439-'Reclamo de equipaje rediseñado'!$C1439</f>
        <v>4.1666666666665408E-3</v>
      </c>
      <c r="F1439" s="52">
        <v>0.90347222222222223</v>
      </c>
      <c r="G1439" s="53">
        <f t="shared" si="22"/>
        <v>6.9444444444445308E-3</v>
      </c>
      <c r="H1439" s="54">
        <v>41730</v>
      </c>
      <c r="I1439" s="55" t="s">
        <v>549</v>
      </c>
      <c r="J1439" s="55" t="s">
        <v>535</v>
      </c>
      <c r="K1439" s="55">
        <f>VLOOKUP(J1439,'Validacion reclamo de equipaje'!L:M,2,0)</f>
        <v>50</v>
      </c>
      <c r="L1439" s="55" t="str">
        <f>VLOOKUP(I1439,'Validacion reclamo de equipaje'!H:I,2,0)</f>
        <v>Nacional</v>
      </c>
      <c r="M1439" s="55" t="s">
        <v>523</v>
      </c>
    </row>
    <row r="1440" spans="1:13" x14ac:dyDescent="0.25">
      <c r="A1440">
        <v>2185</v>
      </c>
      <c r="B1440" s="47" t="str">
        <f>VLOOKUP(Tabla6[[#This Row],['# Vuelo]],'Validacion reclamo de equipaje'!P:Q,2,0)</f>
        <v>MEXICO AEREO</v>
      </c>
      <c r="C1440" s="48">
        <v>0.89861111111111114</v>
      </c>
      <c r="D1440" s="48">
        <v>0.90902777777777777</v>
      </c>
      <c r="E1440" s="49">
        <f>'Reclamo de equipaje rediseñado'!$D1440-'Reclamo de equipaje rediseñado'!$C1440</f>
        <v>1.041666666666663E-2</v>
      </c>
      <c r="F1440" s="48">
        <v>0.91249999999999998</v>
      </c>
      <c r="G1440" s="49">
        <f t="shared" si="22"/>
        <v>3.4722222222222099E-3</v>
      </c>
      <c r="H1440" s="50">
        <v>41731</v>
      </c>
      <c r="I1440" s="51" t="s">
        <v>549</v>
      </c>
      <c r="J1440" s="51" t="s">
        <v>535</v>
      </c>
      <c r="K1440" s="51">
        <f>VLOOKUP(J1440,'Validacion reclamo de equipaje'!L:M,2,0)</f>
        <v>50</v>
      </c>
      <c r="L1440" s="51" t="str">
        <f>VLOOKUP(I1440,'Validacion reclamo de equipaje'!H:I,2,0)</f>
        <v>Nacional</v>
      </c>
      <c r="M1440" s="51" t="s">
        <v>523</v>
      </c>
    </row>
    <row r="1441" spans="1:13" x14ac:dyDescent="0.25">
      <c r="A1441">
        <v>2185</v>
      </c>
      <c r="B1441" s="47" t="str">
        <f>VLOOKUP(Tabla6[[#This Row],['# Vuelo]],'Validacion reclamo de equipaje'!P:Q,2,0)</f>
        <v>MEXICO AEREO</v>
      </c>
      <c r="C1441" s="52">
        <v>0.8847222222222223</v>
      </c>
      <c r="D1441" s="52">
        <v>0.89513888888888893</v>
      </c>
      <c r="E1441" s="53">
        <f>'Reclamo de equipaje rediseñado'!$D1441-'Reclamo de equipaje rediseñado'!$C1441</f>
        <v>1.041666666666663E-2</v>
      </c>
      <c r="F1441" s="52">
        <v>0.89861111111111114</v>
      </c>
      <c r="G1441" s="53">
        <f t="shared" si="22"/>
        <v>3.4722222222222099E-3</v>
      </c>
      <c r="H1441" s="54">
        <v>41732</v>
      </c>
      <c r="I1441" s="55" t="s">
        <v>549</v>
      </c>
      <c r="J1441" s="55" t="s">
        <v>535</v>
      </c>
      <c r="K1441" s="55">
        <f>VLOOKUP(J1441,'Validacion reclamo de equipaje'!L:M,2,0)</f>
        <v>50</v>
      </c>
      <c r="L1441" s="55" t="str">
        <f>VLOOKUP(I1441,'Validacion reclamo de equipaje'!H:I,2,0)</f>
        <v>Nacional</v>
      </c>
      <c r="M1441" s="55" t="s">
        <v>523</v>
      </c>
    </row>
    <row r="1442" spans="1:13" x14ac:dyDescent="0.25">
      <c r="A1442">
        <v>2185</v>
      </c>
      <c r="B1442" s="47" t="str">
        <f>VLOOKUP(Tabla6[[#This Row],['# Vuelo]],'Validacion reclamo de equipaje'!P:Q,2,0)</f>
        <v>MEXICO AEREO</v>
      </c>
      <c r="C1442" s="48">
        <v>0.88194444444444453</v>
      </c>
      <c r="D1442" s="48">
        <v>0.90972222222222221</v>
      </c>
      <c r="E1442" s="49">
        <f>'Reclamo de equipaje rediseñado'!$D1442-'Reclamo de equipaje rediseñado'!$C1442</f>
        <v>2.7777777777777679E-2</v>
      </c>
      <c r="F1442" s="48">
        <v>0.91319444444444453</v>
      </c>
      <c r="G1442" s="49">
        <f t="shared" si="22"/>
        <v>3.4722222222223209E-3</v>
      </c>
      <c r="H1442" s="50">
        <v>41734</v>
      </c>
      <c r="I1442" s="51" t="s">
        <v>549</v>
      </c>
      <c r="J1442" s="51" t="s">
        <v>535</v>
      </c>
      <c r="K1442" s="51">
        <f>VLOOKUP(J1442,'Validacion reclamo de equipaje'!L:M,2,0)</f>
        <v>50</v>
      </c>
      <c r="L1442" s="51" t="str">
        <f>VLOOKUP(I1442,'Validacion reclamo de equipaje'!H:I,2,0)</f>
        <v>Nacional</v>
      </c>
      <c r="M1442" s="51" t="s">
        <v>523</v>
      </c>
    </row>
    <row r="1443" spans="1:13" x14ac:dyDescent="0.25">
      <c r="A1443">
        <v>2185</v>
      </c>
      <c r="B1443" s="47" t="str">
        <f>VLOOKUP(Tabla6[[#This Row],['# Vuelo]],'Validacion reclamo de equipaje'!P:Q,2,0)</f>
        <v>MEXICO AEREO</v>
      </c>
      <c r="C1443" s="52">
        <v>0.90625</v>
      </c>
      <c r="D1443" s="52">
        <v>0.91388888888888886</v>
      </c>
      <c r="E1443" s="53">
        <f>'Reclamo de equipaje rediseñado'!$D1443-'Reclamo de equipaje rediseñado'!$C1443</f>
        <v>7.6388888888888618E-3</v>
      </c>
      <c r="F1443" s="52">
        <v>0.9145833333333333</v>
      </c>
      <c r="G1443" s="53">
        <f t="shared" si="22"/>
        <v>6.9444444444444198E-4</v>
      </c>
      <c r="H1443" s="54">
        <v>41734</v>
      </c>
      <c r="I1443" s="55" t="s">
        <v>549</v>
      </c>
      <c r="J1443" s="55" t="s">
        <v>535</v>
      </c>
      <c r="K1443" s="55">
        <f>VLOOKUP(J1443,'Validacion reclamo de equipaje'!L:M,2,0)</f>
        <v>50</v>
      </c>
      <c r="L1443" s="55" t="str">
        <f>VLOOKUP(I1443,'Validacion reclamo de equipaje'!H:I,2,0)</f>
        <v>Nacional</v>
      </c>
      <c r="M1443" s="55" t="s">
        <v>523</v>
      </c>
    </row>
    <row r="1444" spans="1:13" x14ac:dyDescent="0.25">
      <c r="A1444">
        <v>2185</v>
      </c>
      <c r="B1444" s="47" t="str">
        <f>VLOOKUP(Tabla6[[#This Row],['# Vuelo]],'Validacion reclamo de equipaje'!P:Q,2,0)</f>
        <v>MEXICO AEREO</v>
      </c>
      <c r="C1444" s="48">
        <v>0.9194444444444444</v>
      </c>
      <c r="D1444" s="48">
        <v>0.92291666666666661</v>
      </c>
      <c r="E1444" s="49">
        <f>'Reclamo de equipaje rediseñado'!$D1444-'Reclamo de equipaje rediseñado'!$C1444</f>
        <v>3.4722222222222099E-3</v>
      </c>
      <c r="F1444" s="48">
        <v>0.93333333333333324</v>
      </c>
      <c r="G1444" s="49">
        <f t="shared" si="22"/>
        <v>1.041666666666663E-2</v>
      </c>
      <c r="H1444" s="50">
        <v>41736</v>
      </c>
      <c r="I1444" s="51" t="s">
        <v>549</v>
      </c>
      <c r="J1444" s="51" t="s">
        <v>535</v>
      </c>
      <c r="K1444" s="51">
        <f>VLOOKUP(J1444,'Validacion reclamo de equipaje'!L:M,2,0)</f>
        <v>50</v>
      </c>
      <c r="L1444" s="51" t="str">
        <f>VLOOKUP(I1444,'Validacion reclamo de equipaje'!H:I,2,0)</f>
        <v>Nacional</v>
      </c>
      <c r="M1444" s="51" t="s">
        <v>523</v>
      </c>
    </row>
    <row r="1445" spans="1:13" x14ac:dyDescent="0.25">
      <c r="A1445">
        <v>2185</v>
      </c>
      <c r="B1445" s="47" t="str">
        <f>VLOOKUP(Tabla6[[#This Row],['# Vuelo]],'Validacion reclamo de equipaje'!P:Q,2,0)</f>
        <v>MEXICO AEREO</v>
      </c>
      <c r="C1445" s="52">
        <v>0.90347222222222223</v>
      </c>
      <c r="D1445" s="52">
        <v>0.90833333333333333</v>
      </c>
      <c r="E1445" s="53">
        <f>'Reclamo de equipaje rediseñado'!$D1445-'Reclamo de equipaje rediseñado'!$C1445</f>
        <v>4.8611111111110938E-3</v>
      </c>
      <c r="F1445" s="52">
        <v>0.90972222222222221</v>
      </c>
      <c r="G1445" s="53">
        <f t="shared" si="22"/>
        <v>1.388888888888884E-3</v>
      </c>
      <c r="H1445" s="54">
        <v>41736</v>
      </c>
      <c r="I1445" s="55" t="s">
        <v>549</v>
      </c>
      <c r="J1445" s="55" t="s">
        <v>535</v>
      </c>
      <c r="K1445" s="55">
        <f>VLOOKUP(J1445,'Validacion reclamo de equipaje'!L:M,2,0)</f>
        <v>50</v>
      </c>
      <c r="L1445" s="55" t="str">
        <f>VLOOKUP(I1445,'Validacion reclamo de equipaje'!H:I,2,0)</f>
        <v>Nacional</v>
      </c>
      <c r="M1445" s="55" t="s">
        <v>523</v>
      </c>
    </row>
    <row r="1446" spans="1:13" x14ac:dyDescent="0.25">
      <c r="A1446">
        <v>2185</v>
      </c>
      <c r="B1446" s="47" t="str">
        <f>VLOOKUP(Tabla6[[#This Row],['# Vuelo]],'Validacion reclamo de equipaje'!P:Q,2,0)</f>
        <v>MEXICO AEREO</v>
      </c>
      <c r="C1446" s="48">
        <v>0.90277777777777779</v>
      </c>
      <c r="D1446" s="48">
        <v>0.90833333333333333</v>
      </c>
      <c r="E1446" s="49">
        <f>'Reclamo de equipaje rediseñado'!$D1446-'Reclamo de equipaje rediseñado'!$C1446</f>
        <v>5.5555555555555358E-3</v>
      </c>
      <c r="F1446" s="48">
        <v>0.91041666666666676</v>
      </c>
      <c r="G1446" s="49">
        <f t="shared" si="22"/>
        <v>2.083333333333437E-3</v>
      </c>
      <c r="H1446" s="50">
        <v>41738</v>
      </c>
      <c r="I1446" s="51" t="s">
        <v>549</v>
      </c>
      <c r="J1446" s="51" t="s">
        <v>535</v>
      </c>
      <c r="K1446" s="51">
        <f>VLOOKUP(J1446,'Validacion reclamo de equipaje'!L:M,2,0)</f>
        <v>50</v>
      </c>
      <c r="L1446" s="51" t="str">
        <f>VLOOKUP(I1446,'Validacion reclamo de equipaje'!H:I,2,0)</f>
        <v>Nacional</v>
      </c>
      <c r="M1446" s="51" t="s">
        <v>523</v>
      </c>
    </row>
    <row r="1447" spans="1:13" x14ac:dyDescent="0.25">
      <c r="A1447">
        <v>2185</v>
      </c>
      <c r="B1447" s="47" t="str">
        <f>VLOOKUP(Tabla6[[#This Row],['# Vuelo]],'Validacion reclamo de equipaje'!P:Q,2,0)</f>
        <v>MEXICO AEREO</v>
      </c>
      <c r="C1447" s="52">
        <v>0.88750000000000007</v>
      </c>
      <c r="D1447" s="52">
        <v>0.89166666666666661</v>
      </c>
      <c r="E1447" s="53">
        <f>'Reclamo de equipaje rediseñado'!$D1447-'Reclamo de equipaje rediseñado'!$C1447</f>
        <v>4.1666666666665408E-3</v>
      </c>
      <c r="F1447" s="52">
        <v>0.90486111111111101</v>
      </c>
      <c r="G1447" s="53">
        <f t="shared" si="22"/>
        <v>1.3194444444444398E-2</v>
      </c>
      <c r="H1447" s="54">
        <v>41739</v>
      </c>
      <c r="I1447" s="55" t="s">
        <v>549</v>
      </c>
      <c r="J1447" s="55" t="s">
        <v>535</v>
      </c>
      <c r="K1447" s="55">
        <f>VLOOKUP(J1447,'Validacion reclamo de equipaje'!L:M,2,0)</f>
        <v>50</v>
      </c>
      <c r="L1447" s="55" t="str">
        <f>VLOOKUP(I1447,'Validacion reclamo de equipaje'!H:I,2,0)</f>
        <v>Nacional</v>
      </c>
      <c r="M1447" s="55" t="s">
        <v>523</v>
      </c>
    </row>
    <row r="1448" spans="1:13" x14ac:dyDescent="0.25">
      <c r="A1448">
        <v>2185</v>
      </c>
      <c r="B1448" s="47" t="str">
        <f>VLOOKUP(Tabla6[[#This Row],['# Vuelo]],'Validacion reclamo de equipaje'!P:Q,2,0)</f>
        <v>MEXICO AEREO</v>
      </c>
      <c r="C1448" s="48">
        <v>0.90694444444444444</v>
      </c>
      <c r="D1448" s="48">
        <v>0.91249999999999998</v>
      </c>
      <c r="E1448" s="49">
        <f>'Reclamo de equipaje rediseñado'!$D1448-'Reclamo de equipaje rediseñado'!$C1448</f>
        <v>5.5555555555555358E-3</v>
      </c>
      <c r="F1448" s="48">
        <v>0.91736111111111107</v>
      </c>
      <c r="G1448" s="49">
        <f t="shared" si="22"/>
        <v>4.8611111111110938E-3</v>
      </c>
      <c r="H1448" s="50">
        <v>41740</v>
      </c>
      <c r="I1448" s="51" t="s">
        <v>549</v>
      </c>
      <c r="J1448" s="51" t="s">
        <v>535</v>
      </c>
      <c r="K1448" s="51">
        <f>VLOOKUP(J1448,'Validacion reclamo de equipaje'!L:M,2,0)</f>
        <v>50</v>
      </c>
      <c r="L1448" s="51" t="str">
        <f>VLOOKUP(I1448,'Validacion reclamo de equipaje'!H:I,2,0)</f>
        <v>Nacional</v>
      </c>
      <c r="M1448" s="51" t="s">
        <v>523</v>
      </c>
    </row>
    <row r="1449" spans="1:13" x14ac:dyDescent="0.25">
      <c r="A1449">
        <v>2185</v>
      </c>
      <c r="B1449" s="47" t="str">
        <f>VLOOKUP(Tabla6[[#This Row],['# Vuelo]],'Validacion reclamo de equipaje'!P:Q,2,0)</f>
        <v>MEXICO AEREO</v>
      </c>
      <c r="C1449" s="52">
        <v>0.90625</v>
      </c>
      <c r="D1449" s="52">
        <v>0.92083333333333339</v>
      </c>
      <c r="E1449" s="53">
        <f>'Reclamo de equipaje rediseñado'!$D1449-'Reclamo de equipaje rediseñado'!$C1449</f>
        <v>1.4583333333333393E-2</v>
      </c>
      <c r="F1449" s="52">
        <v>0.92708333333333337</v>
      </c>
      <c r="G1449" s="53">
        <f t="shared" si="22"/>
        <v>6.2499999999999778E-3</v>
      </c>
      <c r="H1449" s="54">
        <v>41741</v>
      </c>
      <c r="I1449" s="55" t="s">
        <v>549</v>
      </c>
      <c r="J1449" s="55" t="s">
        <v>535</v>
      </c>
      <c r="K1449" s="55">
        <f>VLOOKUP(J1449,'Validacion reclamo de equipaje'!L:M,2,0)</f>
        <v>50</v>
      </c>
      <c r="L1449" s="55" t="str">
        <f>VLOOKUP(I1449,'Validacion reclamo de equipaje'!H:I,2,0)</f>
        <v>Nacional</v>
      </c>
      <c r="M1449" s="55" t="s">
        <v>523</v>
      </c>
    </row>
    <row r="1450" spans="1:13" x14ac:dyDescent="0.25">
      <c r="A1450">
        <v>2185</v>
      </c>
      <c r="B1450" s="47" t="str">
        <f>VLOOKUP(Tabla6[[#This Row],['# Vuelo]],'Validacion reclamo de equipaje'!P:Q,2,0)</f>
        <v>MEXICO AEREO</v>
      </c>
      <c r="C1450" s="48">
        <v>0.90972222222222221</v>
      </c>
      <c r="D1450" s="48">
        <v>0.91875000000000007</v>
      </c>
      <c r="E1450" s="49">
        <f>'Reclamo de equipaje rediseñado'!$D1450-'Reclamo de equipaje rediseñado'!$C1450</f>
        <v>9.0277777777778567E-3</v>
      </c>
      <c r="F1450" s="48">
        <v>0.9243055555555556</v>
      </c>
      <c r="G1450" s="49">
        <f t="shared" si="22"/>
        <v>5.5555555555555358E-3</v>
      </c>
      <c r="H1450" s="50">
        <v>41743</v>
      </c>
      <c r="I1450" s="51" t="s">
        <v>549</v>
      </c>
      <c r="J1450" s="51" t="s">
        <v>535</v>
      </c>
      <c r="K1450" s="51">
        <f>VLOOKUP(J1450,'Validacion reclamo de equipaje'!L:M,2,0)</f>
        <v>50</v>
      </c>
      <c r="L1450" s="51" t="str">
        <f>VLOOKUP(I1450,'Validacion reclamo de equipaje'!H:I,2,0)</f>
        <v>Nacional</v>
      </c>
      <c r="M1450" s="51" t="s">
        <v>523</v>
      </c>
    </row>
    <row r="1451" spans="1:13" x14ac:dyDescent="0.25">
      <c r="A1451">
        <v>2185</v>
      </c>
      <c r="B1451" s="47" t="str">
        <f>VLOOKUP(Tabla6[[#This Row],['# Vuelo]],'Validacion reclamo de equipaje'!P:Q,2,0)</f>
        <v>MEXICO AEREO</v>
      </c>
      <c r="C1451" s="52">
        <v>0.91666666666666663</v>
      </c>
      <c r="D1451" s="52">
        <v>0.92569444444444438</v>
      </c>
      <c r="E1451" s="53">
        <f>'Reclamo de equipaje rediseñado'!$D1451-'Reclamo de equipaje rediseñado'!$C1451</f>
        <v>9.0277777777777457E-3</v>
      </c>
      <c r="F1451" s="52">
        <v>0.92708333333333337</v>
      </c>
      <c r="G1451" s="53">
        <f t="shared" si="22"/>
        <v>1.388888888888995E-3</v>
      </c>
      <c r="H1451" s="54">
        <v>41745</v>
      </c>
      <c r="I1451" s="55" t="s">
        <v>549</v>
      </c>
      <c r="J1451" s="55" t="s">
        <v>535</v>
      </c>
      <c r="K1451" s="55">
        <f>VLOOKUP(J1451,'Validacion reclamo de equipaje'!L:M,2,0)</f>
        <v>50</v>
      </c>
      <c r="L1451" s="55" t="str">
        <f>VLOOKUP(I1451,'Validacion reclamo de equipaje'!H:I,2,0)</f>
        <v>Nacional</v>
      </c>
      <c r="M1451" s="55" t="s">
        <v>523</v>
      </c>
    </row>
    <row r="1452" spans="1:13" x14ac:dyDescent="0.25">
      <c r="A1452">
        <v>2185</v>
      </c>
      <c r="B1452" s="47" t="str">
        <f>VLOOKUP(Tabla6[[#This Row],['# Vuelo]],'Validacion reclamo de equipaje'!P:Q,2,0)</f>
        <v>MEXICO AEREO</v>
      </c>
      <c r="C1452" s="48">
        <v>0.98055555555555562</v>
      </c>
      <c r="D1452" s="48">
        <v>0.98749999999999993</v>
      </c>
      <c r="E1452" s="49">
        <f>'Reclamo de equipaje rediseñado'!$D1452-'Reclamo de equipaje rediseñado'!$C1452</f>
        <v>6.9444444444443088E-3</v>
      </c>
      <c r="F1452" s="48">
        <v>0.99305555555555547</v>
      </c>
      <c r="G1452" s="49">
        <f t="shared" si="22"/>
        <v>5.5555555555555358E-3</v>
      </c>
      <c r="H1452" s="50">
        <v>41744</v>
      </c>
      <c r="I1452" s="51" t="s">
        <v>549</v>
      </c>
      <c r="J1452" s="51" t="s">
        <v>535</v>
      </c>
      <c r="K1452" s="51">
        <f>VLOOKUP(J1452,'Validacion reclamo de equipaje'!L:M,2,0)</f>
        <v>50</v>
      </c>
      <c r="L1452" s="51" t="str">
        <f>VLOOKUP(I1452,'Validacion reclamo de equipaje'!H:I,2,0)</f>
        <v>Nacional</v>
      </c>
      <c r="M1452" s="51" t="s">
        <v>523</v>
      </c>
    </row>
    <row r="1453" spans="1:13" x14ac:dyDescent="0.25">
      <c r="A1453">
        <v>2185</v>
      </c>
      <c r="B1453" s="47" t="str">
        <f>VLOOKUP(Tabla6[[#This Row],['# Vuelo]],'Validacion reclamo de equipaje'!P:Q,2,0)</f>
        <v>MEXICO AEREO</v>
      </c>
      <c r="C1453" s="52">
        <v>0.8979166666666667</v>
      </c>
      <c r="D1453" s="52">
        <v>0.91388888888888886</v>
      </c>
      <c r="E1453" s="53">
        <f>'Reclamo de equipaje rediseñado'!$D1453-'Reclamo de equipaje rediseñado'!$C1453</f>
        <v>1.5972222222222165E-2</v>
      </c>
      <c r="F1453" s="52">
        <v>0.92222222222222217</v>
      </c>
      <c r="G1453" s="53">
        <f t="shared" si="22"/>
        <v>8.3333333333333037E-3</v>
      </c>
      <c r="H1453" s="54">
        <v>41746</v>
      </c>
      <c r="I1453" s="55" t="s">
        <v>549</v>
      </c>
      <c r="J1453" s="55" t="s">
        <v>535</v>
      </c>
      <c r="K1453" s="55">
        <f>VLOOKUP(J1453,'Validacion reclamo de equipaje'!L:M,2,0)</f>
        <v>50</v>
      </c>
      <c r="L1453" s="55" t="str">
        <f>VLOOKUP(I1453,'Validacion reclamo de equipaje'!H:I,2,0)</f>
        <v>Nacional</v>
      </c>
      <c r="M1453" s="55" t="s">
        <v>523</v>
      </c>
    </row>
    <row r="1454" spans="1:13" x14ac:dyDescent="0.25">
      <c r="A1454">
        <v>2185</v>
      </c>
      <c r="B1454" s="47" t="str">
        <f>VLOOKUP(Tabla6[[#This Row],['# Vuelo]],'Validacion reclamo de equipaje'!P:Q,2,0)</f>
        <v>MEXICO AEREO</v>
      </c>
      <c r="C1454" s="48">
        <v>0.89166666666666661</v>
      </c>
      <c r="D1454" s="48">
        <v>0.89722222222222225</v>
      </c>
      <c r="E1454" s="49">
        <f>'Reclamo de equipaje rediseñado'!$D1454-'Reclamo de equipaje rediseñado'!$C1454</f>
        <v>5.5555555555556468E-3</v>
      </c>
      <c r="F1454" s="48">
        <v>0.90138888888888891</v>
      </c>
      <c r="G1454" s="49">
        <f t="shared" si="22"/>
        <v>4.1666666666666519E-3</v>
      </c>
      <c r="H1454" s="50">
        <v>41749</v>
      </c>
      <c r="I1454" s="51" t="s">
        <v>549</v>
      </c>
      <c r="J1454" s="51" t="s">
        <v>535</v>
      </c>
      <c r="K1454" s="51">
        <f>VLOOKUP(J1454,'Validacion reclamo de equipaje'!L:M,2,0)</f>
        <v>50</v>
      </c>
      <c r="L1454" s="51" t="str">
        <f>VLOOKUP(I1454,'Validacion reclamo de equipaje'!H:I,2,0)</f>
        <v>Nacional</v>
      </c>
      <c r="M1454" s="51" t="s">
        <v>523</v>
      </c>
    </row>
    <row r="1455" spans="1:13" x14ac:dyDescent="0.25">
      <c r="A1455">
        <v>2185</v>
      </c>
      <c r="B1455" s="47" t="str">
        <f>VLOOKUP(Tabla6[[#This Row],['# Vuelo]],'Validacion reclamo de equipaje'!P:Q,2,0)</f>
        <v>MEXICO AEREO</v>
      </c>
      <c r="C1455" s="52">
        <v>0.9</v>
      </c>
      <c r="D1455" s="52">
        <v>0.90902777777777777</v>
      </c>
      <c r="E1455" s="53">
        <f>'Reclamo de equipaje rediseñado'!$D1455-'Reclamo de equipaje rediseñado'!$C1455</f>
        <v>9.0277777777777457E-3</v>
      </c>
      <c r="F1455" s="52">
        <v>0.91041666666666676</v>
      </c>
      <c r="G1455" s="53">
        <f t="shared" si="22"/>
        <v>1.388888888888995E-3</v>
      </c>
      <c r="H1455" s="54">
        <v>41749</v>
      </c>
      <c r="I1455" s="55" t="s">
        <v>549</v>
      </c>
      <c r="J1455" s="55" t="s">
        <v>535</v>
      </c>
      <c r="K1455" s="55">
        <f>VLOOKUP(J1455,'Validacion reclamo de equipaje'!L:M,2,0)</f>
        <v>50</v>
      </c>
      <c r="L1455" s="55" t="str">
        <f>VLOOKUP(I1455,'Validacion reclamo de equipaje'!H:I,2,0)</f>
        <v>Nacional</v>
      </c>
      <c r="M1455" s="55" t="s">
        <v>523</v>
      </c>
    </row>
    <row r="1456" spans="1:13" x14ac:dyDescent="0.25">
      <c r="A1456">
        <v>2185</v>
      </c>
      <c r="B1456" s="47" t="str">
        <f>VLOOKUP(Tabla6[[#This Row],['# Vuelo]],'Validacion reclamo de equipaje'!P:Q,2,0)</f>
        <v>MEXICO AEREO</v>
      </c>
      <c r="C1456" s="48">
        <v>0.375</v>
      </c>
      <c r="D1456" s="48">
        <v>0.38194444444444442</v>
      </c>
      <c r="E1456" s="49">
        <f>'Reclamo de equipaje rediseñado'!$D1456-'Reclamo de equipaje rediseñado'!$C1456</f>
        <v>6.9444444444444198E-3</v>
      </c>
      <c r="F1456" s="48">
        <v>0.38541666666666669</v>
      </c>
      <c r="G1456" s="49">
        <f t="shared" si="22"/>
        <v>3.4722222222222654E-3</v>
      </c>
      <c r="H1456" s="50">
        <v>41750</v>
      </c>
      <c r="I1456" s="51" t="s">
        <v>549</v>
      </c>
      <c r="J1456" s="51" t="s">
        <v>535</v>
      </c>
      <c r="K1456" s="51">
        <f>VLOOKUP(J1456,'Validacion reclamo de equipaje'!L:M,2,0)</f>
        <v>50</v>
      </c>
      <c r="L1456" s="51" t="str">
        <f>VLOOKUP(I1456,'Validacion reclamo de equipaje'!H:I,2,0)</f>
        <v>Nacional</v>
      </c>
      <c r="M1456" s="51" t="s">
        <v>523</v>
      </c>
    </row>
    <row r="1457" spans="1:13" x14ac:dyDescent="0.25">
      <c r="A1457">
        <v>2185</v>
      </c>
      <c r="B1457" s="47" t="str">
        <f>VLOOKUP(Tabla6[[#This Row],['# Vuelo]],'Validacion reclamo de equipaje'!P:Q,2,0)</f>
        <v>MEXICO AEREO</v>
      </c>
      <c r="C1457" s="52">
        <v>0.89722222222222225</v>
      </c>
      <c r="D1457" s="52">
        <v>0.90833333333333333</v>
      </c>
      <c r="E1457" s="53">
        <f>'Reclamo de equipaje rediseñado'!$D1457-'Reclamo de equipaje rediseñado'!$C1457</f>
        <v>1.1111111111111072E-2</v>
      </c>
      <c r="F1457" s="52">
        <v>0.91111111111111109</v>
      </c>
      <c r="G1457" s="53">
        <f t="shared" si="22"/>
        <v>2.7777777777777679E-3</v>
      </c>
      <c r="H1457" s="54">
        <v>41751</v>
      </c>
      <c r="I1457" s="55" t="s">
        <v>549</v>
      </c>
      <c r="J1457" s="55" t="s">
        <v>535</v>
      </c>
      <c r="K1457" s="55">
        <f>VLOOKUP(J1457,'Validacion reclamo de equipaje'!L:M,2,0)</f>
        <v>50</v>
      </c>
      <c r="L1457" s="55" t="str">
        <f>VLOOKUP(I1457,'Validacion reclamo de equipaje'!H:I,2,0)</f>
        <v>Nacional</v>
      </c>
      <c r="M1457" s="55" t="s">
        <v>523</v>
      </c>
    </row>
    <row r="1458" spans="1:13" x14ac:dyDescent="0.25">
      <c r="A1458">
        <v>2185</v>
      </c>
      <c r="B1458" s="47" t="str">
        <f>VLOOKUP(Tabla6[[#This Row],['# Vuelo]],'Validacion reclamo de equipaje'!P:Q,2,0)</f>
        <v>MEXICO AEREO</v>
      </c>
      <c r="C1458" s="48">
        <v>0.91666666666666663</v>
      </c>
      <c r="D1458" s="48">
        <v>0.92013888888888884</v>
      </c>
      <c r="E1458" s="49">
        <f>'Reclamo de equipaje rediseñado'!$D1458-'Reclamo de equipaje rediseñado'!$C1458</f>
        <v>3.4722222222222099E-3</v>
      </c>
      <c r="F1458" s="48">
        <v>0.9243055555555556</v>
      </c>
      <c r="G1458" s="49">
        <f t="shared" si="22"/>
        <v>4.1666666666667629E-3</v>
      </c>
      <c r="H1458" s="50">
        <v>41753</v>
      </c>
      <c r="I1458" s="51" t="s">
        <v>549</v>
      </c>
      <c r="J1458" s="51" t="s">
        <v>535</v>
      </c>
      <c r="K1458" s="51">
        <f>VLOOKUP(J1458,'Validacion reclamo de equipaje'!L:M,2,0)</f>
        <v>50</v>
      </c>
      <c r="L1458" s="51" t="str">
        <f>VLOOKUP(I1458,'Validacion reclamo de equipaje'!H:I,2,0)</f>
        <v>Nacional</v>
      </c>
      <c r="M1458" s="51" t="s">
        <v>523</v>
      </c>
    </row>
    <row r="1459" spans="1:13" x14ac:dyDescent="0.25">
      <c r="A1459">
        <v>2185</v>
      </c>
      <c r="B1459" s="47" t="str">
        <f>VLOOKUP(Tabla6[[#This Row],['# Vuelo]],'Validacion reclamo de equipaje'!P:Q,2,0)</f>
        <v>MEXICO AEREO</v>
      </c>
      <c r="C1459" s="52">
        <v>0.9</v>
      </c>
      <c r="D1459" s="52">
        <v>0.90902777777777777</v>
      </c>
      <c r="E1459" s="53">
        <f>'Reclamo de equipaje rediseñado'!$D1459-'Reclamo de equipaje rediseñado'!$C1459</f>
        <v>9.0277777777777457E-3</v>
      </c>
      <c r="F1459" s="52">
        <v>0.93472222222222223</v>
      </c>
      <c r="G1459" s="53">
        <f t="shared" si="22"/>
        <v>2.5694444444444464E-2</v>
      </c>
      <c r="H1459" s="54">
        <v>41755</v>
      </c>
      <c r="I1459" s="55" t="s">
        <v>549</v>
      </c>
      <c r="J1459" s="55" t="s">
        <v>535</v>
      </c>
      <c r="K1459" s="55">
        <f>VLOOKUP(J1459,'Validacion reclamo de equipaje'!L:M,2,0)</f>
        <v>50</v>
      </c>
      <c r="L1459" s="55" t="str">
        <f>VLOOKUP(I1459,'Validacion reclamo de equipaje'!H:I,2,0)</f>
        <v>Nacional</v>
      </c>
      <c r="M1459" s="55" t="s">
        <v>523</v>
      </c>
    </row>
    <row r="1460" spans="1:13" x14ac:dyDescent="0.25">
      <c r="A1460">
        <v>2185</v>
      </c>
      <c r="B1460" s="47" t="str">
        <f>VLOOKUP(Tabla6[[#This Row],['# Vuelo]],'Validacion reclamo de equipaje'!P:Q,2,0)</f>
        <v>MEXICO AEREO</v>
      </c>
      <c r="C1460" s="48">
        <v>0.91111111111111109</v>
      </c>
      <c r="D1460" s="48">
        <v>0.91805555555555562</v>
      </c>
      <c r="E1460" s="49">
        <f>'Reclamo de equipaje rediseñado'!$D1460-'Reclamo de equipaje rediseñado'!$C1460</f>
        <v>6.9444444444445308E-3</v>
      </c>
      <c r="F1460" s="48">
        <v>0.92291666666666661</v>
      </c>
      <c r="G1460" s="49">
        <f t="shared" si="22"/>
        <v>4.8611111111109828E-3</v>
      </c>
      <c r="H1460" s="50">
        <v>41757</v>
      </c>
      <c r="I1460" s="51" t="s">
        <v>549</v>
      </c>
      <c r="J1460" s="51" t="s">
        <v>535</v>
      </c>
      <c r="K1460" s="51">
        <f>VLOOKUP(J1460,'Validacion reclamo de equipaje'!L:M,2,0)</f>
        <v>50</v>
      </c>
      <c r="L1460" s="51" t="str">
        <f>VLOOKUP(I1460,'Validacion reclamo de equipaje'!H:I,2,0)</f>
        <v>Nacional</v>
      </c>
      <c r="M1460" s="51" t="s">
        <v>523</v>
      </c>
    </row>
    <row r="1461" spans="1:13" x14ac:dyDescent="0.25">
      <c r="A1461">
        <v>2185</v>
      </c>
      <c r="B1461" s="47" t="str">
        <f>VLOOKUP(Tabla6[[#This Row],['# Vuelo]],'Validacion reclamo de equipaje'!P:Q,2,0)</f>
        <v>MEXICO AEREO</v>
      </c>
      <c r="C1461" s="52">
        <v>0.90347222222222223</v>
      </c>
      <c r="D1461" s="52">
        <v>0.91111111111111109</v>
      </c>
      <c r="E1461" s="53">
        <f>'Reclamo de equipaje rediseñado'!$D1461-'Reclamo de equipaje rediseñado'!$C1461</f>
        <v>7.6388888888888618E-3</v>
      </c>
      <c r="F1461" s="52">
        <v>0.91527777777777775</v>
      </c>
      <c r="G1461" s="53">
        <f t="shared" si="22"/>
        <v>4.1666666666666519E-3</v>
      </c>
      <c r="H1461" s="54">
        <v>41759</v>
      </c>
      <c r="I1461" s="55" t="s">
        <v>549</v>
      </c>
      <c r="J1461" s="55" t="s">
        <v>535</v>
      </c>
      <c r="K1461" s="55">
        <f>VLOOKUP(J1461,'Validacion reclamo de equipaje'!L:M,2,0)</f>
        <v>50</v>
      </c>
      <c r="L1461" s="55" t="str">
        <f>VLOOKUP(I1461,'Validacion reclamo de equipaje'!H:I,2,0)</f>
        <v>Nacional</v>
      </c>
      <c r="M1461" s="55" t="s">
        <v>523</v>
      </c>
    </row>
    <row r="1462" spans="1:13" x14ac:dyDescent="0.25">
      <c r="A1462">
        <v>2185</v>
      </c>
      <c r="B1462" s="47" t="str">
        <f>VLOOKUP(Tabla6[[#This Row],['# Vuelo]],'Validacion reclamo de equipaje'!P:Q,2,0)</f>
        <v>MEXICO AEREO</v>
      </c>
      <c r="C1462" s="48">
        <v>0.91527777777777775</v>
      </c>
      <c r="D1462" s="48">
        <v>0.9194444444444444</v>
      </c>
      <c r="E1462" s="49">
        <f>'Reclamo de equipaje rediseñado'!$D1462-'Reclamo de equipaje rediseñado'!$C1462</f>
        <v>4.1666666666666519E-3</v>
      </c>
      <c r="F1462" s="48">
        <v>0.92361111111111116</v>
      </c>
      <c r="G1462" s="49">
        <f t="shared" si="22"/>
        <v>4.1666666666667629E-3</v>
      </c>
      <c r="H1462" s="50">
        <v>41759</v>
      </c>
      <c r="I1462" s="51" t="s">
        <v>549</v>
      </c>
      <c r="J1462" s="51" t="s">
        <v>535</v>
      </c>
      <c r="K1462" s="51">
        <f>VLOOKUP(J1462,'Validacion reclamo de equipaje'!L:M,2,0)</f>
        <v>50</v>
      </c>
      <c r="L1462" s="51" t="str">
        <f>VLOOKUP(I1462,'Validacion reclamo de equipaje'!H:I,2,0)</f>
        <v>Nacional</v>
      </c>
      <c r="M1462" s="51" t="s">
        <v>523</v>
      </c>
    </row>
    <row r="1463" spans="1:13" x14ac:dyDescent="0.25">
      <c r="A1463">
        <v>2184</v>
      </c>
      <c r="B1463" s="47" t="str">
        <f>VLOOKUP(Tabla6[[#This Row],['# Vuelo]],'Validacion reclamo de equipaje'!P:Q,2,0)</f>
        <v>MEXICO AEREO</v>
      </c>
      <c r="C1463" s="52">
        <v>0.33958333333333335</v>
      </c>
      <c r="D1463" s="52">
        <v>0.34097222222222223</v>
      </c>
      <c r="E1463" s="53">
        <f>'Reclamo de equipaje rediseñado'!$D1463-'Reclamo de equipaje rediseñado'!$C1463</f>
        <v>1.388888888888884E-3</v>
      </c>
      <c r="F1463" s="52">
        <v>0.34513888888888888</v>
      </c>
      <c r="G1463" s="53">
        <f t="shared" si="22"/>
        <v>4.1666666666666519E-3</v>
      </c>
      <c r="H1463" s="54">
        <v>41730</v>
      </c>
      <c r="I1463" s="55" t="s">
        <v>552</v>
      </c>
      <c r="J1463" s="55" t="s">
        <v>535</v>
      </c>
      <c r="K1463" s="55">
        <f>VLOOKUP(J1463,'Validacion reclamo de equipaje'!L:M,2,0)</f>
        <v>50</v>
      </c>
      <c r="L1463" s="55" t="str">
        <f>VLOOKUP(I1463,'Validacion reclamo de equipaje'!H:I,2,0)</f>
        <v>Nacional</v>
      </c>
      <c r="M1463" s="55" t="s">
        <v>523</v>
      </c>
    </row>
    <row r="1464" spans="1:13" x14ac:dyDescent="0.25">
      <c r="A1464">
        <v>2184</v>
      </c>
      <c r="B1464" s="47" t="str">
        <f>VLOOKUP(Tabla6[[#This Row],['# Vuelo]],'Validacion reclamo de equipaje'!P:Q,2,0)</f>
        <v>MEXICO AEREO</v>
      </c>
      <c r="C1464" s="48">
        <v>0.35138888888888892</v>
      </c>
      <c r="D1464" s="48">
        <v>0.3576388888888889</v>
      </c>
      <c r="E1464" s="49">
        <f>'Reclamo de equipaje rediseñado'!$D1464-'Reclamo de equipaje rediseñado'!$C1464</f>
        <v>6.2499999999999778E-3</v>
      </c>
      <c r="F1464" s="48">
        <v>0.3611111111111111</v>
      </c>
      <c r="G1464" s="49">
        <f t="shared" si="22"/>
        <v>3.4722222222222099E-3</v>
      </c>
      <c r="H1464" s="50">
        <v>41731</v>
      </c>
      <c r="I1464" s="51" t="s">
        <v>552</v>
      </c>
      <c r="J1464" s="51" t="s">
        <v>535</v>
      </c>
      <c r="K1464" s="51">
        <f>VLOOKUP(J1464,'Validacion reclamo de equipaje'!L:M,2,0)</f>
        <v>50</v>
      </c>
      <c r="L1464" s="51" t="str">
        <f>VLOOKUP(I1464,'Validacion reclamo de equipaje'!H:I,2,0)</f>
        <v>Nacional</v>
      </c>
      <c r="M1464" s="51" t="s">
        <v>523</v>
      </c>
    </row>
    <row r="1465" spans="1:13" x14ac:dyDescent="0.25">
      <c r="A1465">
        <v>2184</v>
      </c>
      <c r="B1465" s="47" t="str">
        <f>VLOOKUP(Tabla6[[#This Row],['# Vuelo]],'Validacion reclamo de equipaje'!P:Q,2,0)</f>
        <v>MEXICO AEREO</v>
      </c>
      <c r="C1465" s="52">
        <v>0.3430555555555555</v>
      </c>
      <c r="D1465" s="52">
        <v>0.34513888888888888</v>
      </c>
      <c r="E1465" s="53">
        <f>'Reclamo de equipaje rediseñado'!$D1465-'Reclamo de equipaje rediseñado'!$C1465</f>
        <v>2.0833333333333814E-3</v>
      </c>
      <c r="F1465" s="52">
        <v>0.34722222222222227</v>
      </c>
      <c r="G1465" s="53">
        <f t="shared" si="22"/>
        <v>2.0833333333333814E-3</v>
      </c>
      <c r="H1465" s="54">
        <v>41733</v>
      </c>
      <c r="I1465" s="55" t="s">
        <v>552</v>
      </c>
      <c r="J1465" s="55" t="s">
        <v>535</v>
      </c>
      <c r="K1465" s="55">
        <f>VLOOKUP(J1465,'Validacion reclamo de equipaje'!L:M,2,0)</f>
        <v>50</v>
      </c>
      <c r="L1465" s="55" t="str">
        <f>VLOOKUP(I1465,'Validacion reclamo de equipaje'!H:I,2,0)</f>
        <v>Nacional</v>
      </c>
      <c r="M1465" s="55" t="s">
        <v>523</v>
      </c>
    </row>
    <row r="1466" spans="1:13" x14ac:dyDescent="0.25">
      <c r="A1466">
        <v>2184</v>
      </c>
      <c r="B1466" s="47" t="str">
        <f>VLOOKUP(Tabla6[[#This Row],['# Vuelo]],'Validacion reclamo de equipaje'!P:Q,2,0)</f>
        <v>MEXICO AEREO</v>
      </c>
      <c r="C1466" s="48">
        <v>0.47569444444444442</v>
      </c>
      <c r="D1466" s="48">
        <v>0.48194444444444445</v>
      </c>
      <c r="E1466" s="49">
        <f>'Reclamo de equipaje rediseñado'!$D1466-'Reclamo de equipaje rediseñado'!$C1466</f>
        <v>6.2500000000000333E-3</v>
      </c>
      <c r="F1466" s="48">
        <v>0.50666666666666671</v>
      </c>
      <c r="G1466" s="49">
        <f t="shared" si="22"/>
        <v>2.4722222222222257E-2</v>
      </c>
      <c r="H1466" s="50">
        <v>41736</v>
      </c>
      <c r="I1466" s="51" t="s">
        <v>552</v>
      </c>
      <c r="J1466" s="51" t="s">
        <v>535</v>
      </c>
      <c r="K1466" s="51">
        <f>VLOOKUP(J1466,'Validacion reclamo de equipaje'!L:M,2,0)</f>
        <v>50</v>
      </c>
      <c r="L1466" s="51" t="str">
        <f>VLOOKUP(I1466,'Validacion reclamo de equipaje'!H:I,2,0)</f>
        <v>Nacional</v>
      </c>
      <c r="M1466" s="51" t="s">
        <v>523</v>
      </c>
    </row>
    <row r="1467" spans="1:13" x14ac:dyDescent="0.25">
      <c r="A1467">
        <v>2184</v>
      </c>
      <c r="B1467" s="47" t="str">
        <f>VLOOKUP(Tabla6[[#This Row],['# Vuelo]],'Validacion reclamo de equipaje'!P:Q,2,0)</f>
        <v>MEXICO AEREO</v>
      </c>
      <c r="C1467" s="52">
        <v>0.375</v>
      </c>
      <c r="D1467" s="52">
        <v>0.37708333333333338</v>
      </c>
      <c r="E1467" s="53">
        <f>'Reclamo de equipaje rediseñado'!$D1467-'Reclamo de equipaje rediseñado'!$C1467</f>
        <v>2.0833333333333814E-3</v>
      </c>
      <c r="F1467" s="52">
        <v>0.38194444444444442</v>
      </c>
      <c r="G1467" s="53">
        <f t="shared" si="22"/>
        <v>4.8611111111110383E-3</v>
      </c>
      <c r="H1467" s="54">
        <v>41737</v>
      </c>
      <c r="I1467" s="55" t="s">
        <v>552</v>
      </c>
      <c r="J1467" s="55" t="s">
        <v>535</v>
      </c>
      <c r="K1467" s="55">
        <f>VLOOKUP(J1467,'Validacion reclamo de equipaje'!L:M,2,0)</f>
        <v>50</v>
      </c>
      <c r="L1467" s="55" t="str">
        <f>VLOOKUP(I1467,'Validacion reclamo de equipaje'!H:I,2,0)</f>
        <v>Nacional</v>
      </c>
      <c r="M1467" s="55" t="s">
        <v>523</v>
      </c>
    </row>
    <row r="1468" spans="1:13" x14ac:dyDescent="0.25">
      <c r="A1468">
        <v>2184</v>
      </c>
      <c r="B1468" s="47" t="str">
        <f>VLOOKUP(Tabla6[[#This Row],['# Vuelo]],'Validacion reclamo de equipaje'!P:Q,2,0)</f>
        <v>MEXICO AEREO</v>
      </c>
      <c r="C1468" s="48">
        <v>0.3840277777777778</v>
      </c>
      <c r="D1468" s="48">
        <v>0.3888888888888889</v>
      </c>
      <c r="E1468" s="49">
        <f>'Reclamo de equipaje rediseñado'!$D1468-'Reclamo de equipaje rediseñado'!$C1468</f>
        <v>4.8611111111110938E-3</v>
      </c>
      <c r="F1468" s="48">
        <v>0.39374999999999999</v>
      </c>
      <c r="G1468" s="49">
        <f t="shared" si="22"/>
        <v>4.8611111111110938E-3</v>
      </c>
      <c r="H1468" s="50">
        <v>41738</v>
      </c>
      <c r="I1468" s="51" t="s">
        <v>552</v>
      </c>
      <c r="J1468" s="51" t="s">
        <v>535</v>
      </c>
      <c r="K1468" s="51">
        <f>VLOOKUP(J1468,'Validacion reclamo de equipaje'!L:M,2,0)</f>
        <v>50</v>
      </c>
      <c r="L1468" s="51" t="str">
        <f>VLOOKUP(I1468,'Validacion reclamo de equipaje'!H:I,2,0)</f>
        <v>Nacional</v>
      </c>
      <c r="M1468" s="51" t="s">
        <v>523</v>
      </c>
    </row>
    <row r="1469" spans="1:13" x14ac:dyDescent="0.25">
      <c r="A1469">
        <v>2184</v>
      </c>
      <c r="B1469" s="47" t="str">
        <f>VLOOKUP(Tabla6[[#This Row],['# Vuelo]],'Validacion reclamo de equipaje'!P:Q,2,0)</f>
        <v>MEXICO AEREO</v>
      </c>
      <c r="C1469" s="52">
        <v>0.39027777777777778</v>
      </c>
      <c r="D1469" s="52">
        <v>0.39652777777777781</v>
      </c>
      <c r="E1469" s="53">
        <f>'Reclamo de equipaje rediseñado'!$D1469-'Reclamo de equipaje rediseñado'!$C1469</f>
        <v>6.2500000000000333E-3</v>
      </c>
      <c r="F1469" s="52">
        <v>0.39930555555555558</v>
      </c>
      <c r="G1469" s="53">
        <f t="shared" si="22"/>
        <v>2.7777777777777679E-3</v>
      </c>
      <c r="H1469" s="54">
        <v>41739</v>
      </c>
      <c r="I1469" s="55" t="s">
        <v>552</v>
      </c>
      <c r="J1469" s="55" t="s">
        <v>535</v>
      </c>
      <c r="K1469" s="55">
        <f>VLOOKUP(J1469,'Validacion reclamo de equipaje'!L:M,2,0)</f>
        <v>50</v>
      </c>
      <c r="L1469" s="55" t="str">
        <f>VLOOKUP(I1469,'Validacion reclamo de equipaje'!H:I,2,0)</f>
        <v>Nacional</v>
      </c>
      <c r="M1469" s="55" t="s">
        <v>523</v>
      </c>
    </row>
    <row r="1470" spans="1:13" x14ac:dyDescent="0.25">
      <c r="A1470">
        <v>2184</v>
      </c>
      <c r="B1470" s="47" t="str">
        <f>VLOOKUP(Tabla6[[#This Row],['# Vuelo]],'Validacion reclamo de equipaje'!P:Q,2,0)</f>
        <v>MEXICO AEREO</v>
      </c>
      <c r="C1470" s="48">
        <v>0.37291666666666662</v>
      </c>
      <c r="D1470" s="48">
        <v>0.38055555555555554</v>
      </c>
      <c r="E1470" s="49">
        <f>'Reclamo de equipaje rediseñado'!$D1470-'Reclamo de equipaje rediseñado'!$C1470</f>
        <v>7.6388888888889173E-3</v>
      </c>
      <c r="F1470" s="48">
        <v>0.38194444444444442</v>
      </c>
      <c r="G1470" s="49">
        <f t="shared" si="22"/>
        <v>1.388888888888884E-3</v>
      </c>
      <c r="H1470" s="50">
        <v>41741</v>
      </c>
      <c r="I1470" s="51" t="s">
        <v>552</v>
      </c>
      <c r="J1470" s="51" t="s">
        <v>535</v>
      </c>
      <c r="K1470" s="51">
        <f>VLOOKUP(J1470,'Validacion reclamo de equipaje'!L:M,2,0)</f>
        <v>50</v>
      </c>
      <c r="L1470" s="51" t="str">
        <f>VLOOKUP(I1470,'Validacion reclamo de equipaje'!H:I,2,0)</f>
        <v>Nacional</v>
      </c>
      <c r="M1470" s="51" t="s">
        <v>523</v>
      </c>
    </row>
    <row r="1471" spans="1:13" x14ac:dyDescent="0.25">
      <c r="A1471">
        <v>2184</v>
      </c>
      <c r="B1471" s="47" t="str">
        <f>VLOOKUP(Tabla6[[#This Row],['# Vuelo]],'Validacion reclamo de equipaje'!P:Q,2,0)</f>
        <v>MEXICO AEREO</v>
      </c>
      <c r="C1471" s="52">
        <v>0.33958333333333335</v>
      </c>
      <c r="D1471" s="52">
        <v>0.34097222222222223</v>
      </c>
      <c r="E1471" s="53">
        <f>'Reclamo de equipaje rediseñado'!$D1471-'Reclamo de equipaje rediseñado'!$C1471</f>
        <v>1.388888888888884E-3</v>
      </c>
      <c r="F1471" s="52">
        <v>0.34513888888888888</v>
      </c>
      <c r="G1471" s="53">
        <f t="shared" si="22"/>
        <v>4.1666666666666519E-3</v>
      </c>
      <c r="H1471" s="54">
        <v>41742</v>
      </c>
      <c r="I1471" s="55" t="s">
        <v>552</v>
      </c>
      <c r="J1471" s="55" t="s">
        <v>535</v>
      </c>
      <c r="K1471" s="55">
        <f>VLOOKUP(J1471,'Validacion reclamo de equipaje'!L:M,2,0)</f>
        <v>50</v>
      </c>
      <c r="L1471" s="55" t="str">
        <f>VLOOKUP(I1471,'Validacion reclamo de equipaje'!H:I,2,0)</f>
        <v>Nacional</v>
      </c>
      <c r="M1471" s="55" t="s">
        <v>523</v>
      </c>
    </row>
    <row r="1472" spans="1:13" x14ac:dyDescent="0.25">
      <c r="A1472">
        <v>2184</v>
      </c>
      <c r="B1472" s="47" t="str">
        <f>VLOOKUP(Tabla6[[#This Row],['# Vuelo]],'Validacion reclamo de equipaje'!P:Q,2,0)</f>
        <v>MEXICO AEREO</v>
      </c>
      <c r="C1472" s="48">
        <v>0.375</v>
      </c>
      <c r="D1472" s="48">
        <v>0.38194444444444442</v>
      </c>
      <c r="E1472" s="49">
        <f>'Reclamo de equipaje rediseñado'!$D1472-'Reclamo de equipaje rediseñado'!$C1472</f>
        <v>6.9444444444444198E-3</v>
      </c>
      <c r="F1472" s="48">
        <v>0.3888888888888889</v>
      </c>
      <c r="G1472" s="49">
        <f t="shared" si="22"/>
        <v>6.9444444444444753E-3</v>
      </c>
      <c r="H1472" s="50">
        <v>41743</v>
      </c>
      <c r="I1472" s="51" t="s">
        <v>552</v>
      </c>
      <c r="J1472" s="51" t="s">
        <v>535</v>
      </c>
      <c r="K1472" s="51">
        <f>VLOOKUP(J1472,'Validacion reclamo de equipaje'!L:M,2,0)</f>
        <v>50</v>
      </c>
      <c r="L1472" s="51" t="str">
        <f>VLOOKUP(I1472,'Validacion reclamo de equipaje'!H:I,2,0)</f>
        <v>Nacional</v>
      </c>
      <c r="M1472" s="51" t="s">
        <v>523</v>
      </c>
    </row>
    <row r="1473" spans="1:13" x14ac:dyDescent="0.25">
      <c r="A1473">
        <v>2184</v>
      </c>
      <c r="B1473" s="47" t="str">
        <f>VLOOKUP(Tabla6[[#This Row],['# Vuelo]],'Validacion reclamo de equipaje'!P:Q,2,0)</f>
        <v>MEXICO AEREO</v>
      </c>
      <c r="C1473" s="52">
        <v>0.3743055555555555</v>
      </c>
      <c r="D1473" s="52">
        <v>0.37916666666666665</v>
      </c>
      <c r="E1473" s="53">
        <f>'Reclamo de equipaje rediseñado'!$D1473-'Reclamo de equipaje rediseñado'!$C1473</f>
        <v>4.8611111111111494E-3</v>
      </c>
      <c r="F1473" s="52">
        <v>0.38472222222222219</v>
      </c>
      <c r="G1473" s="53">
        <f t="shared" si="22"/>
        <v>5.5555555555555358E-3</v>
      </c>
      <c r="H1473" s="54">
        <v>41744</v>
      </c>
      <c r="I1473" s="55" t="s">
        <v>552</v>
      </c>
      <c r="J1473" s="55" t="s">
        <v>535</v>
      </c>
      <c r="K1473" s="55">
        <f>VLOOKUP(J1473,'Validacion reclamo de equipaje'!L:M,2,0)</f>
        <v>50</v>
      </c>
      <c r="L1473" s="55" t="str">
        <f>VLOOKUP(I1473,'Validacion reclamo de equipaje'!H:I,2,0)</f>
        <v>Nacional</v>
      </c>
      <c r="M1473" s="55" t="s">
        <v>523</v>
      </c>
    </row>
    <row r="1474" spans="1:13" x14ac:dyDescent="0.25">
      <c r="A1474">
        <v>2184</v>
      </c>
      <c r="B1474" s="47" t="str">
        <f>VLOOKUP(Tabla6[[#This Row],['# Vuelo]],'Validacion reclamo de equipaje'!P:Q,2,0)</f>
        <v>MEXICO AEREO</v>
      </c>
      <c r="C1474" s="48">
        <v>0.3756944444444445</v>
      </c>
      <c r="D1474" s="48">
        <v>0.3833333333333333</v>
      </c>
      <c r="E1474" s="49">
        <f>'Reclamo de equipaje rediseñado'!$D1474-'Reclamo de equipaje rediseñado'!$C1474</f>
        <v>7.6388888888888062E-3</v>
      </c>
      <c r="F1474" s="48">
        <v>0.38611111111111113</v>
      </c>
      <c r="G1474" s="49">
        <f t="shared" si="22"/>
        <v>2.7777777777778234E-3</v>
      </c>
      <c r="H1474" s="50">
        <v>41745</v>
      </c>
      <c r="I1474" s="51" t="s">
        <v>552</v>
      </c>
      <c r="J1474" s="51" t="s">
        <v>535</v>
      </c>
      <c r="K1474" s="51">
        <f>VLOOKUP(J1474,'Validacion reclamo de equipaje'!L:M,2,0)</f>
        <v>50</v>
      </c>
      <c r="L1474" s="51" t="str">
        <f>VLOOKUP(I1474,'Validacion reclamo de equipaje'!H:I,2,0)</f>
        <v>Nacional</v>
      </c>
      <c r="M1474" s="51" t="s">
        <v>523</v>
      </c>
    </row>
    <row r="1475" spans="1:13" x14ac:dyDescent="0.25">
      <c r="A1475">
        <v>2184</v>
      </c>
      <c r="B1475" s="47" t="str">
        <f>VLOOKUP(Tabla6[[#This Row],['# Vuelo]],'Validacion reclamo de equipaje'!P:Q,2,0)</f>
        <v>MEXICO AEREO</v>
      </c>
      <c r="C1475" s="52">
        <v>0.37083333333333335</v>
      </c>
      <c r="D1475" s="52">
        <v>0.375</v>
      </c>
      <c r="E1475" s="53">
        <f>'Reclamo de equipaje rediseñado'!$D1475-'Reclamo de equipaje rediseñado'!$C1475</f>
        <v>4.1666666666666519E-3</v>
      </c>
      <c r="F1475" s="52">
        <v>0.37916666666666665</v>
      </c>
      <c r="G1475" s="53">
        <f t="shared" ref="G1475:G1538" si="23">F1475-D1475</f>
        <v>4.1666666666666519E-3</v>
      </c>
      <c r="H1475" s="54">
        <v>41748</v>
      </c>
      <c r="I1475" s="55" t="s">
        <v>552</v>
      </c>
      <c r="J1475" s="55" t="s">
        <v>535</v>
      </c>
      <c r="K1475" s="55">
        <f>VLOOKUP(J1475,'Validacion reclamo de equipaje'!L:M,2,0)</f>
        <v>50</v>
      </c>
      <c r="L1475" s="55" t="str">
        <f>VLOOKUP(I1475,'Validacion reclamo de equipaje'!H:I,2,0)</f>
        <v>Nacional</v>
      </c>
      <c r="M1475" s="55" t="s">
        <v>523</v>
      </c>
    </row>
    <row r="1476" spans="1:13" x14ac:dyDescent="0.25">
      <c r="A1476">
        <v>2184</v>
      </c>
      <c r="B1476" s="47" t="str">
        <f>VLOOKUP(Tabla6[[#This Row],['# Vuelo]],'Validacion reclamo de equipaje'!P:Q,2,0)</f>
        <v>MEXICO AEREO</v>
      </c>
      <c r="C1476" s="48">
        <v>0.38819444444444445</v>
      </c>
      <c r="D1476" s="48">
        <v>0.39305555555555555</v>
      </c>
      <c r="E1476" s="49">
        <f>'Reclamo de equipaje rediseñado'!$D1476-'Reclamo de equipaje rediseñado'!$C1476</f>
        <v>4.8611111111110938E-3</v>
      </c>
      <c r="F1476" s="48">
        <v>0.39999999999999997</v>
      </c>
      <c r="G1476" s="49">
        <f t="shared" si="23"/>
        <v>6.9444444444444198E-3</v>
      </c>
      <c r="H1476" s="50">
        <v>41751</v>
      </c>
      <c r="I1476" s="51" t="s">
        <v>552</v>
      </c>
      <c r="J1476" s="51" t="s">
        <v>535</v>
      </c>
      <c r="K1476" s="51">
        <f>VLOOKUP(J1476,'Validacion reclamo de equipaje'!L:M,2,0)</f>
        <v>50</v>
      </c>
      <c r="L1476" s="51" t="str">
        <f>VLOOKUP(I1476,'Validacion reclamo de equipaje'!H:I,2,0)</f>
        <v>Nacional</v>
      </c>
      <c r="M1476" s="51" t="s">
        <v>523</v>
      </c>
    </row>
    <row r="1477" spans="1:13" x14ac:dyDescent="0.25">
      <c r="A1477">
        <v>2184</v>
      </c>
      <c r="B1477" s="47" t="str">
        <f>VLOOKUP(Tabla6[[#This Row],['# Vuelo]],'Validacion reclamo de equipaje'!P:Q,2,0)</f>
        <v>MEXICO AEREO</v>
      </c>
      <c r="C1477" s="52">
        <v>0.37777777777777777</v>
      </c>
      <c r="D1477" s="52">
        <v>0.38263888888888892</v>
      </c>
      <c r="E1477" s="53">
        <f>'Reclamo de equipaje rediseñado'!$D1477-'Reclamo de equipaje rediseñado'!$C1477</f>
        <v>4.8611111111111494E-3</v>
      </c>
      <c r="F1477" s="52">
        <v>0.38541666666666669</v>
      </c>
      <c r="G1477" s="53">
        <f t="shared" si="23"/>
        <v>2.7777777777777679E-3</v>
      </c>
      <c r="H1477" s="54">
        <v>41754</v>
      </c>
      <c r="I1477" s="55" t="s">
        <v>552</v>
      </c>
      <c r="J1477" s="55" t="s">
        <v>535</v>
      </c>
      <c r="K1477" s="55">
        <f>VLOOKUP(J1477,'Validacion reclamo de equipaje'!L:M,2,0)</f>
        <v>50</v>
      </c>
      <c r="L1477" s="55" t="str">
        <f>VLOOKUP(I1477,'Validacion reclamo de equipaje'!H:I,2,0)</f>
        <v>Nacional</v>
      </c>
      <c r="M1477" s="55" t="s">
        <v>523</v>
      </c>
    </row>
    <row r="1478" spans="1:13" x14ac:dyDescent="0.25">
      <c r="A1478">
        <v>2184</v>
      </c>
      <c r="B1478" s="47" t="str">
        <f>VLOOKUP(Tabla6[[#This Row],['# Vuelo]],'Validacion reclamo de equipaje'!P:Q,2,0)</f>
        <v>MEXICO AEREO</v>
      </c>
      <c r="C1478" s="48">
        <v>0.38472222222222219</v>
      </c>
      <c r="D1478" s="48">
        <v>0.39097222222222222</v>
      </c>
      <c r="E1478" s="49">
        <f>'Reclamo de equipaje rediseñado'!$D1478-'Reclamo de equipaje rediseñado'!$C1478</f>
        <v>6.2500000000000333E-3</v>
      </c>
      <c r="F1478" s="48">
        <v>0.39305555555555555</v>
      </c>
      <c r="G1478" s="49">
        <f t="shared" si="23"/>
        <v>2.0833333333333259E-3</v>
      </c>
      <c r="H1478" s="50">
        <v>41757</v>
      </c>
      <c r="I1478" s="51" t="s">
        <v>552</v>
      </c>
      <c r="J1478" s="51" t="s">
        <v>535</v>
      </c>
      <c r="K1478" s="51">
        <f>VLOOKUP(J1478,'Validacion reclamo de equipaje'!L:M,2,0)</f>
        <v>50</v>
      </c>
      <c r="L1478" s="51" t="str">
        <f>VLOOKUP(I1478,'Validacion reclamo de equipaje'!H:I,2,0)</f>
        <v>Nacional</v>
      </c>
      <c r="M1478" s="51" t="s">
        <v>523</v>
      </c>
    </row>
    <row r="1479" spans="1:13" x14ac:dyDescent="0.25">
      <c r="A1479">
        <v>2184</v>
      </c>
      <c r="B1479" s="47" t="str">
        <f>VLOOKUP(Tabla6[[#This Row],['# Vuelo]],'Validacion reclamo de equipaje'!P:Q,2,0)</f>
        <v>MEXICO AEREO</v>
      </c>
      <c r="C1479" s="52">
        <v>0.38541666666666669</v>
      </c>
      <c r="D1479" s="52">
        <v>0.3888888888888889</v>
      </c>
      <c r="E1479" s="53">
        <f>'Reclamo de equipaje rediseñado'!$D1479-'Reclamo de equipaje rediseñado'!$C1479</f>
        <v>3.4722222222222099E-3</v>
      </c>
      <c r="F1479" s="52">
        <v>0.39513888888888887</v>
      </c>
      <c r="G1479" s="53">
        <f t="shared" si="23"/>
        <v>6.2499999999999778E-3</v>
      </c>
      <c r="H1479" s="54">
        <v>41758</v>
      </c>
      <c r="I1479" s="55" t="s">
        <v>552</v>
      </c>
      <c r="J1479" s="55" t="s">
        <v>535</v>
      </c>
      <c r="K1479" s="55">
        <f>VLOOKUP(J1479,'Validacion reclamo de equipaje'!L:M,2,0)</f>
        <v>50</v>
      </c>
      <c r="L1479" s="55" t="str">
        <f>VLOOKUP(I1479,'Validacion reclamo de equipaje'!H:I,2,0)</f>
        <v>Nacional</v>
      </c>
      <c r="M1479" s="55" t="s">
        <v>523</v>
      </c>
    </row>
    <row r="1480" spans="1:13" x14ac:dyDescent="0.25">
      <c r="A1480">
        <v>2184</v>
      </c>
      <c r="B1480" s="47" t="str">
        <f>VLOOKUP(Tabla6[[#This Row],['# Vuelo]],'Validacion reclamo de equipaje'!P:Q,2,0)</f>
        <v>MEXICO AEREO</v>
      </c>
      <c r="C1480" s="48">
        <v>0.34652777777777777</v>
      </c>
      <c r="D1480" s="48">
        <v>0.34722222222222227</v>
      </c>
      <c r="E1480" s="49">
        <f>'Reclamo de equipaje rediseñado'!$D1480-'Reclamo de equipaje rediseñado'!$C1480</f>
        <v>6.9444444444449749E-4</v>
      </c>
      <c r="F1480" s="48">
        <v>0.35694444444444445</v>
      </c>
      <c r="G1480" s="49">
        <f t="shared" si="23"/>
        <v>9.7222222222221877E-3</v>
      </c>
      <c r="H1480" s="50">
        <v>41732</v>
      </c>
      <c r="I1480" s="51" t="s">
        <v>552</v>
      </c>
      <c r="J1480" s="51" t="s">
        <v>535</v>
      </c>
      <c r="K1480" s="51">
        <f>VLOOKUP(J1480,'Validacion reclamo de equipaje'!L:M,2,0)</f>
        <v>50</v>
      </c>
      <c r="L1480" s="51" t="str">
        <f>VLOOKUP(I1480,'Validacion reclamo de equipaje'!H:I,2,0)</f>
        <v>Nacional</v>
      </c>
      <c r="M1480" s="51" t="s">
        <v>523</v>
      </c>
    </row>
    <row r="1481" spans="1:13" x14ac:dyDescent="0.25">
      <c r="A1481">
        <v>2127</v>
      </c>
      <c r="B1481" s="47" t="str">
        <f>VLOOKUP(Tabla6[[#This Row],['# Vuelo]],'Validacion reclamo de equipaje'!P:Q,2,0)</f>
        <v>MEXICO AEREO</v>
      </c>
      <c r="C1481" s="52">
        <v>0.90833333333333333</v>
      </c>
      <c r="D1481" s="52">
        <v>0.91666666666666663</v>
      </c>
      <c r="E1481" s="53">
        <f>'Reclamo de equipaje rediseñado'!$D1481-'Reclamo de equipaje rediseñado'!$C1481</f>
        <v>8.3333333333333037E-3</v>
      </c>
      <c r="F1481" s="52">
        <v>0.92013888888888884</v>
      </c>
      <c r="G1481" s="53">
        <f t="shared" si="23"/>
        <v>3.4722222222222099E-3</v>
      </c>
      <c r="H1481" s="54">
        <v>41736</v>
      </c>
      <c r="I1481" s="55" t="s">
        <v>550</v>
      </c>
      <c r="J1481" s="55" t="s">
        <v>535</v>
      </c>
      <c r="K1481" s="55">
        <f>VLOOKUP(J1481,'Validacion reclamo de equipaje'!L:M,2,0)</f>
        <v>50</v>
      </c>
      <c r="L1481" s="55" t="str">
        <f>VLOOKUP(I1481,'Validacion reclamo de equipaje'!H:I,2,0)</f>
        <v>Nacional</v>
      </c>
      <c r="M1481" s="55" t="s">
        <v>523</v>
      </c>
    </row>
    <row r="1482" spans="1:13" x14ac:dyDescent="0.25">
      <c r="A1482">
        <v>2127</v>
      </c>
      <c r="B1482" s="47" t="str">
        <f>VLOOKUP(Tabla6[[#This Row],['# Vuelo]],'Validacion reclamo de equipaje'!P:Q,2,0)</f>
        <v>MEXICO AEREO</v>
      </c>
      <c r="C1482" s="48">
        <v>0.91527777777777775</v>
      </c>
      <c r="D1482" s="48">
        <v>0.92013888888888884</v>
      </c>
      <c r="E1482" s="49">
        <f>'Reclamo de equipaje rediseñado'!$D1482-'Reclamo de equipaje rediseñado'!$C1482</f>
        <v>4.8611111111110938E-3</v>
      </c>
      <c r="F1482" s="48">
        <v>0.92361111111111116</v>
      </c>
      <c r="G1482" s="49">
        <f t="shared" si="23"/>
        <v>3.4722222222223209E-3</v>
      </c>
      <c r="H1482" s="50">
        <v>41736</v>
      </c>
      <c r="I1482" s="51" t="s">
        <v>550</v>
      </c>
      <c r="J1482" s="51" t="s">
        <v>535</v>
      </c>
      <c r="K1482" s="51">
        <f>VLOOKUP(J1482,'Validacion reclamo de equipaje'!L:M,2,0)</f>
        <v>50</v>
      </c>
      <c r="L1482" s="51" t="str">
        <f>VLOOKUP(I1482,'Validacion reclamo de equipaje'!H:I,2,0)</f>
        <v>Nacional</v>
      </c>
      <c r="M1482" s="51" t="s">
        <v>523</v>
      </c>
    </row>
    <row r="1483" spans="1:13" x14ac:dyDescent="0.25">
      <c r="A1483">
        <v>2127</v>
      </c>
      <c r="B1483" s="47" t="str">
        <f>VLOOKUP(Tabla6[[#This Row],['# Vuelo]],'Validacion reclamo de equipaje'!P:Q,2,0)</f>
        <v>MEXICO AEREO</v>
      </c>
      <c r="C1483" s="52">
        <v>0.93402777777777779</v>
      </c>
      <c r="D1483" s="52">
        <v>0.94236111111111109</v>
      </c>
      <c r="E1483" s="53">
        <f>'Reclamo de equipaje rediseñado'!$D1483-'Reclamo de equipaje rediseñado'!$C1483</f>
        <v>8.3333333333333037E-3</v>
      </c>
      <c r="F1483" s="52">
        <v>0.94652777777777775</v>
      </c>
      <c r="G1483" s="53">
        <f t="shared" si="23"/>
        <v>4.1666666666666519E-3</v>
      </c>
      <c r="H1483" s="54">
        <v>41738</v>
      </c>
      <c r="I1483" s="55" t="s">
        <v>550</v>
      </c>
      <c r="J1483" s="55" t="s">
        <v>535</v>
      </c>
      <c r="K1483" s="55">
        <f>VLOOKUP(J1483,'Validacion reclamo de equipaje'!L:M,2,0)</f>
        <v>50</v>
      </c>
      <c r="L1483" s="55" t="str">
        <f>VLOOKUP(I1483,'Validacion reclamo de equipaje'!H:I,2,0)</f>
        <v>Nacional</v>
      </c>
      <c r="M1483" s="55" t="s">
        <v>523</v>
      </c>
    </row>
    <row r="1484" spans="1:13" x14ac:dyDescent="0.25">
      <c r="A1484">
        <v>2127</v>
      </c>
      <c r="B1484" s="47" t="str">
        <f>VLOOKUP(Tabla6[[#This Row],['# Vuelo]],'Validacion reclamo de equipaje'!P:Q,2,0)</f>
        <v>MEXICO AEREO</v>
      </c>
      <c r="C1484" s="48">
        <v>0.98611111111111116</v>
      </c>
      <c r="D1484" s="48">
        <v>0.99097222222222225</v>
      </c>
      <c r="E1484" s="49">
        <f>'Reclamo de equipaje rediseñado'!$D1484-'Reclamo de equipaje rediseñado'!$C1484</f>
        <v>4.8611111111110938E-3</v>
      </c>
      <c r="F1484" s="48">
        <v>0.99236111111111114</v>
      </c>
      <c r="G1484" s="49">
        <f t="shared" si="23"/>
        <v>1.388888888888884E-3</v>
      </c>
      <c r="H1484" s="50">
        <v>41739</v>
      </c>
      <c r="I1484" s="51" t="s">
        <v>550</v>
      </c>
      <c r="J1484" s="51" t="s">
        <v>535</v>
      </c>
      <c r="K1484" s="51">
        <f>VLOOKUP(J1484,'Validacion reclamo de equipaje'!L:M,2,0)</f>
        <v>50</v>
      </c>
      <c r="L1484" s="51" t="str">
        <f>VLOOKUP(I1484,'Validacion reclamo de equipaje'!H:I,2,0)</f>
        <v>Nacional</v>
      </c>
      <c r="M1484" s="51" t="s">
        <v>523</v>
      </c>
    </row>
    <row r="1485" spans="1:13" x14ac:dyDescent="0.25">
      <c r="A1485">
        <v>2127</v>
      </c>
      <c r="B1485" s="47" t="str">
        <f>VLOOKUP(Tabla6[[#This Row],['# Vuelo]],'Validacion reclamo de equipaje'!P:Q,2,0)</f>
        <v>MEXICO AEREO</v>
      </c>
      <c r="C1485" s="52">
        <v>0.91249999999999998</v>
      </c>
      <c r="D1485" s="52">
        <v>0.92361111111111116</v>
      </c>
      <c r="E1485" s="53">
        <f>'Reclamo de equipaje rediseñado'!$D1485-'Reclamo de equipaje rediseñado'!$C1485</f>
        <v>1.1111111111111183E-2</v>
      </c>
      <c r="F1485" s="52">
        <v>0.92569444444444438</v>
      </c>
      <c r="G1485" s="53">
        <f t="shared" si="23"/>
        <v>2.0833333333332149E-3</v>
      </c>
      <c r="H1485" s="54">
        <v>41740</v>
      </c>
      <c r="I1485" s="55" t="s">
        <v>550</v>
      </c>
      <c r="J1485" s="55" t="s">
        <v>535</v>
      </c>
      <c r="K1485" s="55">
        <f>VLOOKUP(J1485,'Validacion reclamo de equipaje'!L:M,2,0)</f>
        <v>50</v>
      </c>
      <c r="L1485" s="55" t="str">
        <f>VLOOKUP(I1485,'Validacion reclamo de equipaje'!H:I,2,0)</f>
        <v>Nacional</v>
      </c>
      <c r="M1485" s="55" t="s">
        <v>523</v>
      </c>
    </row>
    <row r="1486" spans="1:13" x14ac:dyDescent="0.25">
      <c r="A1486">
        <v>2127</v>
      </c>
      <c r="B1486" s="47" t="str">
        <f>VLOOKUP(Tabla6[[#This Row],['# Vuelo]],'Validacion reclamo de equipaje'!P:Q,2,0)</f>
        <v>MEXICO AEREO</v>
      </c>
      <c r="C1486" s="48">
        <v>0.90763888888888899</v>
      </c>
      <c r="D1486" s="48">
        <v>0.91388888888888886</v>
      </c>
      <c r="E1486" s="49">
        <f>'Reclamo de equipaje rediseñado'!$D1486-'Reclamo de equipaje rediseñado'!$C1486</f>
        <v>6.2499999999998668E-3</v>
      </c>
      <c r="F1486" s="48">
        <v>0.91805555555555562</v>
      </c>
      <c r="G1486" s="49">
        <f t="shared" si="23"/>
        <v>4.1666666666667629E-3</v>
      </c>
      <c r="H1486" s="50">
        <v>41743</v>
      </c>
      <c r="I1486" s="51" t="s">
        <v>550</v>
      </c>
      <c r="J1486" s="51" t="s">
        <v>535</v>
      </c>
      <c r="K1486" s="51">
        <f>VLOOKUP(J1486,'Validacion reclamo de equipaje'!L:M,2,0)</f>
        <v>50</v>
      </c>
      <c r="L1486" s="51" t="str">
        <f>VLOOKUP(I1486,'Validacion reclamo de equipaje'!H:I,2,0)</f>
        <v>Nacional</v>
      </c>
      <c r="M1486" s="51" t="s">
        <v>523</v>
      </c>
    </row>
    <row r="1487" spans="1:13" x14ac:dyDescent="0.25">
      <c r="A1487">
        <v>2127</v>
      </c>
      <c r="B1487" s="47" t="str">
        <f>VLOOKUP(Tabla6[[#This Row],['# Vuelo]],'Validacion reclamo de equipaje'!P:Q,2,0)</f>
        <v>MEXICO AEREO</v>
      </c>
      <c r="C1487" s="52">
        <v>0.94236111111111109</v>
      </c>
      <c r="D1487" s="52">
        <v>0.94444444444444453</v>
      </c>
      <c r="E1487" s="53">
        <f>'Reclamo de equipaje rediseñado'!$D1487-'Reclamo de equipaje rediseñado'!$C1487</f>
        <v>2.083333333333437E-3</v>
      </c>
      <c r="F1487" s="52">
        <v>0.97638888888888886</v>
      </c>
      <c r="G1487" s="53">
        <f t="shared" si="23"/>
        <v>3.1944444444444331E-2</v>
      </c>
      <c r="H1487" s="54">
        <v>41745</v>
      </c>
      <c r="I1487" s="55" t="s">
        <v>550</v>
      </c>
      <c r="J1487" s="55" t="s">
        <v>535</v>
      </c>
      <c r="K1487" s="55">
        <f>VLOOKUP(J1487,'Validacion reclamo de equipaje'!L:M,2,0)</f>
        <v>50</v>
      </c>
      <c r="L1487" s="55" t="str">
        <f>VLOOKUP(I1487,'Validacion reclamo de equipaje'!H:I,2,0)</f>
        <v>Nacional</v>
      </c>
      <c r="M1487" s="55" t="s">
        <v>523</v>
      </c>
    </row>
    <row r="1488" spans="1:13" x14ac:dyDescent="0.25">
      <c r="A1488">
        <v>2127</v>
      </c>
      <c r="B1488" s="47" t="str">
        <f>VLOOKUP(Tabla6[[#This Row],['# Vuelo]],'Validacion reclamo de equipaje'!P:Q,2,0)</f>
        <v>MEXICO AEREO</v>
      </c>
      <c r="C1488" s="48">
        <v>0.89236111111111116</v>
      </c>
      <c r="D1488" s="48">
        <v>0.90277777777777779</v>
      </c>
      <c r="E1488" s="49">
        <f>'Reclamo de equipaje rediseñado'!$D1488-'Reclamo de equipaje rediseñado'!$C1488</f>
        <v>1.041666666666663E-2</v>
      </c>
      <c r="F1488" s="48">
        <v>0.90694444444444444</v>
      </c>
      <c r="G1488" s="49">
        <f t="shared" si="23"/>
        <v>4.1666666666666519E-3</v>
      </c>
      <c r="H1488" s="50">
        <v>41744</v>
      </c>
      <c r="I1488" s="51" t="s">
        <v>550</v>
      </c>
      <c r="J1488" s="51" t="s">
        <v>535</v>
      </c>
      <c r="K1488" s="51">
        <f>VLOOKUP(J1488,'Validacion reclamo de equipaje'!L:M,2,0)</f>
        <v>50</v>
      </c>
      <c r="L1488" s="51" t="str">
        <f>VLOOKUP(I1488,'Validacion reclamo de equipaje'!H:I,2,0)</f>
        <v>Nacional</v>
      </c>
      <c r="M1488" s="51" t="s">
        <v>523</v>
      </c>
    </row>
    <row r="1489" spans="1:13" x14ac:dyDescent="0.25">
      <c r="A1489">
        <v>2127</v>
      </c>
      <c r="B1489" s="47" t="str">
        <f>VLOOKUP(Tabla6[[#This Row],['# Vuelo]],'Validacion reclamo de equipaje'!P:Q,2,0)</f>
        <v>MEXICO AEREO</v>
      </c>
      <c r="C1489" s="52">
        <v>0.91805555555555562</v>
      </c>
      <c r="D1489" s="52">
        <v>0.92847222222222225</v>
      </c>
      <c r="E1489" s="53">
        <f>'Reclamo de equipaje rediseñado'!$D1489-'Reclamo de equipaje rediseñado'!$C1489</f>
        <v>1.041666666666663E-2</v>
      </c>
      <c r="F1489" s="52">
        <v>0.93194444444444446</v>
      </c>
      <c r="G1489" s="53">
        <f t="shared" si="23"/>
        <v>3.4722222222222099E-3</v>
      </c>
      <c r="H1489" s="54">
        <v>41746</v>
      </c>
      <c r="I1489" s="55" t="s">
        <v>550</v>
      </c>
      <c r="J1489" s="55" t="s">
        <v>535</v>
      </c>
      <c r="K1489" s="55">
        <f>VLOOKUP(J1489,'Validacion reclamo de equipaje'!L:M,2,0)</f>
        <v>50</v>
      </c>
      <c r="L1489" s="55" t="str">
        <f>VLOOKUP(I1489,'Validacion reclamo de equipaje'!H:I,2,0)</f>
        <v>Nacional</v>
      </c>
      <c r="M1489" s="55" t="s">
        <v>523</v>
      </c>
    </row>
    <row r="1490" spans="1:13" x14ac:dyDescent="0.25">
      <c r="A1490">
        <v>2127</v>
      </c>
      <c r="B1490" s="47" t="str">
        <f>VLOOKUP(Tabla6[[#This Row],['# Vuelo]],'Validacion reclamo de equipaje'!P:Q,2,0)</f>
        <v>MEXICO AEREO</v>
      </c>
      <c r="C1490" s="48">
        <v>0.91666666666666663</v>
      </c>
      <c r="D1490" s="48">
        <v>0.9243055555555556</v>
      </c>
      <c r="E1490" s="49">
        <f>'Reclamo de equipaje rediseñado'!$D1490-'Reclamo de equipaje rediseñado'!$C1490</f>
        <v>7.6388888888889728E-3</v>
      </c>
      <c r="F1490" s="48">
        <v>0.93055555555555547</v>
      </c>
      <c r="G1490" s="49">
        <f t="shared" si="23"/>
        <v>6.2499999999998668E-3</v>
      </c>
      <c r="H1490" s="50">
        <v>41749</v>
      </c>
      <c r="I1490" s="51" t="s">
        <v>550</v>
      </c>
      <c r="J1490" s="51" t="s">
        <v>535</v>
      </c>
      <c r="K1490" s="51">
        <f>VLOOKUP(J1490,'Validacion reclamo de equipaje'!L:M,2,0)</f>
        <v>50</v>
      </c>
      <c r="L1490" s="51" t="str">
        <f>VLOOKUP(I1490,'Validacion reclamo de equipaje'!H:I,2,0)</f>
        <v>Nacional</v>
      </c>
      <c r="M1490" s="51" t="s">
        <v>523</v>
      </c>
    </row>
    <row r="1491" spans="1:13" x14ac:dyDescent="0.25">
      <c r="A1491">
        <v>2127</v>
      </c>
      <c r="B1491" s="47" t="str">
        <f>VLOOKUP(Tabla6[[#This Row],['# Vuelo]],'Validacion reclamo de equipaje'!P:Q,2,0)</f>
        <v>MEXICO AEREO</v>
      </c>
      <c r="C1491" s="52">
        <v>0.9194444444444444</v>
      </c>
      <c r="D1491" s="52">
        <v>0.92986111111111114</v>
      </c>
      <c r="E1491" s="53">
        <f>'Reclamo de equipaje rediseñado'!$D1491-'Reclamo de equipaje rediseñado'!$C1491</f>
        <v>1.0416666666666741E-2</v>
      </c>
      <c r="F1491" s="52">
        <v>0.93125000000000002</v>
      </c>
      <c r="G1491" s="53">
        <f t="shared" si="23"/>
        <v>1.388888888888884E-3</v>
      </c>
      <c r="H1491" s="54">
        <v>41749</v>
      </c>
      <c r="I1491" s="55" t="s">
        <v>550</v>
      </c>
      <c r="J1491" s="55" t="s">
        <v>535</v>
      </c>
      <c r="K1491" s="55">
        <f>VLOOKUP(J1491,'Validacion reclamo de equipaje'!L:M,2,0)</f>
        <v>50</v>
      </c>
      <c r="L1491" s="55" t="str">
        <f>VLOOKUP(I1491,'Validacion reclamo de equipaje'!H:I,2,0)</f>
        <v>Nacional</v>
      </c>
      <c r="M1491" s="55" t="s">
        <v>523</v>
      </c>
    </row>
    <row r="1492" spans="1:13" x14ac:dyDescent="0.25">
      <c r="A1492">
        <v>2127</v>
      </c>
      <c r="B1492" s="47" t="str">
        <f>VLOOKUP(Tabla6[[#This Row],['# Vuelo]],'Validacion reclamo de equipaje'!P:Q,2,0)</f>
        <v>MEXICO AEREO</v>
      </c>
      <c r="C1492" s="48">
        <v>0.91319444444444453</v>
      </c>
      <c r="D1492" s="48">
        <v>0.92083333333333339</v>
      </c>
      <c r="E1492" s="49">
        <f>'Reclamo de equipaje rediseñado'!$D1492-'Reclamo de equipaje rediseñado'!$C1492</f>
        <v>7.6388888888888618E-3</v>
      </c>
      <c r="F1492" s="48">
        <v>0.9243055555555556</v>
      </c>
      <c r="G1492" s="49">
        <f t="shared" si="23"/>
        <v>3.4722222222222099E-3</v>
      </c>
      <c r="H1492" s="50">
        <v>41751</v>
      </c>
      <c r="I1492" s="51" t="s">
        <v>550</v>
      </c>
      <c r="J1492" s="51" t="s">
        <v>535</v>
      </c>
      <c r="K1492" s="51">
        <f>VLOOKUP(J1492,'Validacion reclamo de equipaje'!L:M,2,0)</f>
        <v>50</v>
      </c>
      <c r="L1492" s="51" t="str">
        <f>VLOOKUP(I1492,'Validacion reclamo de equipaje'!H:I,2,0)</f>
        <v>Nacional</v>
      </c>
      <c r="M1492" s="51" t="s">
        <v>523</v>
      </c>
    </row>
    <row r="1493" spans="1:13" x14ac:dyDescent="0.25">
      <c r="A1493">
        <v>2127</v>
      </c>
      <c r="B1493" s="47" t="str">
        <f>VLOOKUP(Tabla6[[#This Row],['# Vuelo]],'Validacion reclamo de equipaje'!P:Q,2,0)</f>
        <v>MEXICO AEREO</v>
      </c>
      <c r="C1493" s="52">
        <v>0.84930555555555554</v>
      </c>
      <c r="D1493" s="52">
        <v>0.91319444444444453</v>
      </c>
      <c r="E1493" s="53">
        <f>'Reclamo de equipaje rediseñado'!$D1493-'Reclamo de equipaje rediseñado'!$C1493</f>
        <v>6.3888888888888995E-2</v>
      </c>
      <c r="F1493" s="52">
        <v>0.92083333333333339</v>
      </c>
      <c r="G1493" s="53">
        <f t="shared" si="23"/>
        <v>7.6388888888888618E-3</v>
      </c>
      <c r="H1493" s="54">
        <v>41751</v>
      </c>
      <c r="I1493" s="55" t="s">
        <v>550</v>
      </c>
      <c r="J1493" s="55" t="s">
        <v>535</v>
      </c>
      <c r="K1493" s="55">
        <f>VLOOKUP(J1493,'Validacion reclamo de equipaje'!L:M,2,0)</f>
        <v>50</v>
      </c>
      <c r="L1493" s="55" t="str">
        <f>VLOOKUP(I1493,'Validacion reclamo de equipaje'!H:I,2,0)</f>
        <v>Nacional</v>
      </c>
      <c r="M1493" s="55" t="s">
        <v>523</v>
      </c>
    </row>
    <row r="1494" spans="1:13" x14ac:dyDescent="0.25">
      <c r="A1494">
        <v>2127</v>
      </c>
      <c r="B1494" s="47" t="str">
        <f>VLOOKUP(Tabla6[[#This Row],['# Vuelo]],'Validacion reclamo de equipaje'!P:Q,2,0)</f>
        <v>MEXICO AEREO</v>
      </c>
      <c r="C1494" s="48">
        <v>0.91666666666666663</v>
      </c>
      <c r="D1494" s="48">
        <v>0.9194444444444444</v>
      </c>
      <c r="E1494" s="49">
        <f>'Reclamo de equipaje rediseñado'!$D1494-'Reclamo de equipaje rediseñado'!$C1494</f>
        <v>2.7777777777777679E-3</v>
      </c>
      <c r="F1494" s="48">
        <v>0.92361111111111116</v>
      </c>
      <c r="G1494" s="49">
        <f t="shared" si="23"/>
        <v>4.1666666666667629E-3</v>
      </c>
      <c r="H1494" s="50">
        <v>41753</v>
      </c>
      <c r="I1494" s="51" t="s">
        <v>550</v>
      </c>
      <c r="J1494" s="51" t="s">
        <v>535</v>
      </c>
      <c r="K1494" s="51">
        <f>VLOOKUP(J1494,'Validacion reclamo de equipaje'!L:M,2,0)</f>
        <v>50</v>
      </c>
      <c r="L1494" s="51" t="str">
        <f>VLOOKUP(I1494,'Validacion reclamo de equipaje'!H:I,2,0)</f>
        <v>Nacional</v>
      </c>
      <c r="M1494" s="51" t="s">
        <v>523</v>
      </c>
    </row>
    <row r="1495" spans="1:13" x14ac:dyDescent="0.25">
      <c r="A1495">
        <v>2127</v>
      </c>
      <c r="B1495" s="47" t="str">
        <f>VLOOKUP(Tabla6[[#This Row],['# Vuelo]],'Validacion reclamo de equipaje'!P:Q,2,0)</f>
        <v>MEXICO AEREO</v>
      </c>
      <c r="C1495" s="52">
        <v>0.91180555555555554</v>
      </c>
      <c r="D1495" s="52">
        <v>0.91805555555555562</v>
      </c>
      <c r="E1495" s="53">
        <f>'Reclamo de equipaje rediseñado'!$D1495-'Reclamo de equipaje rediseñado'!$C1495</f>
        <v>6.2500000000000888E-3</v>
      </c>
      <c r="F1495" s="52">
        <v>0.92152777777777783</v>
      </c>
      <c r="G1495" s="53">
        <f t="shared" si="23"/>
        <v>3.4722222222222099E-3</v>
      </c>
      <c r="H1495" s="54">
        <v>41755</v>
      </c>
      <c r="I1495" s="55" t="s">
        <v>550</v>
      </c>
      <c r="J1495" s="55" t="s">
        <v>535</v>
      </c>
      <c r="K1495" s="55">
        <f>VLOOKUP(J1495,'Validacion reclamo de equipaje'!L:M,2,0)</f>
        <v>50</v>
      </c>
      <c r="L1495" s="55" t="str">
        <f>VLOOKUP(I1495,'Validacion reclamo de equipaje'!H:I,2,0)</f>
        <v>Nacional</v>
      </c>
      <c r="M1495" s="55" t="s">
        <v>523</v>
      </c>
    </row>
    <row r="1496" spans="1:13" x14ac:dyDescent="0.25">
      <c r="A1496">
        <v>2127</v>
      </c>
      <c r="B1496" s="47" t="str">
        <f>VLOOKUP(Tabla6[[#This Row],['# Vuelo]],'Validacion reclamo de equipaje'!P:Q,2,0)</f>
        <v>MEXICO AEREO</v>
      </c>
      <c r="C1496" s="48">
        <v>0.98541666666666661</v>
      </c>
      <c r="D1496" s="48">
        <v>0.98888888888888893</v>
      </c>
      <c r="E1496" s="49">
        <f>'Reclamo de equipaje rediseñado'!$D1496-'Reclamo de equipaje rediseñado'!$C1496</f>
        <v>3.4722222222223209E-3</v>
      </c>
      <c r="F1496" s="48">
        <v>0.99097222222222225</v>
      </c>
      <c r="G1496" s="49">
        <f t="shared" si="23"/>
        <v>2.0833333333333259E-3</v>
      </c>
      <c r="H1496" s="50">
        <v>41757</v>
      </c>
      <c r="I1496" s="51" t="s">
        <v>550</v>
      </c>
      <c r="J1496" s="51" t="s">
        <v>535</v>
      </c>
      <c r="K1496" s="51">
        <f>VLOOKUP(J1496,'Validacion reclamo de equipaje'!L:M,2,0)</f>
        <v>50</v>
      </c>
      <c r="L1496" s="51" t="str">
        <f>VLOOKUP(I1496,'Validacion reclamo de equipaje'!H:I,2,0)</f>
        <v>Nacional</v>
      </c>
      <c r="M1496" s="51" t="s">
        <v>523</v>
      </c>
    </row>
    <row r="1497" spans="1:13" x14ac:dyDescent="0.25">
      <c r="A1497">
        <v>2127</v>
      </c>
      <c r="B1497" s="47" t="str">
        <f>VLOOKUP(Tabla6[[#This Row],['# Vuelo]],'Validacion reclamo de equipaje'!P:Q,2,0)</f>
        <v>MEXICO AEREO</v>
      </c>
      <c r="C1497" s="52">
        <v>0.95138888888888884</v>
      </c>
      <c r="D1497" s="52">
        <v>0.9604166666666667</v>
      </c>
      <c r="E1497" s="53">
        <f>'Reclamo de equipaje rediseñado'!$D1497-'Reclamo de equipaje rediseñado'!$C1497</f>
        <v>9.0277777777778567E-3</v>
      </c>
      <c r="F1497" s="52">
        <v>0.96250000000000002</v>
      </c>
      <c r="G1497" s="53">
        <f t="shared" si="23"/>
        <v>2.0833333333333259E-3</v>
      </c>
      <c r="H1497" s="54">
        <v>41759</v>
      </c>
      <c r="I1497" s="55" t="s">
        <v>550</v>
      </c>
      <c r="J1497" s="55" t="s">
        <v>535</v>
      </c>
      <c r="K1497" s="55">
        <f>VLOOKUP(J1497,'Validacion reclamo de equipaje'!L:M,2,0)</f>
        <v>50</v>
      </c>
      <c r="L1497" s="55" t="str">
        <f>VLOOKUP(I1497,'Validacion reclamo de equipaje'!H:I,2,0)</f>
        <v>Nacional</v>
      </c>
      <c r="M1497" s="55" t="s">
        <v>523</v>
      </c>
    </row>
    <row r="1498" spans="1:13" x14ac:dyDescent="0.25">
      <c r="A1498">
        <v>2127</v>
      </c>
      <c r="B1498" s="47" t="str">
        <f>VLOOKUP(Tabla6[[#This Row],['# Vuelo]],'Validacion reclamo de equipaje'!P:Q,2,0)</f>
        <v>MEXICO AEREO</v>
      </c>
      <c r="C1498" s="48">
        <v>0.97777777777777775</v>
      </c>
      <c r="D1498" s="48">
        <v>0.98819444444444438</v>
      </c>
      <c r="E1498" s="49">
        <f>'Reclamo de equipaje rediseñado'!$D1498-'Reclamo de equipaje rediseñado'!$C1498</f>
        <v>1.041666666666663E-2</v>
      </c>
      <c r="F1498" s="48">
        <v>0.99097222222222225</v>
      </c>
      <c r="G1498" s="49">
        <f t="shared" si="23"/>
        <v>2.7777777777778789E-3</v>
      </c>
      <c r="H1498" s="50">
        <v>41759</v>
      </c>
      <c r="I1498" s="51" t="s">
        <v>550</v>
      </c>
      <c r="J1498" s="51" t="s">
        <v>535</v>
      </c>
      <c r="K1498" s="51">
        <f>VLOOKUP(J1498,'Validacion reclamo de equipaje'!L:M,2,0)</f>
        <v>50</v>
      </c>
      <c r="L1498" s="51" t="str">
        <f>VLOOKUP(I1498,'Validacion reclamo de equipaje'!H:I,2,0)</f>
        <v>Nacional</v>
      </c>
      <c r="M1498" s="51" t="s">
        <v>523</v>
      </c>
    </row>
    <row r="1499" spans="1:13" x14ac:dyDescent="0.25">
      <c r="A1499">
        <v>2125</v>
      </c>
      <c r="B1499" s="47" t="str">
        <f>VLOOKUP(Tabla6[[#This Row],['# Vuelo]],'Validacion reclamo de equipaje'!P:Q,2,0)</f>
        <v>MEXICO AEREO</v>
      </c>
      <c r="C1499" s="52">
        <v>0.41944444444444445</v>
      </c>
      <c r="D1499" s="52">
        <v>0.4284722222222222</v>
      </c>
      <c r="E1499" s="53">
        <f>'Reclamo de equipaje rediseñado'!$D1499-'Reclamo de equipaje rediseñado'!$C1499</f>
        <v>9.0277777777777457E-3</v>
      </c>
      <c r="F1499" s="52">
        <v>0.43333333333333335</v>
      </c>
      <c r="G1499" s="53">
        <f t="shared" si="23"/>
        <v>4.8611111111111494E-3</v>
      </c>
      <c r="H1499" s="54">
        <v>41737</v>
      </c>
      <c r="I1499" s="55" t="s">
        <v>550</v>
      </c>
      <c r="J1499" s="55" t="s">
        <v>535</v>
      </c>
      <c r="K1499" s="55">
        <f>VLOOKUP(J1499,'Validacion reclamo de equipaje'!L:M,2,0)</f>
        <v>50</v>
      </c>
      <c r="L1499" s="55" t="str">
        <f>VLOOKUP(I1499,'Validacion reclamo de equipaje'!H:I,2,0)</f>
        <v>Nacional</v>
      </c>
      <c r="M1499" s="55" t="s">
        <v>523</v>
      </c>
    </row>
    <row r="1500" spans="1:13" x14ac:dyDescent="0.25">
      <c r="A1500">
        <v>2125</v>
      </c>
      <c r="B1500" s="47" t="str">
        <f>VLOOKUP(Tabla6[[#This Row],['# Vuelo]],'Validacion reclamo de equipaje'!P:Q,2,0)</f>
        <v>MEXICO AEREO</v>
      </c>
      <c r="C1500" s="48">
        <v>0.42986111111111108</v>
      </c>
      <c r="D1500" s="48">
        <v>0.43194444444444446</v>
      </c>
      <c r="E1500" s="49">
        <f>'Reclamo de equipaje rediseñado'!$D1500-'Reclamo de equipaje rediseñado'!$C1500</f>
        <v>2.0833333333333814E-3</v>
      </c>
      <c r="F1500" s="48">
        <v>0.43472222222222223</v>
      </c>
      <c r="G1500" s="49">
        <f t="shared" si="23"/>
        <v>2.7777777777777679E-3</v>
      </c>
      <c r="H1500" s="50">
        <v>41739</v>
      </c>
      <c r="I1500" s="51" t="s">
        <v>550</v>
      </c>
      <c r="J1500" s="51" t="s">
        <v>535</v>
      </c>
      <c r="K1500" s="51">
        <f>VLOOKUP(J1500,'Validacion reclamo de equipaje'!L:M,2,0)</f>
        <v>50</v>
      </c>
      <c r="L1500" s="51" t="str">
        <f>VLOOKUP(I1500,'Validacion reclamo de equipaje'!H:I,2,0)</f>
        <v>Nacional</v>
      </c>
      <c r="M1500" s="51" t="s">
        <v>523</v>
      </c>
    </row>
    <row r="1501" spans="1:13" x14ac:dyDescent="0.25">
      <c r="A1501">
        <v>2125</v>
      </c>
      <c r="B1501" s="47" t="str">
        <f>VLOOKUP(Tabla6[[#This Row],['# Vuelo]],'Validacion reclamo de equipaje'!P:Q,2,0)</f>
        <v>MEXICO AEREO</v>
      </c>
      <c r="C1501" s="52">
        <v>0.4055555555555555</v>
      </c>
      <c r="D1501" s="52">
        <v>0.41319444444444442</v>
      </c>
      <c r="E1501" s="53">
        <f>'Reclamo de equipaje rediseñado'!$D1501-'Reclamo de equipaje rediseñado'!$C1501</f>
        <v>7.6388888888889173E-3</v>
      </c>
      <c r="F1501" s="52">
        <v>0.42569444444444443</v>
      </c>
      <c r="G1501" s="53">
        <f t="shared" si="23"/>
        <v>1.2500000000000011E-2</v>
      </c>
      <c r="H1501" s="54">
        <v>41745</v>
      </c>
      <c r="I1501" s="55" t="s">
        <v>550</v>
      </c>
      <c r="J1501" s="55" t="s">
        <v>535</v>
      </c>
      <c r="K1501" s="55">
        <f>VLOOKUP(J1501,'Validacion reclamo de equipaje'!L:M,2,0)</f>
        <v>50</v>
      </c>
      <c r="L1501" s="55" t="str">
        <f>VLOOKUP(I1501,'Validacion reclamo de equipaje'!H:I,2,0)</f>
        <v>Nacional</v>
      </c>
      <c r="M1501" s="55" t="s">
        <v>523</v>
      </c>
    </row>
    <row r="1502" spans="1:13" x14ac:dyDescent="0.25">
      <c r="A1502">
        <v>2125</v>
      </c>
      <c r="B1502" s="47" t="str">
        <f>VLOOKUP(Tabla6[[#This Row],['# Vuelo]],'Validacion reclamo de equipaje'!P:Q,2,0)</f>
        <v>MEXICO AEREO</v>
      </c>
      <c r="C1502" s="48">
        <v>0.41180555555555554</v>
      </c>
      <c r="D1502" s="48">
        <v>0.44444444444444442</v>
      </c>
      <c r="E1502" s="49">
        <f>'Reclamo de equipaje rediseñado'!$D1502-'Reclamo de equipaje rediseñado'!$C1502</f>
        <v>3.2638888888888884E-2</v>
      </c>
      <c r="F1502" s="48">
        <v>0.45</v>
      </c>
      <c r="G1502" s="49">
        <f t="shared" si="23"/>
        <v>5.5555555555555913E-3</v>
      </c>
      <c r="H1502" s="50">
        <v>41746</v>
      </c>
      <c r="I1502" s="51" t="s">
        <v>550</v>
      </c>
      <c r="J1502" s="51" t="s">
        <v>535</v>
      </c>
      <c r="K1502" s="51">
        <f>VLOOKUP(J1502,'Validacion reclamo de equipaje'!L:M,2,0)</f>
        <v>50</v>
      </c>
      <c r="L1502" s="51" t="str">
        <f>VLOOKUP(I1502,'Validacion reclamo de equipaje'!H:I,2,0)</f>
        <v>Nacional</v>
      </c>
      <c r="M1502" s="51" t="s">
        <v>523</v>
      </c>
    </row>
    <row r="1503" spans="1:13" x14ac:dyDescent="0.25">
      <c r="A1503">
        <v>2125</v>
      </c>
      <c r="B1503" s="47" t="str">
        <f>VLOOKUP(Tabla6[[#This Row],['# Vuelo]],'Validacion reclamo de equipaje'!P:Q,2,0)</f>
        <v>MEXICO AEREO</v>
      </c>
      <c r="C1503" s="52">
        <v>0.41875000000000001</v>
      </c>
      <c r="D1503" s="52">
        <v>0.42638888888888887</v>
      </c>
      <c r="E1503" s="53">
        <f>'Reclamo de equipaje rediseñado'!$D1503-'Reclamo de equipaje rediseñado'!$C1503</f>
        <v>7.6388888888888618E-3</v>
      </c>
      <c r="F1503" s="52">
        <v>0.43055555555555558</v>
      </c>
      <c r="G1503" s="53">
        <f t="shared" si="23"/>
        <v>4.1666666666667074E-3</v>
      </c>
      <c r="H1503" s="54">
        <v>41747</v>
      </c>
      <c r="I1503" s="55" t="s">
        <v>550</v>
      </c>
      <c r="J1503" s="55" t="s">
        <v>535</v>
      </c>
      <c r="K1503" s="55">
        <f>VLOOKUP(J1503,'Validacion reclamo de equipaje'!L:M,2,0)</f>
        <v>50</v>
      </c>
      <c r="L1503" s="55" t="str">
        <f>VLOOKUP(I1503,'Validacion reclamo de equipaje'!H:I,2,0)</f>
        <v>Nacional</v>
      </c>
      <c r="M1503" s="55" t="s">
        <v>523</v>
      </c>
    </row>
    <row r="1504" spans="1:13" x14ac:dyDescent="0.25">
      <c r="A1504">
        <v>2125</v>
      </c>
      <c r="B1504" s="47" t="str">
        <f>VLOOKUP(Tabla6[[#This Row],['# Vuelo]],'Validacion reclamo de equipaje'!P:Q,2,0)</f>
        <v>MEXICO AEREO</v>
      </c>
      <c r="C1504" s="48">
        <v>0.42291666666666666</v>
      </c>
      <c r="D1504" s="48">
        <v>0.4291666666666667</v>
      </c>
      <c r="E1504" s="49">
        <f>'Reclamo de equipaje rediseñado'!$D1504-'Reclamo de equipaje rediseñado'!$C1504</f>
        <v>6.2500000000000333E-3</v>
      </c>
      <c r="F1504" s="48">
        <v>0.43472222222222223</v>
      </c>
      <c r="G1504" s="49">
        <f t="shared" si="23"/>
        <v>5.5555555555555358E-3</v>
      </c>
      <c r="H1504" s="50">
        <v>41748</v>
      </c>
      <c r="I1504" s="51" t="s">
        <v>550</v>
      </c>
      <c r="J1504" s="51" t="s">
        <v>535</v>
      </c>
      <c r="K1504" s="51">
        <f>VLOOKUP(J1504,'Validacion reclamo de equipaje'!L:M,2,0)</f>
        <v>50</v>
      </c>
      <c r="L1504" s="51" t="str">
        <f>VLOOKUP(I1504,'Validacion reclamo de equipaje'!H:I,2,0)</f>
        <v>Nacional</v>
      </c>
      <c r="M1504" s="51" t="s">
        <v>523</v>
      </c>
    </row>
    <row r="1505" spans="1:13" x14ac:dyDescent="0.25">
      <c r="A1505">
        <v>2125</v>
      </c>
      <c r="B1505" s="47" t="str">
        <f>VLOOKUP(Tabla6[[#This Row],['# Vuelo]],'Validacion reclamo de equipaje'!P:Q,2,0)</f>
        <v>MEXICO AEREO</v>
      </c>
      <c r="C1505" s="52">
        <v>0.42638888888888887</v>
      </c>
      <c r="D1505" s="52">
        <v>0.42708333333333331</v>
      </c>
      <c r="E1505" s="53">
        <f>'Reclamo de equipaje rediseñado'!$D1505-'Reclamo de equipaje rediseñado'!$C1505</f>
        <v>6.9444444444444198E-4</v>
      </c>
      <c r="F1505" s="52">
        <v>0.42986111111111108</v>
      </c>
      <c r="G1505" s="53">
        <f t="shared" si="23"/>
        <v>2.7777777777777679E-3</v>
      </c>
      <c r="H1505" s="54">
        <v>41749</v>
      </c>
      <c r="I1505" s="55" t="s">
        <v>550</v>
      </c>
      <c r="J1505" s="55" t="s">
        <v>535</v>
      </c>
      <c r="K1505" s="55">
        <f>VLOOKUP(J1505,'Validacion reclamo de equipaje'!L:M,2,0)</f>
        <v>50</v>
      </c>
      <c r="L1505" s="55" t="str">
        <f>VLOOKUP(I1505,'Validacion reclamo de equipaje'!H:I,2,0)</f>
        <v>Nacional</v>
      </c>
      <c r="M1505" s="55" t="s">
        <v>523</v>
      </c>
    </row>
    <row r="1506" spans="1:13" x14ac:dyDescent="0.25">
      <c r="A1506">
        <v>2125</v>
      </c>
      <c r="B1506" s="47" t="str">
        <f>VLOOKUP(Tabla6[[#This Row],['# Vuelo]],'Validacion reclamo de equipaje'!P:Q,2,0)</f>
        <v>MEXICO AEREO</v>
      </c>
      <c r="C1506" s="48">
        <v>0.4236111111111111</v>
      </c>
      <c r="D1506" s="48">
        <v>0.43194444444444446</v>
      </c>
      <c r="E1506" s="49">
        <f>'Reclamo de equipaje rediseñado'!$D1506-'Reclamo de equipaje rediseñado'!$C1506</f>
        <v>8.3333333333333592E-3</v>
      </c>
      <c r="F1506" s="48">
        <v>0.44791666666666669</v>
      </c>
      <c r="G1506" s="49">
        <f t="shared" si="23"/>
        <v>1.5972222222222221E-2</v>
      </c>
      <c r="H1506" s="50">
        <v>41750</v>
      </c>
      <c r="I1506" s="51" t="s">
        <v>550</v>
      </c>
      <c r="J1506" s="51" t="s">
        <v>535</v>
      </c>
      <c r="K1506" s="51">
        <f>VLOOKUP(J1506,'Validacion reclamo de equipaje'!L:M,2,0)</f>
        <v>50</v>
      </c>
      <c r="L1506" s="51" t="str">
        <f>VLOOKUP(I1506,'Validacion reclamo de equipaje'!H:I,2,0)</f>
        <v>Nacional</v>
      </c>
      <c r="M1506" s="51" t="s">
        <v>523</v>
      </c>
    </row>
    <row r="1507" spans="1:13" x14ac:dyDescent="0.25">
      <c r="A1507">
        <v>2125</v>
      </c>
      <c r="B1507" s="47" t="str">
        <f>VLOOKUP(Tabla6[[#This Row],['# Vuelo]],'Validacion reclamo de equipaje'!P:Q,2,0)</f>
        <v>MEXICO AEREO</v>
      </c>
      <c r="C1507" s="52">
        <v>0.42430555555555555</v>
      </c>
      <c r="D1507" s="52">
        <v>0.43333333333333335</v>
      </c>
      <c r="E1507" s="53">
        <f>'Reclamo de equipaje rediseñado'!$D1507-'Reclamo de equipaje rediseñado'!$C1507</f>
        <v>9.0277777777778012E-3</v>
      </c>
      <c r="F1507" s="52">
        <v>0.43541666666666662</v>
      </c>
      <c r="G1507" s="53">
        <f t="shared" si="23"/>
        <v>2.0833333333332704E-3</v>
      </c>
      <c r="H1507" s="54">
        <v>41751</v>
      </c>
      <c r="I1507" s="55" t="s">
        <v>550</v>
      </c>
      <c r="J1507" s="55" t="s">
        <v>535</v>
      </c>
      <c r="K1507" s="55">
        <f>VLOOKUP(J1507,'Validacion reclamo de equipaje'!L:M,2,0)</f>
        <v>50</v>
      </c>
      <c r="L1507" s="55" t="str">
        <f>VLOOKUP(I1507,'Validacion reclamo de equipaje'!H:I,2,0)</f>
        <v>Nacional</v>
      </c>
      <c r="M1507" s="55" t="s">
        <v>523</v>
      </c>
    </row>
    <row r="1508" spans="1:13" x14ac:dyDescent="0.25">
      <c r="A1508">
        <v>2125</v>
      </c>
      <c r="B1508" s="47" t="str">
        <f>VLOOKUP(Tabla6[[#This Row],['# Vuelo]],'Validacion reclamo de equipaje'!P:Q,2,0)</f>
        <v>MEXICO AEREO</v>
      </c>
      <c r="C1508" s="48">
        <v>0.42638888888888887</v>
      </c>
      <c r="D1508" s="48">
        <v>0.43055555555555558</v>
      </c>
      <c r="E1508" s="49">
        <f>'Reclamo de equipaje rediseñado'!$D1508-'Reclamo de equipaje rediseñado'!$C1508</f>
        <v>4.1666666666667074E-3</v>
      </c>
      <c r="F1508" s="48">
        <v>0.4375</v>
      </c>
      <c r="G1508" s="49">
        <f t="shared" si="23"/>
        <v>6.9444444444444198E-3</v>
      </c>
      <c r="H1508" s="50">
        <v>41753</v>
      </c>
      <c r="I1508" s="51" t="s">
        <v>550</v>
      </c>
      <c r="J1508" s="51" t="s">
        <v>535</v>
      </c>
      <c r="K1508" s="51">
        <f>VLOOKUP(J1508,'Validacion reclamo de equipaje'!L:M,2,0)</f>
        <v>50</v>
      </c>
      <c r="L1508" s="51" t="str">
        <f>VLOOKUP(I1508,'Validacion reclamo de equipaje'!H:I,2,0)</f>
        <v>Nacional</v>
      </c>
      <c r="M1508" s="51" t="s">
        <v>523</v>
      </c>
    </row>
    <row r="1509" spans="1:13" x14ac:dyDescent="0.25">
      <c r="A1509">
        <v>2125</v>
      </c>
      <c r="B1509" s="47" t="str">
        <f>VLOOKUP(Tabla6[[#This Row],['# Vuelo]],'Validacion reclamo de equipaje'!P:Q,2,0)</f>
        <v>MEXICO AEREO</v>
      </c>
      <c r="C1509" s="52">
        <v>0.42499999999999999</v>
      </c>
      <c r="D1509" s="52">
        <v>0.43333333333333335</v>
      </c>
      <c r="E1509" s="53">
        <f>'Reclamo de equipaje rediseñado'!$D1509-'Reclamo de equipaje rediseñado'!$C1509</f>
        <v>8.3333333333333592E-3</v>
      </c>
      <c r="F1509" s="52">
        <v>0.43958333333333338</v>
      </c>
      <c r="G1509" s="53">
        <f t="shared" si="23"/>
        <v>6.2500000000000333E-3</v>
      </c>
      <c r="H1509" s="54">
        <v>41754</v>
      </c>
      <c r="I1509" s="55" t="s">
        <v>550</v>
      </c>
      <c r="J1509" s="55" t="s">
        <v>535</v>
      </c>
      <c r="K1509" s="55">
        <f>VLOOKUP(J1509,'Validacion reclamo de equipaje'!L:M,2,0)</f>
        <v>50</v>
      </c>
      <c r="L1509" s="55" t="str">
        <f>VLOOKUP(I1509,'Validacion reclamo de equipaje'!H:I,2,0)</f>
        <v>Nacional</v>
      </c>
      <c r="M1509" s="55" t="s">
        <v>523</v>
      </c>
    </row>
    <row r="1510" spans="1:13" x14ac:dyDescent="0.25">
      <c r="A1510">
        <v>2125</v>
      </c>
      <c r="B1510" s="47" t="str">
        <f>VLOOKUP(Tabla6[[#This Row],['# Vuelo]],'Validacion reclamo de equipaje'!P:Q,2,0)</f>
        <v>MEXICO AEREO</v>
      </c>
      <c r="C1510" s="48">
        <v>0.41944444444444445</v>
      </c>
      <c r="D1510" s="48">
        <v>0.42638888888888887</v>
      </c>
      <c r="E1510" s="49">
        <f>'Reclamo de equipaje rediseñado'!$D1510-'Reclamo de equipaje rediseñado'!$C1510</f>
        <v>6.9444444444444198E-3</v>
      </c>
      <c r="F1510" s="48">
        <v>0.43402777777777773</v>
      </c>
      <c r="G1510" s="49">
        <f t="shared" si="23"/>
        <v>7.6388888888888618E-3</v>
      </c>
      <c r="H1510" s="50">
        <v>41756</v>
      </c>
      <c r="I1510" s="51" t="s">
        <v>550</v>
      </c>
      <c r="J1510" s="51" t="s">
        <v>535</v>
      </c>
      <c r="K1510" s="51">
        <f>VLOOKUP(J1510,'Validacion reclamo de equipaje'!L:M,2,0)</f>
        <v>50</v>
      </c>
      <c r="L1510" s="51" t="str">
        <f>VLOOKUP(I1510,'Validacion reclamo de equipaje'!H:I,2,0)</f>
        <v>Nacional</v>
      </c>
      <c r="M1510" s="51" t="s">
        <v>523</v>
      </c>
    </row>
    <row r="1511" spans="1:13" x14ac:dyDescent="0.25">
      <c r="A1511">
        <v>2125</v>
      </c>
      <c r="B1511" s="47" t="str">
        <f>VLOOKUP(Tabla6[[#This Row],['# Vuelo]],'Validacion reclamo de equipaje'!P:Q,2,0)</f>
        <v>MEXICO AEREO</v>
      </c>
      <c r="C1511" s="52">
        <v>0.42430555555555555</v>
      </c>
      <c r="D1511" s="52">
        <v>0.42777777777777781</v>
      </c>
      <c r="E1511" s="53">
        <f>'Reclamo de equipaje rediseñado'!$D1511-'Reclamo de equipaje rediseñado'!$C1511</f>
        <v>3.4722222222222654E-3</v>
      </c>
      <c r="F1511" s="52">
        <v>0.43402777777777773</v>
      </c>
      <c r="G1511" s="53">
        <f t="shared" si="23"/>
        <v>6.2499999999999223E-3</v>
      </c>
      <c r="H1511" s="54">
        <v>41757</v>
      </c>
      <c r="I1511" s="55" t="s">
        <v>550</v>
      </c>
      <c r="J1511" s="55" t="s">
        <v>535</v>
      </c>
      <c r="K1511" s="55">
        <f>VLOOKUP(J1511,'Validacion reclamo de equipaje'!L:M,2,0)</f>
        <v>50</v>
      </c>
      <c r="L1511" s="55" t="str">
        <f>VLOOKUP(I1511,'Validacion reclamo de equipaje'!H:I,2,0)</f>
        <v>Nacional</v>
      </c>
      <c r="M1511" s="55" t="s">
        <v>523</v>
      </c>
    </row>
    <row r="1512" spans="1:13" x14ac:dyDescent="0.25">
      <c r="A1512">
        <v>2125</v>
      </c>
      <c r="B1512" s="47" t="str">
        <f>VLOOKUP(Tabla6[[#This Row],['# Vuelo]],'Validacion reclamo de equipaje'!P:Q,2,0)</f>
        <v>MEXICO AEREO</v>
      </c>
      <c r="C1512" s="48">
        <v>0.4236111111111111</v>
      </c>
      <c r="D1512" s="48">
        <v>0.43611111111111112</v>
      </c>
      <c r="E1512" s="49">
        <f>'Reclamo de equipaje rediseñado'!$D1512-'Reclamo de equipaje rediseñado'!$C1512</f>
        <v>1.2500000000000011E-2</v>
      </c>
      <c r="F1512" s="48">
        <v>0.4375</v>
      </c>
      <c r="G1512" s="49">
        <f t="shared" si="23"/>
        <v>1.388888888888884E-3</v>
      </c>
      <c r="H1512" s="50">
        <v>41758</v>
      </c>
      <c r="I1512" s="51" t="s">
        <v>550</v>
      </c>
      <c r="J1512" s="51" t="s">
        <v>535</v>
      </c>
      <c r="K1512" s="51">
        <f>VLOOKUP(J1512,'Validacion reclamo de equipaje'!L:M,2,0)</f>
        <v>50</v>
      </c>
      <c r="L1512" s="51" t="str">
        <f>VLOOKUP(I1512,'Validacion reclamo de equipaje'!H:I,2,0)</f>
        <v>Nacional</v>
      </c>
      <c r="M1512" s="51" t="s">
        <v>523</v>
      </c>
    </row>
    <row r="1513" spans="1:13" x14ac:dyDescent="0.25">
      <c r="A1513">
        <v>2125</v>
      </c>
      <c r="B1513" s="47" t="str">
        <f>VLOOKUP(Tabla6[[#This Row],['# Vuelo]],'Validacion reclamo de equipaje'!P:Q,2,0)</f>
        <v>MEXICO AEREO</v>
      </c>
      <c r="C1513" s="52">
        <v>0.4375</v>
      </c>
      <c r="D1513" s="52">
        <v>0.44305555555555554</v>
      </c>
      <c r="E1513" s="53">
        <f>'Reclamo de equipaje rediseñado'!$D1513-'Reclamo de equipaje rediseñado'!$C1513</f>
        <v>5.5555555555555358E-3</v>
      </c>
      <c r="F1513" s="52">
        <v>0.44444444444444442</v>
      </c>
      <c r="G1513" s="53">
        <f t="shared" si="23"/>
        <v>1.388888888888884E-3</v>
      </c>
      <c r="H1513" s="54">
        <v>41759</v>
      </c>
      <c r="I1513" s="55" t="s">
        <v>550</v>
      </c>
      <c r="J1513" s="55" t="s">
        <v>535</v>
      </c>
      <c r="K1513" s="55">
        <f>VLOOKUP(J1513,'Validacion reclamo de equipaje'!L:M,2,0)</f>
        <v>50</v>
      </c>
      <c r="L1513" s="55" t="str">
        <f>VLOOKUP(I1513,'Validacion reclamo de equipaje'!H:I,2,0)</f>
        <v>Nacional</v>
      </c>
      <c r="M1513" s="55" t="s">
        <v>523</v>
      </c>
    </row>
    <row r="1514" spans="1:13" x14ac:dyDescent="0.25">
      <c r="A1514">
        <v>2122</v>
      </c>
      <c r="B1514" s="47" t="str">
        <f>VLOOKUP(Tabla6[[#This Row],['# Vuelo]],'Validacion reclamo de equipaje'!P:Q,2,0)</f>
        <v>MEXICO AEREO</v>
      </c>
      <c r="C1514" s="48">
        <v>0.6479166666666667</v>
      </c>
      <c r="D1514" s="48">
        <v>0.65</v>
      </c>
      <c r="E1514" s="49">
        <f>'Reclamo de equipaje rediseñado'!$D1514-'Reclamo de equipaje rediseñado'!$C1514</f>
        <v>2.0833333333333259E-3</v>
      </c>
      <c r="F1514" s="48">
        <v>0.65486111111111112</v>
      </c>
      <c r="G1514" s="49">
        <f t="shared" si="23"/>
        <v>4.8611111111110938E-3</v>
      </c>
      <c r="H1514" s="50">
        <v>41730</v>
      </c>
      <c r="I1514" s="51" t="s">
        <v>550</v>
      </c>
      <c r="J1514" s="51" t="s">
        <v>535</v>
      </c>
      <c r="K1514" s="51">
        <f>VLOOKUP(J1514,'Validacion reclamo de equipaje'!L:M,2,0)</f>
        <v>50</v>
      </c>
      <c r="L1514" s="51" t="str">
        <f>VLOOKUP(I1514,'Validacion reclamo de equipaje'!H:I,2,0)</f>
        <v>Nacional</v>
      </c>
      <c r="M1514" s="51" t="s">
        <v>523</v>
      </c>
    </row>
    <row r="1515" spans="1:13" x14ac:dyDescent="0.25">
      <c r="A1515">
        <v>2122</v>
      </c>
      <c r="B1515" s="47" t="str">
        <f>VLOOKUP(Tabla6[[#This Row],['# Vuelo]],'Validacion reclamo de equipaje'!P:Q,2,0)</f>
        <v>MEXICO AEREO</v>
      </c>
      <c r="C1515" s="52">
        <v>0.1451388888888889</v>
      </c>
      <c r="D1515" s="52">
        <v>0.15069444444444444</v>
      </c>
      <c r="E1515" s="53">
        <f>'Reclamo de equipaje rediseñado'!$D1515-'Reclamo de equipaje rediseñado'!$C1515</f>
        <v>5.5555555555555358E-3</v>
      </c>
      <c r="F1515" s="52">
        <v>0.17777777777777778</v>
      </c>
      <c r="G1515" s="53">
        <f t="shared" si="23"/>
        <v>2.7083333333333348E-2</v>
      </c>
      <c r="H1515" s="54">
        <v>41732</v>
      </c>
      <c r="I1515" s="55" t="s">
        <v>550</v>
      </c>
      <c r="J1515" s="55" t="s">
        <v>535</v>
      </c>
      <c r="K1515" s="55">
        <f>VLOOKUP(J1515,'Validacion reclamo de equipaje'!L:M,2,0)</f>
        <v>50</v>
      </c>
      <c r="L1515" s="55" t="str">
        <f>VLOOKUP(I1515,'Validacion reclamo de equipaje'!H:I,2,0)</f>
        <v>Nacional</v>
      </c>
      <c r="M1515" s="55" t="s">
        <v>523</v>
      </c>
    </row>
    <row r="1516" spans="1:13" x14ac:dyDescent="0.25">
      <c r="A1516">
        <v>2122</v>
      </c>
      <c r="B1516" s="47" t="str">
        <f>VLOOKUP(Tabla6[[#This Row],['# Vuelo]],'Validacion reclamo de equipaje'!P:Q,2,0)</f>
        <v>MEXICO AEREO</v>
      </c>
      <c r="C1516" s="48">
        <v>0.65902777777777777</v>
      </c>
      <c r="D1516" s="48">
        <v>0.66388888888888886</v>
      </c>
      <c r="E1516" s="49">
        <f>'Reclamo de equipaje rediseñado'!$D1516-'Reclamo de equipaje rediseñado'!$C1516</f>
        <v>4.8611111111110938E-3</v>
      </c>
      <c r="F1516" s="48">
        <v>0.66666666666666663</v>
      </c>
      <c r="G1516" s="49">
        <f t="shared" si="23"/>
        <v>2.7777777777777679E-3</v>
      </c>
      <c r="H1516" s="50">
        <v>41733</v>
      </c>
      <c r="I1516" s="51" t="s">
        <v>550</v>
      </c>
      <c r="J1516" s="51" t="s">
        <v>535</v>
      </c>
      <c r="K1516" s="51">
        <f>VLOOKUP(J1516,'Validacion reclamo de equipaje'!L:M,2,0)</f>
        <v>50</v>
      </c>
      <c r="L1516" s="51" t="str">
        <f>VLOOKUP(I1516,'Validacion reclamo de equipaje'!H:I,2,0)</f>
        <v>Nacional</v>
      </c>
      <c r="M1516" s="51" t="s">
        <v>523</v>
      </c>
    </row>
    <row r="1517" spans="1:13" x14ac:dyDescent="0.25">
      <c r="A1517">
        <v>2122</v>
      </c>
      <c r="B1517" s="47" t="str">
        <f>VLOOKUP(Tabla6[[#This Row],['# Vuelo]],'Validacion reclamo de equipaje'!P:Q,2,0)</f>
        <v>MEXICO AEREO</v>
      </c>
      <c r="C1517" s="52">
        <v>0.66527777777777775</v>
      </c>
      <c r="D1517" s="52">
        <v>0.66666666666666663</v>
      </c>
      <c r="E1517" s="53">
        <f>'Reclamo de equipaje rediseñado'!$D1517-'Reclamo de equipaje rediseñado'!$C1517</f>
        <v>1.388888888888884E-3</v>
      </c>
      <c r="F1517" s="52">
        <v>0.67291666666666661</v>
      </c>
      <c r="G1517" s="53">
        <f t="shared" si="23"/>
        <v>6.2499999999999778E-3</v>
      </c>
      <c r="H1517" s="54">
        <v>41735</v>
      </c>
      <c r="I1517" s="55" t="s">
        <v>550</v>
      </c>
      <c r="J1517" s="55" t="s">
        <v>535</v>
      </c>
      <c r="K1517" s="55">
        <f>VLOOKUP(J1517,'Validacion reclamo de equipaje'!L:M,2,0)</f>
        <v>50</v>
      </c>
      <c r="L1517" s="55" t="str">
        <f>VLOOKUP(I1517,'Validacion reclamo de equipaje'!H:I,2,0)</f>
        <v>Nacional</v>
      </c>
      <c r="M1517" s="55" t="s">
        <v>523</v>
      </c>
    </row>
    <row r="1518" spans="1:13" x14ac:dyDescent="0.25">
      <c r="A1518">
        <v>2121</v>
      </c>
      <c r="B1518" s="47" t="str">
        <f>VLOOKUP(Tabla6[[#This Row],['# Vuelo]],'Validacion reclamo de equipaje'!P:Q,2,0)</f>
        <v>MEXICO AEREO</v>
      </c>
      <c r="C1518" s="48">
        <v>0.86458333333333337</v>
      </c>
      <c r="D1518" s="48">
        <v>0.8666666666666667</v>
      </c>
      <c r="E1518" s="49">
        <f>'Reclamo de equipaje rediseñado'!$D1518-'Reclamo de equipaje rediseñado'!$C1518</f>
        <v>2.0833333333333259E-3</v>
      </c>
      <c r="F1518" s="48">
        <v>0.87222222222222223</v>
      </c>
      <c r="G1518" s="49">
        <f t="shared" si="23"/>
        <v>5.5555555555555358E-3</v>
      </c>
      <c r="H1518" s="50">
        <v>41730</v>
      </c>
      <c r="I1518" s="51" t="s">
        <v>550</v>
      </c>
      <c r="J1518" s="51" t="s">
        <v>535</v>
      </c>
      <c r="K1518" s="51">
        <f>VLOOKUP(J1518,'Validacion reclamo de equipaje'!L:M,2,0)</f>
        <v>50</v>
      </c>
      <c r="L1518" s="51" t="str">
        <f>VLOOKUP(I1518,'Validacion reclamo de equipaje'!H:I,2,0)</f>
        <v>Nacional</v>
      </c>
      <c r="M1518" s="51" t="s">
        <v>523</v>
      </c>
    </row>
    <row r="1519" spans="1:13" x14ac:dyDescent="0.25">
      <c r="A1519">
        <v>2121</v>
      </c>
      <c r="B1519" s="47" t="str">
        <f>VLOOKUP(Tabla6[[#This Row],['# Vuelo]],'Validacion reclamo de equipaje'!P:Q,2,0)</f>
        <v>MEXICO AEREO</v>
      </c>
      <c r="C1519" s="52">
        <v>0.85833333333333339</v>
      </c>
      <c r="D1519" s="52">
        <v>0.86249999999999993</v>
      </c>
      <c r="E1519" s="53">
        <f>'Reclamo de equipaje rediseñado'!$D1519-'Reclamo de equipaje rediseñado'!$C1519</f>
        <v>4.1666666666665408E-3</v>
      </c>
      <c r="F1519" s="52">
        <v>0.86597222222222225</v>
      </c>
      <c r="G1519" s="53">
        <f t="shared" si="23"/>
        <v>3.4722222222223209E-3</v>
      </c>
      <c r="H1519" s="54">
        <v>41731</v>
      </c>
      <c r="I1519" s="55" t="s">
        <v>550</v>
      </c>
      <c r="J1519" s="55" t="s">
        <v>535</v>
      </c>
      <c r="K1519" s="55">
        <f>VLOOKUP(J1519,'Validacion reclamo de equipaje'!L:M,2,0)</f>
        <v>50</v>
      </c>
      <c r="L1519" s="55" t="str">
        <f>VLOOKUP(I1519,'Validacion reclamo de equipaje'!H:I,2,0)</f>
        <v>Nacional</v>
      </c>
      <c r="M1519" s="55" t="s">
        <v>523</v>
      </c>
    </row>
    <row r="1520" spans="1:13" x14ac:dyDescent="0.25">
      <c r="A1520">
        <v>2121</v>
      </c>
      <c r="B1520" s="47" t="str">
        <f>VLOOKUP(Tabla6[[#This Row],['# Vuelo]],'Validacion reclamo de equipaje'!P:Q,2,0)</f>
        <v>MEXICO AEREO</v>
      </c>
      <c r="C1520" s="48">
        <v>0.85763888888888884</v>
      </c>
      <c r="D1520" s="48">
        <v>0.86388888888888893</v>
      </c>
      <c r="E1520" s="49">
        <f>'Reclamo de equipaje rediseñado'!$D1520-'Reclamo de equipaje rediseñado'!$C1520</f>
        <v>6.2500000000000888E-3</v>
      </c>
      <c r="F1520" s="48">
        <v>0.86597222222222225</v>
      </c>
      <c r="G1520" s="49">
        <f t="shared" si="23"/>
        <v>2.0833333333333259E-3</v>
      </c>
      <c r="H1520" s="50">
        <v>41732</v>
      </c>
      <c r="I1520" s="51" t="s">
        <v>550</v>
      </c>
      <c r="J1520" s="51" t="s">
        <v>535</v>
      </c>
      <c r="K1520" s="51">
        <f>VLOOKUP(J1520,'Validacion reclamo de equipaje'!L:M,2,0)</f>
        <v>50</v>
      </c>
      <c r="L1520" s="51" t="str">
        <f>VLOOKUP(I1520,'Validacion reclamo de equipaje'!H:I,2,0)</f>
        <v>Nacional</v>
      </c>
      <c r="M1520" s="51" t="s">
        <v>523</v>
      </c>
    </row>
    <row r="1521" spans="1:13" x14ac:dyDescent="0.25">
      <c r="A1521">
        <v>2121</v>
      </c>
      <c r="B1521" s="47" t="str">
        <f>VLOOKUP(Tabla6[[#This Row],['# Vuelo]],'Validacion reclamo de equipaje'!P:Q,2,0)</f>
        <v>MEXICO AEREO</v>
      </c>
      <c r="C1521" s="52">
        <v>0.88541666666666663</v>
      </c>
      <c r="D1521" s="52">
        <v>0.90138888888888891</v>
      </c>
      <c r="E1521" s="53">
        <f>'Reclamo de equipaje rediseñado'!$D1521-'Reclamo de equipaje rediseñado'!$C1521</f>
        <v>1.5972222222222276E-2</v>
      </c>
      <c r="F1521" s="52">
        <v>0.90486111111111101</v>
      </c>
      <c r="G1521" s="53">
        <f t="shared" si="23"/>
        <v>3.4722222222220989E-3</v>
      </c>
      <c r="H1521" s="54">
        <v>41734</v>
      </c>
      <c r="I1521" s="55" t="s">
        <v>550</v>
      </c>
      <c r="J1521" s="55" t="s">
        <v>535</v>
      </c>
      <c r="K1521" s="55">
        <f>VLOOKUP(J1521,'Validacion reclamo de equipaje'!L:M,2,0)</f>
        <v>50</v>
      </c>
      <c r="L1521" s="55" t="str">
        <f>VLOOKUP(I1521,'Validacion reclamo de equipaje'!H:I,2,0)</f>
        <v>Nacional</v>
      </c>
      <c r="M1521" s="55" t="s">
        <v>523</v>
      </c>
    </row>
    <row r="1522" spans="1:13" x14ac:dyDescent="0.25">
      <c r="A1522">
        <v>2121</v>
      </c>
      <c r="B1522" s="47" t="str">
        <f>VLOOKUP(Tabla6[[#This Row],['# Vuelo]],'Validacion reclamo de equipaje'!P:Q,2,0)</f>
        <v>MEXICO AEREO</v>
      </c>
      <c r="C1522" s="48">
        <v>0.86458333333333337</v>
      </c>
      <c r="D1522" s="48">
        <v>0.86805555555555547</v>
      </c>
      <c r="E1522" s="49">
        <f>'Reclamo de equipaje rediseñado'!$D1522-'Reclamo de equipaje rediseñado'!$C1522</f>
        <v>3.4722222222220989E-3</v>
      </c>
      <c r="F1522" s="48">
        <v>0.87222222222222223</v>
      </c>
      <c r="G1522" s="49">
        <f t="shared" si="23"/>
        <v>4.1666666666667629E-3</v>
      </c>
      <c r="H1522" s="50">
        <v>41734</v>
      </c>
      <c r="I1522" s="51" t="s">
        <v>550</v>
      </c>
      <c r="J1522" s="51" t="s">
        <v>535</v>
      </c>
      <c r="K1522" s="51">
        <f>VLOOKUP(J1522,'Validacion reclamo de equipaje'!L:M,2,0)</f>
        <v>50</v>
      </c>
      <c r="L1522" s="51" t="str">
        <f>VLOOKUP(I1522,'Validacion reclamo de equipaje'!H:I,2,0)</f>
        <v>Nacional</v>
      </c>
      <c r="M1522" s="51" t="s">
        <v>523</v>
      </c>
    </row>
    <row r="1523" spans="1:13" x14ac:dyDescent="0.25">
      <c r="A1523">
        <v>2119</v>
      </c>
      <c r="B1523" s="47" t="str">
        <f>VLOOKUP(Tabla6[[#This Row],['# Vuelo]],'Validacion reclamo de equipaje'!P:Q,2,0)</f>
        <v>MEXICO AEREO</v>
      </c>
      <c r="C1523" s="52">
        <v>0.67638888888888893</v>
      </c>
      <c r="D1523" s="52">
        <v>0.68194444444444446</v>
      </c>
      <c r="E1523" s="53">
        <f>'Reclamo de equipaje rediseñado'!$D1523-'Reclamo de equipaje rediseñado'!$C1523</f>
        <v>5.5555555555555358E-3</v>
      </c>
      <c r="F1523" s="52">
        <v>0.68402777777777779</v>
      </c>
      <c r="G1523" s="53">
        <f t="shared" si="23"/>
        <v>2.0833333333333259E-3</v>
      </c>
      <c r="H1523" s="54">
        <v>41736</v>
      </c>
      <c r="I1523" s="55" t="s">
        <v>557</v>
      </c>
      <c r="J1523" s="55" t="s">
        <v>535</v>
      </c>
      <c r="K1523" s="55">
        <f>VLOOKUP(J1523,'Validacion reclamo de equipaje'!L:M,2,0)</f>
        <v>50</v>
      </c>
      <c r="L1523" s="55" t="str">
        <f>VLOOKUP(I1523,'Validacion reclamo de equipaje'!H:I,2,0)</f>
        <v>Nacional</v>
      </c>
      <c r="M1523" s="55" t="s">
        <v>523</v>
      </c>
    </row>
    <row r="1524" spans="1:13" x14ac:dyDescent="0.25">
      <c r="A1524">
        <v>2119</v>
      </c>
      <c r="B1524" s="47" t="str">
        <f>VLOOKUP(Tabla6[[#This Row],['# Vuelo]],'Validacion reclamo de equipaje'!P:Q,2,0)</f>
        <v>MEXICO AEREO</v>
      </c>
      <c r="C1524" s="48">
        <v>0.68055555555555547</v>
      </c>
      <c r="D1524" s="48">
        <v>0.68333333333333324</v>
      </c>
      <c r="E1524" s="49">
        <f>'Reclamo de equipaje rediseñado'!$D1524-'Reclamo de equipaje rediseñado'!$C1524</f>
        <v>2.7777777777777679E-3</v>
      </c>
      <c r="F1524" s="48">
        <v>0.69166666666666676</v>
      </c>
      <c r="G1524" s="49">
        <f t="shared" si="23"/>
        <v>8.3333333333335258E-3</v>
      </c>
      <c r="H1524" s="50">
        <v>41737</v>
      </c>
      <c r="I1524" s="51" t="s">
        <v>557</v>
      </c>
      <c r="J1524" s="51" t="s">
        <v>535</v>
      </c>
      <c r="K1524" s="51">
        <f>VLOOKUP(J1524,'Validacion reclamo de equipaje'!L:M,2,0)</f>
        <v>50</v>
      </c>
      <c r="L1524" s="51" t="str">
        <f>VLOOKUP(I1524,'Validacion reclamo de equipaje'!H:I,2,0)</f>
        <v>Nacional</v>
      </c>
      <c r="M1524" s="51" t="s">
        <v>523</v>
      </c>
    </row>
    <row r="1525" spans="1:13" x14ac:dyDescent="0.25">
      <c r="A1525">
        <v>2119</v>
      </c>
      <c r="B1525" s="47" t="str">
        <f>VLOOKUP(Tabla6[[#This Row],['# Vuelo]],'Validacion reclamo de equipaje'!P:Q,2,0)</f>
        <v>MEXICO AEREO</v>
      </c>
      <c r="C1525" s="52">
        <v>0.55555555555555558</v>
      </c>
      <c r="D1525" s="52">
        <v>0.56597222222222221</v>
      </c>
      <c r="E1525" s="53">
        <f>'Reclamo de equipaje rediseñado'!$D1525-'Reclamo de equipaje rediseñado'!$C1525</f>
        <v>1.041666666666663E-2</v>
      </c>
      <c r="F1525" s="52">
        <v>0.56944444444444442</v>
      </c>
      <c r="G1525" s="53">
        <f t="shared" si="23"/>
        <v>3.4722222222222099E-3</v>
      </c>
      <c r="H1525" s="54">
        <v>41738</v>
      </c>
      <c r="I1525" s="55" t="s">
        <v>557</v>
      </c>
      <c r="J1525" s="55" t="s">
        <v>535</v>
      </c>
      <c r="K1525" s="55">
        <f>VLOOKUP(J1525,'Validacion reclamo de equipaje'!L:M,2,0)</f>
        <v>50</v>
      </c>
      <c r="L1525" s="55" t="str">
        <f>VLOOKUP(I1525,'Validacion reclamo de equipaje'!H:I,2,0)</f>
        <v>Nacional</v>
      </c>
      <c r="M1525" s="55" t="s">
        <v>523</v>
      </c>
    </row>
    <row r="1526" spans="1:13" x14ac:dyDescent="0.25">
      <c r="A1526">
        <v>2119</v>
      </c>
      <c r="B1526" s="47" t="str">
        <f>VLOOKUP(Tabla6[[#This Row],['# Vuelo]],'Validacion reclamo de equipaje'!P:Q,2,0)</f>
        <v>MEXICO AEREO</v>
      </c>
      <c r="C1526" s="48">
        <v>0.68263888888888891</v>
      </c>
      <c r="D1526" s="48">
        <v>0.68541666666666667</v>
      </c>
      <c r="E1526" s="49">
        <f>'Reclamo de equipaje rediseñado'!$D1526-'Reclamo de equipaje rediseñado'!$C1526</f>
        <v>2.7777777777777679E-3</v>
      </c>
      <c r="F1526" s="48">
        <v>0.68958333333333333</v>
      </c>
      <c r="G1526" s="49">
        <f t="shared" si="23"/>
        <v>4.1666666666666519E-3</v>
      </c>
      <c r="H1526" s="50">
        <v>41739</v>
      </c>
      <c r="I1526" s="51" t="s">
        <v>557</v>
      </c>
      <c r="J1526" s="51" t="s">
        <v>535</v>
      </c>
      <c r="K1526" s="51">
        <f>VLOOKUP(J1526,'Validacion reclamo de equipaje'!L:M,2,0)</f>
        <v>50</v>
      </c>
      <c r="L1526" s="51" t="str">
        <f>VLOOKUP(I1526,'Validacion reclamo de equipaje'!H:I,2,0)</f>
        <v>Nacional</v>
      </c>
      <c r="M1526" s="51" t="s">
        <v>523</v>
      </c>
    </row>
    <row r="1527" spans="1:13" x14ac:dyDescent="0.25">
      <c r="A1527">
        <v>2119</v>
      </c>
      <c r="B1527" s="47" t="str">
        <f>VLOOKUP(Tabla6[[#This Row],['# Vuelo]],'Validacion reclamo de equipaje'!P:Q,2,0)</f>
        <v>MEXICO AEREO</v>
      </c>
      <c r="C1527" s="52">
        <v>0.67847222222222225</v>
      </c>
      <c r="D1527" s="52">
        <v>0.68611111111111101</v>
      </c>
      <c r="E1527" s="53">
        <f>'Reclamo de equipaje rediseñado'!$D1527-'Reclamo de equipaje rediseñado'!$C1527</f>
        <v>7.6388888888887507E-3</v>
      </c>
      <c r="F1527" s="52">
        <v>0.68819444444444444</v>
      </c>
      <c r="G1527" s="53">
        <f t="shared" si="23"/>
        <v>2.083333333333437E-3</v>
      </c>
      <c r="H1527" s="54">
        <v>41746</v>
      </c>
      <c r="I1527" s="55" t="s">
        <v>557</v>
      </c>
      <c r="J1527" s="55" t="s">
        <v>535</v>
      </c>
      <c r="K1527" s="55">
        <f>VLOOKUP(J1527,'Validacion reclamo de equipaje'!L:M,2,0)</f>
        <v>50</v>
      </c>
      <c r="L1527" s="55" t="str">
        <f>VLOOKUP(I1527,'Validacion reclamo de equipaje'!H:I,2,0)</f>
        <v>Nacional</v>
      </c>
      <c r="M1527" s="55" t="s">
        <v>523</v>
      </c>
    </row>
    <row r="1528" spans="1:13" x14ac:dyDescent="0.25">
      <c r="A1528">
        <v>2119</v>
      </c>
      <c r="B1528" s="47" t="str">
        <f>VLOOKUP(Tabla6[[#This Row],['# Vuelo]],'Validacion reclamo de equipaje'!P:Q,2,0)</f>
        <v>MEXICO AEREO</v>
      </c>
      <c r="C1528" s="48">
        <v>0.69305555555555554</v>
      </c>
      <c r="D1528" s="48">
        <v>0.69791666666666663</v>
      </c>
      <c r="E1528" s="49">
        <f>'Reclamo de equipaje rediseñado'!$D1528-'Reclamo de equipaje rediseñado'!$C1528</f>
        <v>4.8611111111110938E-3</v>
      </c>
      <c r="F1528" s="48">
        <v>0.70347222222222217</v>
      </c>
      <c r="G1528" s="49">
        <f t="shared" si="23"/>
        <v>5.5555555555555358E-3</v>
      </c>
      <c r="H1528" s="50">
        <v>41747</v>
      </c>
      <c r="I1528" s="51" t="s">
        <v>557</v>
      </c>
      <c r="J1528" s="51" t="s">
        <v>535</v>
      </c>
      <c r="K1528" s="51">
        <f>VLOOKUP(J1528,'Validacion reclamo de equipaje'!L:M,2,0)</f>
        <v>50</v>
      </c>
      <c r="L1528" s="51" t="str">
        <f>VLOOKUP(I1528,'Validacion reclamo de equipaje'!H:I,2,0)</f>
        <v>Nacional</v>
      </c>
      <c r="M1528" s="51" t="s">
        <v>523</v>
      </c>
    </row>
    <row r="1529" spans="1:13" x14ac:dyDescent="0.25">
      <c r="A1529">
        <v>2119</v>
      </c>
      <c r="B1529" s="47" t="str">
        <f>VLOOKUP(Tabla6[[#This Row],['# Vuelo]],'Validacion reclamo de equipaje'!P:Q,2,0)</f>
        <v>MEXICO AEREO</v>
      </c>
      <c r="C1529" s="52">
        <v>0.7597222222222223</v>
      </c>
      <c r="D1529" s="52">
        <v>0.77013888888888893</v>
      </c>
      <c r="E1529" s="53">
        <f>'Reclamo de equipaje rediseñado'!$D1529-'Reclamo de equipaje rediseñado'!$C1529</f>
        <v>1.041666666666663E-2</v>
      </c>
      <c r="F1529" s="52">
        <v>0.7715277777777777</v>
      </c>
      <c r="G1529" s="53">
        <f t="shared" si="23"/>
        <v>1.3888888888887729E-3</v>
      </c>
      <c r="H1529" s="54">
        <v>41748</v>
      </c>
      <c r="I1529" s="55" t="s">
        <v>557</v>
      </c>
      <c r="J1529" s="55" t="s">
        <v>535</v>
      </c>
      <c r="K1529" s="55">
        <f>VLOOKUP(J1529,'Validacion reclamo de equipaje'!L:M,2,0)</f>
        <v>50</v>
      </c>
      <c r="L1529" s="55" t="str">
        <f>VLOOKUP(I1529,'Validacion reclamo de equipaje'!H:I,2,0)</f>
        <v>Nacional</v>
      </c>
      <c r="M1529" s="55" t="s">
        <v>523</v>
      </c>
    </row>
    <row r="1530" spans="1:13" x14ac:dyDescent="0.25">
      <c r="A1530">
        <v>2119</v>
      </c>
      <c r="B1530" s="47" t="str">
        <f>VLOOKUP(Tabla6[[#This Row],['# Vuelo]],'Validacion reclamo de equipaje'!P:Q,2,0)</f>
        <v>MEXICO AEREO</v>
      </c>
      <c r="C1530" s="48">
        <v>0.68125000000000002</v>
      </c>
      <c r="D1530" s="48">
        <v>0.68333333333333324</v>
      </c>
      <c r="E1530" s="49">
        <f>'Reclamo de equipaje rediseñado'!$D1530-'Reclamo de equipaje rediseñado'!$C1530</f>
        <v>2.0833333333332149E-3</v>
      </c>
      <c r="F1530" s="48">
        <v>0.68541666666666667</v>
      </c>
      <c r="G1530" s="49">
        <f t="shared" si="23"/>
        <v>2.083333333333437E-3</v>
      </c>
      <c r="H1530" s="50">
        <v>41749</v>
      </c>
      <c r="I1530" s="51" t="s">
        <v>557</v>
      </c>
      <c r="J1530" s="51" t="s">
        <v>535</v>
      </c>
      <c r="K1530" s="51">
        <f>VLOOKUP(J1530,'Validacion reclamo de equipaje'!L:M,2,0)</f>
        <v>50</v>
      </c>
      <c r="L1530" s="51" t="str">
        <f>VLOOKUP(I1530,'Validacion reclamo de equipaje'!H:I,2,0)</f>
        <v>Nacional</v>
      </c>
      <c r="M1530" s="51" t="s">
        <v>523</v>
      </c>
    </row>
    <row r="1531" spans="1:13" x14ac:dyDescent="0.25">
      <c r="A1531">
        <v>2119</v>
      </c>
      <c r="B1531" s="47" t="str">
        <f>VLOOKUP(Tabla6[[#This Row],['# Vuelo]],'Validacion reclamo de equipaje'!P:Q,2,0)</f>
        <v>MEXICO AEREO</v>
      </c>
      <c r="C1531" s="52">
        <v>0.67569444444444438</v>
      </c>
      <c r="D1531" s="52">
        <v>0.6791666666666667</v>
      </c>
      <c r="E1531" s="53">
        <f>'Reclamo de equipaje rediseñado'!$D1531-'Reclamo de equipaje rediseñado'!$C1531</f>
        <v>3.4722222222223209E-3</v>
      </c>
      <c r="F1531" s="52">
        <v>0.68472222222222223</v>
      </c>
      <c r="G1531" s="53">
        <f t="shared" si="23"/>
        <v>5.5555555555555358E-3</v>
      </c>
      <c r="H1531" s="54">
        <v>41751</v>
      </c>
      <c r="I1531" s="55" t="s">
        <v>557</v>
      </c>
      <c r="J1531" s="55" t="s">
        <v>535</v>
      </c>
      <c r="K1531" s="55">
        <f>VLOOKUP(J1531,'Validacion reclamo de equipaje'!L:M,2,0)</f>
        <v>50</v>
      </c>
      <c r="L1531" s="55" t="str">
        <f>VLOOKUP(I1531,'Validacion reclamo de equipaje'!H:I,2,0)</f>
        <v>Nacional</v>
      </c>
      <c r="M1531" s="55" t="s">
        <v>523</v>
      </c>
    </row>
    <row r="1532" spans="1:13" x14ac:dyDescent="0.25">
      <c r="A1532">
        <v>2119</v>
      </c>
      <c r="B1532" s="47" t="str">
        <f>VLOOKUP(Tabla6[[#This Row],['# Vuelo]],'Validacion reclamo de equipaje'!P:Q,2,0)</f>
        <v>MEXICO AEREO</v>
      </c>
      <c r="C1532" s="48">
        <v>0.68472222222222223</v>
      </c>
      <c r="D1532" s="48">
        <v>0.68888888888888899</v>
      </c>
      <c r="E1532" s="49">
        <f>'Reclamo de equipaje rediseñado'!$D1532-'Reclamo de equipaje rediseñado'!$C1532</f>
        <v>4.1666666666667629E-3</v>
      </c>
      <c r="F1532" s="48">
        <v>0.69513888888888886</v>
      </c>
      <c r="G1532" s="49">
        <f t="shared" si="23"/>
        <v>6.2499999999998668E-3</v>
      </c>
      <c r="H1532" s="50">
        <v>41753</v>
      </c>
      <c r="I1532" s="51" t="s">
        <v>557</v>
      </c>
      <c r="J1532" s="51" t="s">
        <v>535</v>
      </c>
      <c r="K1532" s="51">
        <f>VLOOKUP(J1532,'Validacion reclamo de equipaje'!L:M,2,0)</f>
        <v>50</v>
      </c>
      <c r="L1532" s="51" t="str">
        <f>VLOOKUP(I1532,'Validacion reclamo de equipaje'!H:I,2,0)</f>
        <v>Nacional</v>
      </c>
      <c r="M1532" s="51" t="s">
        <v>523</v>
      </c>
    </row>
    <row r="1533" spans="1:13" x14ac:dyDescent="0.25">
      <c r="A1533">
        <v>2119</v>
      </c>
      <c r="B1533" s="47" t="str">
        <f>VLOOKUP(Tabla6[[#This Row],['# Vuelo]],'Validacion reclamo de equipaje'!P:Q,2,0)</f>
        <v>MEXICO AEREO</v>
      </c>
      <c r="C1533" s="52">
        <v>0.6777777777777777</v>
      </c>
      <c r="D1533" s="52">
        <v>0.68263888888888891</v>
      </c>
      <c r="E1533" s="53">
        <f>'Reclamo de equipaje rediseñado'!$D1533-'Reclamo de equipaje rediseñado'!$C1533</f>
        <v>4.8611111111112049E-3</v>
      </c>
      <c r="F1533" s="52">
        <v>0.68680555555555556</v>
      </c>
      <c r="G1533" s="53">
        <f t="shared" si="23"/>
        <v>4.1666666666666519E-3</v>
      </c>
      <c r="H1533" s="54">
        <v>41754</v>
      </c>
      <c r="I1533" s="55" t="s">
        <v>557</v>
      </c>
      <c r="J1533" s="55" t="s">
        <v>535</v>
      </c>
      <c r="K1533" s="55">
        <f>VLOOKUP(J1533,'Validacion reclamo de equipaje'!L:M,2,0)</f>
        <v>50</v>
      </c>
      <c r="L1533" s="55" t="str">
        <f>VLOOKUP(I1533,'Validacion reclamo de equipaje'!H:I,2,0)</f>
        <v>Nacional</v>
      </c>
      <c r="M1533" s="55" t="s">
        <v>523</v>
      </c>
    </row>
    <row r="1534" spans="1:13" x14ac:dyDescent="0.25">
      <c r="A1534">
        <v>2119</v>
      </c>
      <c r="B1534" s="47" t="str">
        <f>VLOOKUP(Tabla6[[#This Row],['# Vuelo]],'Validacion reclamo de equipaje'!P:Q,2,0)</f>
        <v>MEXICO AEREO</v>
      </c>
      <c r="C1534" s="48">
        <v>0.68402777777777779</v>
      </c>
      <c r="D1534" s="48">
        <v>0.68888888888888899</v>
      </c>
      <c r="E1534" s="49">
        <f>'Reclamo de equipaje rediseñado'!$D1534-'Reclamo de equipaje rediseñado'!$C1534</f>
        <v>4.8611111111112049E-3</v>
      </c>
      <c r="F1534" s="48">
        <v>0.69861111111111107</v>
      </c>
      <c r="G1534" s="49">
        <f t="shared" si="23"/>
        <v>9.7222222222220767E-3</v>
      </c>
      <c r="H1534" s="50">
        <v>41756</v>
      </c>
      <c r="I1534" s="51" t="s">
        <v>557</v>
      </c>
      <c r="J1534" s="51" t="s">
        <v>535</v>
      </c>
      <c r="K1534" s="51">
        <f>VLOOKUP(J1534,'Validacion reclamo de equipaje'!L:M,2,0)</f>
        <v>50</v>
      </c>
      <c r="L1534" s="51" t="str">
        <f>VLOOKUP(I1534,'Validacion reclamo de equipaje'!H:I,2,0)</f>
        <v>Nacional</v>
      </c>
      <c r="M1534" s="51" t="s">
        <v>523</v>
      </c>
    </row>
    <row r="1535" spans="1:13" x14ac:dyDescent="0.25">
      <c r="A1535">
        <v>2119</v>
      </c>
      <c r="B1535" s="47" t="str">
        <f>VLOOKUP(Tabla6[[#This Row],['# Vuelo]],'Validacion reclamo de equipaje'!P:Q,2,0)</f>
        <v>MEXICO AEREO</v>
      </c>
      <c r="C1535" s="52">
        <v>0.67708333333333337</v>
      </c>
      <c r="D1535" s="52">
        <v>0.68541666666666667</v>
      </c>
      <c r="E1535" s="53">
        <f>'Reclamo de equipaje rediseñado'!$D1535-'Reclamo de equipaje rediseñado'!$C1535</f>
        <v>8.3333333333333037E-3</v>
      </c>
      <c r="F1535" s="52">
        <v>0.68888888888888899</v>
      </c>
      <c r="G1535" s="53">
        <f t="shared" si="23"/>
        <v>3.4722222222223209E-3</v>
      </c>
      <c r="H1535" s="54">
        <v>41757</v>
      </c>
      <c r="I1535" s="55" t="s">
        <v>557</v>
      </c>
      <c r="J1535" s="55" t="s">
        <v>535</v>
      </c>
      <c r="K1535" s="55">
        <f>VLOOKUP(J1535,'Validacion reclamo de equipaje'!L:M,2,0)</f>
        <v>50</v>
      </c>
      <c r="L1535" s="55" t="str">
        <f>VLOOKUP(I1535,'Validacion reclamo de equipaje'!H:I,2,0)</f>
        <v>Nacional</v>
      </c>
      <c r="M1535" s="55" t="s">
        <v>523</v>
      </c>
    </row>
    <row r="1536" spans="1:13" x14ac:dyDescent="0.25">
      <c r="A1536">
        <v>2119</v>
      </c>
      <c r="B1536" s="47" t="str">
        <f>VLOOKUP(Tabla6[[#This Row],['# Vuelo]],'Validacion reclamo de equipaje'!P:Q,2,0)</f>
        <v>MEXICO AEREO</v>
      </c>
      <c r="C1536" s="48">
        <v>0.67569444444444438</v>
      </c>
      <c r="D1536" s="48">
        <v>0.68125000000000002</v>
      </c>
      <c r="E1536" s="49">
        <f>'Reclamo de equipaje rediseñado'!$D1536-'Reclamo de equipaje rediseñado'!$C1536</f>
        <v>5.5555555555556468E-3</v>
      </c>
      <c r="F1536" s="48">
        <v>0.69236111111111109</v>
      </c>
      <c r="G1536" s="49">
        <f t="shared" si="23"/>
        <v>1.1111111111111072E-2</v>
      </c>
      <c r="H1536" s="50">
        <v>41758</v>
      </c>
      <c r="I1536" s="51" t="s">
        <v>557</v>
      </c>
      <c r="J1536" s="51" t="s">
        <v>535</v>
      </c>
      <c r="K1536" s="51">
        <f>VLOOKUP(J1536,'Validacion reclamo de equipaje'!L:M,2,0)</f>
        <v>50</v>
      </c>
      <c r="L1536" s="51" t="str">
        <f>VLOOKUP(I1536,'Validacion reclamo de equipaje'!H:I,2,0)</f>
        <v>Nacional</v>
      </c>
      <c r="M1536" s="51" t="s">
        <v>523</v>
      </c>
    </row>
    <row r="1537" spans="1:13" x14ac:dyDescent="0.25">
      <c r="A1537">
        <v>2119</v>
      </c>
      <c r="B1537" s="47" t="str">
        <f>VLOOKUP(Tabla6[[#This Row],['# Vuelo]],'Validacion reclamo de equipaje'!P:Q,2,0)</f>
        <v>MEXICO AEREO</v>
      </c>
      <c r="C1537" s="52">
        <v>0.70138888888888884</v>
      </c>
      <c r="D1537" s="52">
        <v>0.70972222222222225</v>
      </c>
      <c r="E1537" s="53">
        <f>'Reclamo de equipaje rediseñado'!$D1537-'Reclamo de equipaje rediseñado'!$C1537</f>
        <v>8.3333333333334147E-3</v>
      </c>
      <c r="F1537" s="52">
        <v>0.71250000000000002</v>
      </c>
      <c r="G1537" s="53">
        <f t="shared" si="23"/>
        <v>2.7777777777777679E-3</v>
      </c>
      <c r="H1537" s="54">
        <v>41759</v>
      </c>
      <c r="I1537" s="55" t="s">
        <v>557</v>
      </c>
      <c r="J1537" s="55" t="s">
        <v>535</v>
      </c>
      <c r="K1537" s="55">
        <f>VLOOKUP(J1537,'Validacion reclamo de equipaje'!L:M,2,0)</f>
        <v>50</v>
      </c>
      <c r="L1537" s="55" t="str">
        <f>VLOOKUP(I1537,'Validacion reclamo de equipaje'!H:I,2,0)</f>
        <v>Nacional</v>
      </c>
      <c r="M1537" s="55" t="s">
        <v>523</v>
      </c>
    </row>
    <row r="1538" spans="1:13" x14ac:dyDescent="0.25">
      <c r="A1538">
        <v>2158</v>
      </c>
      <c r="B1538" s="47" t="str">
        <f>VLOOKUP(Tabla6[[#This Row],['# Vuelo]],'Validacion reclamo de equipaje'!P:Q,2,0)</f>
        <v>MEXICO AEREO</v>
      </c>
      <c r="C1538" s="48">
        <v>0.69444444444444453</v>
      </c>
      <c r="D1538" s="48">
        <v>0.70694444444444438</v>
      </c>
      <c r="E1538" s="49">
        <f>'Reclamo de equipaje rediseñado'!$D1538-'Reclamo de equipaje rediseñado'!$C1538</f>
        <v>1.2499999999999845E-2</v>
      </c>
      <c r="F1538" s="48">
        <v>0.71180555555555547</v>
      </c>
      <c r="G1538" s="49">
        <f t="shared" si="23"/>
        <v>4.8611111111110938E-3</v>
      </c>
      <c r="H1538" s="50">
        <v>41741</v>
      </c>
      <c r="I1538" s="51" t="s">
        <v>543</v>
      </c>
      <c r="J1538" s="51" t="s">
        <v>535</v>
      </c>
      <c r="K1538" s="51">
        <f>VLOOKUP(J1538,'Validacion reclamo de equipaje'!L:M,2,0)</f>
        <v>50</v>
      </c>
      <c r="L1538" s="51" t="str">
        <f>VLOOKUP(I1538,'Validacion reclamo de equipaje'!H:I,2,0)</f>
        <v>Nacional</v>
      </c>
      <c r="M1538" s="51" t="s">
        <v>523</v>
      </c>
    </row>
    <row r="1539" spans="1:13" x14ac:dyDescent="0.25">
      <c r="A1539">
        <v>2158</v>
      </c>
      <c r="B1539" s="47" t="str">
        <f>VLOOKUP(Tabla6[[#This Row],['# Vuelo]],'Validacion reclamo de equipaje'!P:Q,2,0)</f>
        <v>MEXICO AEREO</v>
      </c>
      <c r="C1539" s="52">
        <v>0.67361111111111116</v>
      </c>
      <c r="D1539" s="52">
        <v>0.68263888888888891</v>
      </c>
      <c r="E1539" s="53">
        <f>'Reclamo de equipaje rediseñado'!$D1539-'Reclamo de equipaje rediseñado'!$C1539</f>
        <v>9.0277777777777457E-3</v>
      </c>
      <c r="F1539" s="52">
        <v>0.68888888888888899</v>
      </c>
      <c r="G1539" s="53">
        <f t="shared" ref="G1539:G1602" si="24">F1539-D1539</f>
        <v>6.2500000000000888E-3</v>
      </c>
      <c r="H1539" s="54">
        <v>41741</v>
      </c>
      <c r="I1539" s="55" t="s">
        <v>543</v>
      </c>
      <c r="J1539" s="55" t="s">
        <v>535</v>
      </c>
      <c r="K1539" s="55">
        <f>VLOOKUP(J1539,'Validacion reclamo de equipaje'!L:M,2,0)</f>
        <v>50</v>
      </c>
      <c r="L1539" s="55" t="str">
        <f>VLOOKUP(I1539,'Validacion reclamo de equipaje'!H:I,2,0)</f>
        <v>Nacional</v>
      </c>
      <c r="M1539" s="55" t="s">
        <v>523</v>
      </c>
    </row>
    <row r="1540" spans="1:13" x14ac:dyDescent="0.25">
      <c r="A1540">
        <v>2158</v>
      </c>
      <c r="B1540" s="47" t="str">
        <f>VLOOKUP(Tabla6[[#This Row],['# Vuelo]],'Validacion reclamo de equipaje'!P:Q,2,0)</f>
        <v>MEXICO AEREO</v>
      </c>
      <c r="C1540" s="48">
        <v>0.95486111111111116</v>
      </c>
      <c r="D1540" s="48">
        <v>0.95972222222222225</v>
      </c>
      <c r="E1540" s="49">
        <f>'Reclamo de equipaje rediseñado'!$D1540-'Reclamo de equipaje rediseñado'!$C1540</f>
        <v>4.8611111111110938E-3</v>
      </c>
      <c r="F1540" s="48">
        <v>0.96527777777777779</v>
      </c>
      <c r="G1540" s="49">
        <f t="shared" si="24"/>
        <v>5.5555555555555358E-3</v>
      </c>
      <c r="H1540" s="50">
        <v>41730</v>
      </c>
      <c r="I1540" s="51" t="s">
        <v>543</v>
      </c>
      <c r="J1540" s="51" t="s">
        <v>535</v>
      </c>
      <c r="K1540" s="51">
        <f>VLOOKUP(J1540,'Validacion reclamo de equipaje'!L:M,2,0)</f>
        <v>50</v>
      </c>
      <c r="L1540" s="51" t="str">
        <f>VLOOKUP(I1540,'Validacion reclamo de equipaje'!H:I,2,0)</f>
        <v>Nacional</v>
      </c>
      <c r="M1540" s="51" t="s">
        <v>523</v>
      </c>
    </row>
    <row r="1541" spans="1:13" x14ac:dyDescent="0.25">
      <c r="A1541">
        <v>2158</v>
      </c>
      <c r="B1541" s="47" t="str">
        <f>VLOOKUP(Tabla6[[#This Row],['# Vuelo]],'Validacion reclamo de equipaje'!P:Q,2,0)</f>
        <v>MEXICO AEREO</v>
      </c>
      <c r="C1541" s="52">
        <v>0.92222222222222217</v>
      </c>
      <c r="D1541" s="52">
        <v>0.92708333333333337</v>
      </c>
      <c r="E1541" s="53">
        <f>'Reclamo de equipaje rediseñado'!$D1541-'Reclamo de equipaje rediseñado'!$C1541</f>
        <v>4.8611111111112049E-3</v>
      </c>
      <c r="F1541" s="52">
        <v>0.93125000000000002</v>
      </c>
      <c r="G1541" s="53">
        <f t="shared" si="24"/>
        <v>4.1666666666666519E-3</v>
      </c>
      <c r="H1541" s="54">
        <v>41731</v>
      </c>
      <c r="I1541" s="55" t="s">
        <v>543</v>
      </c>
      <c r="J1541" s="55" t="s">
        <v>535</v>
      </c>
      <c r="K1541" s="55">
        <f>VLOOKUP(J1541,'Validacion reclamo de equipaje'!L:M,2,0)</f>
        <v>50</v>
      </c>
      <c r="L1541" s="55" t="str">
        <f>VLOOKUP(I1541,'Validacion reclamo de equipaje'!H:I,2,0)</f>
        <v>Nacional</v>
      </c>
      <c r="M1541" s="55" t="s">
        <v>523</v>
      </c>
    </row>
    <row r="1542" spans="1:13" x14ac:dyDescent="0.25">
      <c r="A1542">
        <v>2158</v>
      </c>
      <c r="B1542" s="47" t="str">
        <f>VLOOKUP(Tabla6[[#This Row],['# Vuelo]],'Validacion reclamo de equipaje'!P:Q,2,0)</f>
        <v>MEXICO AEREO</v>
      </c>
      <c r="C1542" s="48">
        <v>0.91249999999999998</v>
      </c>
      <c r="D1542" s="48">
        <v>0.92083333333333339</v>
      </c>
      <c r="E1542" s="49">
        <f>'Reclamo de equipaje rediseñado'!$D1542-'Reclamo de equipaje rediseñado'!$C1542</f>
        <v>8.3333333333334147E-3</v>
      </c>
      <c r="F1542" s="48">
        <v>0.92222222222222217</v>
      </c>
      <c r="G1542" s="49">
        <f t="shared" si="24"/>
        <v>1.3888888888887729E-3</v>
      </c>
      <c r="H1542" s="50">
        <v>41732</v>
      </c>
      <c r="I1542" s="51" t="s">
        <v>543</v>
      </c>
      <c r="J1542" s="51" t="s">
        <v>535</v>
      </c>
      <c r="K1542" s="51">
        <f>VLOOKUP(J1542,'Validacion reclamo de equipaje'!L:M,2,0)</f>
        <v>50</v>
      </c>
      <c r="L1542" s="51" t="str">
        <f>VLOOKUP(I1542,'Validacion reclamo de equipaje'!H:I,2,0)</f>
        <v>Nacional</v>
      </c>
      <c r="M1542" s="51" t="s">
        <v>523</v>
      </c>
    </row>
    <row r="1543" spans="1:13" x14ac:dyDescent="0.25">
      <c r="A1543">
        <v>2158</v>
      </c>
      <c r="B1543" s="47" t="str">
        <f>VLOOKUP(Tabla6[[#This Row],['# Vuelo]],'Validacion reclamo de equipaje'!P:Q,2,0)</f>
        <v>MEXICO AEREO</v>
      </c>
      <c r="C1543" s="52">
        <v>0.46527777777777773</v>
      </c>
      <c r="D1543" s="52">
        <v>0.47569444444444442</v>
      </c>
      <c r="E1543" s="53">
        <f>'Reclamo de equipaje rediseñado'!$D1543-'Reclamo de equipaje rediseñado'!$C1543</f>
        <v>1.0416666666666685E-2</v>
      </c>
      <c r="F1543" s="52">
        <v>0.4770833333333333</v>
      </c>
      <c r="G1543" s="53">
        <f t="shared" si="24"/>
        <v>1.388888888888884E-3</v>
      </c>
      <c r="H1543" s="54">
        <v>41735</v>
      </c>
      <c r="I1543" s="55" t="s">
        <v>543</v>
      </c>
      <c r="J1543" s="55" t="s">
        <v>535</v>
      </c>
      <c r="K1543" s="55">
        <f>VLOOKUP(J1543,'Validacion reclamo de equipaje'!L:M,2,0)</f>
        <v>50</v>
      </c>
      <c r="L1543" s="55" t="str">
        <f>VLOOKUP(I1543,'Validacion reclamo de equipaje'!H:I,2,0)</f>
        <v>Nacional</v>
      </c>
      <c r="M1543" s="55" t="s">
        <v>523</v>
      </c>
    </row>
    <row r="1544" spans="1:13" x14ac:dyDescent="0.25">
      <c r="A1544">
        <v>2029</v>
      </c>
      <c r="B1544" s="47" t="str">
        <f>VLOOKUP(Tabla6[[#This Row],['# Vuelo]],'Validacion reclamo de equipaje'!P:Q,2,0)</f>
        <v>MEXICO AEREO</v>
      </c>
      <c r="C1544" s="48">
        <v>0.56388888888888888</v>
      </c>
      <c r="D1544" s="48">
        <v>0.56874999999999998</v>
      </c>
      <c r="E1544" s="49">
        <f>'Reclamo de equipaje rediseñado'!$D1544-'Reclamo de equipaje rediseñado'!$C1544</f>
        <v>4.8611111111110938E-3</v>
      </c>
      <c r="F1544" s="48">
        <v>0.57638888888888895</v>
      </c>
      <c r="G1544" s="49">
        <f t="shared" si="24"/>
        <v>7.6388888888889728E-3</v>
      </c>
      <c r="H1544" s="50">
        <v>41737</v>
      </c>
      <c r="I1544" s="51" t="s">
        <v>543</v>
      </c>
      <c r="J1544" s="51" t="s">
        <v>535</v>
      </c>
      <c r="K1544" s="51">
        <f>VLOOKUP(J1544,'Validacion reclamo de equipaje'!L:M,2,0)</f>
        <v>50</v>
      </c>
      <c r="L1544" s="51" t="str">
        <f>VLOOKUP(I1544,'Validacion reclamo de equipaje'!H:I,2,0)</f>
        <v>Nacional</v>
      </c>
      <c r="M1544" s="51" t="s">
        <v>523</v>
      </c>
    </row>
    <row r="1545" spans="1:13" x14ac:dyDescent="0.25">
      <c r="A1545">
        <v>2029</v>
      </c>
      <c r="B1545" s="47" t="str">
        <f>VLOOKUP(Tabla6[[#This Row],['# Vuelo]],'Validacion reclamo de equipaje'!P:Q,2,0)</f>
        <v>MEXICO AEREO</v>
      </c>
      <c r="C1545" s="52">
        <v>0.42638888888888887</v>
      </c>
      <c r="D1545" s="52">
        <v>0.4284722222222222</v>
      </c>
      <c r="E1545" s="53">
        <f>'Reclamo de equipaje rediseñado'!$D1545-'Reclamo de equipaje rediseñado'!$C1545</f>
        <v>2.0833333333333259E-3</v>
      </c>
      <c r="F1545" s="52">
        <v>0.43541666666666662</v>
      </c>
      <c r="G1545" s="53">
        <f t="shared" si="24"/>
        <v>6.9444444444444198E-3</v>
      </c>
      <c r="H1545" s="54">
        <v>41738</v>
      </c>
      <c r="I1545" s="55" t="s">
        <v>543</v>
      </c>
      <c r="J1545" s="55" t="s">
        <v>535</v>
      </c>
      <c r="K1545" s="55">
        <f>VLOOKUP(J1545,'Validacion reclamo de equipaje'!L:M,2,0)</f>
        <v>50</v>
      </c>
      <c r="L1545" s="55" t="str">
        <f>VLOOKUP(I1545,'Validacion reclamo de equipaje'!H:I,2,0)</f>
        <v>Nacional</v>
      </c>
      <c r="M1545" s="55" t="s">
        <v>523</v>
      </c>
    </row>
    <row r="1546" spans="1:13" x14ac:dyDescent="0.25">
      <c r="A1546">
        <v>2029</v>
      </c>
      <c r="B1546" s="47" t="str">
        <f>VLOOKUP(Tabla6[[#This Row],['# Vuelo]],'Validacion reclamo de equipaje'!P:Q,2,0)</f>
        <v>MEXICO AEREO</v>
      </c>
      <c r="C1546" s="48">
        <v>0.55972222222222223</v>
      </c>
      <c r="D1546" s="48">
        <v>0.56407592592592593</v>
      </c>
      <c r="E1546" s="49">
        <f>'Reclamo de equipaje rediseñado'!$D1546-'Reclamo de equipaje rediseñado'!$C1546</f>
        <v>4.353703703703693E-3</v>
      </c>
      <c r="F1546" s="48">
        <v>0.57152777777777775</v>
      </c>
      <c r="G1546" s="49">
        <f t="shared" si="24"/>
        <v>7.4518518518518206E-3</v>
      </c>
      <c r="H1546" s="50">
        <v>41739</v>
      </c>
      <c r="I1546" s="51" t="s">
        <v>543</v>
      </c>
      <c r="J1546" s="51" t="s">
        <v>535</v>
      </c>
      <c r="K1546" s="51">
        <f>VLOOKUP(J1546,'Validacion reclamo de equipaje'!L:M,2,0)</f>
        <v>50</v>
      </c>
      <c r="L1546" s="51" t="str">
        <f>VLOOKUP(I1546,'Validacion reclamo de equipaje'!H:I,2,0)</f>
        <v>Nacional</v>
      </c>
      <c r="M1546" s="51" t="s">
        <v>523</v>
      </c>
    </row>
    <row r="1547" spans="1:13" x14ac:dyDescent="0.25">
      <c r="A1547">
        <v>2029</v>
      </c>
      <c r="B1547" s="47" t="str">
        <f>VLOOKUP(Tabla6[[#This Row],['# Vuelo]],'Validacion reclamo de equipaje'!P:Q,2,0)</f>
        <v>MEXICO AEREO</v>
      </c>
      <c r="C1547" s="52">
        <v>0.55902777777777779</v>
      </c>
      <c r="D1547" s="52">
        <v>0.56458333333333333</v>
      </c>
      <c r="E1547" s="53">
        <f>'Reclamo de equipaje rediseñado'!$D1547-'Reclamo de equipaje rediseñado'!$C1547</f>
        <v>5.5555555555555358E-3</v>
      </c>
      <c r="F1547" s="52">
        <v>0.56944444444444442</v>
      </c>
      <c r="G1547" s="53">
        <f t="shared" si="24"/>
        <v>4.8611111111110938E-3</v>
      </c>
      <c r="H1547" s="54">
        <v>41743</v>
      </c>
      <c r="I1547" s="55" t="s">
        <v>543</v>
      </c>
      <c r="J1547" s="55" t="s">
        <v>535</v>
      </c>
      <c r="K1547" s="55">
        <f>VLOOKUP(J1547,'Validacion reclamo de equipaje'!L:M,2,0)</f>
        <v>50</v>
      </c>
      <c r="L1547" s="55" t="str">
        <f>VLOOKUP(I1547,'Validacion reclamo de equipaje'!H:I,2,0)</f>
        <v>Nacional</v>
      </c>
      <c r="M1547" s="55" t="s">
        <v>523</v>
      </c>
    </row>
    <row r="1548" spans="1:13" x14ac:dyDescent="0.25">
      <c r="A1548">
        <v>2029</v>
      </c>
      <c r="B1548" s="47" t="str">
        <f>VLOOKUP(Tabla6[[#This Row],['# Vuelo]],'Validacion reclamo de equipaje'!P:Q,2,0)</f>
        <v>MEXICO AEREO</v>
      </c>
      <c r="C1548" s="48">
        <v>0.55972222222222223</v>
      </c>
      <c r="D1548" s="48">
        <v>0.5625</v>
      </c>
      <c r="E1548" s="49">
        <f>'Reclamo de equipaje rediseñado'!$D1548-'Reclamo de equipaje rediseñado'!$C1548</f>
        <v>2.7777777777777679E-3</v>
      </c>
      <c r="F1548" s="48">
        <v>0.56597222222222221</v>
      </c>
      <c r="G1548" s="49">
        <f t="shared" si="24"/>
        <v>3.4722222222222099E-3</v>
      </c>
      <c r="H1548" s="50">
        <v>41744</v>
      </c>
      <c r="I1548" s="51" t="s">
        <v>543</v>
      </c>
      <c r="J1548" s="51" t="s">
        <v>535</v>
      </c>
      <c r="K1548" s="51">
        <f>VLOOKUP(J1548,'Validacion reclamo de equipaje'!L:M,2,0)</f>
        <v>50</v>
      </c>
      <c r="L1548" s="51" t="str">
        <f>VLOOKUP(I1548,'Validacion reclamo de equipaje'!H:I,2,0)</f>
        <v>Nacional</v>
      </c>
      <c r="M1548" s="51" t="s">
        <v>523</v>
      </c>
    </row>
    <row r="1549" spans="1:13" x14ac:dyDescent="0.25">
      <c r="A1549">
        <v>2029</v>
      </c>
      <c r="B1549" s="47" t="str">
        <f>VLOOKUP(Tabla6[[#This Row],['# Vuelo]],'Validacion reclamo de equipaje'!P:Q,2,0)</f>
        <v>MEXICO AEREO</v>
      </c>
      <c r="C1549" s="52">
        <v>0.56805555555555554</v>
      </c>
      <c r="D1549" s="52">
        <v>0.5708333333333333</v>
      </c>
      <c r="E1549" s="53">
        <f>'Reclamo de equipaje rediseñado'!$D1549-'Reclamo de equipaje rediseñado'!$C1549</f>
        <v>2.7777777777777679E-3</v>
      </c>
      <c r="F1549" s="52">
        <v>0.5756944444444444</v>
      </c>
      <c r="G1549" s="53">
        <f t="shared" si="24"/>
        <v>4.8611111111110938E-3</v>
      </c>
      <c r="H1549" s="54">
        <v>41745</v>
      </c>
      <c r="I1549" s="55" t="s">
        <v>543</v>
      </c>
      <c r="J1549" s="55" t="s">
        <v>535</v>
      </c>
      <c r="K1549" s="55">
        <f>VLOOKUP(J1549,'Validacion reclamo de equipaje'!L:M,2,0)</f>
        <v>50</v>
      </c>
      <c r="L1549" s="55" t="str">
        <f>VLOOKUP(I1549,'Validacion reclamo de equipaje'!H:I,2,0)</f>
        <v>Nacional</v>
      </c>
      <c r="M1549" s="55" t="s">
        <v>523</v>
      </c>
    </row>
    <row r="1550" spans="1:13" x14ac:dyDescent="0.25">
      <c r="A1550">
        <v>2029</v>
      </c>
      <c r="B1550" s="47" t="str">
        <f>VLOOKUP(Tabla6[[#This Row],['# Vuelo]],'Validacion reclamo de equipaje'!P:Q,2,0)</f>
        <v>MEXICO AEREO</v>
      </c>
      <c r="C1550" s="48">
        <v>0.54861111111111105</v>
      </c>
      <c r="D1550" s="48">
        <v>0.5541666666666667</v>
      </c>
      <c r="E1550" s="49">
        <f>'Reclamo de equipaje rediseñado'!$D1550-'Reclamo de equipaje rediseñado'!$C1550</f>
        <v>5.5555555555556468E-3</v>
      </c>
      <c r="F1550" s="48">
        <v>0.56041666666666667</v>
      </c>
      <c r="G1550" s="49">
        <f t="shared" si="24"/>
        <v>6.2499999999999778E-3</v>
      </c>
      <c r="H1550" s="50">
        <v>41746</v>
      </c>
      <c r="I1550" s="51" t="s">
        <v>543</v>
      </c>
      <c r="J1550" s="51" t="s">
        <v>535</v>
      </c>
      <c r="K1550" s="51">
        <f>VLOOKUP(J1550,'Validacion reclamo de equipaje'!L:M,2,0)</f>
        <v>50</v>
      </c>
      <c r="L1550" s="51" t="str">
        <f>VLOOKUP(I1550,'Validacion reclamo de equipaje'!H:I,2,0)</f>
        <v>Nacional</v>
      </c>
      <c r="M1550" s="51" t="s">
        <v>523</v>
      </c>
    </row>
    <row r="1551" spans="1:13" x14ac:dyDescent="0.25">
      <c r="A1551">
        <v>2029</v>
      </c>
      <c r="B1551" s="47" t="str">
        <f>VLOOKUP(Tabla6[[#This Row],['# Vuelo]],'Validacion reclamo de equipaje'!P:Q,2,0)</f>
        <v>MEXICO AEREO</v>
      </c>
      <c r="C1551" s="52">
        <v>0.59722222222222221</v>
      </c>
      <c r="D1551" s="52">
        <v>0.60416666666666663</v>
      </c>
      <c r="E1551" s="53">
        <f>'Reclamo de equipaje rediseñado'!$D1551-'Reclamo de equipaje rediseñado'!$C1551</f>
        <v>6.9444444444444198E-3</v>
      </c>
      <c r="F1551" s="52">
        <v>0.60625000000000007</v>
      </c>
      <c r="G1551" s="53">
        <f t="shared" si="24"/>
        <v>2.083333333333437E-3</v>
      </c>
      <c r="H1551" s="54">
        <v>41748</v>
      </c>
      <c r="I1551" s="55" t="s">
        <v>543</v>
      </c>
      <c r="J1551" s="55" t="s">
        <v>535</v>
      </c>
      <c r="K1551" s="55">
        <f>VLOOKUP(J1551,'Validacion reclamo de equipaje'!L:M,2,0)</f>
        <v>50</v>
      </c>
      <c r="L1551" s="55" t="str">
        <f>VLOOKUP(I1551,'Validacion reclamo de equipaje'!H:I,2,0)</f>
        <v>Nacional</v>
      </c>
      <c r="M1551" s="55" t="s">
        <v>523</v>
      </c>
    </row>
    <row r="1552" spans="1:13" x14ac:dyDescent="0.25">
      <c r="A1552">
        <v>2029</v>
      </c>
      <c r="B1552" s="47" t="str">
        <f>VLOOKUP(Tabla6[[#This Row],['# Vuelo]],'Validacion reclamo de equipaje'!P:Q,2,0)</f>
        <v>MEXICO AEREO</v>
      </c>
      <c r="C1552" s="48">
        <v>0.58611111111111114</v>
      </c>
      <c r="D1552" s="48">
        <v>0.58680555555555558</v>
      </c>
      <c r="E1552" s="49">
        <f>'Reclamo de equipaje rediseñado'!$D1552-'Reclamo de equipaje rediseñado'!$C1552</f>
        <v>6.9444444444444198E-4</v>
      </c>
      <c r="F1552" s="48">
        <v>0.59305555555555556</v>
      </c>
      <c r="G1552" s="49">
        <f t="shared" si="24"/>
        <v>6.2499999999999778E-3</v>
      </c>
      <c r="H1552" s="50">
        <v>41749</v>
      </c>
      <c r="I1552" s="51" t="s">
        <v>543</v>
      </c>
      <c r="J1552" s="51" t="s">
        <v>535</v>
      </c>
      <c r="K1552" s="51">
        <f>VLOOKUP(J1552,'Validacion reclamo de equipaje'!L:M,2,0)</f>
        <v>50</v>
      </c>
      <c r="L1552" s="51" t="str">
        <f>VLOOKUP(I1552,'Validacion reclamo de equipaje'!H:I,2,0)</f>
        <v>Nacional</v>
      </c>
      <c r="M1552" s="51" t="s">
        <v>523</v>
      </c>
    </row>
    <row r="1553" spans="1:13" x14ac:dyDescent="0.25">
      <c r="A1553">
        <v>2029</v>
      </c>
      <c r="B1553" s="47" t="str">
        <f>VLOOKUP(Tabla6[[#This Row],['# Vuelo]],'Validacion reclamo de equipaje'!P:Q,2,0)</f>
        <v>MEXICO AEREO</v>
      </c>
      <c r="C1553" s="52">
        <v>0.61805555555555558</v>
      </c>
      <c r="D1553" s="52">
        <v>0.62708333333333333</v>
      </c>
      <c r="E1553" s="53">
        <f>'Reclamo de equipaje rediseñado'!$D1553-'Reclamo de equipaje rediseñado'!$C1553</f>
        <v>9.0277777777777457E-3</v>
      </c>
      <c r="F1553" s="52">
        <v>0.63194444444444442</v>
      </c>
      <c r="G1553" s="53">
        <f t="shared" si="24"/>
        <v>4.8611111111110938E-3</v>
      </c>
      <c r="H1553" s="54">
        <v>41750</v>
      </c>
      <c r="I1553" s="55" t="s">
        <v>543</v>
      </c>
      <c r="J1553" s="55" t="s">
        <v>535</v>
      </c>
      <c r="K1553" s="55">
        <f>VLOOKUP(J1553,'Validacion reclamo de equipaje'!L:M,2,0)</f>
        <v>50</v>
      </c>
      <c r="L1553" s="55" t="str">
        <f>VLOOKUP(I1553,'Validacion reclamo de equipaje'!H:I,2,0)</f>
        <v>Nacional</v>
      </c>
      <c r="M1553" s="55" t="s">
        <v>523</v>
      </c>
    </row>
    <row r="1554" spans="1:13" x14ac:dyDescent="0.25">
      <c r="A1554">
        <v>2029</v>
      </c>
      <c r="B1554" s="47" t="str">
        <f>VLOOKUP(Tabla6[[#This Row],['# Vuelo]],'Validacion reclamo de equipaje'!P:Q,2,0)</f>
        <v>MEXICO AEREO</v>
      </c>
      <c r="C1554" s="48">
        <v>0.58819444444444446</v>
      </c>
      <c r="D1554" s="48">
        <v>0.59375</v>
      </c>
      <c r="E1554" s="49">
        <f>'Reclamo de equipaje rediseñado'!$D1554-'Reclamo de equipaje rediseñado'!$C1554</f>
        <v>5.5555555555555358E-3</v>
      </c>
      <c r="F1554" s="48">
        <v>0.59791666666666665</v>
      </c>
      <c r="G1554" s="49">
        <f t="shared" si="24"/>
        <v>4.1666666666666519E-3</v>
      </c>
      <c r="H1554" s="50">
        <v>41751</v>
      </c>
      <c r="I1554" s="51" t="s">
        <v>543</v>
      </c>
      <c r="J1554" s="51" t="s">
        <v>535</v>
      </c>
      <c r="K1554" s="51">
        <f>VLOOKUP(J1554,'Validacion reclamo de equipaje'!L:M,2,0)</f>
        <v>50</v>
      </c>
      <c r="L1554" s="51" t="str">
        <f>VLOOKUP(I1554,'Validacion reclamo de equipaje'!H:I,2,0)</f>
        <v>Nacional</v>
      </c>
      <c r="M1554" s="51" t="s">
        <v>523</v>
      </c>
    </row>
    <row r="1555" spans="1:13" x14ac:dyDescent="0.25">
      <c r="A1555">
        <v>2029</v>
      </c>
      <c r="B1555" s="47" t="str">
        <f>VLOOKUP(Tabla6[[#This Row],['# Vuelo]],'Validacion reclamo de equipaje'!P:Q,2,0)</f>
        <v>MEXICO AEREO</v>
      </c>
      <c r="C1555" s="52">
        <v>0.56736111111111109</v>
      </c>
      <c r="D1555" s="52">
        <v>0.56944444444444442</v>
      </c>
      <c r="E1555" s="53">
        <f>'Reclamo de equipaje rediseñado'!$D1555-'Reclamo de equipaje rediseñado'!$C1555</f>
        <v>2.0833333333333259E-3</v>
      </c>
      <c r="F1555" s="52">
        <v>0.57986111111111105</v>
      </c>
      <c r="G1555" s="53">
        <f t="shared" si="24"/>
        <v>1.041666666666663E-2</v>
      </c>
      <c r="H1555" s="54">
        <v>41753</v>
      </c>
      <c r="I1555" s="55" t="s">
        <v>543</v>
      </c>
      <c r="J1555" s="55" t="s">
        <v>535</v>
      </c>
      <c r="K1555" s="55">
        <f>VLOOKUP(J1555,'Validacion reclamo de equipaje'!L:M,2,0)</f>
        <v>50</v>
      </c>
      <c r="L1555" s="55" t="str">
        <f>VLOOKUP(I1555,'Validacion reclamo de equipaje'!H:I,2,0)</f>
        <v>Nacional</v>
      </c>
      <c r="M1555" s="55" t="s">
        <v>523</v>
      </c>
    </row>
    <row r="1556" spans="1:13" x14ac:dyDescent="0.25">
      <c r="A1556">
        <v>2029</v>
      </c>
      <c r="B1556" s="47" t="str">
        <f>VLOOKUP(Tabla6[[#This Row],['# Vuelo]],'Validacion reclamo de equipaje'!P:Q,2,0)</f>
        <v>MEXICO AEREO</v>
      </c>
      <c r="C1556" s="48">
        <v>0.56736111111111109</v>
      </c>
      <c r="D1556" s="48">
        <v>0.57152777777777775</v>
      </c>
      <c r="E1556" s="49">
        <f>'Reclamo de equipaje rediseñado'!$D1556-'Reclamo de equipaje rediseñado'!$C1556</f>
        <v>4.1666666666666519E-3</v>
      </c>
      <c r="F1556" s="48">
        <v>0.57500000000000007</v>
      </c>
      <c r="G1556" s="49">
        <f t="shared" si="24"/>
        <v>3.4722222222223209E-3</v>
      </c>
      <c r="H1556" s="50">
        <v>41754</v>
      </c>
      <c r="I1556" s="51" t="s">
        <v>543</v>
      </c>
      <c r="J1556" s="51" t="s">
        <v>535</v>
      </c>
      <c r="K1556" s="51">
        <f>VLOOKUP(J1556,'Validacion reclamo de equipaje'!L:M,2,0)</f>
        <v>50</v>
      </c>
      <c r="L1556" s="51" t="str">
        <f>VLOOKUP(I1556,'Validacion reclamo de equipaje'!H:I,2,0)</f>
        <v>Nacional</v>
      </c>
      <c r="M1556" s="51" t="s">
        <v>523</v>
      </c>
    </row>
    <row r="1557" spans="1:13" x14ac:dyDescent="0.25">
      <c r="A1557">
        <v>2029</v>
      </c>
      <c r="B1557" s="47" t="str">
        <f>VLOOKUP(Tabla6[[#This Row],['# Vuelo]],'Validacion reclamo de equipaje'!P:Q,2,0)</f>
        <v>MEXICO AEREO</v>
      </c>
      <c r="C1557" s="52">
        <v>0.55902777777777779</v>
      </c>
      <c r="D1557" s="52">
        <v>0.56666666666666665</v>
      </c>
      <c r="E1557" s="53">
        <f>'Reclamo de equipaje rediseñado'!$D1557-'Reclamo de equipaje rediseñado'!$C1557</f>
        <v>7.6388888888888618E-3</v>
      </c>
      <c r="F1557" s="52">
        <v>0.56874999999999998</v>
      </c>
      <c r="G1557" s="53">
        <f t="shared" si="24"/>
        <v>2.0833333333333259E-3</v>
      </c>
      <c r="H1557" s="54">
        <v>41757</v>
      </c>
      <c r="I1557" s="55" t="s">
        <v>543</v>
      </c>
      <c r="J1557" s="55" t="s">
        <v>535</v>
      </c>
      <c r="K1557" s="55">
        <f>VLOOKUP(J1557,'Validacion reclamo de equipaje'!L:M,2,0)</f>
        <v>50</v>
      </c>
      <c r="L1557" s="55" t="str">
        <f>VLOOKUP(I1557,'Validacion reclamo de equipaje'!H:I,2,0)</f>
        <v>Nacional</v>
      </c>
      <c r="M1557" s="55" t="s">
        <v>523</v>
      </c>
    </row>
    <row r="1558" spans="1:13" x14ac:dyDescent="0.25">
      <c r="A1558">
        <v>2029</v>
      </c>
      <c r="B1558" s="47" t="str">
        <f>VLOOKUP(Tabla6[[#This Row],['# Vuelo]],'Validacion reclamo de equipaje'!P:Q,2,0)</f>
        <v>MEXICO AEREO</v>
      </c>
      <c r="C1558" s="48">
        <v>0.55208333333333337</v>
      </c>
      <c r="D1558" s="48">
        <v>0.55902777777777779</v>
      </c>
      <c r="E1558" s="49">
        <f>'Reclamo de equipaje rediseñado'!$D1558-'Reclamo de equipaje rediseñado'!$C1558</f>
        <v>6.9444444444444198E-3</v>
      </c>
      <c r="F1558" s="48">
        <v>0.56319444444444444</v>
      </c>
      <c r="G1558" s="49">
        <f t="shared" si="24"/>
        <v>4.1666666666666519E-3</v>
      </c>
      <c r="H1558" s="50">
        <v>41758</v>
      </c>
      <c r="I1558" s="51" t="s">
        <v>543</v>
      </c>
      <c r="J1558" s="51" t="s">
        <v>535</v>
      </c>
      <c r="K1558" s="51">
        <f>VLOOKUP(J1558,'Validacion reclamo de equipaje'!L:M,2,0)</f>
        <v>50</v>
      </c>
      <c r="L1558" s="51" t="str">
        <f>VLOOKUP(I1558,'Validacion reclamo de equipaje'!H:I,2,0)</f>
        <v>Nacional</v>
      </c>
      <c r="M1558" s="51" t="s">
        <v>523</v>
      </c>
    </row>
    <row r="1559" spans="1:13" x14ac:dyDescent="0.25">
      <c r="A1559">
        <v>2028</v>
      </c>
      <c r="B1559" s="47" t="str">
        <f>VLOOKUP(Tabla6[[#This Row],['# Vuelo]],'Validacion reclamo de equipaje'!P:Q,2,0)</f>
        <v>MEXICO AEREO</v>
      </c>
      <c r="C1559" s="52">
        <v>0.75277777777777777</v>
      </c>
      <c r="D1559" s="52">
        <v>0.75763888888888886</v>
      </c>
      <c r="E1559" s="53">
        <f>'Reclamo de equipaje rediseñado'!$D1559-'Reclamo de equipaje rediseñado'!$C1559</f>
        <v>4.8611111111110938E-3</v>
      </c>
      <c r="F1559" s="52">
        <v>0.7597222222222223</v>
      </c>
      <c r="G1559" s="53">
        <f t="shared" si="24"/>
        <v>2.083333333333437E-3</v>
      </c>
      <c r="H1559" s="54">
        <v>41730</v>
      </c>
      <c r="I1559" s="55" t="s">
        <v>552</v>
      </c>
      <c r="J1559" s="55" t="s">
        <v>535</v>
      </c>
      <c r="K1559" s="55">
        <f>VLOOKUP(J1559,'Validacion reclamo de equipaje'!L:M,2,0)</f>
        <v>50</v>
      </c>
      <c r="L1559" s="55" t="str">
        <f>VLOOKUP(I1559,'Validacion reclamo de equipaje'!H:I,2,0)</f>
        <v>Nacional</v>
      </c>
      <c r="M1559" s="55" t="s">
        <v>523</v>
      </c>
    </row>
    <row r="1560" spans="1:13" x14ac:dyDescent="0.25">
      <c r="A1560">
        <v>2028</v>
      </c>
      <c r="B1560" s="47" t="str">
        <f>VLOOKUP(Tabla6[[#This Row],['# Vuelo]],'Validacion reclamo de equipaje'!P:Q,2,0)</f>
        <v>MEXICO AEREO</v>
      </c>
      <c r="C1560" s="48">
        <v>0.75208333333333333</v>
      </c>
      <c r="D1560" s="48">
        <v>0.7583333333333333</v>
      </c>
      <c r="E1560" s="49">
        <f>'Reclamo de equipaje rediseñado'!$D1560-'Reclamo de equipaje rediseñado'!$C1560</f>
        <v>6.2499999999999778E-3</v>
      </c>
      <c r="F1560" s="48">
        <v>0.76111111111111107</v>
      </c>
      <c r="G1560" s="49">
        <f t="shared" si="24"/>
        <v>2.7777777777777679E-3</v>
      </c>
      <c r="H1560" s="50">
        <v>41731</v>
      </c>
      <c r="I1560" s="51" t="s">
        <v>552</v>
      </c>
      <c r="J1560" s="51" t="s">
        <v>535</v>
      </c>
      <c r="K1560" s="51">
        <f>VLOOKUP(J1560,'Validacion reclamo de equipaje'!L:M,2,0)</f>
        <v>50</v>
      </c>
      <c r="L1560" s="51" t="str">
        <f>VLOOKUP(I1560,'Validacion reclamo de equipaje'!H:I,2,0)</f>
        <v>Nacional</v>
      </c>
      <c r="M1560" s="51" t="s">
        <v>523</v>
      </c>
    </row>
    <row r="1561" spans="1:13" x14ac:dyDescent="0.25">
      <c r="A1561">
        <v>2028</v>
      </c>
      <c r="B1561" s="47" t="str">
        <f>VLOOKUP(Tabla6[[#This Row],['# Vuelo]],'Validacion reclamo de equipaje'!P:Q,2,0)</f>
        <v>MEXICO AEREO</v>
      </c>
      <c r="C1561" s="52">
        <v>0.75208333333333333</v>
      </c>
      <c r="D1561" s="52">
        <v>0.76180555555555562</v>
      </c>
      <c r="E1561" s="53">
        <f>'Reclamo de equipaje rediseñado'!$D1561-'Reclamo de equipaje rediseñado'!$C1561</f>
        <v>9.7222222222222987E-3</v>
      </c>
      <c r="F1561" s="52">
        <v>0.76388888888888884</v>
      </c>
      <c r="G1561" s="53">
        <f t="shared" si="24"/>
        <v>2.0833333333332149E-3</v>
      </c>
      <c r="H1561" s="54">
        <v>41733</v>
      </c>
      <c r="I1561" s="55" t="s">
        <v>552</v>
      </c>
      <c r="J1561" s="55" t="s">
        <v>535</v>
      </c>
      <c r="K1561" s="55">
        <f>VLOOKUP(J1561,'Validacion reclamo de equipaje'!L:M,2,0)</f>
        <v>50</v>
      </c>
      <c r="L1561" s="55" t="str">
        <f>VLOOKUP(I1561,'Validacion reclamo de equipaje'!H:I,2,0)</f>
        <v>Nacional</v>
      </c>
      <c r="M1561" s="55" t="s">
        <v>523</v>
      </c>
    </row>
    <row r="1562" spans="1:13" x14ac:dyDescent="0.25">
      <c r="A1562">
        <v>2028</v>
      </c>
      <c r="B1562" s="47" t="str">
        <f>VLOOKUP(Tabla6[[#This Row],['# Vuelo]],'Validacion reclamo de equipaje'!P:Q,2,0)</f>
        <v>MEXICO AEREO</v>
      </c>
      <c r="C1562" s="48">
        <v>0.77083333333333337</v>
      </c>
      <c r="D1562" s="48">
        <v>0.77708333333333324</v>
      </c>
      <c r="E1562" s="49">
        <f>'Reclamo de equipaje rediseñado'!$D1562-'Reclamo de equipaje rediseñado'!$C1562</f>
        <v>6.2499999999998668E-3</v>
      </c>
      <c r="F1562" s="48">
        <v>0.78125</v>
      </c>
      <c r="G1562" s="49">
        <f t="shared" si="24"/>
        <v>4.1666666666667629E-3</v>
      </c>
      <c r="H1562" s="50">
        <v>41735</v>
      </c>
      <c r="I1562" s="51" t="s">
        <v>552</v>
      </c>
      <c r="J1562" s="51" t="s">
        <v>535</v>
      </c>
      <c r="K1562" s="51">
        <f>VLOOKUP(J1562,'Validacion reclamo de equipaje'!L:M,2,0)</f>
        <v>50</v>
      </c>
      <c r="L1562" s="51" t="str">
        <f>VLOOKUP(I1562,'Validacion reclamo de equipaje'!H:I,2,0)</f>
        <v>Nacional</v>
      </c>
      <c r="M1562" s="51" t="s">
        <v>523</v>
      </c>
    </row>
    <row r="1563" spans="1:13" x14ac:dyDescent="0.25">
      <c r="A1563">
        <v>2027</v>
      </c>
      <c r="B1563" s="47" t="str">
        <f>VLOOKUP(Tabla6[[#This Row],['# Vuelo]],'Validacion reclamo de equipaje'!P:Q,2,0)</f>
        <v>MEXICO AEREO</v>
      </c>
      <c r="C1563" s="52">
        <v>0.8520833333333333</v>
      </c>
      <c r="D1563" s="52">
        <v>0.8569444444444444</v>
      </c>
      <c r="E1563" s="53">
        <f>'Reclamo de equipaje rediseñado'!$D1563-'Reclamo de equipaje rediseñado'!$C1563</f>
        <v>4.8611111111110938E-3</v>
      </c>
      <c r="F1563" s="52">
        <v>0.87291666666666667</v>
      </c>
      <c r="G1563" s="53">
        <f t="shared" si="24"/>
        <v>1.5972222222222276E-2</v>
      </c>
      <c r="H1563" s="54">
        <v>41730</v>
      </c>
      <c r="I1563" s="55" t="s">
        <v>544</v>
      </c>
      <c r="J1563" s="55" t="s">
        <v>535</v>
      </c>
      <c r="K1563" s="55">
        <f>VLOOKUP(J1563,'Validacion reclamo de equipaje'!L:M,2,0)</f>
        <v>50</v>
      </c>
      <c r="L1563" s="55" t="str">
        <f>VLOOKUP(I1563,'Validacion reclamo de equipaje'!H:I,2,0)</f>
        <v>Nacional</v>
      </c>
      <c r="M1563" s="55" t="s">
        <v>523</v>
      </c>
    </row>
    <row r="1564" spans="1:13" x14ac:dyDescent="0.25">
      <c r="A1564">
        <v>2027</v>
      </c>
      <c r="B1564" s="47" t="str">
        <f>VLOOKUP(Tabla6[[#This Row],['# Vuelo]],'Validacion reclamo de equipaje'!P:Q,2,0)</f>
        <v>MEXICO AEREO</v>
      </c>
      <c r="C1564" s="48">
        <v>0.84027777777777779</v>
      </c>
      <c r="D1564" s="48">
        <v>0.85486111111111107</v>
      </c>
      <c r="E1564" s="49">
        <f>'Reclamo de equipaje rediseñado'!$D1564-'Reclamo de equipaje rediseñado'!$C1564</f>
        <v>1.4583333333333282E-2</v>
      </c>
      <c r="F1564" s="48">
        <v>0.85972222222222217</v>
      </c>
      <c r="G1564" s="49">
        <f t="shared" si="24"/>
        <v>4.8611111111110938E-3</v>
      </c>
      <c r="H1564" s="50">
        <v>41730</v>
      </c>
      <c r="I1564" s="51" t="s">
        <v>544</v>
      </c>
      <c r="J1564" s="51" t="s">
        <v>535</v>
      </c>
      <c r="K1564" s="51">
        <f>VLOOKUP(J1564,'Validacion reclamo de equipaje'!L:M,2,0)</f>
        <v>50</v>
      </c>
      <c r="L1564" s="51" t="str">
        <f>VLOOKUP(I1564,'Validacion reclamo de equipaje'!H:I,2,0)</f>
        <v>Nacional</v>
      </c>
      <c r="M1564" s="51" t="s">
        <v>523</v>
      </c>
    </row>
    <row r="1565" spans="1:13" x14ac:dyDescent="0.25">
      <c r="A1565">
        <v>2027</v>
      </c>
      <c r="B1565" s="47" t="str">
        <f>VLOOKUP(Tabla6[[#This Row],['# Vuelo]],'Validacion reclamo de equipaje'!P:Q,2,0)</f>
        <v>MEXICO AEREO</v>
      </c>
      <c r="C1565" s="52">
        <v>0.84236111111111101</v>
      </c>
      <c r="D1565" s="52">
        <v>0.86388888888888893</v>
      </c>
      <c r="E1565" s="53">
        <f>'Reclamo de equipaje rediseñado'!$D1565-'Reclamo de equipaje rediseñado'!$C1565</f>
        <v>2.1527777777777923E-2</v>
      </c>
      <c r="F1565" s="52">
        <v>0.8666666666666667</v>
      </c>
      <c r="G1565" s="53">
        <f t="shared" si="24"/>
        <v>2.7777777777777679E-3</v>
      </c>
      <c r="H1565" s="54">
        <v>41731</v>
      </c>
      <c r="I1565" s="55" t="s">
        <v>544</v>
      </c>
      <c r="J1565" s="55" t="s">
        <v>535</v>
      </c>
      <c r="K1565" s="55">
        <f>VLOOKUP(J1565,'Validacion reclamo de equipaje'!L:M,2,0)</f>
        <v>50</v>
      </c>
      <c r="L1565" s="55" t="str">
        <f>VLOOKUP(I1565,'Validacion reclamo de equipaje'!H:I,2,0)</f>
        <v>Nacional</v>
      </c>
      <c r="M1565" s="55" t="s">
        <v>523</v>
      </c>
    </row>
    <row r="1566" spans="1:13" x14ac:dyDescent="0.25">
      <c r="A1566">
        <v>2027</v>
      </c>
      <c r="B1566" s="47" t="str">
        <f>VLOOKUP(Tabla6[[#This Row],['# Vuelo]],'Validacion reclamo de equipaje'!P:Q,2,0)</f>
        <v>MEXICO AEREO</v>
      </c>
      <c r="C1566" s="48">
        <v>0.87847222222222221</v>
      </c>
      <c r="D1566" s="48">
        <v>0.88124999999999998</v>
      </c>
      <c r="E1566" s="49">
        <f>'Reclamo de equipaje rediseñado'!$D1566-'Reclamo de equipaje rediseñado'!$C1566</f>
        <v>2.7777777777777679E-3</v>
      </c>
      <c r="F1566" s="48">
        <v>0.8833333333333333</v>
      </c>
      <c r="G1566" s="49">
        <f t="shared" si="24"/>
        <v>2.0833333333333259E-3</v>
      </c>
      <c r="H1566" s="50">
        <v>41732</v>
      </c>
      <c r="I1566" s="51" t="s">
        <v>544</v>
      </c>
      <c r="J1566" s="51" t="s">
        <v>535</v>
      </c>
      <c r="K1566" s="51">
        <f>VLOOKUP(J1566,'Validacion reclamo de equipaje'!L:M,2,0)</f>
        <v>50</v>
      </c>
      <c r="L1566" s="51" t="str">
        <f>VLOOKUP(I1566,'Validacion reclamo de equipaje'!H:I,2,0)</f>
        <v>Nacional</v>
      </c>
      <c r="M1566" s="51" t="s">
        <v>523</v>
      </c>
    </row>
    <row r="1567" spans="1:13" x14ac:dyDescent="0.25">
      <c r="A1567">
        <v>2027</v>
      </c>
      <c r="B1567" s="47" t="str">
        <f>VLOOKUP(Tabla6[[#This Row],['# Vuelo]],'Validacion reclamo de equipaje'!P:Q,2,0)</f>
        <v>MEXICO AEREO</v>
      </c>
      <c r="C1567" s="52">
        <v>0.37152777777777773</v>
      </c>
      <c r="D1567" s="52">
        <v>0.37222222222222223</v>
      </c>
      <c r="E1567" s="53">
        <f>'Reclamo de equipaje rediseñado'!$D1567-'Reclamo de equipaje rediseñado'!$C1567</f>
        <v>6.9444444444449749E-4</v>
      </c>
      <c r="F1567" s="52">
        <v>0.3743055555555555</v>
      </c>
      <c r="G1567" s="53">
        <f t="shared" si="24"/>
        <v>2.0833333333332704E-3</v>
      </c>
      <c r="H1567" s="54">
        <v>41735</v>
      </c>
      <c r="I1567" s="55" t="s">
        <v>544</v>
      </c>
      <c r="J1567" s="55" t="s">
        <v>535</v>
      </c>
      <c r="K1567" s="55">
        <f>VLOOKUP(J1567,'Validacion reclamo de equipaje'!L:M,2,0)</f>
        <v>50</v>
      </c>
      <c r="L1567" s="55" t="str">
        <f>VLOOKUP(I1567,'Validacion reclamo de equipaje'!H:I,2,0)</f>
        <v>Nacional</v>
      </c>
      <c r="M1567" s="55" t="s">
        <v>523</v>
      </c>
    </row>
    <row r="1568" spans="1:13" x14ac:dyDescent="0.25">
      <c r="A1568">
        <v>2024</v>
      </c>
      <c r="B1568" s="47" t="str">
        <f>VLOOKUP(Tabla6[[#This Row],['# Vuelo]],'Validacion reclamo de equipaje'!P:Q,2,0)</f>
        <v>MEXICO AEREO</v>
      </c>
      <c r="C1568" s="48">
        <v>0.47569444444444442</v>
      </c>
      <c r="D1568" s="48">
        <v>0.4826388888888889</v>
      </c>
      <c r="E1568" s="49">
        <f>'Reclamo de equipaje rediseñado'!$D1568-'Reclamo de equipaje rediseñado'!$C1568</f>
        <v>6.9444444444444753E-3</v>
      </c>
      <c r="F1568" s="48">
        <v>0.48402777777777778</v>
      </c>
      <c r="G1568" s="49">
        <f t="shared" si="24"/>
        <v>1.388888888888884E-3</v>
      </c>
      <c r="H1568" s="50">
        <v>41759</v>
      </c>
      <c r="I1568" s="51" t="s">
        <v>544</v>
      </c>
      <c r="J1568" s="51" t="s">
        <v>535</v>
      </c>
      <c r="K1568" s="51">
        <f>VLOOKUP(J1568,'Validacion reclamo de equipaje'!L:M,2,0)</f>
        <v>50</v>
      </c>
      <c r="L1568" s="51" t="str">
        <f>VLOOKUP(I1568,'Validacion reclamo de equipaje'!H:I,2,0)</f>
        <v>Nacional</v>
      </c>
      <c r="M1568" s="51" t="s">
        <v>523</v>
      </c>
    </row>
    <row r="1569" spans="1:13" x14ac:dyDescent="0.25">
      <c r="A1569">
        <v>2024</v>
      </c>
      <c r="B1569" s="47" t="str">
        <f>VLOOKUP(Tabla6[[#This Row],['# Vuelo]],'Validacion reclamo de equipaje'!P:Q,2,0)</f>
        <v>MEXICO AEREO</v>
      </c>
      <c r="C1569" s="52">
        <v>0.68541666666666667</v>
      </c>
      <c r="D1569" s="52">
        <v>0.69027777777777777</v>
      </c>
      <c r="E1569" s="53">
        <f>'Reclamo de equipaje rediseñado'!$D1569-'Reclamo de equipaje rediseñado'!$C1569</f>
        <v>4.8611111111110938E-3</v>
      </c>
      <c r="F1569" s="52">
        <v>0.69236111111111109</v>
      </c>
      <c r="G1569" s="53">
        <f t="shared" si="24"/>
        <v>2.0833333333333259E-3</v>
      </c>
      <c r="H1569" s="54">
        <v>41736</v>
      </c>
      <c r="I1569" s="55" t="s">
        <v>544</v>
      </c>
      <c r="J1569" s="55" t="s">
        <v>535</v>
      </c>
      <c r="K1569" s="55">
        <f>VLOOKUP(J1569,'Validacion reclamo de equipaje'!L:M,2,0)</f>
        <v>50</v>
      </c>
      <c r="L1569" s="55" t="str">
        <f>VLOOKUP(I1569,'Validacion reclamo de equipaje'!H:I,2,0)</f>
        <v>Nacional</v>
      </c>
      <c r="M1569" s="55" t="s">
        <v>523</v>
      </c>
    </row>
    <row r="1570" spans="1:13" x14ac:dyDescent="0.25">
      <c r="A1570">
        <v>2024</v>
      </c>
      <c r="B1570" s="47" t="str">
        <f>VLOOKUP(Tabla6[[#This Row],['# Vuelo]],'Validacion reclamo de equipaje'!P:Q,2,0)</f>
        <v>MEXICO AEREO</v>
      </c>
      <c r="C1570" s="48">
        <v>0.66666666666666663</v>
      </c>
      <c r="D1570" s="48">
        <v>0.67361111111111116</v>
      </c>
      <c r="E1570" s="49">
        <f>'Reclamo de equipaje rediseñado'!$D1570-'Reclamo de equipaje rediseñado'!$C1570</f>
        <v>6.9444444444445308E-3</v>
      </c>
      <c r="F1570" s="48">
        <v>0.68125000000000002</v>
      </c>
      <c r="G1570" s="49">
        <f t="shared" si="24"/>
        <v>7.6388888888888618E-3</v>
      </c>
      <c r="H1570" s="50">
        <v>41737</v>
      </c>
      <c r="I1570" s="51" t="s">
        <v>544</v>
      </c>
      <c r="J1570" s="51" t="s">
        <v>535</v>
      </c>
      <c r="K1570" s="51">
        <f>VLOOKUP(J1570,'Validacion reclamo de equipaje'!L:M,2,0)</f>
        <v>50</v>
      </c>
      <c r="L1570" s="51" t="str">
        <f>VLOOKUP(I1570,'Validacion reclamo de equipaje'!H:I,2,0)</f>
        <v>Nacional</v>
      </c>
      <c r="M1570" s="51" t="s">
        <v>523</v>
      </c>
    </row>
    <row r="1571" spans="1:13" x14ac:dyDescent="0.25">
      <c r="A1571">
        <v>2024</v>
      </c>
      <c r="B1571" s="47" t="str">
        <f>VLOOKUP(Tabla6[[#This Row],['# Vuelo]],'Validacion reclamo de equipaje'!P:Q,2,0)</f>
        <v>MEXICO AEREO</v>
      </c>
      <c r="C1571" s="52">
        <v>0.67361111111111116</v>
      </c>
      <c r="D1571" s="52">
        <v>0.67569444444444438</v>
      </c>
      <c r="E1571" s="53">
        <f>'Reclamo de equipaje rediseñado'!$D1571-'Reclamo de equipaje rediseñado'!$C1571</f>
        <v>2.0833333333332149E-3</v>
      </c>
      <c r="F1571" s="52">
        <v>0.67708333333333337</v>
      </c>
      <c r="G1571" s="53">
        <f t="shared" si="24"/>
        <v>1.388888888888995E-3</v>
      </c>
      <c r="H1571" s="54">
        <v>41738</v>
      </c>
      <c r="I1571" s="55" t="s">
        <v>544</v>
      </c>
      <c r="J1571" s="55" t="s">
        <v>535</v>
      </c>
      <c r="K1571" s="55">
        <f>VLOOKUP(J1571,'Validacion reclamo de equipaje'!L:M,2,0)</f>
        <v>50</v>
      </c>
      <c r="L1571" s="55" t="str">
        <f>VLOOKUP(I1571,'Validacion reclamo de equipaje'!H:I,2,0)</f>
        <v>Nacional</v>
      </c>
      <c r="M1571" s="55" t="s">
        <v>523</v>
      </c>
    </row>
    <row r="1572" spans="1:13" x14ac:dyDescent="0.25">
      <c r="A1572">
        <v>2024</v>
      </c>
      <c r="B1572" s="47" t="str">
        <f>VLOOKUP(Tabla6[[#This Row],['# Vuelo]],'Validacion reclamo de equipaje'!P:Q,2,0)</f>
        <v>MEXICO AEREO</v>
      </c>
      <c r="C1572" s="48">
        <v>0.66666666666666663</v>
      </c>
      <c r="D1572" s="48">
        <v>0.67152777777777783</v>
      </c>
      <c r="E1572" s="49">
        <f>'Reclamo de equipaje rediseñado'!$D1572-'Reclamo de equipaje rediseñado'!$C1572</f>
        <v>4.8611111111112049E-3</v>
      </c>
      <c r="F1572" s="48">
        <v>0.67361111111111116</v>
      </c>
      <c r="G1572" s="49">
        <f t="shared" si="24"/>
        <v>2.0833333333333259E-3</v>
      </c>
      <c r="H1572" s="50">
        <v>41739</v>
      </c>
      <c r="I1572" s="51" t="s">
        <v>544</v>
      </c>
      <c r="J1572" s="51" t="s">
        <v>535</v>
      </c>
      <c r="K1572" s="51">
        <f>VLOOKUP(J1572,'Validacion reclamo de equipaje'!L:M,2,0)</f>
        <v>50</v>
      </c>
      <c r="L1572" s="51" t="str">
        <f>VLOOKUP(I1572,'Validacion reclamo de equipaje'!H:I,2,0)</f>
        <v>Nacional</v>
      </c>
      <c r="M1572" s="51" t="s">
        <v>523</v>
      </c>
    </row>
    <row r="1573" spans="1:13" x14ac:dyDescent="0.25">
      <c r="A1573">
        <v>2024</v>
      </c>
      <c r="B1573" s="47" t="str">
        <f>VLOOKUP(Tabla6[[#This Row],['# Vuelo]],'Validacion reclamo de equipaje'!P:Q,2,0)</f>
        <v>MEXICO AEREO</v>
      </c>
      <c r="C1573" s="52">
        <v>0.61805555555555558</v>
      </c>
      <c r="D1573" s="52">
        <v>0.63541666666666663</v>
      </c>
      <c r="E1573" s="53">
        <f>'Reclamo de equipaje rediseñado'!$D1573-'Reclamo de equipaje rediseñado'!$C1573</f>
        <v>1.7361111111111049E-2</v>
      </c>
      <c r="F1573" s="52">
        <v>0.63750000000000007</v>
      </c>
      <c r="G1573" s="53">
        <f t="shared" si="24"/>
        <v>2.083333333333437E-3</v>
      </c>
      <c r="H1573" s="54">
        <v>41741</v>
      </c>
      <c r="I1573" s="55" t="s">
        <v>544</v>
      </c>
      <c r="J1573" s="55" t="s">
        <v>535</v>
      </c>
      <c r="K1573" s="55">
        <f>VLOOKUP(J1573,'Validacion reclamo de equipaje'!L:M,2,0)</f>
        <v>50</v>
      </c>
      <c r="L1573" s="55" t="str">
        <f>VLOOKUP(I1573,'Validacion reclamo de equipaje'!H:I,2,0)</f>
        <v>Nacional</v>
      </c>
      <c r="M1573" s="55" t="s">
        <v>523</v>
      </c>
    </row>
    <row r="1574" spans="1:13" x14ac:dyDescent="0.25">
      <c r="A1574">
        <v>2024</v>
      </c>
      <c r="B1574" s="47" t="str">
        <f>VLOOKUP(Tabla6[[#This Row],['# Vuelo]],'Validacion reclamo de equipaje'!P:Q,2,0)</f>
        <v>MEXICO AEREO</v>
      </c>
      <c r="C1574" s="48">
        <v>0.79305555555555562</v>
      </c>
      <c r="D1574" s="48">
        <v>0.7993055555555556</v>
      </c>
      <c r="E1574" s="49">
        <f>'Reclamo de equipaje rediseñado'!$D1574-'Reclamo de equipaje rediseñado'!$C1574</f>
        <v>6.2499999999999778E-3</v>
      </c>
      <c r="F1574" s="48">
        <v>0.80208333333333337</v>
      </c>
      <c r="G1574" s="49">
        <f t="shared" si="24"/>
        <v>2.7777777777777679E-3</v>
      </c>
      <c r="H1574" s="50">
        <v>41741</v>
      </c>
      <c r="I1574" s="51" t="s">
        <v>544</v>
      </c>
      <c r="J1574" s="51" t="s">
        <v>535</v>
      </c>
      <c r="K1574" s="51">
        <f>VLOOKUP(J1574,'Validacion reclamo de equipaje'!L:M,2,0)</f>
        <v>50</v>
      </c>
      <c r="L1574" s="51" t="str">
        <f>VLOOKUP(I1574,'Validacion reclamo de equipaje'!H:I,2,0)</f>
        <v>Nacional</v>
      </c>
      <c r="M1574" s="51" t="s">
        <v>523</v>
      </c>
    </row>
    <row r="1575" spans="1:13" x14ac:dyDescent="0.25">
      <c r="A1575">
        <v>2024</v>
      </c>
      <c r="B1575" s="47" t="str">
        <f>VLOOKUP(Tabla6[[#This Row],['# Vuelo]],'Validacion reclamo de equipaje'!P:Q,2,0)</f>
        <v>MEXICO AEREO</v>
      </c>
      <c r="C1575" s="52">
        <v>0.67152777777777783</v>
      </c>
      <c r="D1575" s="52">
        <v>0.67569444444444438</v>
      </c>
      <c r="E1575" s="53">
        <f>'Reclamo de equipaje rediseñado'!$D1575-'Reclamo de equipaje rediseñado'!$C1575</f>
        <v>4.1666666666665408E-3</v>
      </c>
      <c r="F1575" s="52">
        <v>0.6791666666666667</v>
      </c>
      <c r="G1575" s="53">
        <f t="shared" si="24"/>
        <v>3.4722222222223209E-3</v>
      </c>
      <c r="H1575" s="54">
        <v>41743</v>
      </c>
      <c r="I1575" s="55" t="s">
        <v>544</v>
      </c>
      <c r="J1575" s="55" t="s">
        <v>535</v>
      </c>
      <c r="K1575" s="55">
        <f>VLOOKUP(J1575,'Validacion reclamo de equipaje'!L:M,2,0)</f>
        <v>50</v>
      </c>
      <c r="L1575" s="55" t="str">
        <f>VLOOKUP(I1575,'Validacion reclamo de equipaje'!H:I,2,0)</f>
        <v>Nacional</v>
      </c>
      <c r="M1575" s="55" t="s">
        <v>523</v>
      </c>
    </row>
    <row r="1576" spans="1:13" x14ac:dyDescent="0.25">
      <c r="A1576">
        <v>2024</v>
      </c>
      <c r="B1576" s="47" t="str">
        <f>VLOOKUP(Tabla6[[#This Row],['# Vuelo]],'Validacion reclamo de equipaje'!P:Q,2,0)</f>
        <v>MEXICO AEREO</v>
      </c>
      <c r="C1576" s="48">
        <v>0.71458333333333324</v>
      </c>
      <c r="D1576" s="48">
        <v>0.72222222222222221</v>
      </c>
      <c r="E1576" s="49">
        <f>'Reclamo de equipaje rediseñado'!$D1576-'Reclamo de equipaje rediseñado'!$C1576</f>
        <v>7.6388888888889728E-3</v>
      </c>
      <c r="F1576" s="48">
        <v>0.72638888888888886</v>
      </c>
      <c r="G1576" s="49">
        <f t="shared" si="24"/>
        <v>4.1666666666666519E-3</v>
      </c>
      <c r="H1576" s="50">
        <v>41745</v>
      </c>
      <c r="I1576" s="51" t="s">
        <v>544</v>
      </c>
      <c r="J1576" s="51" t="s">
        <v>535</v>
      </c>
      <c r="K1576" s="51">
        <f>VLOOKUP(J1576,'Validacion reclamo de equipaje'!L:M,2,0)</f>
        <v>50</v>
      </c>
      <c r="L1576" s="51" t="str">
        <f>VLOOKUP(I1576,'Validacion reclamo de equipaje'!H:I,2,0)</f>
        <v>Nacional</v>
      </c>
      <c r="M1576" s="51" t="s">
        <v>523</v>
      </c>
    </row>
    <row r="1577" spans="1:13" x14ac:dyDescent="0.25">
      <c r="A1577">
        <v>2024</v>
      </c>
      <c r="B1577" s="47" t="str">
        <f>VLOOKUP(Tabla6[[#This Row],['# Vuelo]],'Validacion reclamo de equipaje'!P:Q,2,0)</f>
        <v>MEXICO AEREO</v>
      </c>
      <c r="C1577" s="52">
        <v>0.65277777777777779</v>
      </c>
      <c r="D1577" s="52">
        <v>0.66041666666666665</v>
      </c>
      <c r="E1577" s="53">
        <f>'Reclamo de equipaje rediseñado'!$D1577-'Reclamo de equipaje rediseñado'!$C1577</f>
        <v>7.6388888888888618E-3</v>
      </c>
      <c r="F1577" s="52">
        <v>0.66666666666666663</v>
      </c>
      <c r="G1577" s="53">
        <f t="shared" si="24"/>
        <v>6.2499999999999778E-3</v>
      </c>
      <c r="H1577" s="54">
        <v>41746</v>
      </c>
      <c r="I1577" s="55" t="s">
        <v>544</v>
      </c>
      <c r="J1577" s="55" t="s">
        <v>535</v>
      </c>
      <c r="K1577" s="55">
        <f>VLOOKUP(J1577,'Validacion reclamo de equipaje'!L:M,2,0)</f>
        <v>50</v>
      </c>
      <c r="L1577" s="55" t="str">
        <f>VLOOKUP(I1577,'Validacion reclamo de equipaje'!H:I,2,0)</f>
        <v>Nacional</v>
      </c>
      <c r="M1577" s="55" t="s">
        <v>523</v>
      </c>
    </row>
    <row r="1578" spans="1:13" x14ac:dyDescent="0.25">
      <c r="A1578">
        <v>2024</v>
      </c>
      <c r="B1578" s="47" t="str">
        <f>VLOOKUP(Tabla6[[#This Row],['# Vuelo]],'Validacion reclamo de equipaje'!P:Q,2,0)</f>
        <v>MEXICO AEREO</v>
      </c>
      <c r="C1578" s="48">
        <v>0.6694444444444444</v>
      </c>
      <c r="D1578" s="48">
        <v>0.67638888888888893</v>
      </c>
      <c r="E1578" s="49">
        <f>'Reclamo de equipaje rediseñado'!$D1578-'Reclamo de equipaje rediseñado'!$C1578</f>
        <v>6.9444444444445308E-3</v>
      </c>
      <c r="F1578" s="48">
        <v>0.67986111111111114</v>
      </c>
      <c r="G1578" s="49">
        <f t="shared" si="24"/>
        <v>3.4722222222222099E-3</v>
      </c>
      <c r="H1578" s="50">
        <v>41747</v>
      </c>
      <c r="I1578" s="51" t="s">
        <v>544</v>
      </c>
      <c r="J1578" s="51" t="s">
        <v>535</v>
      </c>
      <c r="K1578" s="51">
        <f>VLOOKUP(J1578,'Validacion reclamo de equipaje'!L:M,2,0)</f>
        <v>50</v>
      </c>
      <c r="L1578" s="51" t="str">
        <f>VLOOKUP(I1578,'Validacion reclamo de equipaje'!H:I,2,0)</f>
        <v>Nacional</v>
      </c>
      <c r="M1578" s="51" t="s">
        <v>523</v>
      </c>
    </row>
    <row r="1579" spans="1:13" x14ac:dyDescent="0.25">
      <c r="A1579">
        <v>2024</v>
      </c>
      <c r="B1579" s="47" t="str">
        <f>VLOOKUP(Tabla6[[#This Row],['# Vuelo]],'Validacion reclamo de equipaje'!P:Q,2,0)</f>
        <v>MEXICO AEREO</v>
      </c>
      <c r="C1579" s="52">
        <v>0.69652777777777775</v>
      </c>
      <c r="D1579" s="52">
        <v>0.70277777777777783</v>
      </c>
      <c r="E1579" s="53">
        <f>'Reclamo de equipaje rediseñado'!$D1579-'Reclamo de equipaje rediseñado'!$C1579</f>
        <v>6.2500000000000888E-3</v>
      </c>
      <c r="F1579" s="52">
        <v>0.70624999999999993</v>
      </c>
      <c r="G1579" s="53">
        <f t="shared" si="24"/>
        <v>3.4722222222220989E-3</v>
      </c>
      <c r="H1579" s="54">
        <v>41748</v>
      </c>
      <c r="I1579" s="55" t="s">
        <v>544</v>
      </c>
      <c r="J1579" s="55" t="s">
        <v>535</v>
      </c>
      <c r="K1579" s="55">
        <f>VLOOKUP(J1579,'Validacion reclamo de equipaje'!L:M,2,0)</f>
        <v>50</v>
      </c>
      <c r="L1579" s="55" t="str">
        <f>VLOOKUP(I1579,'Validacion reclamo de equipaje'!H:I,2,0)</f>
        <v>Nacional</v>
      </c>
      <c r="M1579" s="55" t="s">
        <v>523</v>
      </c>
    </row>
    <row r="1580" spans="1:13" x14ac:dyDescent="0.25">
      <c r="A1580">
        <v>2024</v>
      </c>
      <c r="B1580" s="47" t="str">
        <f>VLOOKUP(Tabla6[[#This Row],['# Vuelo]],'Validacion reclamo de equipaje'!P:Q,2,0)</f>
        <v>MEXICO AEREO</v>
      </c>
      <c r="C1580" s="48">
        <v>0.69791666666666663</v>
      </c>
      <c r="D1580" s="48">
        <v>0.70208333333333339</v>
      </c>
      <c r="E1580" s="49">
        <f>'Reclamo de equipaje rediseñado'!$D1580-'Reclamo de equipaje rediseñado'!$C1580</f>
        <v>4.1666666666667629E-3</v>
      </c>
      <c r="F1580" s="48">
        <v>0.7055555555555556</v>
      </c>
      <c r="G1580" s="49">
        <f t="shared" si="24"/>
        <v>3.4722222222222099E-3</v>
      </c>
      <c r="H1580" s="50">
        <v>41749</v>
      </c>
      <c r="I1580" s="51" t="s">
        <v>544</v>
      </c>
      <c r="J1580" s="51" t="s">
        <v>535</v>
      </c>
      <c r="K1580" s="51">
        <f>VLOOKUP(J1580,'Validacion reclamo de equipaje'!L:M,2,0)</f>
        <v>50</v>
      </c>
      <c r="L1580" s="51" t="str">
        <f>VLOOKUP(I1580,'Validacion reclamo de equipaje'!H:I,2,0)</f>
        <v>Nacional</v>
      </c>
      <c r="M1580" s="51" t="s">
        <v>523</v>
      </c>
    </row>
    <row r="1581" spans="1:13" x14ac:dyDescent="0.25">
      <c r="A1581">
        <v>2024</v>
      </c>
      <c r="B1581" s="47" t="str">
        <f>VLOOKUP(Tabla6[[#This Row],['# Vuelo]],'Validacion reclamo de equipaje'!P:Q,2,0)</f>
        <v>MEXICO AEREO</v>
      </c>
      <c r="C1581" s="52">
        <v>0.66875000000000007</v>
      </c>
      <c r="D1581" s="52">
        <v>0.71597222222222223</v>
      </c>
      <c r="E1581" s="53">
        <f>'Reclamo de equipaje rediseñado'!$D1581-'Reclamo de equipaje rediseñado'!$C1581</f>
        <v>4.7222222222222165E-2</v>
      </c>
      <c r="F1581" s="52">
        <v>0.71875</v>
      </c>
      <c r="G1581" s="53">
        <f t="shared" si="24"/>
        <v>2.7777777777777679E-3</v>
      </c>
      <c r="H1581" s="54">
        <v>41751</v>
      </c>
      <c r="I1581" s="55" t="s">
        <v>544</v>
      </c>
      <c r="J1581" s="55" t="s">
        <v>535</v>
      </c>
      <c r="K1581" s="55">
        <f>VLOOKUP(J1581,'Validacion reclamo de equipaje'!L:M,2,0)</f>
        <v>50</v>
      </c>
      <c r="L1581" s="55" t="str">
        <f>VLOOKUP(I1581,'Validacion reclamo de equipaje'!H:I,2,0)</f>
        <v>Nacional</v>
      </c>
      <c r="M1581" s="55" t="s">
        <v>523</v>
      </c>
    </row>
    <row r="1582" spans="1:13" x14ac:dyDescent="0.25">
      <c r="A1582">
        <v>2024</v>
      </c>
      <c r="B1582" s="47" t="str">
        <f>VLOOKUP(Tabla6[[#This Row],['# Vuelo]],'Validacion reclamo de equipaje'!P:Q,2,0)</f>
        <v>MEXICO AEREO</v>
      </c>
      <c r="C1582" s="48">
        <v>0.66597222222222219</v>
      </c>
      <c r="D1582" s="48">
        <v>0.66875000000000007</v>
      </c>
      <c r="E1582" s="49">
        <f>'Reclamo de equipaje rediseñado'!$D1582-'Reclamo de equipaje rediseñado'!$C1582</f>
        <v>2.7777777777778789E-3</v>
      </c>
      <c r="F1582" s="48">
        <v>0.6743055555555556</v>
      </c>
      <c r="G1582" s="49">
        <f t="shared" si="24"/>
        <v>5.5555555555555358E-3</v>
      </c>
      <c r="H1582" s="50">
        <v>41753</v>
      </c>
      <c r="I1582" s="51" t="s">
        <v>544</v>
      </c>
      <c r="J1582" s="51" t="s">
        <v>535</v>
      </c>
      <c r="K1582" s="51">
        <f>VLOOKUP(J1582,'Validacion reclamo de equipaje'!L:M,2,0)</f>
        <v>50</v>
      </c>
      <c r="L1582" s="51" t="str">
        <f>VLOOKUP(I1582,'Validacion reclamo de equipaje'!H:I,2,0)</f>
        <v>Nacional</v>
      </c>
      <c r="M1582" s="51" t="s">
        <v>523</v>
      </c>
    </row>
    <row r="1583" spans="1:13" x14ac:dyDescent="0.25">
      <c r="A1583">
        <v>2024</v>
      </c>
      <c r="B1583" s="47" t="str">
        <f>VLOOKUP(Tabla6[[#This Row],['# Vuelo]],'Validacion reclamo de equipaje'!P:Q,2,0)</f>
        <v>MEXICO AEREO</v>
      </c>
      <c r="C1583" s="52">
        <v>0.66666666666666663</v>
      </c>
      <c r="D1583" s="52">
        <v>0.67152777777777783</v>
      </c>
      <c r="E1583" s="53">
        <f>'Reclamo de equipaje rediseñado'!$D1583-'Reclamo de equipaje rediseñado'!$C1583</f>
        <v>4.8611111111112049E-3</v>
      </c>
      <c r="F1583" s="52">
        <v>0.6777777777777777</v>
      </c>
      <c r="G1583" s="53">
        <f t="shared" si="24"/>
        <v>6.2499999999998668E-3</v>
      </c>
      <c r="H1583" s="54">
        <v>41754</v>
      </c>
      <c r="I1583" s="55" t="s">
        <v>544</v>
      </c>
      <c r="J1583" s="55" t="s">
        <v>535</v>
      </c>
      <c r="K1583" s="55">
        <f>VLOOKUP(J1583,'Validacion reclamo de equipaje'!L:M,2,0)</f>
        <v>50</v>
      </c>
      <c r="L1583" s="55" t="str">
        <f>VLOOKUP(I1583,'Validacion reclamo de equipaje'!H:I,2,0)</f>
        <v>Nacional</v>
      </c>
      <c r="M1583" s="55" t="s">
        <v>523</v>
      </c>
    </row>
    <row r="1584" spans="1:13" x14ac:dyDescent="0.25">
      <c r="A1584">
        <v>2024</v>
      </c>
      <c r="B1584" s="47" t="str">
        <f>VLOOKUP(Tabla6[[#This Row],['# Vuelo]],'Validacion reclamo de equipaje'!P:Q,2,0)</f>
        <v>MEXICO AEREO</v>
      </c>
      <c r="C1584" s="48">
        <v>0.57916666666666672</v>
      </c>
      <c r="D1584" s="48">
        <v>0.58750000000000002</v>
      </c>
      <c r="E1584" s="49">
        <f>'Reclamo de equipaje rediseñado'!$D1584-'Reclamo de equipaje rediseñado'!$C1584</f>
        <v>8.3333333333333037E-3</v>
      </c>
      <c r="F1584" s="48">
        <v>0.59097222222222223</v>
      </c>
      <c r="G1584" s="49">
        <f t="shared" si="24"/>
        <v>3.4722222222222099E-3</v>
      </c>
      <c r="H1584" s="50">
        <v>41756</v>
      </c>
      <c r="I1584" s="51" t="s">
        <v>544</v>
      </c>
      <c r="J1584" s="51" t="s">
        <v>535</v>
      </c>
      <c r="K1584" s="51">
        <f>VLOOKUP(J1584,'Validacion reclamo de equipaje'!L:M,2,0)</f>
        <v>50</v>
      </c>
      <c r="L1584" s="51" t="str">
        <f>VLOOKUP(I1584,'Validacion reclamo de equipaje'!H:I,2,0)</f>
        <v>Nacional</v>
      </c>
      <c r="M1584" s="51" t="s">
        <v>523</v>
      </c>
    </row>
    <row r="1585" spans="1:13" x14ac:dyDescent="0.25">
      <c r="A1585">
        <v>2024</v>
      </c>
      <c r="B1585" s="47" t="str">
        <f>VLOOKUP(Tabla6[[#This Row],['# Vuelo]],'Validacion reclamo de equipaje'!P:Q,2,0)</f>
        <v>MEXICO AEREO</v>
      </c>
      <c r="C1585" s="52">
        <v>0.69374999999999998</v>
      </c>
      <c r="D1585" s="52">
        <v>0.70347222222222217</v>
      </c>
      <c r="E1585" s="53">
        <f>'Reclamo de equipaje rediseñado'!$D1585-'Reclamo de equipaje rediseñado'!$C1585</f>
        <v>9.7222222222221877E-3</v>
      </c>
      <c r="F1585" s="52">
        <v>0.70624999999999993</v>
      </c>
      <c r="G1585" s="53">
        <f t="shared" si="24"/>
        <v>2.7777777777777679E-3</v>
      </c>
      <c r="H1585" s="54">
        <v>41756</v>
      </c>
      <c r="I1585" s="55" t="s">
        <v>544</v>
      </c>
      <c r="J1585" s="55" t="s">
        <v>535</v>
      </c>
      <c r="K1585" s="55">
        <f>VLOOKUP(J1585,'Validacion reclamo de equipaje'!L:M,2,0)</f>
        <v>50</v>
      </c>
      <c r="L1585" s="55" t="str">
        <f>VLOOKUP(I1585,'Validacion reclamo de equipaje'!H:I,2,0)</f>
        <v>Nacional</v>
      </c>
      <c r="M1585" s="55" t="s">
        <v>523</v>
      </c>
    </row>
    <row r="1586" spans="1:13" x14ac:dyDescent="0.25">
      <c r="A1586">
        <v>2024</v>
      </c>
      <c r="B1586" s="47" t="str">
        <f>VLOOKUP(Tabla6[[#This Row],['# Vuelo]],'Validacion reclamo de equipaje'!P:Q,2,0)</f>
        <v>MEXICO AEREO</v>
      </c>
      <c r="C1586" s="48">
        <v>0.67013888888888884</v>
      </c>
      <c r="D1586" s="48">
        <v>0.6777777777777777</v>
      </c>
      <c r="E1586" s="49">
        <f>'Reclamo de equipaje rediseñado'!$D1586-'Reclamo de equipaje rediseñado'!$C1586</f>
        <v>7.6388888888888618E-3</v>
      </c>
      <c r="F1586" s="48">
        <v>0.67986111111111114</v>
      </c>
      <c r="G1586" s="49">
        <f t="shared" si="24"/>
        <v>2.083333333333437E-3</v>
      </c>
      <c r="H1586" s="50">
        <v>41757</v>
      </c>
      <c r="I1586" s="51" t="s">
        <v>544</v>
      </c>
      <c r="J1586" s="51" t="s">
        <v>535</v>
      </c>
      <c r="K1586" s="51">
        <f>VLOOKUP(J1586,'Validacion reclamo de equipaje'!L:M,2,0)</f>
        <v>50</v>
      </c>
      <c r="L1586" s="51" t="str">
        <f>VLOOKUP(I1586,'Validacion reclamo de equipaje'!H:I,2,0)</f>
        <v>Nacional</v>
      </c>
      <c r="M1586" s="51" t="s">
        <v>523</v>
      </c>
    </row>
    <row r="1587" spans="1:13" x14ac:dyDescent="0.25">
      <c r="A1587">
        <v>2024</v>
      </c>
      <c r="B1587" s="47" t="str">
        <f>VLOOKUP(Tabla6[[#This Row],['# Vuelo]],'Validacion reclamo de equipaje'!P:Q,2,0)</f>
        <v>MEXICO AEREO</v>
      </c>
      <c r="C1587" s="52">
        <v>0.66736111111111107</v>
      </c>
      <c r="D1587" s="52">
        <v>0.67291666666666661</v>
      </c>
      <c r="E1587" s="53">
        <f>'Reclamo de equipaje rediseñado'!$D1587-'Reclamo de equipaje rediseñado'!$C1587</f>
        <v>5.5555555555555358E-3</v>
      </c>
      <c r="F1587" s="52">
        <v>0.68055555555555547</v>
      </c>
      <c r="G1587" s="53">
        <f t="shared" si="24"/>
        <v>7.6388888888888618E-3</v>
      </c>
      <c r="H1587" s="54">
        <v>41758</v>
      </c>
      <c r="I1587" s="55" t="s">
        <v>544</v>
      </c>
      <c r="J1587" s="55" t="s">
        <v>535</v>
      </c>
      <c r="K1587" s="55">
        <f>VLOOKUP(J1587,'Validacion reclamo de equipaje'!L:M,2,0)</f>
        <v>50</v>
      </c>
      <c r="L1587" s="55" t="str">
        <f>VLOOKUP(I1587,'Validacion reclamo de equipaje'!H:I,2,0)</f>
        <v>Nacional</v>
      </c>
      <c r="M1587" s="55" t="s">
        <v>523</v>
      </c>
    </row>
    <row r="1588" spans="1:13" x14ac:dyDescent="0.25">
      <c r="A1588">
        <v>2024</v>
      </c>
      <c r="B1588" s="47" t="str">
        <f>VLOOKUP(Tabla6[[#This Row],['# Vuelo]],'Validacion reclamo de equipaje'!P:Q,2,0)</f>
        <v>MEXICO AEREO</v>
      </c>
      <c r="C1588" s="48">
        <v>0.66666666666666663</v>
      </c>
      <c r="D1588" s="48">
        <v>0.67638888888888893</v>
      </c>
      <c r="E1588" s="49">
        <f>'Reclamo de equipaje rediseñado'!$D1588-'Reclamo de equipaje rediseñado'!$C1588</f>
        <v>9.7222222222222987E-3</v>
      </c>
      <c r="F1588" s="48">
        <v>0.68055555555555547</v>
      </c>
      <c r="G1588" s="49">
        <f t="shared" si="24"/>
        <v>4.1666666666665408E-3</v>
      </c>
      <c r="H1588" s="50">
        <v>41759</v>
      </c>
      <c r="I1588" s="51" t="s">
        <v>544</v>
      </c>
      <c r="J1588" s="51" t="s">
        <v>535</v>
      </c>
      <c r="K1588" s="51">
        <f>VLOOKUP(J1588,'Validacion reclamo de equipaje'!L:M,2,0)</f>
        <v>50</v>
      </c>
      <c r="L1588" s="51" t="str">
        <f>VLOOKUP(I1588,'Validacion reclamo de equipaje'!H:I,2,0)</f>
        <v>Nacional</v>
      </c>
      <c r="M1588" s="51" t="s">
        <v>523</v>
      </c>
    </row>
    <row r="1589" spans="1:13" x14ac:dyDescent="0.25">
      <c r="A1589">
        <v>2023</v>
      </c>
      <c r="B1589" s="47" t="str">
        <f>VLOOKUP(Tabla6[[#This Row],['# Vuelo]],'Validacion reclamo de equipaje'!P:Q,2,0)</f>
        <v>MEXICO AEREO</v>
      </c>
      <c r="C1589" s="52">
        <v>0.47986111111111113</v>
      </c>
      <c r="D1589" s="52">
        <v>0.48680555555555555</v>
      </c>
      <c r="E1589" s="53">
        <f>'Reclamo de equipaje rediseñado'!$D1589-'Reclamo de equipaje rediseñado'!$C1589</f>
        <v>6.9444444444444198E-3</v>
      </c>
      <c r="F1589" s="52">
        <v>0.49027777777777781</v>
      </c>
      <c r="G1589" s="53">
        <f t="shared" si="24"/>
        <v>3.4722222222222654E-3</v>
      </c>
      <c r="H1589" s="54">
        <v>41737</v>
      </c>
      <c r="I1589" s="55" t="s">
        <v>543</v>
      </c>
      <c r="J1589" s="55" t="s">
        <v>535</v>
      </c>
      <c r="K1589" s="55">
        <f>VLOOKUP(J1589,'Validacion reclamo de equipaje'!L:M,2,0)</f>
        <v>50</v>
      </c>
      <c r="L1589" s="55" t="str">
        <f>VLOOKUP(I1589,'Validacion reclamo de equipaje'!H:I,2,0)</f>
        <v>Nacional</v>
      </c>
      <c r="M1589" s="55" t="s">
        <v>523</v>
      </c>
    </row>
    <row r="1590" spans="1:13" x14ac:dyDescent="0.25">
      <c r="A1590">
        <v>2023</v>
      </c>
      <c r="B1590" s="47" t="str">
        <f>VLOOKUP(Tabla6[[#This Row],['# Vuelo]],'Validacion reclamo de equipaje'!P:Q,2,0)</f>
        <v>MEXICO AEREO</v>
      </c>
      <c r="C1590" s="48">
        <v>0.47847222222222219</v>
      </c>
      <c r="D1590" s="48">
        <v>0.48472222222222222</v>
      </c>
      <c r="E1590" s="49">
        <f>'Reclamo de equipaje rediseñado'!$D1590-'Reclamo de equipaje rediseñado'!$C1590</f>
        <v>6.2500000000000333E-3</v>
      </c>
      <c r="F1590" s="48">
        <v>0.48749999999999999</v>
      </c>
      <c r="G1590" s="49">
        <f t="shared" si="24"/>
        <v>2.7777777777777679E-3</v>
      </c>
      <c r="H1590" s="50">
        <v>41738</v>
      </c>
      <c r="I1590" s="51" t="s">
        <v>543</v>
      </c>
      <c r="J1590" s="51" t="s">
        <v>535</v>
      </c>
      <c r="K1590" s="51">
        <f>VLOOKUP(J1590,'Validacion reclamo de equipaje'!L:M,2,0)</f>
        <v>50</v>
      </c>
      <c r="L1590" s="51" t="str">
        <f>VLOOKUP(I1590,'Validacion reclamo de equipaje'!H:I,2,0)</f>
        <v>Nacional</v>
      </c>
      <c r="M1590" s="51" t="s">
        <v>523</v>
      </c>
    </row>
    <row r="1591" spans="1:13" x14ac:dyDescent="0.25">
      <c r="A1591">
        <v>2023</v>
      </c>
      <c r="B1591" s="47" t="str">
        <f>VLOOKUP(Tabla6[[#This Row],['# Vuelo]],'Validacion reclamo de equipaje'!P:Q,2,0)</f>
        <v>MEXICO AEREO</v>
      </c>
      <c r="C1591" s="52">
        <v>0.47569444444444442</v>
      </c>
      <c r="D1591" s="52">
        <v>0.48194444444444445</v>
      </c>
      <c r="E1591" s="53">
        <f>'Reclamo de equipaje rediseñado'!$D1591-'Reclamo de equipaje rediseñado'!$C1591</f>
        <v>6.2500000000000333E-3</v>
      </c>
      <c r="F1591" s="52">
        <v>0.48819444444444443</v>
      </c>
      <c r="G1591" s="53">
        <f t="shared" si="24"/>
        <v>6.2499999999999778E-3</v>
      </c>
      <c r="H1591" s="54">
        <v>41739</v>
      </c>
      <c r="I1591" s="55" t="s">
        <v>543</v>
      </c>
      <c r="J1591" s="55" t="s">
        <v>535</v>
      </c>
      <c r="K1591" s="55">
        <f>VLOOKUP(J1591,'Validacion reclamo de equipaje'!L:M,2,0)</f>
        <v>50</v>
      </c>
      <c r="L1591" s="55" t="str">
        <f>VLOOKUP(I1591,'Validacion reclamo de equipaje'!H:I,2,0)</f>
        <v>Nacional</v>
      </c>
      <c r="M1591" s="55" t="s">
        <v>523</v>
      </c>
    </row>
    <row r="1592" spans="1:13" x14ac:dyDescent="0.25">
      <c r="A1592">
        <v>2023</v>
      </c>
      <c r="B1592" s="47" t="str">
        <f>VLOOKUP(Tabla6[[#This Row],['# Vuelo]],'Validacion reclamo de equipaje'!P:Q,2,0)</f>
        <v>MEXICO AEREO</v>
      </c>
      <c r="C1592" s="48">
        <v>0.4826388888888889</v>
      </c>
      <c r="D1592" s="48">
        <v>0.4861111111111111</v>
      </c>
      <c r="E1592" s="49">
        <f>'Reclamo de equipaje rediseñado'!$D1592-'Reclamo de equipaje rediseñado'!$C1592</f>
        <v>3.4722222222222099E-3</v>
      </c>
      <c r="F1592" s="48">
        <v>0.49513888888888885</v>
      </c>
      <c r="G1592" s="49">
        <f t="shared" si="24"/>
        <v>9.0277777777777457E-3</v>
      </c>
      <c r="H1592" s="50">
        <v>41741</v>
      </c>
      <c r="I1592" s="51" t="s">
        <v>543</v>
      </c>
      <c r="J1592" s="51" t="s">
        <v>535</v>
      </c>
      <c r="K1592" s="51">
        <f>VLOOKUP(J1592,'Validacion reclamo de equipaje'!L:M,2,0)</f>
        <v>50</v>
      </c>
      <c r="L1592" s="51" t="str">
        <f>VLOOKUP(I1592,'Validacion reclamo de equipaje'!H:I,2,0)</f>
        <v>Nacional</v>
      </c>
      <c r="M1592" s="51" t="s">
        <v>523</v>
      </c>
    </row>
    <row r="1593" spans="1:13" x14ac:dyDescent="0.25">
      <c r="A1593">
        <v>2023</v>
      </c>
      <c r="B1593" s="47" t="str">
        <f>VLOOKUP(Tabla6[[#This Row],['# Vuelo]],'Validacion reclamo de equipaje'!P:Q,2,0)</f>
        <v>MEXICO AEREO</v>
      </c>
      <c r="C1593" s="52">
        <v>0.47361111111111115</v>
      </c>
      <c r="D1593" s="52">
        <v>0.47916666666666669</v>
      </c>
      <c r="E1593" s="53">
        <f>'Reclamo de equipaje rediseñado'!$D1593-'Reclamo de equipaje rediseñado'!$C1593</f>
        <v>5.5555555555555358E-3</v>
      </c>
      <c r="F1593" s="52">
        <v>0.48402777777777778</v>
      </c>
      <c r="G1593" s="53">
        <f t="shared" si="24"/>
        <v>4.8611111111110938E-3</v>
      </c>
      <c r="H1593" s="54">
        <v>41743</v>
      </c>
      <c r="I1593" s="55" t="s">
        <v>543</v>
      </c>
      <c r="J1593" s="55" t="s">
        <v>535</v>
      </c>
      <c r="K1593" s="55">
        <f>VLOOKUP(J1593,'Validacion reclamo de equipaje'!L:M,2,0)</f>
        <v>50</v>
      </c>
      <c r="L1593" s="55" t="str">
        <f>VLOOKUP(I1593,'Validacion reclamo de equipaje'!H:I,2,0)</f>
        <v>Nacional</v>
      </c>
      <c r="M1593" s="55" t="s">
        <v>523</v>
      </c>
    </row>
    <row r="1594" spans="1:13" x14ac:dyDescent="0.25">
      <c r="A1594">
        <v>2023</v>
      </c>
      <c r="B1594" s="47" t="str">
        <f>VLOOKUP(Tabla6[[#This Row],['# Vuelo]],'Validacion reclamo de equipaje'!P:Q,2,0)</f>
        <v>MEXICO AEREO</v>
      </c>
      <c r="C1594" s="48">
        <v>0.47638888888888892</v>
      </c>
      <c r="D1594" s="48">
        <v>0.48125000000000001</v>
      </c>
      <c r="E1594" s="49">
        <f>'Reclamo de equipaje rediseñado'!$D1594-'Reclamo de equipaje rediseñado'!$C1594</f>
        <v>4.8611111111110938E-3</v>
      </c>
      <c r="F1594" s="48">
        <v>0.49305555555555558</v>
      </c>
      <c r="G1594" s="49">
        <f t="shared" si="24"/>
        <v>1.1805555555555569E-2</v>
      </c>
      <c r="H1594" s="50">
        <v>41744</v>
      </c>
      <c r="I1594" s="51" t="s">
        <v>543</v>
      </c>
      <c r="J1594" s="51" t="s">
        <v>535</v>
      </c>
      <c r="K1594" s="51">
        <f>VLOOKUP(J1594,'Validacion reclamo de equipaje'!L:M,2,0)</f>
        <v>50</v>
      </c>
      <c r="L1594" s="51" t="str">
        <f>VLOOKUP(I1594,'Validacion reclamo de equipaje'!H:I,2,0)</f>
        <v>Nacional</v>
      </c>
      <c r="M1594" s="51" t="s">
        <v>523</v>
      </c>
    </row>
    <row r="1595" spans="1:13" x14ac:dyDescent="0.25">
      <c r="A1595">
        <v>2023</v>
      </c>
      <c r="B1595" s="47" t="str">
        <f>VLOOKUP(Tabla6[[#This Row],['# Vuelo]],'Validacion reclamo de equipaje'!P:Q,2,0)</f>
        <v>MEXICO AEREO</v>
      </c>
      <c r="C1595" s="52">
        <v>0.4680555555555555</v>
      </c>
      <c r="D1595" s="52">
        <v>0.47500000000000003</v>
      </c>
      <c r="E1595" s="53">
        <f>'Reclamo de equipaje rediseñado'!$D1595-'Reclamo de equipaje rediseñado'!$C1595</f>
        <v>6.9444444444445308E-3</v>
      </c>
      <c r="F1595" s="52">
        <v>0.4770833333333333</v>
      </c>
      <c r="G1595" s="53">
        <f t="shared" si="24"/>
        <v>2.0833333333332704E-3</v>
      </c>
      <c r="H1595" s="54">
        <v>41745</v>
      </c>
      <c r="I1595" s="55" t="s">
        <v>543</v>
      </c>
      <c r="J1595" s="55" t="s">
        <v>535</v>
      </c>
      <c r="K1595" s="55">
        <f>VLOOKUP(J1595,'Validacion reclamo de equipaje'!L:M,2,0)</f>
        <v>50</v>
      </c>
      <c r="L1595" s="55" t="str">
        <f>VLOOKUP(I1595,'Validacion reclamo de equipaje'!H:I,2,0)</f>
        <v>Nacional</v>
      </c>
      <c r="M1595" s="55" t="s">
        <v>523</v>
      </c>
    </row>
    <row r="1596" spans="1:13" x14ac:dyDescent="0.25">
      <c r="A1596">
        <v>2023</v>
      </c>
      <c r="B1596" s="47" t="str">
        <f>VLOOKUP(Tabla6[[#This Row],['# Vuelo]],'Validacion reclamo de equipaje'!P:Q,2,0)</f>
        <v>MEXICO AEREO</v>
      </c>
      <c r="C1596" s="48">
        <v>0.4458333333333333</v>
      </c>
      <c r="D1596" s="48">
        <v>0.47916666666666669</v>
      </c>
      <c r="E1596" s="49">
        <f>'Reclamo de equipaje rediseñado'!$D1596-'Reclamo de equipaje rediseñado'!$C1596</f>
        <v>3.3333333333333381E-2</v>
      </c>
      <c r="F1596" s="48">
        <v>0.48541666666666666</v>
      </c>
      <c r="G1596" s="49">
        <f t="shared" si="24"/>
        <v>6.2499999999999778E-3</v>
      </c>
      <c r="H1596" s="50">
        <v>41746</v>
      </c>
      <c r="I1596" s="51" t="s">
        <v>543</v>
      </c>
      <c r="J1596" s="51" t="s">
        <v>535</v>
      </c>
      <c r="K1596" s="51">
        <f>VLOOKUP(J1596,'Validacion reclamo de equipaje'!L:M,2,0)</f>
        <v>50</v>
      </c>
      <c r="L1596" s="51" t="str">
        <f>VLOOKUP(I1596,'Validacion reclamo de equipaje'!H:I,2,0)</f>
        <v>Nacional</v>
      </c>
      <c r="M1596" s="51" t="s">
        <v>523</v>
      </c>
    </row>
    <row r="1597" spans="1:13" x14ac:dyDescent="0.25">
      <c r="A1597">
        <v>2023</v>
      </c>
      <c r="B1597" s="47" t="str">
        <f>VLOOKUP(Tabla6[[#This Row],['# Vuelo]],'Validacion reclamo de equipaje'!P:Q,2,0)</f>
        <v>MEXICO AEREO</v>
      </c>
      <c r="C1597" s="52">
        <v>0.47361111111111115</v>
      </c>
      <c r="D1597" s="52">
        <v>0.47916666666666669</v>
      </c>
      <c r="E1597" s="53">
        <f>'Reclamo de equipaje rediseñado'!$D1597-'Reclamo de equipaje rediseñado'!$C1597</f>
        <v>5.5555555555555358E-3</v>
      </c>
      <c r="F1597" s="52">
        <v>0.4826388888888889</v>
      </c>
      <c r="G1597" s="53">
        <f t="shared" si="24"/>
        <v>3.4722222222222099E-3</v>
      </c>
      <c r="H1597" s="54">
        <v>41747</v>
      </c>
      <c r="I1597" s="55" t="s">
        <v>543</v>
      </c>
      <c r="J1597" s="55" t="s">
        <v>535</v>
      </c>
      <c r="K1597" s="55">
        <f>VLOOKUP(J1597,'Validacion reclamo de equipaje'!L:M,2,0)</f>
        <v>50</v>
      </c>
      <c r="L1597" s="55" t="str">
        <f>VLOOKUP(I1597,'Validacion reclamo de equipaje'!H:I,2,0)</f>
        <v>Nacional</v>
      </c>
      <c r="M1597" s="55" t="s">
        <v>523</v>
      </c>
    </row>
    <row r="1598" spans="1:13" x14ac:dyDescent="0.25">
      <c r="A1598">
        <v>2023</v>
      </c>
      <c r="B1598" s="47" t="str">
        <f>VLOOKUP(Tabla6[[#This Row],['# Vuelo]],'Validacion reclamo de equipaje'!P:Q,2,0)</f>
        <v>MEXICO AEREO</v>
      </c>
      <c r="C1598" s="48">
        <v>0.48680555555555555</v>
      </c>
      <c r="D1598" s="48">
        <v>0.49236111111111108</v>
      </c>
      <c r="E1598" s="49">
        <f>'Reclamo de equipaje rediseñado'!$D1598-'Reclamo de equipaje rediseñado'!$C1598</f>
        <v>5.5555555555555358E-3</v>
      </c>
      <c r="F1598" s="48">
        <v>0.49513888888888885</v>
      </c>
      <c r="G1598" s="49">
        <f t="shared" si="24"/>
        <v>2.7777777777777679E-3</v>
      </c>
      <c r="H1598" s="50">
        <v>41748</v>
      </c>
      <c r="I1598" s="51" t="s">
        <v>543</v>
      </c>
      <c r="J1598" s="51" t="s">
        <v>535</v>
      </c>
      <c r="K1598" s="51">
        <f>VLOOKUP(J1598,'Validacion reclamo de equipaje'!L:M,2,0)</f>
        <v>50</v>
      </c>
      <c r="L1598" s="51" t="str">
        <f>VLOOKUP(I1598,'Validacion reclamo de equipaje'!H:I,2,0)</f>
        <v>Nacional</v>
      </c>
      <c r="M1598" s="51" t="s">
        <v>523</v>
      </c>
    </row>
    <row r="1599" spans="1:13" x14ac:dyDescent="0.25">
      <c r="A1599">
        <v>2023</v>
      </c>
      <c r="B1599" s="47" t="str">
        <f>VLOOKUP(Tabla6[[#This Row],['# Vuelo]],'Validacion reclamo de equipaje'!P:Q,2,0)</f>
        <v>MEXICO AEREO</v>
      </c>
      <c r="C1599" s="52">
        <v>0.4861111111111111</v>
      </c>
      <c r="D1599" s="52">
        <v>0.48749999999999999</v>
      </c>
      <c r="E1599" s="53">
        <f>'Reclamo de equipaje rediseñado'!$D1599-'Reclamo de equipaje rediseñado'!$C1599</f>
        <v>1.388888888888884E-3</v>
      </c>
      <c r="F1599" s="52">
        <v>0.48888888888888887</v>
      </c>
      <c r="G1599" s="53">
        <f t="shared" si="24"/>
        <v>1.388888888888884E-3</v>
      </c>
      <c r="H1599" s="54">
        <v>41749</v>
      </c>
      <c r="I1599" s="55" t="s">
        <v>543</v>
      </c>
      <c r="J1599" s="55" t="s">
        <v>535</v>
      </c>
      <c r="K1599" s="55">
        <f>VLOOKUP(J1599,'Validacion reclamo de equipaje'!L:M,2,0)</f>
        <v>50</v>
      </c>
      <c r="L1599" s="55" t="str">
        <f>VLOOKUP(I1599,'Validacion reclamo de equipaje'!H:I,2,0)</f>
        <v>Nacional</v>
      </c>
      <c r="M1599" s="55" t="s">
        <v>523</v>
      </c>
    </row>
    <row r="1600" spans="1:13" x14ac:dyDescent="0.25">
      <c r="A1600">
        <v>2023</v>
      </c>
      <c r="B1600" s="47" t="str">
        <f>VLOOKUP(Tabla6[[#This Row],['# Vuelo]],'Validacion reclamo de equipaje'!P:Q,2,0)</f>
        <v>MEXICO AEREO</v>
      </c>
      <c r="C1600" s="48">
        <v>0.47222222222222227</v>
      </c>
      <c r="D1600" s="48">
        <v>0.4826388888888889</v>
      </c>
      <c r="E1600" s="49">
        <f>'Reclamo de equipaje rediseñado'!$D1600-'Reclamo de equipaje rediseñado'!$C1600</f>
        <v>1.041666666666663E-2</v>
      </c>
      <c r="F1600" s="48">
        <v>0.48958333333333331</v>
      </c>
      <c r="G1600" s="49">
        <f t="shared" si="24"/>
        <v>6.9444444444444198E-3</v>
      </c>
      <c r="H1600" s="50">
        <v>41750</v>
      </c>
      <c r="I1600" s="51" t="s">
        <v>543</v>
      </c>
      <c r="J1600" s="51" t="s">
        <v>535</v>
      </c>
      <c r="K1600" s="51">
        <f>VLOOKUP(J1600,'Validacion reclamo de equipaje'!L:M,2,0)</f>
        <v>50</v>
      </c>
      <c r="L1600" s="51" t="str">
        <f>VLOOKUP(I1600,'Validacion reclamo de equipaje'!H:I,2,0)</f>
        <v>Nacional</v>
      </c>
      <c r="M1600" s="51" t="s">
        <v>523</v>
      </c>
    </row>
    <row r="1601" spans="1:13" x14ac:dyDescent="0.25">
      <c r="A1601">
        <v>2023</v>
      </c>
      <c r="B1601" s="47" t="str">
        <f>VLOOKUP(Tabla6[[#This Row],['# Vuelo]],'Validacion reclamo de equipaje'!P:Q,2,0)</f>
        <v>MEXICO AEREO</v>
      </c>
      <c r="C1601" s="52">
        <v>0.47291666666666665</v>
      </c>
      <c r="D1601" s="52">
        <v>0.4777777777777778</v>
      </c>
      <c r="E1601" s="53">
        <f>'Reclamo de equipaje rediseñado'!$D1601-'Reclamo de equipaje rediseñado'!$C1601</f>
        <v>4.8611111111111494E-3</v>
      </c>
      <c r="F1601" s="52">
        <v>0.4826388888888889</v>
      </c>
      <c r="G1601" s="53">
        <f t="shared" si="24"/>
        <v>4.8611111111110938E-3</v>
      </c>
      <c r="H1601" s="54">
        <v>41751</v>
      </c>
      <c r="I1601" s="55" t="s">
        <v>543</v>
      </c>
      <c r="J1601" s="55" t="s">
        <v>535</v>
      </c>
      <c r="K1601" s="55">
        <f>VLOOKUP(J1601,'Validacion reclamo de equipaje'!L:M,2,0)</f>
        <v>50</v>
      </c>
      <c r="L1601" s="55" t="str">
        <f>VLOOKUP(I1601,'Validacion reclamo de equipaje'!H:I,2,0)</f>
        <v>Nacional</v>
      </c>
      <c r="M1601" s="55" t="s">
        <v>523</v>
      </c>
    </row>
    <row r="1602" spans="1:13" x14ac:dyDescent="0.25">
      <c r="A1602">
        <v>2023</v>
      </c>
      <c r="B1602" s="47" t="str">
        <f>VLOOKUP(Tabla6[[#This Row],['# Vuelo]],'Validacion reclamo de equipaje'!P:Q,2,0)</f>
        <v>MEXICO AEREO</v>
      </c>
      <c r="C1602" s="48">
        <v>0.47430555555555554</v>
      </c>
      <c r="D1602" s="48">
        <v>0.47847222222222219</v>
      </c>
      <c r="E1602" s="49">
        <f>'Reclamo de equipaje rediseñado'!$D1602-'Reclamo de equipaje rediseñado'!$C1602</f>
        <v>4.1666666666666519E-3</v>
      </c>
      <c r="F1602" s="48">
        <v>0.48402777777777778</v>
      </c>
      <c r="G1602" s="49">
        <f t="shared" si="24"/>
        <v>5.5555555555555913E-3</v>
      </c>
      <c r="H1602" s="50">
        <v>41753</v>
      </c>
      <c r="I1602" s="51" t="s">
        <v>543</v>
      </c>
      <c r="J1602" s="51" t="s">
        <v>535</v>
      </c>
      <c r="K1602" s="51">
        <f>VLOOKUP(J1602,'Validacion reclamo de equipaje'!L:M,2,0)</f>
        <v>50</v>
      </c>
      <c r="L1602" s="51" t="str">
        <f>VLOOKUP(I1602,'Validacion reclamo de equipaje'!H:I,2,0)</f>
        <v>Nacional</v>
      </c>
      <c r="M1602" s="51" t="s">
        <v>523</v>
      </c>
    </row>
    <row r="1603" spans="1:13" x14ac:dyDescent="0.25">
      <c r="A1603">
        <v>2023</v>
      </c>
      <c r="B1603" s="47" t="str">
        <f>VLOOKUP(Tabla6[[#This Row],['# Vuelo]],'Validacion reclamo de equipaje'!P:Q,2,0)</f>
        <v>MEXICO AEREO</v>
      </c>
      <c r="C1603" s="52">
        <v>0.47361111111111115</v>
      </c>
      <c r="D1603" s="52">
        <v>0.4777777777777778</v>
      </c>
      <c r="E1603" s="53">
        <f>'Reclamo de equipaje rediseñado'!$D1603-'Reclamo de equipaje rediseñado'!$C1603</f>
        <v>4.1666666666666519E-3</v>
      </c>
      <c r="F1603" s="52">
        <v>0.48125000000000001</v>
      </c>
      <c r="G1603" s="53">
        <f t="shared" ref="G1603:G1666" si="25">F1603-D1603</f>
        <v>3.4722222222222099E-3</v>
      </c>
      <c r="H1603" s="54">
        <v>41754</v>
      </c>
      <c r="I1603" s="55" t="s">
        <v>543</v>
      </c>
      <c r="J1603" s="55" t="s">
        <v>535</v>
      </c>
      <c r="K1603" s="55">
        <f>VLOOKUP(J1603,'Validacion reclamo de equipaje'!L:M,2,0)</f>
        <v>50</v>
      </c>
      <c r="L1603" s="55" t="str">
        <f>VLOOKUP(I1603,'Validacion reclamo de equipaje'!H:I,2,0)</f>
        <v>Nacional</v>
      </c>
      <c r="M1603" s="55" t="s">
        <v>523</v>
      </c>
    </row>
    <row r="1604" spans="1:13" x14ac:dyDescent="0.25">
      <c r="A1604">
        <v>2023</v>
      </c>
      <c r="B1604" s="47" t="str">
        <f>VLOOKUP(Tabla6[[#This Row],['# Vuelo]],'Validacion reclamo de equipaje'!P:Q,2,0)</f>
        <v>MEXICO AEREO</v>
      </c>
      <c r="C1604" s="48">
        <v>0.47500000000000003</v>
      </c>
      <c r="D1604" s="48">
        <v>0.47986111111111113</v>
      </c>
      <c r="E1604" s="49">
        <f>'Reclamo de equipaje rediseñado'!$D1604-'Reclamo de equipaje rediseñado'!$C1604</f>
        <v>4.8611111111110938E-3</v>
      </c>
      <c r="F1604" s="48">
        <v>0.48402777777777778</v>
      </c>
      <c r="G1604" s="49">
        <f t="shared" si="25"/>
        <v>4.1666666666666519E-3</v>
      </c>
      <c r="H1604" s="50">
        <v>41756</v>
      </c>
      <c r="I1604" s="51" t="s">
        <v>543</v>
      </c>
      <c r="J1604" s="51" t="s">
        <v>535</v>
      </c>
      <c r="K1604" s="51">
        <f>VLOOKUP(J1604,'Validacion reclamo de equipaje'!L:M,2,0)</f>
        <v>50</v>
      </c>
      <c r="L1604" s="51" t="str">
        <f>VLOOKUP(I1604,'Validacion reclamo de equipaje'!H:I,2,0)</f>
        <v>Nacional</v>
      </c>
      <c r="M1604" s="51" t="s">
        <v>523</v>
      </c>
    </row>
    <row r="1605" spans="1:13" x14ac:dyDescent="0.25">
      <c r="A1605">
        <v>2023</v>
      </c>
      <c r="B1605" s="47" t="str">
        <f>VLOOKUP(Tabla6[[#This Row],['# Vuelo]],'Validacion reclamo de equipaje'!P:Q,2,0)</f>
        <v>MEXICO AEREO</v>
      </c>
      <c r="C1605" s="52">
        <v>0.47569444444444442</v>
      </c>
      <c r="D1605" s="52">
        <v>0.47638888888888892</v>
      </c>
      <c r="E1605" s="53">
        <f>'Reclamo de equipaje rediseñado'!$D1605-'Reclamo de equipaje rediseñado'!$C1605</f>
        <v>6.9444444444449749E-4</v>
      </c>
      <c r="F1605" s="52">
        <v>0.48333333333333334</v>
      </c>
      <c r="G1605" s="53">
        <f t="shared" si="25"/>
        <v>6.9444444444444198E-3</v>
      </c>
      <c r="H1605" s="54">
        <v>41757</v>
      </c>
      <c r="I1605" s="55" t="s">
        <v>543</v>
      </c>
      <c r="J1605" s="55" t="s">
        <v>535</v>
      </c>
      <c r="K1605" s="55">
        <f>VLOOKUP(J1605,'Validacion reclamo de equipaje'!L:M,2,0)</f>
        <v>50</v>
      </c>
      <c r="L1605" s="55" t="str">
        <f>VLOOKUP(I1605,'Validacion reclamo de equipaje'!H:I,2,0)</f>
        <v>Nacional</v>
      </c>
      <c r="M1605" s="55" t="s">
        <v>523</v>
      </c>
    </row>
    <row r="1606" spans="1:13" x14ac:dyDescent="0.25">
      <c r="A1606">
        <v>2023</v>
      </c>
      <c r="B1606" s="47" t="str">
        <f>VLOOKUP(Tabla6[[#This Row],['# Vuelo]],'Validacion reclamo de equipaje'!P:Q,2,0)</f>
        <v>MEXICO AEREO</v>
      </c>
      <c r="C1606" s="48">
        <v>0.48055555555555557</v>
      </c>
      <c r="D1606" s="48">
        <v>0.48749999999999999</v>
      </c>
      <c r="E1606" s="49">
        <f>'Reclamo de equipaje rediseñado'!$D1606-'Reclamo de equipaje rediseñado'!$C1606</f>
        <v>6.9444444444444198E-3</v>
      </c>
      <c r="F1606" s="48">
        <v>0.49305555555555558</v>
      </c>
      <c r="G1606" s="49">
        <f t="shared" si="25"/>
        <v>5.5555555555555913E-3</v>
      </c>
      <c r="H1606" s="50">
        <v>41758</v>
      </c>
      <c r="I1606" s="51" t="s">
        <v>543</v>
      </c>
      <c r="J1606" s="51" t="s">
        <v>535</v>
      </c>
      <c r="K1606" s="51">
        <f>VLOOKUP(J1606,'Validacion reclamo de equipaje'!L:M,2,0)</f>
        <v>50</v>
      </c>
      <c r="L1606" s="51" t="str">
        <f>VLOOKUP(I1606,'Validacion reclamo de equipaje'!H:I,2,0)</f>
        <v>Nacional</v>
      </c>
      <c r="M1606" s="51" t="s">
        <v>523</v>
      </c>
    </row>
    <row r="1607" spans="1:13" x14ac:dyDescent="0.25">
      <c r="A1607">
        <v>2021</v>
      </c>
      <c r="B1607" s="47" t="str">
        <f>VLOOKUP(Tabla6[[#This Row],['# Vuelo]],'Validacion reclamo de equipaje'!P:Q,2,0)</f>
        <v>MEXICO AEREO</v>
      </c>
      <c r="C1607" s="52">
        <v>0.80902777777777779</v>
      </c>
      <c r="D1607" s="52">
        <v>0.81111111111111101</v>
      </c>
      <c r="E1607" s="53">
        <f>'Reclamo de equipaje rediseñado'!$D1607-'Reclamo de equipaje rediseñado'!$C1607</f>
        <v>2.0833333333332149E-3</v>
      </c>
      <c r="F1607" s="52">
        <v>0.81736111111111109</v>
      </c>
      <c r="G1607" s="53">
        <f t="shared" si="25"/>
        <v>6.2500000000000888E-3</v>
      </c>
      <c r="H1607" s="54">
        <v>41741</v>
      </c>
      <c r="I1607" s="55" t="s">
        <v>543</v>
      </c>
      <c r="J1607" s="55" t="s">
        <v>562</v>
      </c>
      <c r="K1607" s="55" t="e">
        <f>VLOOKUP(J1607,'Validacion reclamo de equipaje'!L:M,2,0)</f>
        <v>#N/A</v>
      </c>
      <c r="L1607" s="55" t="str">
        <f>VLOOKUP(I1607,'Validacion reclamo de equipaje'!H:I,2,0)</f>
        <v>Nacional</v>
      </c>
      <c r="M1607" s="55" t="s">
        <v>523</v>
      </c>
    </row>
    <row r="1608" spans="1:13" x14ac:dyDescent="0.25">
      <c r="A1608">
        <v>2015</v>
      </c>
      <c r="B1608" s="47" t="str">
        <f>VLOOKUP(Tabla6[[#This Row],['# Vuelo]],'Validacion reclamo de equipaje'!P:Q,2,0)</f>
        <v>MEXICO AEREO</v>
      </c>
      <c r="C1608" s="48">
        <v>0.56805555555555554</v>
      </c>
      <c r="D1608" s="48">
        <v>0.57430555555555551</v>
      </c>
      <c r="E1608" s="49">
        <f>'Reclamo de equipaje rediseñado'!$D1608-'Reclamo de equipaje rediseñado'!$C1608</f>
        <v>6.2499999999999778E-3</v>
      </c>
      <c r="F1608" s="48">
        <v>0.57500000000000007</v>
      </c>
      <c r="G1608" s="49">
        <f t="shared" si="25"/>
        <v>6.94444444444553E-4</v>
      </c>
      <c r="H1608" s="50">
        <v>41736</v>
      </c>
      <c r="I1608" s="51" t="s">
        <v>551</v>
      </c>
      <c r="J1608" s="51" t="s">
        <v>535</v>
      </c>
      <c r="K1608" s="51">
        <f>VLOOKUP(J1608,'Validacion reclamo de equipaje'!L:M,2,0)</f>
        <v>50</v>
      </c>
      <c r="L1608" s="51" t="str">
        <f>VLOOKUP(I1608,'Validacion reclamo de equipaje'!H:I,2,0)</f>
        <v>Nacional</v>
      </c>
      <c r="M1608" s="51" t="s">
        <v>523</v>
      </c>
    </row>
    <row r="1609" spans="1:13" x14ac:dyDescent="0.25">
      <c r="A1609">
        <v>2015</v>
      </c>
      <c r="B1609" s="47" t="str">
        <f>VLOOKUP(Tabla6[[#This Row],['# Vuelo]],'Validacion reclamo de equipaje'!P:Q,2,0)</f>
        <v>MEXICO AEREO</v>
      </c>
      <c r="C1609" s="52">
        <v>0.42777777777777781</v>
      </c>
      <c r="D1609" s="52">
        <v>0.43124999999999997</v>
      </c>
      <c r="E1609" s="53">
        <f>'Reclamo de equipaje rediseñado'!$D1609-'Reclamo de equipaje rediseñado'!$C1609</f>
        <v>3.4722222222221544E-3</v>
      </c>
      <c r="F1609" s="52">
        <v>0.4368055555555555</v>
      </c>
      <c r="G1609" s="53">
        <f t="shared" si="25"/>
        <v>5.5555555555555358E-3</v>
      </c>
      <c r="H1609" s="54">
        <v>41730</v>
      </c>
      <c r="I1609" s="55" t="s">
        <v>551</v>
      </c>
      <c r="J1609" s="55" t="s">
        <v>535</v>
      </c>
      <c r="K1609" s="55">
        <f>VLOOKUP(J1609,'Validacion reclamo de equipaje'!L:M,2,0)</f>
        <v>50</v>
      </c>
      <c r="L1609" s="55" t="str">
        <f>VLOOKUP(I1609,'Validacion reclamo de equipaje'!H:I,2,0)</f>
        <v>Nacional</v>
      </c>
      <c r="M1609" s="55" t="s">
        <v>523</v>
      </c>
    </row>
    <row r="1610" spans="1:13" x14ac:dyDescent="0.25">
      <c r="A1610">
        <v>2015</v>
      </c>
      <c r="B1610" s="47" t="str">
        <f>VLOOKUP(Tabla6[[#This Row],['# Vuelo]],'Validacion reclamo de equipaje'!P:Q,2,0)</f>
        <v>MEXICO AEREO</v>
      </c>
      <c r="C1610" s="48">
        <v>0.43402777777777773</v>
      </c>
      <c r="D1610" s="48">
        <v>0.44166666666666665</v>
      </c>
      <c r="E1610" s="49">
        <f>'Reclamo de equipaje rediseñado'!$D1610-'Reclamo de equipaje rediseñado'!$C1610</f>
        <v>7.6388888888889173E-3</v>
      </c>
      <c r="F1610" s="48">
        <v>0.44722222222222219</v>
      </c>
      <c r="G1610" s="49">
        <f t="shared" si="25"/>
        <v>5.5555555555555358E-3</v>
      </c>
      <c r="H1610" s="50">
        <v>41731</v>
      </c>
      <c r="I1610" s="51" t="s">
        <v>551</v>
      </c>
      <c r="J1610" s="51" t="s">
        <v>535</v>
      </c>
      <c r="K1610" s="51">
        <f>VLOOKUP(J1610,'Validacion reclamo de equipaje'!L:M,2,0)</f>
        <v>50</v>
      </c>
      <c r="L1610" s="51" t="str">
        <f>VLOOKUP(I1610,'Validacion reclamo de equipaje'!H:I,2,0)</f>
        <v>Nacional</v>
      </c>
      <c r="M1610" s="51" t="s">
        <v>523</v>
      </c>
    </row>
    <row r="1611" spans="1:13" x14ac:dyDescent="0.25">
      <c r="A1611">
        <v>2015</v>
      </c>
      <c r="B1611" s="47" t="str">
        <f>VLOOKUP(Tabla6[[#This Row],['# Vuelo]],'Validacion reclamo de equipaje'!P:Q,2,0)</f>
        <v>MEXICO AEREO</v>
      </c>
      <c r="C1611" s="52">
        <v>0.43055555555555558</v>
      </c>
      <c r="D1611" s="52">
        <v>0.44166666666666665</v>
      </c>
      <c r="E1611" s="53">
        <f>'Reclamo de equipaje rediseñado'!$D1611-'Reclamo de equipaje rediseñado'!$C1611</f>
        <v>1.1111111111111072E-2</v>
      </c>
      <c r="F1611" s="52">
        <v>0.44791666666666669</v>
      </c>
      <c r="G1611" s="53">
        <f t="shared" si="25"/>
        <v>6.2500000000000333E-3</v>
      </c>
      <c r="H1611" s="54">
        <v>41732</v>
      </c>
      <c r="I1611" s="55" t="s">
        <v>551</v>
      </c>
      <c r="J1611" s="55" t="s">
        <v>535</v>
      </c>
      <c r="K1611" s="55">
        <f>VLOOKUP(J1611,'Validacion reclamo de equipaje'!L:M,2,0)</f>
        <v>50</v>
      </c>
      <c r="L1611" s="55" t="str">
        <f>VLOOKUP(I1611,'Validacion reclamo de equipaje'!H:I,2,0)</f>
        <v>Nacional</v>
      </c>
      <c r="M1611" s="55" t="s">
        <v>523</v>
      </c>
    </row>
    <row r="1612" spans="1:13" x14ac:dyDescent="0.25">
      <c r="A1612">
        <v>2015</v>
      </c>
      <c r="B1612" s="47" t="str">
        <f>VLOOKUP(Tabla6[[#This Row],['# Vuelo]],'Validacion reclamo de equipaje'!P:Q,2,0)</f>
        <v>MEXICO AEREO</v>
      </c>
      <c r="C1612" s="48">
        <v>0.44236111111111115</v>
      </c>
      <c r="D1612" s="48">
        <v>0.44444444444444442</v>
      </c>
      <c r="E1612" s="49">
        <f>'Reclamo de equipaje rediseñado'!$D1612-'Reclamo de equipaje rediseñado'!$C1612</f>
        <v>2.0833333333332704E-3</v>
      </c>
      <c r="F1612" s="48">
        <v>0.44791666666666669</v>
      </c>
      <c r="G1612" s="49">
        <f t="shared" si="25"/>
        <v>3.4722222222222654E-3</v>
      </c>
      <c r="H1612" s="50">
        <v>41733</v>
      </c>
      <c r="I1612" s="51" t="s">
        <v>551</v>
      </c>
      <c r="J1612" s="51" t="s">
        <v>535</v>
      </c>
      <c r="K1612" s="51">
        <f>VLOOKUP(J1612,'Validacion reclamo de equipaje'!L:M,2,0)</f>
        <v>50</v>
      </c>
      <c r="L1612" s="51" t="str">
        <f>VLOOKUP(I1612,'Validacion reclamo de equipaje'!H:I,2,0)</f>
        <v>Nacional</v>
      </c>
      <c r="M1612" s="51" t="s">
        <v>523</v>
      </c>
    </row>
    <row r="1613" spans="1:13" x14ac:dyDescent="0.25">
      <c r="A1613">
        <v>2015</v>
      </c>
      <c r="B1613" s="47" t="str">
        <f>VLOOKUP(Tabla6[[#This Row],['# Vuelo]],'Validacion reclamo de equipaje'!P:Q,2,0)</f>
        <v>MEXICO AEREO</v>
      </c>
      <c r="C1613" s="52">
        <v>0.46319444444444446</v>
      </c>
      <c r="D1613" s="52">
        <v>0.46527777777777773</v>
      </c>
      <c r="E1613" s="53">
        <f>'Reclamo de equipaje rediseñado'!$D1613-'Reclamo de equipaje rediseñado'!$C1613</f>
        <v>2.0833333333332704E-3</v>
      </c>
      <c r="F1613" s="52">
        <v>0.47083333333333338</v>
      </c>
      <c r="G1613" s="53">
        <f t="shared" si="25"/>
        <v>5.5555555555556468E-3</v>
      </c>
      <c r="H1613" s="54">
        <v>41735</v>
      </c>
      <c r="I1613" s="55" t="s">
        <v>551</v>
      </c>
      <c r="J1613" s="55" t="s">
        <v>535</v>
      </c>
      <c r="K1613" s="55">
        <f>VLOOKUP(J1613,'Validacion reclamo de equipaje'!L:M,2,0)</f>
        <v>50</v>
      </c>
      <c r="L1613" s="55" t="str">
        <f>VLOOKUP(I1613,'Validacion reclamo de equipaje'!H:I,2,0)</f>
        <v>Nacional</v>
      </c>
      <c r="M1613" s="55" t="s">
        <v>523</v>
      </c>
    </row>
    <row r="1614" spans="1:13" x14ac:dyDescent="0.25">
      <c r="A1614">
        <v>2015</v>
      </c>
      <c r="B1614" s="47" t="str">
        <f>VLOOKUP(Tabla6[[#This Row],['# Vuelo]],'Validacion reclamo de equipaje'!P:Q,2,0)</f>
        <v>MEXICO AEREO</v>
      </c>
      <c r="C1614" s="48">
        <v>0.42777777777777781</v>
      </c>
      <c r="D1614" s="48">
        <v>0.43124999999999997</v>
      </c>
      <c r="E1614" s="49">
        <f>'Reclamo de equipaje rediseñado'!$D1614-'Reclamo de equipaje rediseñado'!$C1614</f>
        <v>3.4722222222221544E-3</v>
      </c>
      <c r="F1614" s="48">
        <v>0.4368055555555555</v>
      </c>
      <c r="G1614" s="49">
        <f t="shared" si="25"/>
        <v>5.5555555555555358E-3</v>
      </c>
      <c r="H1614" s="50">
        <v>41742</v>
      </c>
      <c r="I1614" s="51" t="s">
        <v>551</v>
      </c>
      <c r="J1614" s="51" t="s">
        <v>535</v>
      </c>
      <c r="K1614" s="51">
        <f>VLOOKUP(J1614,'Validacion reclamo de equipaje'!L:M,2,0)</f>
        <v>50</v>
      </c>
      <c r="L1614" s="51" t="str">
        <f>VLOOKUP(I1614,'Validacion reclamo de equipaje'!H:I,2,0)</f>
        <v>Nacional</v>
      </c>
      <c r="M1614" s="51" t="s">
        <v>523</v>
      </c>
    </row>
    <row r="1615" spans="1:13" x14ac:dyDescent="0.25">
      <c r="A1615">
        <v>2012</v>
      </c>
      <c r="B1615" s="47" t="str">
        <f>VLOOKUP(Tabla6[[#This Row],['# Vuelo]],'Validacion reclamo de equipaje'!P:Q,2,0)</f>
        <v>MEXICO AEREO</v>
      </c>
      <c r="C1615" s="52">
        <v>0.71736111111111101</v>
      </c>
      <c r="D1615" s="52">
        <v>0.72499999999999998</v>
      </c>
      <c r="E1615" s="53">
        <f>'Reclamo de equipaje rediseñado'!$D1615-'Reclamo de equipaje rediseñado'!$C1615</f>
        <v>7.6388888888889728E-3</v>
      </c>
      <c r="F1615" s="52">
        <v>0.72986111111111107</v>
      </c>
      <c r="G1615" s="53">
        <f t="shared" si="25"/>
        <v>4.8611111111110938E-3</v>
      </c>
      <c r="H1615" s="54">
        <v>41732</v>
      </c>
      <c r="I1615" s="55" t="s">
        <v>544</v>
      </c>
      <c r="J1615" s="55" t="s">
        <v>535</v>
      </c>
      <c r="K1615" s="55">
        <f>VLOOKUP(J1615,'Validacion reclamo de equipaje'!L:M,2,0)</f>
        <v>50</v>
      </c>
      <c r="L1615" s="55" t="str">
        <f>VLOOKUP(I1615,'Validacion reclamo de equipaje'!H:I,2,0)</f>
        <v>Nacional</v>
      </c>
      <c r="M1615" s="55" t="s">
        <v>523</v>
      </c>
    </row>
    <row r="1616" spans="1:13" x14ac:dyDescent="0.25">
      <c r="A1616">
        <v>2012</v>
      </c>
      <c r="B1616" s="47" t="str">
        <f>VLOOKUP(Tabla6[[#This Row],['# Vuelo]],'Validacion reclamo de equipaje'!P:Q,2,0)</f>
        <v>MEXICO AEREO</v>
      </c>
      <c r="C1616" s="48">
        <v>0.69861111111111107</v>
      </c>
      <c r="D1616" s="48">
        <v>0.70763888888888893</v>
      </c>
      <c r="E1616" s="49">
        <f>'Reclamo de equipaje rediseñado'!$D1616-'Reclamo de equipaje rediseñado'!$C1616</f>
        <v>9.0277777777778567E-3</v>
      </c>
      <c r="F1616" s="48">
        <v>0.71111111111111114</v>
      </c>
      <c r="G1616" s="49">
        <f t="shared" si="25"/>
        <v>3.4722222222222099E-3</v>
      </c>
      <c r="H1616" s="50">
        <v>41733</v>
      </c>
      <c r="I1616" s="51" t="s">
        <v>544</v>
      </c>
      <c r="J1616" s="51" t="s">
        <v>535</v>
      </c>
      <c r="K1616" s="51">
        <f>VLOOKUP(J1616,'Validacion reclamo de equipaje'!L:M,2,0)</f>
        <v>50</v>
      </c>
      <c r="L1616" s="51" t="str">
        <f>VLOOKUP(I1616,'Validacion reclamo de equipaje'!H:I,2,0)</f>
        <v>Nacional</v>
      </c>
      <c r="M1616" s="51" t="s">
        <v>523</v>
      </c>
    </row>
    <row r="1617" spans="1:13" x14ac:dyDescent="0.25">
      <c r="A1617">
        <v>2012</v>
      </c>
      <c r="B1617" s="47" t="str">
        <f>VLOOKUP(Tabla6[[#This Row],['# Vuelo]],'Validacion reclamo de equipaje'!P:Q,2,0)</f>
        <v>MEXICO AEREO</v>
      </c>
      <c r="C1617" s="52">
        <v>0.71527777777777779</v>
      </c>
      <c r="D1617" s="52">
        <v>0.72222222222222221</v>
      </c>
      <c r="E1617" s="53">
        <f>'Reclamo de equipaje rediseñado'!$D1617-'Reclamo de equipaje rediseñado'!$C1617</f>
        <v>6.9444444444444198E-3</v>
      </c>
      <c r="F1617" s="52">
        <v>0.72569444444444453</v>
      </c>
      <c r="G1617" s="53">
        <f t="shared" si="25"/>
        <v>3.4722222222223209E-3</v>
      </c>
      <c r="H1617" s="54">
        <v>41735</v>
      </c>
      <c r="I1617" s="55" t="s">
        <v>544</v>
      </c>
      <c r="J1617" s="55" t="s">
        <v>535</v>
      </c>
      <c r="K1617" s="55">
        <f>VLOOKUP(J1617,'Validacion reclamo de equipaje'!L:M,2,0)</f>
        <v>50</v>
      </c>
      <c r="L1617" s="55" t="str">
        <f>VLOOKUP(I1617,'Validacion reclamo de equipaje'!H:I,2,0)</f>
        <v>Nacional</v>
      </c>
      <c r="M1617" s="55" t="s">
        <v>523</v>
      </c>
    </row>
    <row r="1618" spans="1:13" x14ac:dyDescent="0.25">
      <c r="A1618">
        <v>2011</v>
      </c>
      <c r="B1618" s="47" t="str">
        <f>VLOOKUP(Tabla6[[#This Row],['# Vuelo]],'Validacion reclamo de equipaje'!P:Q,2,0)</f>
        <v>MEXICO AEREO</v>
      </c>
      <c r="C1618" s="48">
        <v>0.62361111111111112</v>
      </c>
      <c r="D1618" s="48">
        <v>0.625</v>
      </c>
      <c r="E1618" s="49">
        <f>'Reclamo de equipaje rediseñado'!$D1618-'Reclamo de equipaje rediseñado'!$C1618</f>
        <v>1.388888888888884E-3</v>
      </c>
      <c r="F1618" s="48">
        <v>0.62777777777777777</v>
      </c>
      <c r="G1618" s="49">
        <f t="shared" si="25"/>
        <v>2.7777777777777679E-3</v>
      </c>
      <c r="H1618" s="50">
        <v>41730</v>
      </c>
      <c r="I1618" s="51" t="s">
        <v>551</v>
      </c>
      <c r="J1618" s="51" t="s">
        <v>535</v>
      </c>
      <c r="K1618" s="51">
        <f>VLOOKUP(J1618,'Validacion reclamo de equipaje'!L:M,2,0)</f>
        <v>50</v>
      </c>
      <c r="L1618" s="51" t="str">
        <f>VLOOKUP(I1618,'Validacion reclamo de equipaje'!H:I,2,0)</f>
        <v>Nacional</v>
      </c>
      <c r="M1618" s="51" t="s">
        <v>523</v>
      </c>
    </row>
    <row r="1619" spans="1:13" x14ac:dyDescent="0.25">
      <c r="A1619">
        <v>2011</v>
      </c>
      <c r="B1619" s="47" t="str">
        <f>VLOOKUP(Tabla6[[#This Row],['# Vuelo]],'Validacion reclamo de equipaje'!P:Q,2,0)</f>
        <v>MEXICO AEREO</v>
      </c>
      <c r="C1619" s="52">
        <v>0.72083333333333333</v>
      </c>
      <c r="D1619" s="52">
        <v>0.72569444444444453</v>
      </c>
      <c r="E1619" s="53">
        <f>'Reclamo de equipaje rediseñado'!$D1619-'Reclamo de equipaje rediseñado'!$C1619</f>
        <v>4.8611111111112049E-3</v>
      </c>
      <c r="F1619" s="52">
        <v>0.7284722222222223</v>
      </c>
      <c r="G1619" s="53">
        <f t="shared" si="25"/>
        <v>2.7777777777777679E-3</v>
      </c>
      <c r="H1619" s="54">
        <v>41730</v>
      </c>
      <c r="I1619" s="55" t="s">
        <v>551</v>
      </c>
      <c r="J1619" s="55" t="s">
        <v>535</v>
      </c>
      <c r="K1619" s="55">
        <f>VLOOKUP(J1619,'Validacion reclamo de equipaje'!L:M,2,0)</f>
        <v>50</v>
      </c>
      <c r="L1619" s="55" t="str">
        <f>VLOOKUP(I1619,'Validacion reclamo de equipaje'!H:I,2,0)</f>
        <v>Nacional</v>
      </c>
      <c r="M1619" s="55" t="s">
        <v>523</v>
      </c>
    </row>
    <row r="1620" spans="1:13" x14ac:dyDescent="0.25">
      <c r="A1620">
        <v>2011</v>
      </c>
      <c r="B1620" s="47" t="str">
        <f>VLOOKUP(Tabla6[[#This Row],['# Vuelo]],'Validacion reclamo de equipaje'!P:Q,2,0)</f>
        <v>MEXICO AEREO</v>
      </c>
      <c r="C1620" s="48">
        <v>0.59513888888888888</v>
      </c>
      <c r="D1620" s="48">
        <v>0.60416666666666663</v>
      </c>
      <c r="E1620" s="49">
        <f>'Reclamo de equipaje rediseñado'!$D1620-'Reclamo de equipaje rediseñado'!$C1620</f>
        <v>9.0277777777777457E-3</v>
      </c>
      <c r="F1620" s="48">
        <v>0.6069444444444444</v>
      </c>
      <c r="G1620" s="49">
        <f t="shared" si="25"/>
        <v>2.7777777777777679E-3</v>
      </c>
      <c r="H1620" s="50">
        <v>41731</v>
      </c>
      <c r="I1620" s="51" t="s">
        <v>551</v>
      </c>
      <c r="J1620" s="51" t="s">
        <v>535</v>
      </c>
      <c r="K1620" s="51">
        <f>VLOOKUP(J1620,'Validacion reclamo de equipaje'!L:M,2,0)</f>
        <v>50</v>
      </c>
      <c r="L1620" s="51" t="str">
        <f>VLOOKUP(I1620,'Validacion reclamo de equipaje'!H:I,2,0)</f>
        <v>Nacional</v>
      </c>
      <c r="M1620" s="51" t="s">
        <v>523</v>
      </c>
    </row>
    <row r="1621" spans="1:13" x14ac:dyDescent="0.25">
      <c r="A1621">
        <v>2011</v>
      </c>
      <c r="B1621" s="47" t="str">
        <f>VLOOKUP(Tabla6[[#This Row],['# Vuelo]],'Validacion reclamo de equipaje'!P:Q,2,0)</f>
        <v>MEXICO AEREO</v>
      </c>
      <c r="C1621" s="52">
        <v>7.6388888888888895E-2</v>
      </c>
      <c r="D1621" s="52">
        <v>8.5416666666666655E-2</v>
      </c>
      <c r="E1621" s="53">
        <f>'Reclamo de equipaje rediseñado'!$D1621-'Reclamo de equipaje rediseñado'!$C1621</f>
        <v>9.0277777777777596E-3</v>
      </c>
      <c r="F1621" s="52">
        <v>9.5138888888888884E-2</v>
      </c>
      <c r="G1621" s="53">
        <f t="shared" si="25"/>
        <v>9.7222222222222293E-3</v>
      </c>
      <c r="H1621" s="54">
        <v>41732</v>
      </c>
      <c r="I1621" s="55" t="s">
        <v>551</v>
      </c>
      <c r="J1621" s="55" t="s">
        <v>535</v>
      </c>
      <c r="K1621" s="55">
        <f>VLOOKUP(J1621,'Validacion reclamo de equipaje'!L:M,2,0)</f>
        <v>50</v>
      </c>
      <c r="L1621" s="55" t="str">
        <f>VLOOKUP(I1621,'Validacion reclamo de equipaje'!H:I,2,0)</f>
        <v>Nacional</v>
      </c>
      <c r="M1621" s="55" t="s">
        <v>523</v>
      </c>
    </row>
    <row r="1622" spans="1:13" x14ac:dyDescent="0.25">
      <c r="A1622">
        <v>2011</v>
      </c>
      <c r="B1622" s="47" t="str">
        <f>VLOOKUP(Tabla6[[#This Row],['# Vuelo]],'Validacion reclamo de equipaje'!P:Q,2,0)</f>
        <v>MEXICO AEREO</v>
      </c>
      <c r="C1622" s="48">
        <v>0.58958333333333335</v>
      </c>
      <c r="D1622" s="48">
        <v>0.59305555555555556</v>
      </c>
      <c r="E1622" s="49">
        <f>'Reclamo de equipaje rediseñado'!$D1622-'Reclamo de equipaje rediseñado'!$C1622</f>
        <v>3.4722222222222099E-3</v>
      </c>
      <c r="F1622" s="48">
        <v>0.63833333333333331</v>
      </c>
      <c r="G1622" s="49">
        <f t="shared" si="25"/>
        <v>4.527777777777775E-2</v>
      </c>
      <c r="H1622" s="50">
        <v>41733</v>
      </c>
      <c r="I1622" s="51" t="s">
        <v>551</v>
      </c>
      <c r="J1622" s="51" t="s">
        <v>535</v>
      </c>
      <c r="K1622" s="51">
        <f>VLOOKUP(J1622,'Validacion reclamo de equipaje'!L:M,2,0)</f>
        <v>50</v>
      </c>
      <c r="L1622" s="51" t="str">
        <f>VLOOKUP(I1622,'Validacion reclamo de equipaje'!H:I,2,0)</f>
        <v>Nacional</v>
      </c>
      <c r="M1622" s="51" t="s">
        <v>523</v>
      </c>
    </row>
    <row r="1623" spans="1:13" x14ac:dyDescent="0.25">
      <c r="A1623">
        <v>2011</v>
      </c>
      <c r="B1623" s="47" t="str">
        <f>VLOOKUP(Tabla6[[#This Row],['# Vuelo]],'Validacion reclamo de equipaje'!P:Q,2,0)</f>
        <v>MEXICO AEREO</v>
      </c>
      <c r="C1623" s="52">
        <v>0.62361111111111112</v>
      </c>
      <c r="D1623" s="52">
        <v>0.625</v>
      </c>
      <c r="E1623" s="53">
        <f>'Reclamo de equipaje rediseñado'!$D1623-'Reclamo de equipaje rediseñado'!$C1623</f>
        <v>1.388888888888884E-3</v>
      </c>
      <c r="F1623" s="52">
        <v>0.62777777777777777</v>
      </c>
      <c r="G1623" s="53">
        <f t="shared" si="25"/>
        <v>2.7777777777777679E-3</v>
      </c>
      <c r="H1623" s="54">
        <v>41742</v>
      </c>
      <c r="I1623" s="55" t="s">
        <v>551</v>
      </c>
      <c r="J1623" s="55" t="s">
        <v>535</v>
      </c>
      <c r="K1623" s="55">
        <f>VLOOKUP(J1623,'Validacion reclamo de equipaje'!L:M,2,0)</f>
        <v>50</v>
      </c>
      <c r="L1623" s="55" t="str">
        <f>VLOOKUP(I1623,'Validacion reclamo de equipaje'!H:I,2,0)</f>
        <v>Nacional</v>
      </c>
      <c r="M1623" s="55" t="s">
        <v>523</v>
      </c>
    </row>
    <row r="1624" spans="1:13" x14ac:dyDescent="0.25">
      <c r="A1624">
        <v>2011</v>
      </c>
      <c r="B1624" s="47" t="str">
        <f>VLOOKUP(Tabla6[[#This Row],['# Vuelo]],'Validacion reclamo de equipaje'!P:Q,2,0)</f>
        <v>MEXICO AEREO</v>
      </c>
      <c r="C1624" s="48">
        <v>0.72083333333333333</v>
      </c>
      <c r="D1624" s="48">
        <v>0.72569444444444453</v>
      </c>
      <c r="E1624" s="49">
        <f>'Reclamo de equipaje rediseñado'!$D1624-'Reclamo de equipaje rediseñado'!$C1624</f>
        <v>4.8611111111112049E-3</v>
      </c>
      <c r="F1624" s="48">
        <v>0.7284722222222223</v>
      </c>
      <c r="G1624" s="49">
        <f t="shared" si="25"/>
        <v>2.7777777777777679E-3</v>
      </c>
      <c r="H1624" s="50">
        <v>41742</v>
      </c>
      <c r="I1624" s="51" t="s">
        <v>551</v>
      </c>
      <c r="J1624" s="51" t="s">
        <v>535</v>
      </c>
      <c r="K1624" s="51">
        <f>VLOOKUP(J1624,'Validacion reclamo de equipaje'!L:M,2,0)</f>
        <v>50</v>
      </c>
      <c r="L1624" s="51" t="str">
        <f>VLOOKUP(I1624,'Validacion reclamo de equipaje'!H:I,2,0)</f>
        <v>Nacional</v>
      </c>
      <c r="M1624" s="51" t="s">
        <v>523</v>
      </c>
    </row>
    <row r="1625" spans="1:13" x14ac:dyDescent="0.25">
      <c r="A1625">
        <v>2005</v>
      </c>
      <c r="B1625" s="47" t="str">
        <f>VLOOKUP(Tabla6[[#This Row],['# Vuelo]],'Validacion reclamo de equipaje'!P:Q,2,0)</f>
        <v>MEXICO AEREO</v>
      </c>
      <c r="C1625" s="52">
        <v>0.34027777777777773</v>
      </c>
      <c r="D1625" s="52">
        <v>0.34722222222222227</v>
      </c>
      <c r="E1625" s="53">
        <f>'Reclamo de equipaje rediseñado'!$D1625-'Reclamo de equipaje rediseñado'!$C1625</f>
        <v>6.9444444444445308E-3</v>
      </c>
      <c r="F1625" s="52">
        <v>0.35069444444444442</v>
      </c>
      <c r="G1625" s="53">
        <f t="shared" si="25"/>
        <v>3.4722222222221544E-3</v>
      </c>
      <c r="H1625" s="54">
        <v>41738</v>
      </c>
      <c r="I1625" s="55" t="s">
        <v>543</v>
      </c>
      <c r="J1625" s="55" t="s">
        <v>535</v>
      </c>
      <c r="K1625" s="55">
        <f>VLOOKUP(J1625,'Validacion reclamo de equipaje'!L:M,2,0)</f>
        <v>50</v>
      </c>
      <c r="L1625" s="55" t="str">
        <f>VLOOKUP(I1625,'Validacion reclamo de equipaje'!H:I,2,0)</f>
        <v>Nacional</v>
      </c>
      <c r="M1625" s="55" t="s">
        <v>523</v>
      </c>
    </row>
    <row r="1626" spans="1:13" x14ac:dyDescent="0.25">
      <c r="A1626">
        <v>2005</v>
      </c>
      <c r="B1626" s="47" t="str">
        <f>VLOOKUP(Tabla6[[#This Row],['# Vuelo]],'Validacion reclamo de equipaje'!P:Q,2,0)</f>
        <v>MEXICO AEREO</v>
      </c>
      <c r="C1626" s="48">
        <v>0.38611111111111113</v>
      </c>
      <c r="D1626" s="48">
        <v>0.38819444444444445</v>
      </c>
      <c r="E1626" s="49">
        <f>'Reclamo de equipaje rediseñado'!$D1626-'Reclamo de equipaje rediseñado'!$C1626</f>
        <v>2.0833333333333259E-3</v>
      </c>
      <c r="F1626" s="48">
        <v>0.39374999999999999</v>
      </c>
      <c r="G1626" s="49">
        <f t="shared" si="25"/>
        <v>5.5555555555555358E-3</v>
      </c>
      <c r="H1626" s="50">
        <v>41739</v>
      </c>
      <c r="I1626" s="51" t="s">
        <v>543</v>
      </c>
      <c r="J1626" s="51" t="s">
        <v>535</v>
      </c>
      <c r="K1626" s="51">
        <f>VLOOKUP(J1626,'Validacion reclamo de equipaje'!L:M,2,0)</f>
        <v>50</v>
      </c>
      <c r="L1626" s="51" t="str">
        <f>VLOOKUP(I1626,'Validacion reclamo de equipaje'!H:I,2,0)</f>
        <v>Nacional</v>
      </c>
      <c r="M1626" s="51" t="s">
        <v>523</v>
      </c>
    </row>
    <row r="1627" spans="1:13" x14ac:dyDescent="0.25">
      <c r="A1627">
        <v>2005</v>
      </c>
      <c r="B1627" s="47" t="str">
        <f>VLOOKUP(Tabla6[[#This Row],['# Vuelo]],'Validacion reclamo de equipaje'!P:Q,2,0)</f>
        <v>MEXICO AEREO</v>
      </c>
      <c r="C1627" s="52">
        <v>0.33263888888888887</v>
      </c>
      <c r="D1627" s="52">
        <v>0.33819444444444446</v>
      </c>
      <c r="E1627" s="53">
        <f>'Reclamo de equipaje rediseñado'!$D1627-'Reclamo de equipaje rediseñado'!$C1627</f>
        <v>5.5555555555555913E-3</v>
      </c>
      <c r="F1627" s="52">
        <v>0.34236111111111112</v>
      </c>
      <c r="G1627" s="53">
        <f t="shared" si="25"/>
        <v>4.1666666666666519E-3</v>
      </c>
      <c r="H1627" s="54">
        <v>41741</v>
      </c>
      <c r="I1627" s="55" t="s">
        <v>543</v>
      </c>
      <c r="J1627" s="55" t="s">
        <v>535</v>
      </c>
      <c r="K1627" s="55">
        <f>VLOOKUP(J1627,'Validacion reclamo de equipaje'!L:M,2,0)</f>
        <v>50</v>
      </c>
      <c r="L1627" s="55" t="str">
        <f>VLOOKUP(I1627,'Validacion reclamo de equipaje'!H:I,2,0)</f>
        <v>Nacional</v>
      </c>
      <c r="M1627" s="55" t="s">
        <v>523</v>
      </c>
    </row>
    <row r="1628" spans="1:13" x14ac:dyDescent="0.25">
      <c r="A1628">
        <v>2005</v>
      </c>
      <c r="B1628" s="47" t="str">
        <f>VLOOKUP(Tabla6[[#This Row],['# Vuelo]],'Validacion reclamo de equipaje'!P:Q,2,0)</f>
        <v>MEXICO AEREO</v>
      </c>
      <c r="C1628" s="48">
        <v>0.34027777777777773</v>
      </c>
      <c r="D1628" s="48">
        <v>0.3444444444444445</v>
      </c>
      <c r="E1628" s="49">
        <f>'Reclamo de equipaje rediseñado'!$D1628-'Reclamo de equipaje rediseñado'!$C1628</f>
        <v>4.1666666666667629E-3</v>
      </c>
      <c r="F1628" s="48">
        <v>0.35138888888888892</v>
      </c>
      <c r="G1628" s="49">
        <f t="shared" si="25"/>
        <v>6.9444444444444198E-3</v>
      </c>
      <c r="H1628" s="50">
        <v>41743</v>
      </c>
      <c r="I1628" s="51" t="s">
        <v>543</v>
      </c>
      <c r="J1628" s="51" t="s">
        <v>535</v>
      </c>
      <c r="K1628" s="51">
        <f>VLOOKUP(J1628,'Validacion reclamo de equipaje'!L:M,2,0)</f>
        <v>50</v>
      </c>
      <c r="L1628" s="51" t="str">
        <f>VLOOKUP(I1628,'Validacion reclamo de equipaje'!H:I,2,0)</f>
        <v>Nacional</v>
      </c>
      <c r="M1628" s="51" t="s">
        <v>523</v>
      </c>
    </row>
    <row r="1629" spans="1:13" x14ac:dyDescent="0.25">
      <c r="A1629">
        <v>2005</v>
      </c>
      <c r="B1629" s="47" t="str">
        <f>VLOOKUP(Tabla6[[#This Row],['# Vuelo]],'Validacion reclamo de equipaje'!P:Q,2,0)</f>
        <v>MEXICO AEREO</v>
      </c>
      <c r="C1629" s="52">
        <v>0.33749999999999997</v>
      </c>
      <c r="D1629" s="52">
        <v>0.3430555555555555</v>
      </c>
      <c r="E1629" s="53">
        <f>'Reclamo de equipaje rediseñado'!$D1629-'Reclamo de equipaje rediseñado'!$C1629</f>
        <v>5.5555555555555358E-3</v>
      </c>
      <c r="F1629" s="52">
        <v>0.34722222222222227</v>
      </c>
      <c r="G1629" s="53">
        <f t="shared" si="25"/>
        <v>4.1666666666667629E-3</v>
      </c>
      <c r="H1629" s="54">
        <v>41744</v>
      </c>
      <c r="I1629" s="55" t="s">
        <v>543</v>
      </c>
      <c r="J1629" s="55" t="s">
        <v>535</v>
      </c>
      <c r="K1629" s="55">
        <f>VLOOKUP(J1629,'Validacion reclamo de equipaje'!L:M,2,0)</f>
        <v>50</v>
      </c>
      <c r="L1629" s="55" t="str">
        <f>VLOOKUP(I1629,'Validacion reclamo de equipaje'!H:I,2,0)</f>
        <v>Nacional</v>
      </c>
      <c r="M1629" s="55" t="s">
        <v>523</v>
      </c>
    </row>
    <row r="1630" spans="1:13" x14ac:dyDescent="0.25">
      <c r="A1630">
        <v>2005</v>
      </c>
      <c r="B1630" s="47" t="str">
        <f>VLOOKUP(Tabla6[[#This Row],['# Vuelo]],'Validacion reclamo de equipaje'!P:Q,2,0)</f>
        <v>MEXICO AEREO</v>
      </c>
      <c r="C1630" s="48">
        <v>0.3354166666666667</v>
      </c>
      <c r="D1630" s="48">
        <v>0.34375</v>
      </c>
      <c r="E1630" s="49">
        <f>'Reclamo de equipaje rediseñado'!$D1630-'Reclamo de equipaje rediseñado'!$C1630</f>
        <v>8.3333333333333037E-3</v>
      </c>
      <c r="F1630" s="48">
        <v>0.34722222222222227</v>
      </c>
      <c r="G1630" s="49">
        <f t="shared" si="25"/>
        <v>3.4722222222222654E-3</v>
      </c>
      <c r="H1630" s="50">
        <v>41750</v>
      </c>
      <c r="I1630" s="51" t="s">
        <v>543</v>
      </c>
      <c r="J1630" s="51" t="s">
        <v>535</v>
      </c>
      <c r="K1630" s="51">
        <f>VLOOKUP(J1630,'Validacion reclamo de equipaje'!L:M,2,0)</f>
        <v>50</v>
      </c>
      <c r="L1630" s="51" t="str">
        <f>VLOOKUP(I1630,'Validacion reclamo de equipaje'!H:I,2,0)</f>
        <v>Nacional</v>
      </c>
      <c r="M1630" s="51" t="s">
        <v>523</v>
      </c>
    </row>
    <row r="1631" spans="1:13" x14ac:dyDescent="0.25">
      <c r="A1631">
        <v>2005</v>
      </c>
      <c r="B1631" s="47" t="str">
        <f>VLOOKUP(Tabla6[[#This Row],['# Vuelo]],'Validacion reclamo de equipaje'!P:Q,2,0)</f>
        <v>MEXICO AEREO</v>
      </c>
      <c r="C1631" s="52">
        <v>0.3354166666666667</v>
      </c>
      <c r="D1631" s="52">
        <v>0.34375</v>
      </c>
      <c r="E1631" s="53">
        <f>'Reclamo de equipaje rediseñado'!$D1631-'Reclamo de equipaje rediseñado'!$C1631</f>
        <v>8.3333333333333037E-3</v>
      </c>
      <c r="F1631" s="52">
        <v>0.34722222222222227</v>
      </c>
      <c r="G1631" s="53">
        <f t="shared" si="25"/>
        <v>3.4722222222222654E-3</v>
      </c>
      <c r="H1631" s="54">
        <v>41750</v>
      </c>
      <c r="I1631" s="55" t="s">
        <v>543</v>
      </c>
      <c r="J1631" s="55" t="s">
        <v>535</v>
      </c>
      <c r="K1631" s="55">
        <f>VLOOKUP(J1631,'Validacion reclamo de equipaje'!L:M,2,0)</f>
        <v>50</v>
      </c>
      <c r="L1631" s="55" t="str">
        <f>VLOOKUP(I1631,'Validacion reclamo de equipaje'!H:I,2,0)</f>
        <v>Nacional</v>
      </c>
      <c r="M1631" s="55" t="s">
        <v>523</v>
      </c>
    </row>
    <row r="1632" spans="1:13" x14ac:dyDescent="0.25">
      <c r="A1632">
        <v>2005</v>
      </c>
      <c r="B1632" s="47" t="str">
        <f>VLOOKUP(Tabla6[[#This Row],['# Vuelo]],'Validacion reclamo de equipaje'!P:Q,2,0)</f>
        <v>MEXICO AEREO</v>
      </c>
      <c r="C1632" s="48">
        <v>0.32569444444444445</v>
      </c>
      <c r="D1632" s="48">
        <v>0.33263888888888887</v>
      </c>
      <c r="E1632" s="49">
        <f>'Reclamo de equipaje rediseñado'!$D1632-'Reclamo de equipaje rediseñado'!$C1632</f>
        <v>6.9444444444444198E-3</v>
      </c>
      <c r="F1632" s="48">
        <v>0.34236111111111112</v>
      </c>
      <c r="G1632" s="49">
        <f t="shared" si="25"/>
        <v>9.7222222222222432E-3</v>
      </c>
      <c r="H1632" s="50">
        <v>41751</v>
      </c>
      <c r="I1632" s="51" t="s">
        <v>543</v>
      </c>
      <c r="J1632" s="51" t="s">
        <v>535</v>
      </c>
      <c r="K1632" s="51">
        <f>VLOOKUP(J1632,'Validacion reclamo de equipaje'!L:M,2,0)</f>
        <v>50</v>
      </c>
      <c r="L1632" s="51" t="str">
        <f>VLOOKUP(I1632,'Validacion reclamo de equipaje'!H:I,2,0)</f>
        <v>Nacional</v>
      </c>
      <c r="M1632" s="51" t="s">
        <v>523</v>
      </c>
    </row>
    <row r="1633" spans="1:13" x14ac:dyDescent="0.25">
      <c r="A1633">
        <v>2005</v>
      </c>
      <c r="B1633" s="47" t="str">
        <f>VLOOKUP(Tabla6[[#This Row],['# Vuelo]],'Validacion reclamo de equipaje'!P:Q,2,0)</f>
        <v>MEXICO AEREO</v>
      </c>
      <c r="C1633" s="52">
        <v>0.3354166666666667</v>
      </c>
      <c r="D1633" s="52">
        <v>0.33888888888888885</v>
      </c>
      <c r="E1633" s="53">
        <f>'Reclamo de equipaje rediseñado'!$D1633-'Reclamo de equipaje rediseñado'!$C1633</f>
        <v>3.4722222222221544E-3</v>
      </c>
      <c r="F1633" s="52">
        <v>0.34166666666666662</v>
      </c>
      <c r="G1633" s="53">
        <f t="shared" si="25"/>
        <v>2.7777777777777679E-3</v>
      </c>
      <c r="H1633" s="54">
        <v>41754</v>
      </c>
      <c r="I1633" s="55" t="s">
        <v>543</v>
      </c>
      <c r="J1633" s="55" t="s">
        <v>535</v>
      </c>
      <c r="K1633" s="55">
        <f>VLOOKUP(J1633,'Validacion reclamo de equipaje'!L:M,2,0)</f>
        <v>50</v>
      </c>
      <c r="L1633" s="55" t="str">
        <f>VLOOKUP(I1633,'Validacion reclamo de equipaje'!H:I,2,0)</f>
        <v>Nacional</v>
      </c>
      <c r="M1633" s="55" t="s">
        <v>523</v>
      </c>
    </row>
    <row r="1634" spans="1:13" x14ac:dyDescent="0.25">
      <c r="A1634">
        <v>2005</v>
      </c>
      <c r="B1634" s="47" t="str">
        <f>VLOOKUP(Tabla6[[#This Row],['# Vuelo]],'Validacion reclamo de equipaje'!P:Q,2,0)</f>
        <v>MEXICO AEREO</v>
      </c>
      <c r="C1634" s="48">
        <v>0.33611111111111108</v>
      </c>
      <c r="D1634" s="48">
        <v>0.34375</v>
      </c>
      <c r="E1634" s="49">
        <f>'Reclamo de equipaje rediseñado'!$D1634-'Reclamo de equipaje rediseñado'!$C1634</f>
        <v>7.6388888888889173E-3</v>
      </c>
      <c r="F1634" s="48">
        <v>0.34722222222222227</v>
      </c>
      <c r="G1634" s="49">
        <f t="shared" si="25"/>
        <v>3.4722222222222654E-3</v>
      </c>
      <c r="H1634" s="50">
        <v>41757</v>
      </c>
      <c r="I1634" s="51" t="s">
        <v>543</v>
      </c>
      <c r="J1634" s="51" t="s">
        <v>535</v>
      </c>
      <c r="K1634" s="51">
        <f>VLOOKUP(J1634,'Validacion reclamo de equipaje'!L:M,2,0)</f>
        <v>50</v>
      </c>
      <c r="L1634" s="51" t="str">
        <f>VLOOKUP(I1634,'Validacion reclamo de equipaje'!H:I,2,0)</f>
        <v>Nacional</v>
      </c>
      <c r="M1634" s="51" t="s">
        <v>523</v>
      </c>
    </row>
    <row r="1635" spans="1:13" x14ac:dyDescent="0.25">
      <c r="A1635">
        <v>2005</v>
      </c>
      <c r="B1635" s="47" t="str">
        <f>VLOOKUP(Tabla6[[#This Row],['# Vuelo]],'Validacion reclamo de equipaje'!P:Q,2,0)</f>
        <v>MEXICO AEREO</v>
      </c>
      <c r="C1635" s="52">
        <v>0.56736111111111109</v>
      </c>
      <c r="D1635" s="52">
        <v>0.5756944444444444</v>
      </c>
      <c r="E1635" s="53">
        <f>'Reclamo de equipaje rediseñado'!$D1635-'Reclamo de equipaje rediseñado'!$C1635</f>
        <v>8.3333333333333037E-3</v>
      </c>
      <c r="F1635" s="52">
        <v>0.57986111111111105</v>
      </c>
      <c r="G1635" s="53">
        <f t="shared" si="25"/>
        <v>4.1666666666666519E-3</v>
      </c>
      <c r="H1635" s="54">
        <v>41758</v>
      </c>
      <c r="I1635" s="55" t="s">
        <v>543</v>
      </c>
      <c r="J1635" s="55" t="s">
        <v>535</v>
      </c>
      <c r="K1635" s="55">
        <f>VLOOKUP(J1635,'Validacion reclamo de equipaje'!L:M,2,0)</f>
        <v>50</v>
      </c>
      <c r="L1635" s="55" t="str">
        <f>VLOOKUP(I1635,'Validacion reclamo de equipaje'!H:I,2,0)</f>
        <v>Nacional</v>
      </c>
      <c r="M1635" s="55" t="s">
        <v>523</v>
      </c>
    </row>
    <row r="1636" spans="1:13" x14ac:dyDescent="0.25">
      <c r="A1636">
        <v>789</v>
      </c>
      <c r="B1636" s="47" t="str">
        <f>VLOOKUP(Tabla6[[#This Row],['# Vuelo]],'Validacion reclamo de equipaje'!P:Q,2,0)</f>
        <v>MEXICO AEREO</v>
      </c>
      <c r="C1636" s="48">
        <v>0.35138888888888892</v>
      </c>
      <c r="D1636" s="48">
        <v>0.35833333333333334</v>
      </c>
      <c r="E1636" s="49">
        <f>'Reclamo de equipaje rediseñado'!$D1636-'Reclamo de equipaje rediseñado'!$C1636</f>
        <v>6.9444444444444198E-3</v>
      </c>
      <c r="F1636" s="48">
        <v>0.37986111111111115</v>
      </c>
      <c r="G1636" s="49">
        <f t="shared" si="25"/>
        <v>2.1527777777777812E-2</v>
      </c>
      <c r="H1636" s="50">
        <v>41733</v>
      </c>
      <c r="I1636" s="51" t="s">
        <v>563</v>
      </c>
      <c r="J1636" s="51" t="s">
        <v>554</v>
      </c>
      <c r="K1636" s="51">
        <f>VLOOKUP(J1636,'Validacion reclamo de equipaje'!L:M,2,0)</f>
        <v>189</v>
      </c>
      <c r="L1636" s="51" t="str">
        <f>VLOOKUP(I1636,'Validacion reclamo de equipaje'!H:I,2,0)</f>
        <v>Internacional</v>
      </c>
      <c r="M1636" s="51" t="s">
        <v>523</v>
      </c>
    </row>
    <row r="1637" spans="1:13" x14ac:dyDescent="0.25">
      <c r="A1637">
        <v>789</v>
      </c>
      <c r="B1637" s="47" t="str">
        <f>VLOOKUP(Tabla6[[#This Row],['# Vuelo]],'Validacion reclamo de equipaje'!P:Q,2,0)</f>
        <v>MEXICO AEREO</v>
      </c>
      <c r="C1637" s="52">
        <v>0.40277777777777773</v>
      </c>
      <c r="D1637" s="52">
        <v>0.41111111111111115</v>
      </c>
      <c r="E1637" s="53">
        <f>'Reclamo de equipaje rediseñado'!$D1637-'Reclamo de equipaje rediseñado'!$C1637</f>
        <v>8.3333333333334147E-3</v>
      </c>
      <c r="F1637" s="52">
        <v>0.43194444444444446</v>
      </c>
      <c r="G1637" s="53">
        <f t="shared" si="25"/>
        <v>2.0833333333333315E-2</v>
      </c>
      <c r="H1637" s="54">
        <v>41735</v>
      </c>
      <c r="I1637" s="55" t="s">
        <v>563</v>
      </c>
      <c r="J1637" s="55" t="s">
        <v>554</v>
      </c>
      <c r="K1637" s="55">
        <f>VLOOKUP(J1637,'Validacion reclamo de equipaje'!L:M,2,0)</f>
        <v>189</v>
      </c>
      <c r="L1637" s="55" t="str">
        <f>VLOOKUP(I1637,'Validacion reclamo de equipaje'!H:I,2,0)</f>
        <v>Internacional</v>
      </c>
      <c r="M1637" s="55" t="s">
        <v>523</v>
      </c>
    </row>
    <row r="1638" spans="1:13" x14ac:dyDescent="0.25">
      <c r="A1638">
        <v>789</v>
      </c>
      <c r="B1638" s="47" t="str">
        <f>VLOOKUP(Tabla6[[#This Row],['# Vuelo]],'Validacion reclamo de equipaje'!P:Q,2,0)</f>
        <v>MEXICO AEREO</v>
      </c>
      <c r="C1638" s="48">
        <v>0.3347222222222222</v>
      </c>
      <c r="D1638" s="48">
        <v>0.34722222222222227</v>
      </c>
      <c r="E1638" s="49">
        <f>'Reclamo de equipaje rediseñado'!$D1638-'Reclamo de equipaje rediseñado'!$C1638</f>
        <v>1.2500000000000067E-2</v>
      </c>
      <c r="F1638" s="48">
        <v>0.36041666666666666</v>
      </c>
      <c r="G1638" s="49">
        <f t="shared" si="25"/>
        <v>1.3194444444444398E-2</v>
      </c>
      <c r="H1638" s="50">
        <v>41736</v>
      </c>
      <c r="I1638" s="51" t="s">
        <v>563</v>
      </c>
      <c r="J1638" s="51" t="s">
        <v>554</v>
      </c>
      <c r="K1638" s="51">
        <f>VLOOKUP(J1638,'Validacion reclamo de equipaje'!L:M,2,0)</f>
        <v>189</v>
      </c>
      <c r="L1638" s="51" t="str">
        <f>VLOOKUP(I1638,'Validacion reclamo de equipaje'!H:I,2,0)</f>
        <v>Internacional</v>
      </c>
      <c r="M1638" s="51" t="s">
        <v>523</v>
      </c>
    </row>
    <row r="1639" spans="1:13" x14ac:dyDescent="0.25">
      <c r="A1639">
        <v>789</v>
      </c>
      <c r="B1639" s="47" t="str">
        <f>VLOOKUP(Tabla6[[#This Row],['# Vuelo]],'Validacion reclamo de equipaje'!P:Q,2,0)</f>
        <v>MEXICO AEREO</v>
      </c>
      <c r="C1639" s="52">
        <v>0.33124999999999999</v>
      </c>
      <c r="D1639" s="52">
        <v>0.33819444444444446</v>
      </c>
      <c r="E1639" s="53">
        <f>'Reclamo de equipaje rediseñado'!$D1639-'Reclamo de equipaje rediseñado'!$C1639</f>
        <v>6.9444444444444753E-3</v>
      </c>
      <c r="F1639" s="52">
        <v>0.35972222222222222</v>
      </c>
      <c r="G1639" s="53">
        <f t="shared" si="25"/>
        <v>2.1527777777777757E-2</v>
      </c>
      <c r="H1639" s="54">
        <v>41738</v>
      </c>
      <c r="I1639" s="55" t="s">
        <v>563</v>
      </c>
      <c r="J1639" s="55" t="s">
        <v>554</v>
      </c>
      <c r="K1639" s="55">
        <f>VLOOKUP(J1639,'Validacion reclamo de equipaje'!L:M,2,0)</f>
        <v>189</v>
      </c>
      <c r="L1639" s="55" t="str">
        <f>VLOOKUP(I1639,'Validacion reclamo de equipaje'!H:I,2,0)</f>
        <v>Internacional</v>
      </c>
      <c r="M1639" s="55" t="s">
        <v>523</v>
      </c>
    </row>
    <row r="1640" spans="1:13" x14ac:dyDescent="0.25">
      <c r="A1640">
        <v>789</v>
      </c>
      <c r="B1640" s="47" t="str">
        <f>VLOOKUP(Tabla6[[#This Row],['# Vuelo]],'Validacion reclamo de equipaje'!P:Q,2,0)</f>
        <v>MEXICO AEREO</v>
      </c>
      <c r="C1640" s="48">
        <v>0.33402777777777781</v>
      </c>
      <c r="D1640" s="48">
        <v>0.34236111111111112</v>
      </c>
      <c r="E1640" s="49">
        <f>'Reclamo de equipaje rediseñado'!$D1640-'Reclamo de equipaje rediseñado'!$C1640</f>
        <v>8.3333333333333037E-3</v>
      </c>
      <c r="F1640" s="48">
        <v>0.36805555555555558</v>
      </c>
      <c r="G1640" s="49">
        <f t="shared" si="25"/>
        <v>2.5694444444444464E-2</v>
      </c>
      <c r="H1640" s="50">
        <v>41739</v>
      </c>
      <c r="I1640" s="51" t="s">
        <v>563</v>
      </c>
      <c r="J1640" s="51" t="s">
        <v>554</v>
      </c>
      <c r="K1640" s="51">
        <f>VLOOKUP(J1640,'Validacion reclamo de equipaje'!L:M,2,0)</f>
        <v>189</v>
      </c>
      <c r="L1640" s="51" t="str">
        <f>VLOOKUP(I1640,'Validacion reclamo de equipaje'!H:I,2,0)</f>
        <v>Internacional</v>
      </c>
      <c r="M1640" s="51" t="s">
        <v>523</v>
      </c>
    </row>
    <row r="1641" spans="1:13" x14ac:dyDescent="0.25">
      <c r="A1641">
        <v>789</v>
      </c>
      <c r="B1641" s="47" t="str">
        <f>VLOOKUP(Tabla6[[#This Row],['# Vuelo]],'Validacion reclamo de equipaje'!P:Q,2,0)</f>
        <v>MEXICO AEREO</v>
      </c>
      <c r="C1641" s="52">
        <v>0.3430555555555555</v>
      </c>
      <c r="D1641" s="52">
        <v>0.3520833333333333</v>
      </c>
      <c r="E1641" s="53">
        <f>'Reclamo de equipaje rediseñado'!$D1641-'Reclamo de equipaje rediseñado'!$C1641</f>
        <v>9.0277777777778012E-3</v>
      </c>
      <c r="F1641" s="52">
        <v>0.37361111111111112</v>
      </c>
      <c r="G1641" s="53">
        <f t="shared" si="25"/>
        <v>2.1527777777777812E-2</v>
      </c>
      <c r="H1641" s="54">
        <v>41743</v>
      </c>
      <c r="I1641" s="55" t="s">
        <v>563</v>
      </c>
      <c r="J1641" s="55" t="s">
        <v>554</v>
      </c>
      <c r="K1641" s="55">
        <f>VLOOKUP(J1641,'Validacion reclamo de equipaje'!L:M,2,0)</f>
        <v>189</v>
      </c>
      <c r="L1641" s="55" t="str">
        <f>VLOOKUP(I1641,'Validacion reclamo de equipaje'!H:I,2,0)</f>
        <v>Internacional</v>
      </c>
      <c r="M1641" s="55" t="s">
        <v>523</v>
      </c>
    </row>
    <row r="1642" spans="1:13" x14ac:dyDescent="0.25">
      <c r="A1642">
        <v>789</v>
      </c>
      <c r="B1642" s="47" t="str">
        <f>VLOOKUP(Tabla6[[#This Row],['# Vuelo]],'Validacion reclamo de equipaje'!P:Q,2,0)</f>
        <v>MEXICO AEREO</v>
      </c>
      <c r="C1642" s="48">
        <v>0.33194444444444443</v>
      </c>
      <c r="D1642" s="48">
        <v>0.33958333333333335</v>
      </c>
      <c r="E1642" s="49">
        <f>'Reclamo de equipaje rediseñado'!$D1642-'Reclamo de equipaje rediseñado'!$C1642</f>
        <v>7.6388888888889173E-3</v>
      </c>
      <c r="F1642" s="48">
        <v>0.34930555555555554</v>
      </c>
      <c r="G1642" s="49">
        <f t="shared" si="25"/>
        <v>9.7222222222221877E-3</v>
      </c>
      <c r="H1642" s="50">
        <v>41744</v>
      </c>
      <c r="I1642" s="51" t="s">
        <v>563</v>
      </c>
      <c r="J1642" s="51" t="s">
        <v>554</v>
      </c>
      <c r="K1642" s="51">
        <f>VLOOKUP(J1642,'Validacion reclamo de equipaje'!L:M,2,0)</f>
        <v>189</v>
      </c>
      <c r="L1642" s="51" t="str">
        <f>VLOOKUP(I1642,'Validacion reclamo de equipaje'!H:I,2,0)</f>
        <v>Internacional</v>
      </c>
      <c r="M1642" s="51" t="s">
        <v>523</v>
      </c>
    </row>
    <row r="1643" spans="1:13" x14ac:dyDescent="0.25">
      <c r="A1643">
        <v>789</v>
      </c>
      <c r="B1643" s="47" t="str">
        <f>VLOOKUP(Tabla6[[#This Row],['# Vuelo]],'Validacion reclamo de equipaje'!P:Q,2,0)</f>
        <v>MEXICO AEREO</v>
      </c>
      <c r="C1643" s="52">
        <v>0.31944444444444448</v>
      </c>
      <c r="D1643" s="52">
        <v>0.32916666666666666</v>
      </c>
      <c r="E1643" s="53">
        <f>'Reclamo de equipaje rediseñado'!$D1643-'Reclamo de equipaje rediseñado'!$C1643</f>
        <v>9.7222222222221877E-3</v>
      </c>
      <c r="F1643" s="52">
        <v>0.34930555555555554</v>
      </c>
      <c r="G1643" s="53">
        <f t="shared" si="25"/>
        <v>2.0138888888888873E-2</v>
      </c>
      <c r="H1643" s="54">
        <v>41746</v>
      </c>
      <c r="I1643" s="55" t="s">
        <v>563</v>
      </c>
      <c r="J1643" s="55" t="s">
        <v>554</v>
      </c>
      <c r="K1643" s="55">
        <f>VLOOKUP(J1643,'Validacion reclamo de equipaje'!L:M,2,0)</f>
        <v>189</v>
      </c>
      <c r="L1643" s="55" t="str">
        <f>VLOOKUP(I1643,'Validacion reclamo de equipaje'!H:I,2,0)</f>
        <v>Internacional</v>
      </c>
      <c r="M1643" s="55" t="s">
        <v>523</v>
      </c>
    </row>
    <row r="1644" spans="1:13" x14ac:dyDescent="0.25">
      <c r="A1644">
        <v>789</v>
      </c>
      <c r="B1644" s="47" t="str">
        <f>VLOOKUP(Tabla6[[#This Row],['# Vuelo]],'Validacion reclamo de equipaje'!P:Q,2,0)</f>
        <v>MEXICO AEREO</v>
      </c>
      <c r="C1644" s="48">
        <v>0.34930555555555554</v>
      </c>
      <c r="D1644" s="48">
        <v>0.36041666666666666</v>
      </c>
      <c r="E1644" s="49">
        <f>'Reclamo de equipaje rediseñado'!$D1644-'Reclamo de equipaje rediseñado'!$C1644</f>
        <v>1.1111111111111127E-2</v>
      </c>
      <c r="F1644" s="48">
        <v>0.3833333333333333</v>
      </c>
      <c r="G1644" s="49">
        <f t="shared" si="25"/>
        <v>2.2916666666666641E-2</v>
      </c>
      <c r="H1644" s="50">
        <v>41747</v>
      </c>
      <c r="I1644" s="51" t="s">
        <v>563</v>
      </c>
      <c r="J1644" s="51" t="s">
        <v>554</v>
      </c>
      <c r="K1644" s="51">
        <f>VLOOKUP(J1644,'Validacion reclamo de equipaje'!L:M,2,0)</f>
        <v>189</v>
      </c>
      <c r="L1644" s="51" t="str">
        <f>VLOOKUP(I1644,'Validacion reclamo de equipaje'!H:I,2,0)</f>
        <v>Internacional</v>
      </c>
      <c r="M1644" s="51" t="s">
        <v>523</v>
      </c>
    </row>
    <row r="1645" spans="1:13" x14ac:dyDescent="0.25">
      <c r="A1645">
        <v>789</v>
      </c>
      <c r="B1645" s="47" t="str">
        <f>VLOOKUP(Tabla6[[#This Row],['# Vuelo]],'Validacion reclamo de equipaje'!P:Q,2,0)</f>
        <v>MEXICO AEREO</v>
      </c>
      <c r="C1645" s="52">
        <v>0.33402777777777781</v>
      </c>
      <c r="D1645" s="52">
        <v>0.34861111111111115</v>
      </c>
      <c r="E1645" s="53">
        <f>'Reclamo de equipaje rediseñado'!$D1645-'Reclamo de equipaje rediseñado'!$C1645</f>
        <v>1.4583333333333337E-2</v>
      </c>
      <c r="F1645" s="52">
        <v>0.35555555555555557</v>
      </c>
      <c r="G1645" s="53">
        <f t="shared" si="25"/>
        <v>6.9444444444444198E-3</v>
      </c>
      <c r="H1645" s="54">
        <v>41749</v>
      </c>
      <c r="I1645" s="55" t="s">
        <v>563</v>
      </c>
      <c r="J1645" s="55" t="s">
        <v>554</v>
      </c>
      <c r="K1645" s="55">
        <f>VLOOKUP(J1645,'Validacion reclamo de equipaje'!L:M,2,0)</f>
        <v>189</v>
      </c>
      <c r="L1645" s="55" t="str">
        <f>VLOOKUP(I1645,'Validacion reclamo de equipaje'!H:I,2,0)</f>
        <v>Internacional</v>
      </c>
      <c r="M1645" s="55" t="s">
        <v>523</v>
      </c>
    </row>
    <row r="1646" spans="1:13" x14ac:dyDescent="0.25">
      <c r="A1646">
        <v>789</v>
      </c>
      <c r="B1646" s="47" t="str">
        <f>VLOOKUP(Tabla6[[#This Row],['# Vuelo]],'Validacion reclamo de equipaje'!P:Q,2,0)</f>
        <v>MEXICO AEREO</v>
      </c>
      <c r="C1646" s="48">
        <v>0.33958333333333335</v>
      </c>
      <c r="D1646" s="48">
        <v>0.35069444444444442</v>
      </c>
      <c r="E1646" s="49">
        <f>'Reclamo de equipaje rediseñado'!$D1646-'Reclamo de equipaje rediseñado'!$C1646</f>
        <v>1.1111111111111072E-2</v>
      </c>
      <c r="F1646" s="48">
        <v>0.36527777777777781</v>
      </c>
      <c r="G1646" s="49">
        <f t="shared" si="25"/>
        <v>1.4583333333333393E-2</v>
      </c>
      <c r="H1646" s="50">
        <v>41750</v>
      </c>
      <c r="I1646" s="51" t="s">
        <v>563</v>
      </c>
      <c r="J1646" s="51" t="s">
        <v>554</v>
      </c>
      <c r="K1646" s="51">
        <f>VLOOKUP(J1646,'Validacion reclamo de equipaje'!L:M,2,0)</f>
        <v>189</v>
      </c>
      <c r="L1646" s="51" t="str">
        <f>VLOOKUP(I1646,'Validacion reclamo de equipaje'!H:I,2,0)</f>
        <v>Internacional</v>
      </c>
      <c r="M1646" s="51" t="s">
        <v>523</v>
      </c>
    </row>
    <row r="1647" spans="1:13" x14ac:dyDescent="0.25">
      <c r="A1647">
        <v>789</v>
      </c>
      <c r="B1647" s="47" t="str">
        <f>VLOOKUP(Tabla6[[#This Row],['# Vuelo]],'Validacion reclamo de equipaje'!P:Q,2,0)</f>
        <v>MEXICO AEREO</v>
      </c>
      <c r="C1647" s="52">
        <v>0.34236111111111112</v>
      </c>
      <c r="D1647" s="52">
        <v>0.3520833333333333</v>
      </c>
      <c r="E1647" s="53">
        <f>'Reclamo de equipaje rediseñado'!$D1647-'Reclamo de equipaje rediseñado'!$C1647</f>
        <v>9.7222222222221877E-3</v>
      </c>
      <c r="F1647" s="52">
        <v>0.3611111111111111</v>
      </c>
      <c r="G1647" s="53">
        <f t="shared" si="25"/>
        <v>9.0277777777778012E-3</v>
      </c>
      <c r="H1647" s="54">
        <v>41751</v>
      </c>
      <c r="I1647" s="55" t="s">
        <v>563</v>
      </c>
      <c r="J1647" s="55" t="s">
        <v>554</v>
      </c>
      <c r="K1647" s="55">
        <f>VLOOKUP(J1647,'Validacion reclamo de equipaje'!L:M,2,0)</f>
        <v>189</v>
      </c>
      <c r="L1647" s="55" t="str">
        <f>VLOOKUP(I1647,'Validacion reclamo de equipaje'!H:I,2,0)</f>
        <v>Internacional</v>
      </c>
      <c r="M1647" s="55" t="s">
        <v>523</v>
      </c>
    </row>
    <row r="1648" spans="1:13" x14ac:dyDescent="0.25">
      <c r="A1648">
        <v>789</v>
      </c>
      <c r="B1648" s="47" t="str">
        <f>VLOOKUP(Tabla6[[#This Row],['# Vuelo]],'Validacion reclamo de equipaje'!P:Q,2,0)</f>
        <v>MEXICO AEREO</v>
      </c>
      <c r="C1648" s="48">
        <v>0.34236111111111112</v>
      </c>
      <c r="D1648" s="48">
        <v>0.3520833333333333</v>
      </c>
      <c r="E1648" s="49">
        <f>'Reclamo de equipaje rediseñado'!$D1648-'Reclamo de equipaje rediseñado'!$C1648</f>
        <v>9.7222222222221877E-3</v>
      </c>
      <c r="F1648" s="48">
        <v>0.3611111111111111</v>
      </c>
      <c r="G1648" s="49">
        <f t="shared" si="25"/>
        <v>9.0277777777778012E-3</v>
      </c>
      <c r="H1648" s="50">
        <v>41751</v>
      </c>
      <c r="I1648" s="51" t="s">
        <v>563</v>
      </c>
      <c r="J1648" s="51" t="s">
        <v>554</v>
      </c>
      <c r="K1648" s="51">
        <f>VLOOKUP(J1648,'Validacion reclamo de equipaje'!L:M,2,0)</f>
        <v>189</v>
      </c>
      <c r="L1648" s="51" t="str">
        <f>VLOOKUP(I1648,'Validacion reclamo de equipaje'!H:I,2,0)</f>
        <v>Internacional</v>
      </c>
      <c r="M1648" s="51" t="s">
        <v>523</v>
      </c>
    </row>
    <row r="1649" spans="1:13" x14ac:dyDescent="0.25">
      <c r="A1649">
        <v>789</v>
      </c>
      <c r="B1649" s="47" t="str">
        <f>VLOOKUP(Tabla6[[#This Row],['# Vuelo]],'Validacion reclamo de equipaje'!P:Q,2,0)</f>
        <v>MEXICO AEREO</v>
      </c>
      <c r="C1649" s="52">
        <v>0.33888888888888885</v>
      </c>
      <c r="D1649" s="52">
        <v>0.35000000000000003</v>
      </c>
      <c r="E1649" s="53">
        <f>'Reclamo de equipaje rediseñado'!$D1649-'Reclamo de equipaje rediseñado'!$C1649</f>
        <v>1.1111111111111183E-2</v>
      </c>
      <c r="F1649" s="52">
        <v>0.36736111111111108</v>
      </c>
      <c r="G1649" s="53">
        <f t="shared" si="25"/>
        <v>1.7361111111111049E-2</v>
      </c>
      <c r="H1649" s="54">
        <v>41753</v>
      </c>
      <c r="I1649" s="55" t="s">
        <v>563</v>
      </c>
      <c r="J1649" s="55" t="s">
        <v>554</v>
      </c>
      <c r="K1649" s="55">
        <f>VLOOKUP(J1649,'Validacion reclamo de equipaje'!L:M,2,0)</f>
        <v>189</v>
      </c>
      <c r="L1649" s="55" t="str">
        <f>VLOOKUP(I1649,'Validacion reclamo de equipaje'!H:I,2,0)</f>
        <v>Internacional</v>
      </c>
      <c r="M1649" s="55" t="s">
        <v>523</v>
      </c>
    </row>
    <row r="1650" spans="1:13" x14ac:dyDescent="0.25">
      <c r="A1650">
        <v>789</v>
      </c>
      <c r="B1650" s="47" t="str">
        <f>VLOOKUP(Tabla6[[#This Row],['# Vuelo]],'Validacion reclamo de equipaje'!P:Q,2,0)</f>
        <v>MEXICO AEREO</v>
      </c>
      <c r="C1650" s="48">
        <v>0.35069444444444442</v>
      </c>
      <c r="D1650" s="48">
        <v>0.36458333333333331</v>
      </c>
      <c r="E1650" s="49">
        <f>'Reclamo de equipaje rediseñado'!$D1650-'Reclamo de equipaje rediseñado'!$C1650</f>
        <v>1.3888888888888895E-2</v>
      </c>
      <c r="F1650" s="48">
        <v>0.38194444444444442</v>
      </c>
      <c r="G1650" s="49">
        <f t="shared" si="25"/>
        <v>1.7361111111111105E-2</v>
      </c>
      <c r="H1650" s="50">
        <v>41754</v>
      </c>
      <c r="I1650" s="51" t="s">
        <v>563</v>
      </c>
      <c r="J1650" s="51" t="s">
        <v>554</v>
      </c>
      <c r="K1650" s="51">
        <f>VLOOKUP(J1650,'Validacion reclamo de equipaje'!L:M,2,0)</f>
        <v>189</v>
      </c>
      <c r="L1650" s="51" t="str">
        <f>VLOOKUP(I1650,'Validacion reclamo de equipaje'!H:I,2,0)</f>
        <v>Internacional</v>
      </c>
      <c r="M1650" s="51" t="s">
        <v>523</v>
      </c>
    </row>
    <row r="1651" spans="1:13" x14ac:dyDescent="0.25">
      <c r="A1651">
        <v>789</v>
      </c>
      <c r="B1651" s="47" t="str">
        <f>VLOOKUP(Tabla6[[#This Row],['# Vuelo]],'Validacion reclamo de equipaje'!P:Q,2,0)</f>
        <v>MEXICO AEREO</v>
      </c>
      <c r="C1651" s="52">
        <v>0.33124999999999999</v>
      </c>
      <c r="D1651" s="52">
        <v>0.34027777777777773</v>
      </c>
      <c r="E1651" s="53">
        <f>'Reclamo de equipaje rediseñado'!$D1651-'Reclamo de equipaje rediseñado'!$C1651</f>
        <v>9.0277777777777457E-3</v>
      </c>
      <c r="F1651" s="52">
        <v>0.3611111111111111</v>
      </c>
      <c r="G1651" s="53">
        <f t="shared" si="25"/>
        <v>2.083333333333337E-2</v>
      </c>
      <c r="H1651" s="54">
        <v>41756</v>
      </c>
      <c r="I1651" s="55" t="s">
        <v>563</v>
      </c>
      <c r="J1651" s="55" t="s">
        <v>554</v>
      </c>
      <c r="K1651" s="55">
        <f>VLOOKUP(J1651,'Validacion reclamo de equipaje'!L:M,2,0)</f>
        <v>189</v>
      </c>
      <c r="L1651" s="55" t="str">
        <f>VLOOKUP(I1651,'Validacion reclamo de equipaje'!H:I,2,0)</f>
        <v>Internacional</v>
      </c>
      <c r="M1651" s="55" t="s">
        <v>523</v>
      </c>
    </row>
    <row r="1652" spans="1:13" x14ac:dyDescent="0.25">
      <c r="A1652">
        <v>789</v>
      </c>
      <c r="B1652" s="47" t="str">
        <f>VLOOKUP(Tabla6[[#This Row],['# Vuelo]],'Validacion reclamo de equipaje'!P:Q,2,0)</f>
        <v>MEXICO AEREO</v>
      </c>
      <c r="C1652" s="48">
        <v>0.39097222222222222</v>
      </c>
      <c r="D1652" s="48">
        <v>0.40416666666666662</v>
      </c>
      <c r="E1652" s="49">
        <f>'Reclamo de equipaje rediseñado'!$D1652-'Reclamo de equipaje rediseñado'!$C1652</f>
        <v>1.3194444444444398E-2</v>
      </c>
      <c r="F1652" s="48">
        <v>0.42638888888888887</v>
      </c>
      <c r="G1652" s="49">
        <f t="shared" si="25"/>
        <v>2.2222222222222254E-2</v>
      </c>
      <c r="H1652" s="50">
        <v>41757</v>
      </c>
      <c r="I1652" s="51" t="s">
        <v>563</v>
      </c>
      <c r="J1652" s="51" t="s">
        <v>554</v>
      </c>
      <c r="K1652" s="51">
        <f>VLOOKUP(J1652,'Validacion reclamo de equipaje'!L:M,2,0)</f>
        <v>189</v>
      </c>
      <c r="L1652" s="51" t="str">
        <f>VLOOKUP(I1652,'Validacion reclamo de equipaje'!H:I,2,0)</f>
        <v>Internacional</v>
      </c>
      <c r="M1652" s="51" t="s">
        <v>523</v>
      </c>
    </row>
    <row r="1653" spans="1:13" x14ac:dyDescent="0.25">
      <c r="A1653">
        <v>789</v>
      </c>
      <c r="B1653" s="47" t="str">
        <f>VLOOKUP(Tabla6[[#This Row],['# Vuelo]],'Validacion reclamo de equipaje'!P:Q,2,0)</f>
        <v>MEXICO AEREO</v>
      </c>
      <c r="C1653" s="52">
        <v>0.3430555555555555</v>
      </c>
      <c r="D1653" s="52">
        <v>0.3527777777777778</v>
      </c>
      <c r="E1653" s="53">
        <f>'Reclamo de equipaje rediseñado'!$D1653-'Reclamo de equipaje rediseñado'!$C1653</f>
        <v>9.7222222222222987E-3</v>
      </c>
      <c r="F1653" s="52">
        <v>0.39166666666666666</v>
      </c>
      <c r="G1653" s="53">
        <f t="shared" si="25"/>
        <v>3.8888888888888862E-2</v>
      </c>
      <c r="H1653" s="54">
        <v>41758</v>
      </c>
      <c r="I1653" s="55" t="s">
        <v>563</v>
      </c>
      <c r="J1653" s="55" t="s">
        <v>554</v>
      </c>
      <c r="K1653" s="55">
        <f>VLOOKUP(J1653,'Validacion reclamo de equipaje'!L:M,2,0)</f>
        <v>189</v>
      </c>
      <c r="L1653" s="55" t="str">
        <f>VLOOKUP(I1653,'Validacion reclamo de equipaje'!H:I,2,0)</f>
        <v>Internacional</v>
      </c>
      <c r="M1653" s="55" t="s">
        <v>523</v>
      </c>
    </row>
    <row r="1654" spans="1:13" x14ac:dyDescent="0.25">
      <c r="A1654">
        <v>789</v>
      </c>
      <c r="B1654" s="47" t="str">
        <f>VLOOKUP(Tabla6[[#This Row],['# Vuelo]],'Validacion reclamo de equipaje'!P:Q,2,0)</f>
        <v>MEXICO AEREO</v>
      </c>
      <c r="C1654" s="48">
        <v>0.36944444444444446</v>
      </c>
      <c r="D1654" s="48">
        <v>0.3833333333333333</v>
      </c>
      <c r="E1654" s="49">
        <f>'Reclamo de equipaje rediseñado'!$D1654-'Reclamo de equipaje rediseñado'!$C1654</f>
        <v>1.388888888888884E-2</v>
      </c>
      <c r="F1654" s="48">
        <v>0.39583333333333331</v>
      </c>
      <c r="G1654" s="49">
        <f t="shared" si="25"/>
        <v>1.2500000000000011E-2</v>
      </c>
      <c r="H1654" s="50">
        <v>41759</v>
      </c>
      <c r="I1654" s="51" t="s">
        <v>563</v>
      </c>
      <c r="J1654" s="51" t="s">
        <v>554</v>
      </c>
      <c r="K1654" s="51">
        <f>VLOOKUP(J1654,'Validacion reclamo de equipaje'!L:M,2,0)</f>
        <v>189</v>
      </c>
      <c r="L1654" s="51" t="str">
        <f>VLOOKUP(I1654,'Validacion reclamo de equipaje'!H:I,2,0)</f>
        <v>Internacional</v>
      </c>
      <c r="M1654" s="51" t="s">
        <v>523</v>
      </c>
    </row>
    <row r="1655" spans="1:13" x14ac:dyDescent="0.25">
      <c r="A1655">
        <v>787</v>
      </c>
      <c r="B1655" s="47" t="str">
        <f>VLOOKUP(Tabla6[[#This Row],['# Vuelo]],'Validacion reclamo de equipaje'!P:Q,2,0)</f>
        <v>MEXICO AEREO</v>
      </c>
      <c r="C1655" s="52">
        <v>0.33333333333333331</v>
      </c>
      <c r="D1655" s="52">
        <v>0.33680555555555558</v>
      </c>
      <c r="E1655" s="53">
        <f>'Reclamo de equipaje rediseñado'!$D1655-'Reclamo de equipaje rediseñado'!$C1655</f>
        <v>3.4722222222222654E-3</v>
      </c>
      <c r="F1655" s="52">
        <v>0.36249999999999999</v>
      </c>
      <c r="G1655" s="53">
        <f t="shared" si="25"/>
        <v>2.5694444444444409E-2</v>
      </c>
      <c r="H1655" s="54">
        <v>41739</v>
      </c>
      <c r="I1655" s="55" t="s">
        <v>564</v>
      </c>
      <c r="J1655" s="55" t="s">
        <v>554</v>
      </c>
      <c r="K1655" s="55">
        <f>VLOOKUP(J1655,'Validacion reclamo de equipaje'!L:M,2,0)</f>
        <v>189</v>
      </c>
      <c r="L1655" s="55" t="str">
        <f>VLOOKUP(I1655,'Validacion reclamo de equipaje'!H:I,2,0)</f>
        <v>Internacional</v>
      </c>
      <c r="M1655" s="55" t="s">
        <v>523</v>
      </c>
    </row>
    <row r="1656" spans="1:13" x14ac:dyDescent="0.25">
      <c r="A1656">
        <v>787</v>
      </c>
      <c r="B1656" s="47" t="str">
        <f>VLOOKUP(Tabla6[[#This Row],['# Vuelo]],'Validacion reclamo de equipaje'!P:Q,2,0)</f>
        <v>MEXICO AEREO</v>
      </c>
      <c r="C1656" s="48">
        <v>0.33611111111111108</v>
      </c>
      <c r="D1656" s="48">
        <v>0.34652777777777777</v>
      </c>
      <c r="E1656" s="49">
        <f>'Reclamo de equipaje rediseñado'!$D1656-'Reclamo de equipaje rediseñado'!$C1656</f>
        <v>1.0416666666666685E-2</v>
      </c>
      <c r="F1656" s="48">
        <v>0.3666666666666667</v>
      </c>
      <c r="G1656" s="49">
        <f t="shared" si="25"/>
        <v>2.0138888888888928E-2</v>
      </c>
      <c r="H1656" s="50">
        <v>41741</v>
      </c>
      <c r="I1656" s="51" t="s">
        <v>564</v>
      </c>
      <c r="J1656" s="51" t="s">
        <v>554</v>
      </c>
      <c r="K1656" s="51">
        <f>VLOOKUP(J1656,'Validacion reclamo de equipaje'!L:M,2,0)</f>
        <v>189</v>
      </c>
      <c r="L1656" s="51" t="str">
        <f>VLOOKUP(I1656,'Validacion reclamo de equipaje'!H:I,2,0)</f>
        <v>Internacional</v>
      </c>
      <c r="M1656" s="51" t="s">
        <v>523</v>
      </c>
    </row>
    <row r="1657" spans="1:13" x14ac:dyDescent="0.25">
      <c r="A1657">
        <v>787</v>
      </c>
      <c r="B1657" s="47" t="str">
        <f>VLOOKUP(Tabla6[[#This Row],['# Vuelo]],'Validacion reclamo de equipaje'!P:Q,2,0)</f>
        <v>MEXICO AEREO</v>
      </c>
      <c r="C1657" s="52">
        <v>0.34583333333333338</v>
      </c>
      <c r="D1657" s="52">
        <v>0.35138888888888892</v>
      </c>
      <c r="E1657" s="53">
        <f>'Reclamo de equipaje rediseñado'!$D1657-'Reclamo de equipaje rediseñado'!$C1657</f>
        <v>5.5555555555555358E-3</v>
      </c>
      <c r="F1657" s="52">
        <v>0.37291666666666662</v>
      </c>
      <c r="G1657" s="53">
        <f t="shared" si="25"/>
        <v>2.1527777777777701E-2</v>
      </c>
      <c r="H1657" s="54">
        <v>41744</v>
      </c>
      <c r="I1657" s="55" t="s">
        <v>564</v>
      </c>
      <c r="J1657" s="55" t="s">
        <v>554</v>
      </c>
      <c r="K1657" s="55">
        <f>VLOOKUP(J1657,'Validacion reclamo de equipaje'!L:M,2,0)</f>
        <v>189</v>
      </c>
      <c r="L1657" s="55" t="str">
        <f>VLOOKUP(I1657,'Validacion reclamo de equipaje'!H:I,2,0)</f>
        <v>Internacional</v>
      </c>
      <c r="M1657" s="55" t="s">
        <v>523</v>
      </c>
    </row>
    <row r="1658" spans="1:13" x14ac:dyDescent="0.25">
      <c r="A1658">
        <v>787</v>
      </c>
      <c r="B1658" s="47" t="str">
        <f>VLOOKUP(Tabla6[[#This Row],['# Vuelo]],'Validacion reclamo de equipaje'!P:Q,2,0)</f>
        <v>MEXICO AEREO</v>
      </c>
      <c r="C1658" s="48">
        <v>0.32916666666666666</v>
      </c>
      <c r="D1658" s="48">
        <v>0.33819444444444446</v>
      </c>
      <c r="E1658" s="49">
        <f>'Reclamo de equipaje rediseñado'!$D1658-'Reclamo de equipaje rediseñado'!$C1658</f>
        <v>9.0277777777778012E-3</v>
      </c>
      <c r="F1658" s="48">
        <v>0.35972222222222222</v>
      </c>
      <c r="G1658" s="49">
        <f t="shared" si="25"/>
        <v>2.1527777777777757E-2</v>
      </c>
      <c r="H1658" s="50">
        <v>41746</v>
      </c>
      <c r="I1658" s="51" t="s">
        <v>564</v>
      </c>
      <c r="J1658" s="51" t="s">
        <v>554</v>
      </c>
      <c r="K1658" s="51">
        <f>VLOOKUP(J1658,'Validacion reclamo de equipaje'!L:M,2,0)</f>
        <v>189</v>
      </c>
      <c r="L1658" s="51" t="str">
        <f>VLOOKUP(I1658,'Validacion reclamo de equipaje'!H:I,2,0)</f>
        <v>Internacional</v>
      </c>
      <c r="M1658" s="51" t="s">
        <v>523</v>
      </c>
    </row>
    <row r="1659" spans="1:13" x14ac:dyDescent="0.25">
      <c r="A1659">
        <v>787</v>
      </c>
      <c r="B1659" s="47" t="str">
        <f>VLOOKUP(Tabla6[[#This Row],['# Vuelo]],'Validacion reclamo de equipaje'!P:Q,2,0)</f>
        <v>MEXICO AEREO</v>
      </c>
      <c r="C1659" s="52">
        <v>0.34097222222222223</v>
      </c>
      <c r="D1659" s="52">
        <v>0.35069444444444442</v>
      </c>
      <c r="E1659" s="53">
        <f>'Reclamo de equipaje rediseñado'!$D1659-'Reclamo de equipaje rediseñado'!$C1659</f>
        <v>9.7222222222221877E-3</v>
      </c>
      <c r="F1659" s="52">
        <v>0.37013888888888885</v>
      </c>
      <c r="G1659" s="53">
        <f t="shared" si="25"/>
        <v>1.9444444444444431E-2</v>
      </c>
      <c r="H1659" s="54">
        <v>41748</v>
      </c>
      <c r="I1659" s="55" t="s">
        <v>564</v>
      </c>
      <c r="J1659" s="55" t="s">
        <v>554</v>
      </c>
      <c r="K1659" s="55">
        <f>VLOOKUP(J1659,'Validacion reclamo de equipaje'!L:M,2,0)</f>
        <v>189</v>
      </c>
      <c r="L1659" s="55" t="str">
        <f>VLOOKUP(I1659,'Validacion reclamo de equipaje'!H:I,2,0)</f>
        <v>Internacional</v>
      </c>
      <c r="M1659" s="55" t="s">
        <v>523</v>
      </c>
    </row>
    <row r="1660" spans="1:13" x14ac:dyDescent="0.25">
      <c r="A1660">
        <v>787</v>
      </c>
      <c r="B1660" s="47" t="str">
        <f>VLOOKUP(Tabla6[[#This Row],['# Vuelo]],'Validacion reclamo de equipaje'!P:Q,2,0)</f>
        <v>MEXICO AEREO</v>
      </c>
      <c r="C1660" s="48">
        <v>0.3354166666666667</v>
      </c>
      <c r="D1660" s="48">
        <v>0.3430555555555555</v>
      </c>
      <c r="E1660" s="49">
        <f>'Reclamo de equipaje rediseñado'!$D1660-'Reclamo de equipaje rediseñado'!$C1660</f>
        <v>7.6388888888888062E-3</v>
      </c>
      <c r="F1660" s="48">
        <v>0.35138888888888892</v>
      </c>
      <c r="G1660" s="49">
        <f t="shared" si="25"/>
        <v>8.3333333333334147E-3</v>
      </c>
      <c r="H1660" s="50">
        <v>41751</v>
      </c>
      <c r="I1660" s="51" t="s">
        <v>564</v>
      </c>
      <c r="J1660" s="51" t="s">
        <v>554</v>
      </c>
      <c r="K1660" s="51">
        <f>VLOOKUP(J1660,'Validacion reclamo de equipaje'!L:M,2,0)</f>
        <v>189</v>
      </c>
      <c r="L1660" s="51" t="str">
        <f>VLOOKUP(I1660,'Validacion reclamo de equipaje'!H:I,2,0)</f>
        <v>Internacional</v>
      </c>
      <c r="M1660" s="51" t="s">
        <v>523</v>
      </c>
    </row>
    <row r="1661" spans="1:13" x14ac:dyDescent="0.25">
      <c r="A1661">
        <v>787</v>
      </c>
      <c r="B1661" s="47" t="str">
        <f>VLOOKUP(Tabla6[[#This Row],['# Vuelo]],'Validacion reclamo de equipaje'!P:Q,2,0)</f>
        <v>MEXICO AEREO</v>
      </c>
      <c r="C1661" s="52">
        <v>0.3354166666666667</v>
      </c>
      <c r="D1661" s="52">
        <v>0.3430555555555555</v>
      </c>
      <c r="E1661" s="53">
        <f>'Reclamo de equipaje rediseñado'!$D1661-'Reclamo de equipaje rediseñado'!$C1661</f>
        <v>7.6388888888888062E-3</v>
      </c>
      <c r="F1661" s="52">
        <v>0.35138888888888892</v>
      </c>
      <c r="G1661" s="53">
        <f t="shared" si="25"/>
        <v>8.3333333333334147E-3</v>
      </c>
      <c r="H1661" s="54">
        <v>41751</v>
      </c>
      <c r="I1661" s="55" t="s">
        <v>564</v>
      </c>
      <c r="J1661" s="55" t="s">
        <v>554</v>
      </c>
      <c r="K1661" s="55">
        <f>VLOOKUP(J1661,'Validacion reclamo de equipaje'!L:M,2,0)</f>
        <v>189</v>
      </c>
      <c r="L1661" s="55" t="str">
        <f>VLOOKUP(I1661,'Validacion reclamo de equipaje'!H:I,2,0)</f>
        <v>Internacional</v>
      </c>
      <c r="M1661" s="55" t="s">
        <v>523</v>
      </c>
    </row>
    <row r="1662" spans="1:13" x14ac:dyDescent="0.25">
      <c r="A1662">
        <v>787</v>
      </c>
      <c r="B1662" s="47" t="str">
        <f>VLOOKUP(Tabla6[[#This Row],['# Vuelo]],'Validacion reclamo de equipaje'!P:Q,2,0)</f>
        <v>MEXICO AEREO</v>
      </c>
      <c r="C1662" s="48">
        <v>0.3520833333333333</v>
      </c>
      <c r="D1662" s="48">
        <v>0.36736111111111108</v>
      </c>
      <c r="E1662" s="49">
        <f>'Reclamo de equipaje rediseñado'!$D1662-'Reclamo de equipaje rediseñado'!$C1662</f>
        <v>1.5277777777777779E-2</v>
      </c>
      <c r="F1662" s="48">
        <v>0.37986111111111115</v>
      </c>
      <c r="G1662" s="49">
        <f t="shared" si="25"/>
        <v>1.2500000000000067E-2</v>
      </c>
      <c r="H1662" s="50">
        <v>41753</v>
      </c>
      <c r="I1662" s="51" t="s">
        <v>564</v>
      </c>
      <c r="J1662" s="51" t="s">
        <v>554</v>
      </c>
      <c r="K1662" s="51">
        <f>VLOOKUP(J1662,'Validacion reclamo de equipaje'!L:M,2,0)</f>
        <v>189</v>
      </c>
      <c r="L1662" s="51" t="str">
        <f>VLOOKUP(I1662,'Validacion reclamo de equipaje'!H:I,2,0)</f>
        <v>Internacional</v>
      </c>
      <c r="M1662" s="51" t="s">
        <v>523</v>
      </c>
    </row>
    <row r="1663" spans="1:13" x14ac:dyDescent="0.25">
      <c r="A1663">
        <v>787</v>
      </c>
      <c r="B1663" s="47" t="str">
        <f>VLOOKUP(Tabla6[[#This Row],['# Vuelo]],'Validacion reclamo de equipaje'!P:Q,2,0)</f>
        <v>MEXICO AEREO</v>
      </c>
      <c r="C1663" s="52">
        <v>0.34583333333333338</v>
      </c>
      <c r="D1663" s="52">
        <v>0.35902777777777778</v>
      </c>
      <c r="E1663" s="53">
        <f>'Reclamo de equipaje rediseñado'!$D1663-'Reclamo de equipaje rediseñado'!$C1663</f>
        <v>1.3194444444444398E-2</v>
      </c>
      <c r="F1663" s="52">
        <v>0.38125000000000003</v>
      </c>
      <c r="G1663" s="53">
        <f t="shared" si="25"/>
        <v>2.2222222222222254E-2</v>
      </c>
      <c r="H1663" s="54">
        <v>41754</v>
      </c>
      <c r="I1663" s="55" t="s">
        <v>564</v>
      </c>
      <c r="J1663" s="55" t="s">
        <v>554</v>
      </c>
      <c r="K1663" s="55">
        <f>VLOOKUP(J1663,'Validacion reclamo de equipaje'!L:M,2,0)</f>
        <v>189</v>
      </c>
      <c r="L1663" s="55" t="str">
        <f>VLOOKUP(I1663,'Validacion reclamo de equipaje'!H:I,2,0)</f>
        <v>Internacional</v>
      </c>
      <c r="M1663" s="55" t="s">
        <v>523</v>
      </c>
    </row>
    <row r="1664" spans="1:13" x14ac:dyDescent="0.25">
      <c r="A1664">
        <v>787</v>
      </c>
      <c r="B1664" s="47" t="str">
        <f>VLOOKUP(Tabla6[[#This Row],['# Vuelo]],'Validacion reclamo de equipaje'!P:Q,2,0)</f>
        <v>MEXICO AEREO</v>
      </c>
      <c r="C1664" s="48">
        <v>0.33819444444444446</v>
      </c>
      <c r="D1664" s="48">
        <v>0.34652777777777777</v>
      </c>
      <c r="E1664" s="49">
        <f>'Reclamo de equipaje rediseñado'!$D1664-'Reclamo de equipaje rediseñado'!$C1664</f>
        <v>8.3333333333333037E-3</v>
      </c>
      <c r="F1664" s="48">
        <v>0.3888888888888889</v>
      </c>
      <c r="G1664" s="49">
        <f t="shared" si="25"/>
        <v>4.2361111111111127E-2</v>
      </c>
      <c r="H1664" s="50">
        <v>41758</v>
      </c>
      <c r="I1664" s="51" t="s">
        <v>564</v>
      </c>
      <c r="J1664" s="51" t="s">
        <v>554</v>
      </c>
      <c r="K1664" s="51">
        <f>VLOOKUP(J1664,'Validacion reclamo de equipaje'!L:M,2,0)</f>
        <v>189</v>
      </c>
      <c r="L1664" s="51" t="str">
        <f>VLOOKUP(I1664,'Validacion reclamo de equipaje'!H:I,2,0)</f>
        <v>Internacional</v>
      </c>
      <c r="M1664" s="51" t="s">
        <v>523</v>
      </c>
    </row>
    <row r="1665" spans="1:13" x14ac:dyDescent="0.25">
      <c r="A1665">
        <v>785</v>
      </c>
      <c r="B1665" s="47" t="str">
        <f>VLOOKUP(Tabla6[[#This Row],['# Vuelo]],'Validacion reclamo de equipaje'!P:Q,2,0)</f>
        <v>MEXICO AEREO</v>
      </c>
      <c r="C1665" s="52">
        <v>0.20555555555555557</v>
      </c>
      <c r="D1665" s="52">
        <v>0.21319444444444444</v>
      </c>
      <c r="E1665" s="53">
        <f>'Reclamo de equipaje rediseñado'!$D1665-'Reclamo de equipaje rediseñado'!$C1665</f>
        <v>7.6388888888888618E-3</v>
      </c>
      <c r="F1665" s="52">
        <v>0.23611111111111113</v>
      </c>
      <c r="G1665" s="53">
        <f t="shared" si="25"/>
        <v>2.2916666666666696E-2</v>
      </c>
      <c r="H1665" s="54">
        <v>41730</v>
      </c>
      <c r="I1665" s="55" t="s">
        <v>555</v>
      </c>
      <c r="J1665" s="55" t="s">
        <v>554</v>
      </c>
      <c r="K1665" s="55">
        <f>VLOOKUP(J1665,'Validacion reclamo de equipaje'!L:M,2,0)</f>
        <v>189</v>
      </c>
      <c r="L1665" s="55" t="str">
        <f>VLOOKUP(I1665,'Validacion reclamo de equipaje'!H:I,2,0)</f>
        <v>Internacional</v>
      </c>
      <c r="M1665" s="55" t="s">
        <v>523</v>
      </c>
    </row>
    <row r="1666" spans="1:13" x14ac:dyDescent="0.25">
      <c r="A1666">
        <v>785</v>
      </c>
      <c r="B1666" s="47" t="str">
        <f>VLOOKUP(Tabla6[[#This Row],['# Vuelo]],'Validacion reclamo de equipaje'!P:Q,2,0)</f>
        <v>MEXICO AEREO</v>
      </c>
      <c r="C1666" s="48">
        <v>0.20277777777777781</v>
      </c>
      <c r="D1666" s="48">
        <v>0.21180555555555555</v>
      </c>
      <c r="E1666" s="49">
        <f>'Reclamo de equipaje rediseñado'!$D1666-'Reclamo de equipaje rediseñado'!$C1666</f>
        <v>9.0277777777777457E-3</v>
      </c>
      <c r="F1666" s="48">
        <v>0.22708333333333333</v>
      </c>
      <c r="G1666" s="49">
        <f t="shared" si="25"/>
        <v>1.5277777777777779E-2</v>
      </c>
      <c r="H1666" s="50">
        <v>41731</v>
      </c>
      <c r="I1666" s="51" t="s">
        <v>555</v>
      </c>
      <c r="J1666" s="51" t="s">
        <v>554</v>
      </c>
      <c r="K1666" s="51">
        <f>VLOOKUP(J1666,'Validacion reclamo de equipaje'!L:M,2,0)</f>
        <v>189</v>
      </c>
      <c r="L1666" s="51" t="str">
        <f>VLOOKUP(I1666,'Validacion reclamo de equipaje'!H:I,2,0)</f>
        <v>Internacional</v>
      </c>
      <c r="M1666" s="51" t="s">
        <v>523</v>
      </c>
    </row>
    <row r="1667" spans="1:13" x14ac:dyDescent="0.25">
      <c r="A1667">
        <v>785</v>
      </c>
      <c r="B1667" s="47" t="str">
        <f>VLOOKUP(Tabla6[[#This Row],['# Vuelo]],'Validacion reclamo de equipaje'!P:Q,2,0)</f>
        <v>MEXICO AEREO</v>
      </c>
      <c r="C1667" s="52">
        <v>0.20902777777777778</v>
      </c>
      <c r="D1667" s="52">
        <v>0.22083333333333333</v>
      </c>
      <c r="E1667" s="53">
        <f>'Reclamo de equipaje rediseñado'!$D1667-'Reclamo de equipaje rediseñado'!$C1667</f>
        <v>1.1805555555555541E-2</v>
      </c>
      <c r="F1667" s="52">
        <v>0.26805555555555555</v>
      </c>
      <c r="G1667" s="53">
        <f t="shared" ref="G1667:G1730" si="26">F1667-D1667</f>
        <v>4.7222222222222221E-2</v>
      </c>
      <c r="H1667" s="54">
        <v>41733</v>
      </c>
      <c r="I1667" s="55" t="s">
        <v>555</v>
      </c>
      <c r="J1667" s="55" t="s">
        <v>554</v>
      </c>
      <c r="K1667" s="55">
        <f>VLOOKUP(J1667,'Validacion reclamo de equipaje'!L:M,2,0)</f>
        <v>189</v>
      </c>
      <c r="L1667" s="55" t="str">
        <f>VLOOKUP(I1667,'Validacion reclamo de equipaje'!H:I,2,0)</f>
        <v>Internacional</v>
      </c>
      <c r="M1667" s="55" t="s">
        <v>523</v>
      </c>
    </row>
    <row r="1668" spans="1:13" x14ac:dyDescent="0.25">
      <c r="A1668">
        <v>785</v>
      </c>
      <c r="B1668" s="47" t="str">
        <f>VLOOKUP(Tabla6[[#This Row],['# Vuelo]],'Validacion reclamo de equipaje'!P:Q,2,0)</f>
        <v>MEXICO AEREO</v>
      </c>
      <c r="C1668" s="48">
        <v>0.23611111111111113</v>
      </c>
      <c r="D1668" s="48">
        <v>0.24930555555555556</v>
      </c>
      <c r="E1668" s="49">
        <f>'Reclamo de equipaje rediseñado'!$D1668-'Reclamo de equipaje rediseñado'!$C1668</f>
        <v>1.3194444444444425E-2</v>
      </c>
      <c r="F1668" s="48">
        <v>0.26944444444444443</v>
      </c>
      <c r="G1668" s="49">
        <f t="shared" si="26"/>
        <v>2.0138888888888873E-2</v>
      </c>
      <c r="H1668" s="50">
        <v>41734</v>
      </c>
      <c r="I1668" s="51" t="s">
        <v>555</v>
      </c>
      <c r="J1668" s="51" t="s">
        <v>554</v>
      </c>
      <c r="K1668" s="51">
        <f>VLOOKUP(J1668,'Validacion reclamo de equipaje'!L:M,2,0)</f>
        <v>189</v>
      </c>
      <c r="L1668" s="51" t="str">
        <f>VLOOKUP(I1668,'Validacion reclamo de equipaje'!H:I,2,0)</f>
        <v>Internacional</v>
      </c>
      <c r="M1668" s="51" t="s">
        <v>523</v>
      </c>
    </row>
    <row r="1669" spans="1:13" x14ac:dyDescent="0.25">
      <c r="A1669">
        <v>785</v>
      </c>
      <c r="B1669" s="47" t="str">
        <f>VLOOKUP(Tabla6[[#This Row],['# Vuelo]],'Validacion reclamo de equipaje'!P:Q,2,0)</f>
        <v>MEXICO AEREO</v>
      </c>
      <c r="C1669" s="52">
        <v>0.20416666666666669</v>
      </c>
      <c r="D1669" s="52">
        <v>0.22777777777777777</v>
      </c>
      <c r="E1669" s="53">
        <f>'Reclamo de equipaje rediseñado'!$D1669-'Reclamo de equipaje rediseñado'!$C1669</f>
        <v>2.3611111111111083E-2</v>
      </c>
      <c r="F1669" s="52">
        <v>0.25</v>
      </c>
      <c r="G1669" s="53">
        <f t="shared" si="26"/>
        <v>2.2222222222222227E-2</v>
      </c>
      <c r="H1669" s="54">
        <v>41733</v>
      </c>
      <c r="I1669" s="55" t="s">
        <v>555</v>
      </c>
      <c r="J1669" s="55" t="s">
        <v>554</v>
      </c>
      <c r="K1669" s="55">
        <f>VLOOKUP(J1669,'Validacion reclamo de equipaje'!L:M,2,0)</f>
        <v>189</v>
      </c>
      <c r="L1669" s="55" t="str">
        <f>VLOOKUP(I1669,'Validacion reclamo de equipaje'!H:I,2,0)</f>
        <v>Internacional</v>
      </c>
      <c r="M1669" s="55" t="s">
        <v>523</v>
      </c>
    </row>
    <row r="1670" spans="1:13" x14ac:dyDescent="0.25">
      <c r="A1670">
        <v>785</v>
      </c>
      <c r="B1670" s="47" t="str">
        <f>VLOOKUP(Tabla6[[#This Row],['# Vuelo]],'Validacion reclamo de equipaje'!P:Q,2,0)</f>
        <v>MEXICO AEREO</v>
      </c>
      <c r="C1670" s="48">
        <v>0.20416666666666669</v>
      </c>
      <c r="D1670" s="48">
        <v>0.22777777777777777</v>
      </c>
      <c r="E1670" s="49">
        <f>'Reclamo de equipaje rediseñado'!$D1670-'Reclamo de equipaje rediseñado'!$C1670</f>
        <v>2.3611111111111083E-2</v>
      </c>
      <c r="F1670" s="48">
        <v>0.25</v>
      </c>
      <c r="G1670" s="49">
        <f t="shared" si="26"/>
        <v>2.2222222222222227E-2</v>
      </c>
      <c r="H1670" s="50">
        <v>41733</v>
      </c>
      <c r="I1670" s="51" t="s">
        <v>555</v>
      </c>
      <c r="J1670" s="51" t="s">
        <v>554</v>
      </c>
      <c r="K1670" s="51">
        <f>VLOOKUP(J1670,'Validacion reclamo de equipaje'!L:M,2,0)</f>
        <v>189</v>
      </c>
      <c r="L1670" s="51" t="str">
        <f>VLOOKUP(I1670,'Validacion reclamo de equipaje'!H:I,2,0)</f>
        <v>Internacional</v>
      </c>
      <c r="M1670" s="51" t="s">
        <v>523</v>
      </c>
    </row>
    <row r="1671" spans="1:13" x14ac:dyDescent="0.25">
      <c r="A1671">
        <v>785</v>
      </c>
      <c r="B1671" s="47" t="str">
        <f>VLOOKUP(Tabla6[[#This Row],['# Vuelo]],'Validacion reclamo de equipaje'!P:Q,2,0)</f>
        <v>MEXICO AEREO</v>
      </c>
      <c r="C1671" s="52">
        <v>0.22569444444444445</v>
      </c>
      <c r="D1671" s="52">
        <v>0.23750000000000002</v>
      </c>
      <c r="E1671" s="53">
        <f>'Reclamo de equipaje rediseñado'!$D1671-'Reclamo de equipaje rediseñado'!$C1671</f>
        <v>1.1805555555555569E-2</v>
      </c>
      <c r="F1671" s="52">
        <v>0.26180555555555557</v>
      </c>
      <c r="G1671" s="53">
        <f t="shared" si="26"/>
        <v>2.4305555555555552E-2</v>
      </c>
      <c r="H1671" s="54">
        <v>41736</v>
      </c>
      <c r="I1671" s="55" t="s">
        <v>555</v>
      </c>
      <c r="J1671" s="55" t="s">
        <v>554</v>
      </c>
      <c r="K1671" s="55">
        <f>VLOOKUP(J1671,'Validacion reclamo de equipaje'!L:M,2,0)</f>
        <v>189</v>
      </c>
      <c r="L1671" s="55" t="str">
        <f>VLOOKUP(I1671,'Validacion reclamo de equipaje'!H:I,2,0)</f>
        <v>Internacional</v>
      </c>
      <c r="M1671" s="55" t="s">
        <v>523</v>
      </c>
    </row>
    <row r="1672" spans="1:13" x14ac:dyDescent="0.25">
      <c r="A1672">
        <v>785</v>
      </c>
      <c r="B1672" s="47" t="str">
        <f>VLOOKUP(Tabla6[[#This Row],['# Vuelo]],'Validacion reclamo de equipaje'!P:Q,2,0)</f>
        <v>MEXICO AEREO</v>
      </c>
      <c r="C1672" s="48">
        <v>0.23541666666666669</v>
      </c>
      <c r="D1672" s="48">
        <v>0.24305555555555555</v>
      </c>
      <c r="E1672" s="49">
        <f>'Reclamo de equipaje rediseñado'!$D1672-'Reclamo de equipaje rediseñado'!$C1672</f>
        <v>7.6388888888888618E-3</v>
      </c>
      <c r="F1672" s="48">
        <v>0.24930555555555556</v>
      </c>
      <c r="G1672" s="49">
        <f t="shared" si="26"/>
        <v>6.2500000000000056E-3</v>
      </c>
      <c r="H1672" s="50">
        <v>41736</v>
      </c>
      <c r="I1672" s="51" t="s">
        <v>555</v>
      </c>
      <c r="J1672" s="51" t="s">
        <v>554</v>
      </c>
      <c r="K1672" s="51">
        <f>VLOOKUP(J1672,'Validacion reclamo de equipaje'!L:M,2,0)</f>
        <v>189</v>
      </c>
      <c r="L1672" s="51" t="str">
        <f>VLOOKUP(I1672,'Validacion reclamo de equipaje'!H:I,2,0)</f>
        <v>Internacional</v>
      </c>
      <c r="M1672" s="51" t="s">
        <v>523</v>
      </c>
    </row>
    <row r="1673" spans="1:13" x14ac:dyDescent="0.25">
      <c r="A1673">
        <v>785</v>
      </c>
      <c r="B1673" s="47" t="str">
        <f>VLOOKUP(Tabla6[[#This Row],['# Vuelo]],'Validacion reclamo de equipaje'!P:Q,2,0)</f>
        <v>MEXICO AEREO</v>
      </c>
      <c r="C1673" s="52">
        <v>0.25069444444444444</v>
      </c>
      <c r="D1673" s="52">
        <v>0.26458333333333334</v>
      </c>
      <c r="E1673" s="53">
        <f>'Reclamo de equipaje rediseñado'!$D1673-'Reclamo de equipaje rediseñado'!$C1673</f>
        <v>1.3888888888888895E-2</v>
      </c>
      <c r="F1673" s="52">
        <v>0.28125</v>
      </c>
      <c r="G1673" s="53">
        <f t="shared" si="26"/>
        <v>1.6666666666666663E-2</v>
      </c>
      <c r="H1673" s="54">
        <v>41737</v>
      </c>
      <c r="I1673" s="55" t="s">
        <v>555</v>
      </c>
      <c r="J1673" s="55" t="s">
        <v>554</v>
      </c>
      <c r="K1673" s="55">
        <f>VLOOKUP(J1673,'Validacion reclamo de equipaje'!L:M,2,0)</f>
        <v>189</v>
      </c>
      <c r="L1673" s="55" t="str">
        <f>VLOOKUP(I1673,'Validacion reclamo de equipaje'!H:I,2,0)</f>
        <v>Internacional</v>
      </c>
      <c r="M1673" s="55" t="s">
        <v>523</v>
      </c>
    </row>
    <row r="1674" spans="1:13" x14ac:dyDescent="0.25">
      <c r="A1674">
        <v>785</v>
      </c>
      <c r="B1674" s="47" t="str">
        <f>VLOOKUP(Tabla6[[#This Row],['# Vuelo]],'Validacion reclamo de equipaje'!P:Q,2,0)</f>
        <v>MEXICO AEREO</v>
      </c>
      <c r="C1674" s="48">
        <v>0.22916666666666666</v>
      </c>
      <c r="D1674" s="48">
        <v>0.23958333333333334</v>
      </c>
      <c r="E1674" s="49">
        <f>'Reclamo de equipaje rediseñado'!$D1674-'Reclamo de equipaje rediseñado'!$C1674</f>
        <v>1.0416666666666685E-2</v>
      </c>
      <c r="F1674" s="48">
        <v>0.26944444444444443</v>
      </c>
      <c r="G1674" s="49">
        <f t="shared" si="26"/>
        <v>2.9861111111111088E-2</v>
      </c>
      <c r="H1674" s="50">
        <v>41738</v>
      </c>
      <c r="I1674" s="51" t="s">
        <v>555</v>
      </c>
      <c r="J1674" s="51" t="s">
        <v>554</v>
      </c>
      <c r="K1674" s="51">
        <f>VLOOKUP(J1674,'Validacion reclamo de equipaje'!L:M,2,0)</f>
        <v>189</v>
      </c>
      <c r="L1674" s="51" t="str">
        <f>VLOOKUP(I1674,'Validacion reclamo de equipaje'!H:I,2,0)</f>
        <v>Internacional</v>
      </c>
      <c r="M1674" s="51" t="s">
        <v>523</v>
      </c>
    </row>
    <row r="1675" spans="1:13" x14ac:dyDescent="0.25">
      <c r="A1675">
        <v>785</v>
      </c>
      <c r="B1675" s="47" t="str">
        <f>VLOOKUP(Tabla6[[#This Row],['# Vuelo]],'Validacion reclamo de equipaje'!P:Q,2,0)</f>
        <v>MEXICO AEREO</v>
      </c>
      <c r="C1675" s="52">
        <v>0.24097222222222223</v>
      </c>
      <c r="D1675" s="52">
        <v>0.24861111111111112</v>
      </c>
      <c r="E1675" s="53">
        <f>'Reclamo de equipaje rediseñado'!$D1675-'Reclamo de equipaje rediseñado'!$C1675</f>
        <v>7.6388888888888895E-3</v>
      </c>
      <c r="F1675" s="52">
        <v>0.27708333333333335</v>
      </c>
      <c r="G1675" s="53">
        <f t="shared" si="26"/>
        <v>2.8472222222222232E-2</v>
      </c>
      <c r="H1675" s="54">
        <v>41739</v>
      </c>
      <c r="I1675" s="55" t="s">
        <v>555</v>
      </c>
      <c r="J1675" s="55" t="s">
        <v>554</v>
      </c>
      <c r="K1675" s="55">
        <f>VLOOKUP(J1675,'Validacion reclamo de equipaje'!L:M,2,0)</f>
        <v>189</v>
      </c>
      <c r="L1675" s="55" t="str">
        <f>VLOOKUP(I1675,'Validacion reclamo de equipaje'!H:I,2,0)</f>
        <v>Internacional</v>
      </c>
      <c r="M1675" s="55" t="s">
        <v>523</v>
      </c>
    </row>
    <row r="1676" spans="1:13" x14ac:dyDescent="0.25">
      <c r="A1676">
        <v>785</v>
      </c>
      <c r="B1676" s="47" t="str">
        <f>VLOOKUP(Tabla6[[#This Row],['# Vuelo]],'Validacion reclamo de equipaje'!P:Q,2,0)</f>
        <v>MEXICO AEREO</v>
      </c>
      <c r="C1676" s="48">
        <v>0.23472222222222219</v>
      </c>
      <c r="D1676" s="48">
        <v>0.23680555555555557</v>
      </c>
      <c r="E1676" s="49">
        <f>'Reclamo de equipaje rediseñado'!$D1676-'Reclamo de equipaje rediseñado'!$C1676</f>
        <v>2.0833333333333814E-3</v>
      </c>
      <c r="F1676" s="48">
        <v>0.26041666666666669</v>
      </c>
      <c r="G1676" s="49">
        <f t="shared" si="26"/>
        <v>2.361111111111111E-2</v>
      </c>
      <c r="H1676" s="50">
        <v>41740</v>
      </c>
      <c r="I1676" s="51" t="s">
        <v>555</v>
      </c>
      <c r="J1676" s="51" t="s">
        <v>554</v>
      </c>
      <c r="K1676" s="51">
        <f>VLOOKUP(J1676,'Validacion reclamo de equipaje'!L:M,2,0)</f>
        <v>189</v>
      </c>
      <c r="L1676" s="51" t="str">
        <f>VLOOKUP(I1676,'Validacion reclamo de equipaje'!H:I,2,0)</f>
        <v>Internacional</v>
      </c>
      <c r="M1676" s="51" t="s">
        <v>523</v>
      </c>
    </row>
    <row r="1677" spans="1:13" x14ac:dyDescent="0.25">
      <c r="A1677">
        <v>785</v>
      </c>
      <c r="B1677" s="47" t="str">
        <f>VLOOKUP(Tabla6[[#This Row],['# Vuelo]],'Validacion reclamo de equipaje'!P:Q,2,0)</f>
        <v>MEXICO AEREO</v>
      </c>
      <c r="C1677" s="52">
        <v>0.20555555555555557</v>
      </c>
      <c r="D1677" s="52">
        <v>0.21319444444444444</v>
      </c>
      <c r="E1677" s="53">
        <f>'Reclamo de equipaje rediseñado'!$D1677-'Reclamo de equipaje rediseñado'!$C1677</f>
        <v>7.6388888888888618E-3</v>
      </c>
      <c r="F1677" s="52">
        <v>0.23611111111111113</v>
      </c>
      <c r="G1677" s="53">
        <f t="shared" si="26"/>
        <v>2.2916666666666696E-2</v>
      </c>
      <c r="H1677" s="54">
        <v>41742</v>
      </c>
      <c r="I1677" s="55" t="s">
        <v>555</v>
      </c>
      <c r="J1677" s="55" t="s">
        <v>554</v>
      </c>
      <c r="K1677" s="55">
        <f>VLOOKUP(J1677,'Validacion reclamo de equipaje'!L:M,2,0)</f>
        <v>189</v>
      </c>
      <c r="L1677" s="55" t="str">
        <f>VLOOKUP(I1677,'Validacion reclamo de equipaje'!H:I,2,0)</f>
        <v>Internacional</v>
      </c>
      <c r="M1677" s="55" t="s">
        <v>523</v>
      </c>
    </row>
    <row r="1678" spans="1:13" x14ac:dyDescent="0.25">
      <c r="A1678">
        <v>785</v>
      </c>
      <c r="B1678" s="47" t="str">
        <f>VLOOKUP(Tabla6[[#This Row],['# Vuelo]],'Validacion reclamo de equipaje'!P:Q,2,0)</f>
        <v>MEXICO AEREO</v>
      </c>
      <c r="C1678" s="48">
        <v>0.22500000000000001</v>
      </c>
      <c r="D1678" s="48">
        <v>0.23333333333333331</v>
      </c>
      <c r="E1678" s="49">
        <f>'Reclamo de equipaje rediseñado'!$D1678-'Reclamo de equipaje rediseñado'!$C1678</f>
        <v>8.3333333333333037E-3</v>
      </c>
      <c r="F1678" s="48">
        <v>0.26041666666666669</v>
      </c>
      <c r="G1678" s="49">
        <f t="shared" si="26"/>
        <v>2.7083333333333376E-2</v>
      </c>
      <c r="H1678" s="50">
        <v>41743</v>
      </c>
      <c r="I1678" s="51" t="s">
        <v>555</v>
      </c>
      <c r="J1678" s="51" t="s">
        <v>554</v>
      </c>
      <c r="K1678" s="51">
        <f>VLOOKUP(J1678,'Validacion reclamo de equipaje'!L:M,2,0)</f>
        <v>189</v>
      </c>
      <c r="L1678" s="51" t="str">
        <f>VLOOKUP(I1678,'Validacion reclamo de equipaje'!H:I,2,0)</f>
        <v>Internacional</v>
      </c>
      <c r="M1678" s="51" t="s">
        <v>523</v>
      </c>
    </row>
    <row r="1679" spans="1:13" x14ac:dyDescent="0.25">
      <c r="A1679">
        <v>785</v>
      </c>
      <c r="B1679" s="47" t="str">
        <f>VLOOKUP(Tabla6[[#This Row],['# Vuelo]],'Validacion reclamo de equipaje'!P:Q,2,0)</f>
        <v>MEXICO AEREO</v>
      </c>
      <c r="C1679" s="52">
        <v>0.22361111111111109</v>
      </c>
      <c r="D1679" s="52">
        <v>0.23680555555555557</v>
      </c>
      <c r="E1679" s="53">
        <f>'Reclamo de equipaje rediseñado'!$D1679-'Reclamo de equipaje rediseñado'!$C1679</f>
        <v>1.3194444444444481E-2</v>
      </c>
      <c r="F1679" s="52">
        <v>0.26597222222222222</v>
      </c>
      <c r="G1679" s="53">
        <f t="shared" si="26"/>
        <v>2.9166666666666646E-2</v>
      </c>
      <c r="H1679" s="54">
        <v>41745</v>
      </c>
      <c r="I1679" s="55" t="s">
        <v>555</v>
      </c>
      <c r="J1679" s="55" t="s">
        <v>554</v>
      </c>
      <c r="K1679" s="55">
        <f>VLOOKUP(J1679,'Validacion reclamo de equipaje'!L:M,2,0)</f>
        <v>189</v>
      </c>
      <c r="L1679" s="55" t="str">
        <f>VLOOKUP(I1679,'Validacion reclamo de equipaje'!H:I,2,0)</f>
        <v>Internacional</v>
      </c>
      <c r="M1679" s="55" t="s">
        <v>523</v>
      </c>
    </row>
    <row r="1680" spans="1:13" x14ac:dyDescent="0.25">
      <c r="A1680">
        <v>785</v>
      </c>
      <c r="B1680" s="47" t="str">
        <f>VLOOKUP(Tabla6[[#This Row],['# Vuelo]],'Validacion reclamo de equipaje'!P:Q,2,0)</f>
        <v>MEXICO AEREO</v>
      </c>
      <c r="C1680" s="48">
        <v>0.22152777777777777</v>
      </c>
      <c r="D1680" s="48">
        <v>0.2298611111111111</v>
      </c>
      <c r="E1680" s="49">
        <f>'Reclamo de equipaje rediseñado'!$D1680-'Reclamo de equipaje rediseñado'!$C1680</f>
        <v>8.3333333333333315E-3</v>
      </c>
      <c r="F1680" s="48">
        <v>0.25</v>
      </c>
      <c r="G1680" s="49">
        <f t="shared" si="26"/>
        <v>2.0138888888888901E-2</v>
      </c>
      <c r="H1680" s="50">
        <v>41745</v>
      </c>
      <c r="I1680" s="51" t="s">
        <v>555</v>
      </c>
      <c r="J1680" s="51" t="s">
        <v>554</v>
      </c>
      <c r="K1680" s="51">
        <f>VLOOKUP(J1680,'Validacion reclamo de equipaje'!L:M,2,0)</f>
        <v>189</v>
      </c>
      <c r="L1680" s="51" t="str">
        <f>VLOOKUP(I1680,'Validacion reclamo de equipaje'!H:I,2,0)</f>
        <v>Internacional</v>
      </c>
      <c r="M1680" s="51" t="s">
        <v>523</v>
      </c>
    </row>
    <row r="1681" spans="1:13" x14ac:dyDescent="0.25">
      <c r="A1681">
        <v>785</v>
      </c>
      <c r="B1681" s="47" t="str">
        <f>VLOOKUP(Tabla6[[#This Row],['# Vuelo]],'Validacion reclamo de equipaje'!P:Q,2,0)</f>
        <v>MEXICO AEREO</v>
      </c>
      <c r="C1681" s="52">
        <v>0.23124999999999998</v>
      </c>
      <c r="D1681" s="52">
        <v>0.23611111111111113</v>
      </c>
      <c r="E1681" s="53">
        <f>'Reclamo de equipaje rediseñado'!$D1681-'Reclamo de equipaje rediseñado'!$C1681</f>
        <v>4.8611111111111494E-3</v>
      </c>
      <c r="F1681" s="52">
        <v>0.25208333333333333</v>
      </c>
      <c r="G1681" s="53">
        <f t="shared" si="26"/>
        <v>1.5972222222222193E-2</v>
      </c>
      <c r="H1681" s="54">
        <v>41746</v>
      </c>
      <c r="I1681" s="55" t="s">
        <v>555</v>
      </c>
      <c r="J1681" s="55" t="s">
        <v>554</v>
      </c>
      <c r="K1681" s="55">
        <f>VLOOKUP(J1681,'Validacion reclamo de equipaje'!L:M,2,0)</f>
        <v>189</v>
      </c>
      <c r="L1681" s="55" t="str">
        <f>VLOOKUP(I1681,'Validacion reclamo de equipaje'!H:I,2,0)</f>
        <v>Internacional</v>
      </c>
      <c r="M1681" s="55" t="s">
        <v>523</v>
      </c>
    </row>
    <row r="1682" spans="1:13" x14ac:dyDescent="0.25">
      <c r="A1682">
        <v>785</v>
      </c>
      <c r="B1682" s="47" t="str">
        <f>VLOOKUP(Tabla6[[#This Row],['# Vuelo]],'Validacion reclamo de equipaje'!P:Q,2,0)</f>
        <v>MEXICO AEREO</v>
      </c>
      <c r="C1682" s="48">
        <v>0.22430555555555556</v>
      </c>
      <c r="D1682" s="48">
        <v>0.25833333333333336</v>
      </c>
      <c r="E1682" s="49">
        <f>'Reclamo de equipaje rediseñado'!$D1682-'Reclamo de equipaje rediseñado'!$C1682</f>
        <v>3.4027777777777796E-2</v>
      </c>
      <c r="F1682" s="48">
        <v>0.28541666666666665</v>
      </c>
      <c r="G1682" s="49">
        <f t="shared" si="26"/>
        <v>2.7083333333333293E-2</v>
      </c>
      <c r="H1682" s="50">
        <v>41747</v>
      </c>
      <c r="I1682" s="51" t="s">
        <v>555</v>
      </c>
      <c r="J1682" s="51" t="s">
        <v>554</v>
      </c>
      <c r="K1682" s="51">
        <f>VLOOKUP(J1682,'Validacion reclamo de equipaje'!L:M,2,0)</f>
        <v>189</v>
      </c>
      <c r="L1682" s="51" t="str">
        <f>VLOOKUP(I1682,'Validacion reclamo de equipaje'!H:I,2,0)</f>
        <v>Internacional</v>
      </c>
      <c r="M1682" s="51" t="s">
        <v>523</v>
      </c>
    </row>
    <row r="1683" spans="1:13" x14ac:dyDescent="0.25">
      <c r="A1683">
        <v>785</v>
      </c>
      <c r="B1683" s="47" t="str">
        <f>VLOOKUP(Tabla6[[#This Row],['# Vuelo]],'Validacion reclamo de equipaje'!P:Q,2,0)</f>
        <v>MEXICO AEREO</v>
      </c>
      <c r="C1683" s="52">
        <v>0.22847222222222222</v>
      </c>
      <c r="D1683" s="52">
        <v>0.23958333333333334</v>
      </c>
      <c r="E1683" s="53">
        <f>'Reclamo de equipaje rediseñado'!$D1683-'Reclamo de equipaje rediseñado'!$C1683</f>
        <v>1.1111111111111127E-2</v>
      </c>
      <c r="F1683" s="52">
        <v>0.27430555555555552</v>
      </c>
      <c r="G1683" s="53">
        <f t="shared" si="26"/>
        <v>3.4722222222222182E-2</v>
      </c>
      <c r="H1683" s="54">
        <v>41749</v>
      </c>
      <c r="I1683" s="55" t="s">
        <v>555</v>
      </c>
      <c r="J1683" s="55" t="s">
        <v>554</v>
      </c>
      <c r="K1683" s="55">
        <f>VLOOKUP(J1683,'Validacion reclamo de equipaje'!L:M,2,0)</f>
        <v>189</v>
      </c>
      <c r="L1683" s="55" t="str">
        <f>VLOOKUP(I1683,'Validacion reclamo de equipaje'!H:I,2,0)</f>
        <v>Internacional</v>
      </c>
      <c r="M1683" s="55" t="s">
        <v>523</v>
      </c>
    </row>
    <row r="1684" spans="1:13" x14ac:dyDescent="0.25">
      <c r="A1684">
        <v>785</v>
      </c>
      <c r="B1684" s="47" t="str">
        <f>VLOOKUP(Tabla6[[#This Row],['# Vuelo]],'Validacion reclamo de equipaje'!P:Q,2,0)</f>
        <v>MEXICO AEREO</v>
      </c>
      <c r="C1684" s="48">
        <v>0.23819444444444446</v>
      </c>
      <c r="D1684" s="48">
        <v>0.25694444444444448</v>
      </c>
      <c r="E1684" s="49">
        <f>'Reclamo de equipaje rediseñado'!$D1684-'Reclamo de equipaje rediseñado'!$C1684</f>
        <v>1.8750000000000017E-2</v>
      </c>
      <c r="F1684" s="48">
        <v>0.27916666666666667</v>
      </c>
      <c r="G1684" s="49">
        <f t="shared" si="26"/>
        <v>2.2222222222222199E-2</v>
      </c>
      <c r="H1684" s="50">
        <v>41751</v>
      </c>
      <c r="I1684" s="51" t="s">
        <v>555</v>
      </c>
      <c r="J1684" s="51" t="s">
        <v>554</v>
      </c>
      <c r="K1684" s="51">
        <f>VLOOKUP(J1684,'Validacion reclamo de equipaje'!L:M,2,0)</f>
        <v>189</v>
      </c>
      <c r="L1684" s="51" t="str">
        <f>VLOOKUP(I1684,'Validacion reclamo de equipaje'!H:I,2,0)</f>
        <v>Internacional</v>
      </c>
      <c r="M1684" s="51" t="s">
        <v>523</v>
      </c>
    </row>
    <row r="1685" spans="1:13" x14ac:dyDescent="0.25">
      <c r="A1685">
        <v>785</v>
      </c>
      <c r="B1685" s="47" t="str">
        <f>VLOOKUP(Tabla6[[#This Row],['# Vuelo]],'Validacion reclamo de equipaje'!P:Q,2,0)</f>
        <v>MEXICO AEREO</v>
      </c>
      <c r="C1685" s="52">
        <v>0.22430555555555556</v>
      </c>
      <c r="D1685" s="52">
        <v>0.23750000000000002</v>
      </c>
      <c r="E1685" s="53">
        <f>'Reclamo de equipaje rediseñado'!$D1685-'Reclamo de equipaje rediseñado'!$C1685</f>
        <v>1.3194444444444453E-2</v>
      </c>
      <c r="F1685" s="52">
        <v>0.25069444444444444</v>
      </c>
      <c r="G1685" s="53">
        <f t="shared" si="26"/>
        <v>1.3194444444444425E-2</v>
      </c>
      <c r="H1685" s="54">
        <v>41751</v>
      </c>
      <c r="I1685" s="55" t="s">
        <v>555</v>
      </c>
      <c r="J1685" s="55" t="s">
        <v>554</v>
      </c>
      <c r="K1685" s="55">
        <f>VLOOKUP(J1685,'Validacion reclamo de equipaje'!L:M,2,0)</f>
        <v>189</v>
      </c>
      <c r="L1685" s="55" t="str">
        <f>VLOOKUP(I1685,'Validacion reclamo de equipaje'!H:I,2,0)</f>
        <v>Internacional</v>
      </c>
      <c r="M1685" s="55" t="s">
        <v>523</v>
      </c>
    </row>
    <row r="1686" spans="1:13" x14ac:dyDescent="0.25">
      <c r="A1686">
        <v>785</v>
      </c>
      <c r="B1686" s="47" t="str">
        <f>VLOOKUP(Tabla6[[#This Row],['# Vuelo]],'Validacion reclamo de equipaje'!P:Q,2,0)</f>
        <v>MEXICO AEREO</v>
      </c>
      <c r="C1686" s="48">
        <v>0.23402777777777781</v>
      </c>
      <c r="D1686" s="48">
        <v>0.24097222222222223</v>
      </c>
      <c r="E1686" s="49">
        <f>'Reclamo de equipaje rediseñado'!$D1686-'Reclamo de equipaje rediseñado'!$C1686</f>
        <v>6.9444444444444198E-3</v>
      </c>
      <c r="F1686" s="48">
        <v>0.26041666666666669</v>
      </c>
      <c r="G1686" s="49">
        <f t="shared" si="26"/>
        <v>1.9444444444444459E-2</v>
      </c>
      <c r="H1686" s="50">
        <v>41752</v>
      </c>
      <c r="I1686" s="51" t="s">
        <v>555</v>
      </c>
      <c r="J1686" s="51" t="s">
        <v>554</v>
      </c>
      <c r="K1686" s="51">
        <f>VLOOKUP(J1686,'Validacion reclamo de equipaje'!L:M,2,0)</f>
        <v>189</v>
      </c>
      <c r="L1686" s="51" t="str">
        <f>VLOOKUP(I1686,'Validacion reclamo de equipaje'!H:I,2,0)</f>
        <v>Internacional</v>
      </c>
      <c r="M1686" s="51" t="s">
        <v>523</v>
      </c>
    </row>
    <row r="1687" spans="1:13" x14ac:dyDescent="0.25">
      <c r="A1687">
        <v>785</v>
      </c>
      <c r="B1687" s="47" t="str">
        <f>VLOOKUP(Tabla6[[#This Row],['# Vuelo]],'Validacion reclamo de equipaje'!P:Q,2,0)</f>
        <v>MEXICO AEREO</v>
      </c>
      <c r="C1687" s="52">
        <v>0.22361111111111109</v>
      </c>
      <c r="D1687" s="52">
        <v>0.23055555555555554</v>
      </c>
      <c r="E1687" s="53">
        <f>'Reclamo de equipaje rediseñado'!$D1687-'Reclamo de equipaje rediseñado'!$C1687</f>
        <v>6.9444444444444475E-3</v>
      </c>
      <c r="F1687" s="52">
        <v>0.23680555555555557</v>
      </c>
      <c r="G1687" s="53">
        <f t="shared" si="26"/>
        <v>6.2500000000000333E-3</v>
      </c>
      <c r="H1687" s="54">
        <v>41754</v>
      </c>
      <c r="I1687" s="55" t="s">
        <v>555</v>
      </c>
      <c r="J1687" s="55" t="s">
        <v>554</v>
      </c>
      <c r="K1687" s="55">
        <f>VLOOKUP(J1687,'Validacion reclamo de equipaje'!L:M,2,0)</f>
        <v>189</v>
      </c>
      <c r="L1687" s="55" t="str">
        <f>VLOOKUP(I1687,'Validacion reclamo de equipaje'!H:I,2,0)</f>
        <v>Internacional</v>
      </c>
      <c r="M1687" s="55" t="s">
        <v>523</v>
      </c>
    </row>
    <row r="1688" spans="1:13" x14ac:dyDescent="0.25">
      <c r="A1688">
        <v>785</v>
      </c>
      <c r="B1688" s="47" t="str">
        <f>VLOOKUP(Tabla6[[#This Row],['# Vuelo]],'Validacion reclamo de equipaje'!P:Q,2,0)</f>
        <v>MEXICO AEREO</v>
      </c>
      <c r="C1688" s="48">
        <v>0.22361111111111109</v>
      </c>
      <c r="D1688" s="48">
        <v>0.2298611111111111</v>
      </c>
      <c r="E1688" s="49">
        <f>'Reclamo de equipaje rediseñado'!$D1688-'Reclamo de equipaje rediseñado'!$C1688</f>
        <v>6.2500000000000056E-3</v>
      </c>
      <c r="F1688" s="48">
        <v>0.23541666666666669</v>
      </c>
      <c r="G1688" s="49">
        <f t="shared" si="26"/>
        <v>5.5555555555555913E-3</v>
      </c>
      <c r="H1688" s="50">
        <v>41754</v>
      </c>
      <c r="I1688" s="51" t="s">
        <v>555</v>
      </c>
      <c r="J1688" s="51" t="s">
        <v>554</v>
      </c>
      <c r="K1688" s="51">
        <f>VLOOKUP(J1688,'Validacion reclamo de equipaje'!L:M,2,0)</f>
        <v>189</v>
      </c>
      <c r="L1688" s="51" t="str">
        <f>VLOOKUP(I1688,'Validacion reclamo de equipaje'!H:I,2,0)</f>
        <v>Internacional</v>
      </c>
      <c r="M1688" s="51" t="s">
        <v>523</v>
      </c>
    </row>
    <row r="1689" spans="1:13" x14ac:dyDescent="0.25">
      <c r="A1689">
        <v>785</v>
      </c>
      <c r="B1689" s="47" t="str">
        <f>VLOOKUP(Tabla6[[#This Row],['# Vuelo]],'Validacion reclamo de equipaje'!P:Q,2,0)</f>
        <v>MEXICO AEREO</v>
      </c>
      <c r="C1689" s="52">
        <v>0.23402777777777781</v>
      </c>
      <c r="D1689" s="52">
        <v>0.25347222222222221</v>
      </c>
      <c r="E1689" s="53">
        <f>'Reclamo de equipaje rediseñado'!$D1689-'Reclamo de equipaje rediseñado'!$C1689</f>
        <v>1.9444444444444403E-2</v>
      </c>
      <c r="F1689" s="52">
        <v>0.27569444444444446</v>
      </c>
      <c r="G1689" s="53">
        <f t="shared" si="26"/>
        <v>2.2222222222222254E-2</v>
      </c>
      <c r="H1689" s="54">
        <v>41755</v>
      </c>
      <c r="I1689" s="55" t="s">
        <v>555</v>
      </c>
      <c r="J1689" s="55" t="s">
        <v>554</v>
      </c>
      <c r="K1689" s="55">
        <f>VLOOKUP(J1689,'Validacion reclamo de equipaje'!L:M,2,0)</f>
        <v>189</v>
      </c>
      <c r="L1689" s="55" t="str">
        <f>VLOOKUP(I1689,'Validacion reclamo de equipaje'!H:I,2,0)</f>
        <v>Internacional</v>
      </c>
      <c r="M1689" s="55" t="s">
        <v>523</v>
      </c>
    </row>
    <row r="1690" spans="1:13" x14ac:dyDescent="0.25">
      <c r="A1690">
        <v>785</v>
      </c>
      <c r="B1690" s="47" t="str">
        <f>VLOOKUP(Tabla6[[#This Row],['# Vuelo]],'Validacion reclamo de equipaje'!P:Q,2,0)</f>
        <v>MEXICO AEREO</v>
      </c>
      <c r="C1690" s="48">
        <v>0.24166666666666667</v>
      </c>
      <c r="D1690" s="48">
        <v>0.26319444444444445</v>
      </c>
      <c r="E1690" s="49">
        <f>'Reclamo de equipaje rediseñado'!$D1690-'Reclamo de equipaje rediseñado'!$C1690</f>
        <v>2.1527777777777785E-2</v>
      </c>
      <c r="F1690" s="48">
        <v>0.28611111111111115</v>
      </c>
      <c r="G1690" s="49">
        <f t="shared" si="26"/>
        <v>2.2916666666666696E-2</v>
      </c>
      <c r="H1690" s="50">
        <v>41756</v>
      </c>
      <c r="I1690" s="51" t="s">
        <v>555</v>
      </c>
      <c r="J1690" s="51" t="s">
        <v>554</v>
      </c>
      <c r="K1690" s="51">
        <f>VLOOKUP(J1690,'Validacion reclamo de equipaje'!L:M,2,0)</f>
        <v>189</v>
      </c>
      <c r="L1690" s="51" t="str">
        <f>VLOOKUP(I1690,'Validacion reclamo de equipaje'!H:I,2,0)</f>
        <v>Internacional</v>
      </c>
      <c r="M1690" s="51" t="s">
        <v>523</v>
      </c>
    </row>
    <row r="1691" spans="1:13" x14ac:dyDescent="0.25">
      <c r="A1691">
        <v>785</v>
      </c>
      <c r="B1691" s="47" t="str">
        <f>VLOOKUP(Tabla6[[#This Row],['# Vuelo]],'Validacion reclamo de equipaje'!P:Q,2,0)</f>
        <v>MEXICO AEREO</v>
      </c>
      <c r="C1691" s="52">
        <v>0.23402777777777781</v>
      </c>
      <c r="D1691" s="52">
        <v>0.24305555555555555</v>
      </c>
      <c r="E1691" s="53">
        <f>'Reclamo de equipaje rediseñado'!$D1691-'Reclamo de equipaje rediseñado'!$C1691</f>
        <v>9.0277777777777457E-3</v>
      </c>
      <c r="F1691" s="52">
        <v>0.25694444444444448</v>
      </c>
      <c r="G1691" s="53">
        <f t="shared" si="26"/>
        <v>1.3888888888888923E-2</v>
      </c>
      <c r="H1691" s="54">
        <v>41757</v>
      </c>
      <c r="I1691" s="55" t="s">
        <v>555</v>
      </c>
      <c r="J1691" s="55" t="s">
        <v>554</v>
      </c>
      <c r="K1691" s="55">
        <f>VLOOKUP(J1691,'Validacion reclamo de equipaje'!L:M,2,0)</f>
        <v>189</v>
      </c>
      <c r="L1691" s="55" t="str">
        <f>VLOOKUP(I1691,'Validacion reclamo de equipaje'!H:I,2,0)</f>
        <v>Internacional</v>
      </c>
      <c r="M1691" s="55" t="s">
        <v>523</v>
      </c>
    </row>
    <row r="1692" spans="1:13" x14ac:dyDescent="0.25">
      <c r="A1692">
        <v>785</v>
      </c>
      <c r="B1692" s="47" t="str">
        <f>VLOOKUP(Tabla6[[#This Row],['# Vuelo]],'Validacion reclamo de equipaje'!P:Q,2,0)</f>
        <v>MEXICO AEREO</v>
      </c>
      <c r="C1692" s="48">
        <v>0.23402777777777781</v>
      </c>
      <c r="D1692" s="48">
        <v>0.24166666666666667</v>
      </c>
      <c r="E1692" s="49">
        <f>'Reclamo de equipaje rediseñado'!$D1692-'Reclamo de equipaje rediseñado'!$C1692</f>
        <v>7.6388888888888618E-3</v>
      </c>
      <c r="F1692" s="48">
        <v>0.27986111111111112</v>
      </c>
      <c r="G1692" s="49">
        <f t="shared" si="26"/>
        <v>3.8194444444444448E-2</v>
      </c>
      <c r="H1692" s="50">
        <v>41758</v>
      </c>
      <c r="I1692" s="51" t="s">
        <v>555</v>
      </c>
      <c r="J1692" s="51" t="s">
        <v>554</v>
      </c>
      <c r="K1692" s="51">
        <f>VLOOKUP(J1692,'Validacion reclamo de equipaje'!L:M,2,0)</f>
        <v>189</v>
      </c>
      <c r="L1692" s="51" t="str">
        <f>VLOOKUP(I1692,'Validacion reclamo de equipaje'!H:I,2,0)</f>
        <v>Internacional</v>
      </c>
      <c r="M1692" s="51" t="s">
        <v>523</v>
      </c>
    </row>
    <row r="1693" spans="1:13" x14ac:dyDescent="0.25">
      <c r="A1693">
        <v>785</v>
      </c>
      <c r="B1693" s="47" t="str">
        <f>VLOOKUP(Tabla6[[#This Row],['# Vuelo]],'Validacion reclamo de equipaje'!P:Q,2,0)</f>
        <v>MEXICO AEREO</v>
      </c>
      <c r="C1693" s="52">
        <v>0.25069444444444444</v>
      </c>
      <c r="D1693" s="52">
        <v>0.26111111111111113</v>
      </c>
      <c r="E1693" s="53">
        <f>'Reclamo de equipaje rediseñado'!$D1693-'Reclamo de equipaje rediseñado'!$C1693</f>
        <v>1.0416666666666685E-2</v>
      </c>
      <c r="F1693" s="52">
        <v>0.28680555555555554</v>
      </c>
      <c r="G1693" s="53">
        <f t="shared" si="26"/>
        <v>2.5694444444444409E-2</v>
      </c>
      <c r="H1693" s="54">
        <v>41759</v>
      </c>
      <c r="I1693" s="55" t="s">
        <v>555</v>
      </c>
      <c r="J1693" s="55" t="s">
        <v>554</v>
      </c>
      <c r="K1693" s="55">
        <f>VLOOKUP(J1693,'Validacion reclamo de equipaje'!L:M,2,0)</f>
        <v>189</v>
      </c>
      <c r="L1693" s="55" t="str">
        <f>VLOOKUP(I1693,'Validacion reclamo de equipaje'!H:I,2,0)</f>
        <v>Internacional</v>
      </c>
      <c r="M1693" s="55" t="s">
        <v>523</v>
      </c>
    </row>
    <row r="1694" spans="1:13" x14ac:dyDescent="0.25">
      <c r="A1694">
        <v>783</v>
      </c>
      <c r="B1694" s="47" t="str">
        <f>VLOOKUP(Tabla6[[#This Row],['# Vuelo]],'Validacion reclamo de equipaje'!P:Q,2,0)</f>
        <v>MEXICO AEREO</v>
      </c>
      <c r="C1694" s="48">
        <v>0.67708333333333337</v>
      </c>
      <c r="D1694" s="48">
        <v>0.68611111111111101</v>
      </c>
      <c r="E1694" s="49">
        <f>'Reclamo de equipaje rediseñado'!$D1694-'Reclamo de equipaje rediseñado'!$C1694</f>
        <v>9.0277777777776347E-3</v>
      </c>
      <c r="F1694" s="48">
        <v>0.6972222222222223</v>
      </c>
      <c r="G1694" s="49">
        <f t="shared" si="26"/>
        <v>1.1111111111111294E-2</v>
      </c>
      <c r="H1694" s="50">
        <v>41730</v>
      </c>
      <c r="I1694" s="51" t="s">
        <v>555</v>
      </c>
      <c r="J1694" s="51" t="s">
        <v>554</v>
      </c>
      <c r="K1694" s="51">
        <f>VLOOKUP(J1694,'Validacion reclamo de equipaje'!L:M,2,0)</f>
        <v>189</v>
      </c>
      <c r="L1694" s="51" t="str">
        <f>VLOOKUP(I1694,'Validacion reclamo de equipaje'!H:I,2,0)</f>
        <v>Internacional</v>
      </c>
      <c r="M1694" s="51" t="s">
        <v>523</v>
      </c>
    </row>
    <row r="1695" spans="1:13" x14ac:dyDescent="0.25">
      <c r="A1695">
        <v>783</v>
      </c>
      <c r="B1695" s="47" t="str">
        <f>VLOOKUP(Tabla6[[#This Row],['# Vuelo]],'Validacion reclamo de equipaje'!P:Q,2,0)</f>
        <v>MEXICO AEREO</v>
      </c>
      <c r="C1695" s="52">
        <v>0.63680555555555551</v>
      </c>
      <c r="D1695" s="52">
        <v>0.64722222222222225</v>
      </c>
      <c r="E1695" s="53">
        <f>'Reclamo de equipaje rediseñado'!$D1695-'Reclamo de equipaje rediseñado'!$C1695</f>
        <v>1.0416666666666741E-2</v>
      </c>
      <c r="F1695" s="52">
        <v>0.66041666666666665</v>
      </c>
      <c r="G1695" s="53">
        <f t="shared" si="26"/>
        <v>1.3194444444444398E-2</v>
      </c>
      <c r="H1695" s="54">
        <v>41731</v>
      </c>
      <c r="I1695" s="55" t="s">
        <v>555</v>
      </c>
      <c r="J1695" s="55" t="s">
        <v>554</v>
      </c>
      <c r="K1695" s="55">
        <f>VLOOKUP(J1695,'Validacion reclamo de equipaje'!L:M,2,0)</f>
        <v>189</v>
      </c>
      <c r="L1695" s="55" t="str">
        <f>VLOOKUP(I1695,'Validacion reclamo de equipaje'!H:I,2,0)</f>
        <v>Internacional</v>
      </c>
      <c r="M1695" s="55" t="s">
        <v>523</v>
      </c>
    </row>
    <row r="1696" spans="1:13" x14ac:dyDescent="0.25">
      <c r="A1696">
        <v>783</v>
      </c>
      <c r="B1696" s="47" t="str">
        <f>VLOOKUP(Tabla6[[#This Row],['# Vuelo]],'Validacion reclamo de equipaje'!P:Q,2,0)</f>
        <v>MEXICO AEREO</v>
      </c>
      <c r="C1696" s="48">
        <v>0.63680555555555551</v>
      </c>
      <c r="D1696" s="48">
        <v>0.64722222222222225</v>
      </c>
      <c r="E1696" s="49">
        <f>'Reclamo de equipaje rediseñado'!$D1696-'Reclamo de equipaje rediseñado'!$C1696</f>
        <v>1.0416666666666741E-2</v>
      </c>
      <c r="F1696" s="48">
        <v>0.66041666666666665</v>
      </c>
      <c r="G1696" s="49">
        <f t="shared" si="26"/>
        <v>1.3194444444444398E-2</v>
      </c>
      <c r="H1696" s="50">
        <v>41731</v>
      </c>
      <c r="I1696" s="51" t="s">
        <v>555</v>
      </c>
      <c r="J1696" s="51" t="s">
        <v>554</v>
      </c>
      <c r="K1696" s="51">
        <f>VLOOKUP(J1696,'Validacion reclamo de equipaje'!L:M,2,0)</f>
        <v>189</v>
      </c>
      <c r="L1696" s="51" t="str">
        <f>VLOOKUP(I1696,'Validacion reclamo de equipaje'!H:I,2,0)</f>
        <v>Internacional</v>
      </c>
      <c r="M1696" s="51" t="s">
        <v>523</v>
      </c>
    </row>
    <row r="1697" spans="1:13" x14ac:dyDescent="0.25">
      <c r="A1697">
        <v>783</v>
      </c>
      <c r="B1697" s="47" t="str">
        <f>VLOOKUP(Tabla6[[#This Row],['# Vuelo]],'Validacion reclamo de equipaje'!P:Q,2,0)</f>
        <v>MEXICO AEREO</v>
      </c>
      <c r="C1697" s="52">
        <v>0.6381944444444444</v>
      </c>
      <c r="D1697" s="52">
        <v>0.64652777777777781</v>
      </c>
      <c r="E1697" s="53">
        <f>'Reclamo de equipaje rediseñado'!$D1697-'Reclamo de equipaje rediseñado'!$C1697</f>
        <v>8.3333333333334147E-3</v>
      </c>
      <c r="F1697" s="52">
        <v>0.67013888888888884</v>
      </c>
      <c r="G1697" s="53">
        <f t="shared" si="26"/>
        <v>2.3611111111111027E-2</v>
      </c>
      <c r="H1697" s="54">
        <v>41732</v>
      </c>
      <c r="I1697" s="55" t="s">
        <v>555</v>
      </c>
      <c r="J1697" s="55" t="s">
        <v>554</v>
      </c>
      <c r="K1697" s="55">
        <f>VLOOKUP(J1697,'Validacion reclamo de equipaje'!L:M,2,0)</f>
        <v>189</v>
      </c>
      <c r="L1697" s="55" t="str">
        <f>VLOOKUP(I1697,'Validacion reclamo de equipaje'!H:I,2,0)</f>
        <v>Internacional</v>
      </c>
      <c r="M1697" s="55" t="s">
        <v>523</v>
      </c>
    </row>
    <row r="1698" spans="1:13" x14ac:dyDescent="0.25">
      <c r="A1698">
        <v>783</v>
      </c>
      <c r="B1698" s="47" t="str">
        <f>VLOOKUP(Tabla6[[#This Row],['# Vuelo]],'Validacion reclamo de equipaje'!P:Q,2,0)</f>
        <v>MEXICO AEREO</v>
      </c>
      <c r="C1698" s="48">
        <v>0.64930555555555558</v>
      </c>
      <c r="D1698" s="48">
        <v>0.65972222222222221</v>
      </c>
      <c r="E1698" s="49">
        <f>'Reclamo de equipaje rediseñado'!$D1698-'Reclamo de equipaje rediseñado'!$C1698</f>
        <v>1.041666666666663E-2</v>
      </c>
      <c r="F1698" s="48">
        <v>0.68541666666666667</v>
      </c>
      <c r="G1698" s="49">
        <f t="shared" si="26"/>
        <v>2.5694444444444464E-2</v>
      </c>
      <c r="H1698" s="50">
        <v>41733</v>
      </c>
      <c r="I1698" s="51" t="s">
        <v>555</v>
      </c>
      <c r="J1698" s="51" t="s">
        <v>554</v>
      </c>
      <c r="K1698" s="51">
        <f>VLOOKUP(J1698,'Validacion reclamo de equipaje'!L:M,2,0)</f>
        <v>189</v>
      </c>
      <c r="L1698" s="51" t="str">
        <f>VLOOKUP(I1698,'Validacion reclamo de equipaje'!H:I,2,0)</f>
        <v>Internacional</v>
      </c>
      <c r="M1698" s="51" t="s">
        <v>523</v>
      </c>
    </row>
    <row r="1699" spans="1:13" x14ac:dyDescent="0.25">
      <c r="A1699">
        <v>783</v>
      </c>
      <c r="B1699" s="47" t="str">
        <f>VLOOKUP(Tabla6[[#This Row],['# Vuelo]],'Validacion reclamo de equipaje'!P:Q,2,0)</f>
        <v>MEXICO AEREO</v>
      </c>
      <c r="C1699" s="52">
        <v>0.6791666666666667</v>
      </c>
      <c r="D1699" s="52">
        <v>0.69305555555555554</v>
      </c>
      <c r="E1699" s="53">
        <f>'Reclamo de equipaje rediseñado'!$D1699-'Reclamo de equipaje rediseñado'!$C1699</f>
        <v>1.388888888888884E-2</v>
      </c>
      <c r="F1699" s="52">
        <v>0.70763888888888893</v>
      </c>
      <c r="G1699" s="53">
        <f t="shared" si="26"/>
        <v>1.4583333333333393E-2</v>
      </c>
      <c r="H1699" s="54">
        <v>41734</v>
      </c>
      <c r="I1699" s="55" t="s">
        <v>555</v>
      </c>
      <c r="J1699" s="55" t="s">
        <v>554</v>
      </c>
      <c r="K1699" s="55">
        <f>VLOOKUP(J1699,'Validacion reclamo de equipaje'!L:M,2,0)</f>
        <v>189</v>
      </c>
      <c r="L1699" s="55" t="str">
        <f>VLOOKUP(I1699,'Validacion reclamo de equipaje'!H:I,2,0)</f>
        <v>Internacional</v>
      </c>
      <c r="M1699" s="55" t="s">
        <v>523</v>
      </c>
    </row>
    <row r="1700" spans="1:13" x14ac:dyDescent="0.25">
      <c r="A1700">
        <v>783</v>
      </c>
      <c r="B1700" s="47" t="str">
        <f>VLOOKUP(Tabla6[[#This Row],['# Vuelo]],'Validacion reclamo de equipaje'!P:Q,2,0)</f>
        <v>MEXICO AEREO</v>
      </c>
      <c r="C1700" s="48">
        <v>0.6791666666666667</v>
      </c>
      <c r="D1700" s="48">
        <v>0.68402777777777779</v>
      </c>
      <c r="E1700" s="49">
        <f>'Reclamo de equipaje rediseñado'!$D1700-'Reclamo de equipaje rediseñado'!$C1700</f>
        <v>4.8611111111110938E-3</v>
      </c>
      <c r="F1700" s="48">
        <v>0.6958333333333333</v>
      </c>
      <c r="G1700" s="49">
        <f t="shared" si="26"/>
        <v>1.1805555555555514E-2</v>
      </c>
      <c r="H1700" s="50">
        <v>41735</v>
      </c>
      <c r="I1700" s="51" t="s">
        <v>555</v>
      </c>
      <c r="J1700" s="51" t="s">
        <v>554</v>
      </c>
      <c r="K1700" s="51">
        <f>VLOOKUP(J1700,'Validacion reclamo de equipaje'!L:M,2,0)</f>
        <v>189</v>
      </c>
      <c r="L1700" s="51" t="str">
        <f>VLOOKUP(I1700,'Validacion reclamo de equipaje'!H:I,2,0)</f>
        <v>Internacional</v>
      </c>
      <c r="M1700" s="51" t="s">
        <v>523</v>
      </c>
    </row>
    <row r="1701" spans="1:13" x14ac:dyDescent="0.25">
      <c r="A1701">
        <v>783</v>
      </c>
      <c r="B1701" s="47" t="str">
        <f>VLOOKUP(Tabla6[[#This Row],['# Vuelo]],'Validacion reclamo de equipaje'!P:Q,2,0)</f>
        <v>MEXICO AEREO</v>
      </c>
      <c r="C1701" s="52">
        <v>0.72638888888888886</v>
      </c>
      <c r="D1701" s="52">
        <v>0.73333333333333339</v>
      </c>
      <c r="E1701" s="53">
        <f>'Reclamo de equipaje rediseñado'!$D1701-'Reclamo de equipaje rediseñado'!$C1701</f>
        <v>6.9444444444445308E-3</v>
      </c>
      <c r="F1701" s="52">
        <v>0.75138888888888899</v>
      </c>
      <c r="G1701" s="53">
        <f t="shared" si="26"/>
        <v>1.8055555555555602E-2</v>
      </c>
      <c r="H1701" s="54">
        <v>41736</v>
      </c>
      <c r="I1701" s="55" t="s">
        <v>555</v>
      </c>
      <c r="J1701" s="55" t="s">
        <v>554</v>
      </c>
      <c r="K1701" s="55">
        <f>VLOOKUP(J1701,'Validacion reclamo de equipaje'!L:M,2,0)</f>
        <v>189</v>
      </c>
      <c r="L1701" s="55" t="str">
        <f>VLOOKUP(I1701,'Validacion reclamo de equipaje'!H:I,2,0)</f>
        <v>Internacional</v>
      </c>
      <c r="M1701" s="55" t="s">
        <v>523</v>
      </c>
    </row>
    <row r="1702" spans="1:13" x14ac:dyDescent="0.25">
      <c r="A1702">
        <v>783</v>
      </c>
      <c r="B1702" s="47" t="str">
        <f>VLOOKUP(Tabla6[[#This Row],['# Vuelo]],'Validacion reclamo de equipaje'!P:Q,2,0)</f>
        <v>MEXICO AEREO</v>
      </c>
      <c r="C1702" s="48">
        <v>0.71944444444444444</v>
      </c>
      <c r="D1702" s="48">
        <v>0.72638888888888886</v>
      </c>
      <c r="E1702" s="49">
        <f>'Reclamo de equipaje rediseñado'!$D1702-'Reclamo de equipaje rediseñado'!$C1702</f>
        <v>6.9444444444444198E-3</v>
      </c>
      <c r="F1702" s="48">
        <v>0.74375000000000002</v>
      </c>
      <c r="G1702" s="49">
        <f t="shared" si="26"/>
        <v>1.736111111111116E-2</v>
      </c>
      <c r="H1702" s="50">
        <v>41739</v>
      </c>
      <c r="I1702" s="51" t="s">
        <v>555</v>
      </c>
      <c r="J1702" s="51" t="s">
        <v>554</v>
      </c>
      <c r="K1702" s="51">
        <f>VLOOKUP(J1702,'Validacion reclamo de equipaje'!L:M,2,0)</f>
        <v>189</v>
      </c>
      <c r="L1702" s="51" t="str">
        <f>VLOOKUP(I1702,'Validacion reclamo de equipaje'!H:I,2,0)</f>
        <v>Internacional</v>
      </c>
      <c r="M1702" s="51" t="s">
        <v>523</v>
      </c>
    </row>
    <row r="1703" spans="1:13" x14ac:dyDescent="0.25">
      <c r="A1703">
        <v>783</v>
      </c>
      <c r="B1703" s="47" t="str">
        <f>VLOOKUP(Tabla6[[#This Row],['# Vuelo]],'Validacion reclamo de equipaje'!P:Q,2,0)</f>
        <v>MEXICO AEREO</v>
      </c>
      <c r="C1703" s="52">
        <v>0.7270833333333333</v>
      </c>
      <c r="D1703" s="52">
        <v>0.73611111111111116</v>
      </c>
      <c r="E1703" s="53">
        <f>'Reclamo de equipaje rediseñado'!$D1703-'Reclamo de equipaje rediseñado'!$C1703</f>
        <v>9.0277777777778567E-3</v>
      </c>
      <c r="F1703" s="52">
        <v>0.75277777777777777</v>
      </c>
      <c r="G1703" s="53">
        <f t="shared" si="26"/>
        <v>1.6666666666666607E-2</v>
      </c>
      <c r="H1703" s="54">
        <v>41741</v>
      </c>
      <c r="I1703" s="55" t="s">
        <v>555</v>
      </c>
      <c r="J1703" s="55" t="s">
        <v>554</v>
      </c>
      <c r="K1703" s="55">
        <f>VLOOKUP(J1703,'Validacion reclamo de equipaje'!L:M,2,0)</f>
        <v>189</v>
      </c>
      <c r="L1703" s="55" t="str">
        <f>VLOOKUP(I1703,'Validacion reclamo de equipaje'!H:I,2,0)</f>
        <v>Internacional</v>
      </c>
      <c r="M1703" s="55" t="s">
        <v>523</v>
      </c>
    </row>
    <row r="1704" spans="1:13" x14ac:dyDescent="0.25">
      <c r="A1704">
        <v>783</v>
      </c>
      <c r="B1704" s="47" t="str">
        <f>VLOOKUP(Tabla6[[#This Row],['# Vuelo]],'Validacion reclamo de equipaje'!P:Q,2,0)</f>
        <v>MEXICO AEREO</v>
      </c>
      <c r="C1704" s="48">
        <v>0.72430555555555554</v>
      </c>
      <c r="D1704" s="48">
        <v>0.73402777777777783</v>
      </c>
      <c r="E1704" s="49">
        <f>'Reclamo de equipaje rediseñado'!$D1704-'Reclamo de equipaje rediseñado'!$C1704</f>
        <v>9.7222222222222987E-3</v>
      </c>
      <c r="F1704" s="48">
        <v>0.74722222222222223</v>
      </c>
      <c r="G1704" s="49">
        <f t="shared" si="26"/>
        <v>1.3194444444444398E-2</v>
      </c>
      <c r="H1704" s="50">
        <v>41743</v>
      </c>
      <c r="I1704" s="51" t="s">
        <v>555</v>
      </c>
      <c r="J1704" s="51" t="s">
        <v>554</v>
      </c>
      <c r="K1704" s="51">
        <f>VLOOKUP(J1704,'Validacion reclamo de equipaje'!L:M,2,0)</f>
        <v>189</v>
      </c>
      <c r="L1704" s="51" t="str">
        <f>VLOOKUP(I1704,'Validacion reclamo de equipaje'!H:I,2,0)</f>
        <v>Internacional</v>
      </c>
      <c r="M1704" s="51" t="s">
        <v>523</v>
      </c>
    </row>
    <row r="1705" spans="1:13" x14ac:dyDescent="0.25">
      <c r="A1705">
        <v>783</v>
      </c>
      <c r="B1705" s="47" t="str">
        <f>VLOOKUP(Tabla6[[#This Row],['# Vuelo]],'Validacion reclamo de equipaje'!P:Q,2,0)</f>
        <v>MEXICO AEREO</v>
      </c>
      <c r="C1705" s="52">
        <v>0.71319444444444446</v>
      </c>
      <c r="D1705" s="52">
        <v>0.72430555555555554</v>
      </c>
      <c r="E1705" s="53">
        <f>'Reclamo de equipaje rediseñado'!$D1705-'Reclamo de equipaje rediseñado'!$C1705</f>
        <v>1.1111111111111072E-2</v>
      </c>
      <c r="F1705" s="52">
        <v>0.73958333333333337</v>
      </c>
      <c r="G1705" s="53">
        <f t="shared" si="26"/>
        <v>1.5277777777777835E-2</v>
      </c>
      <c r="H1705" s="54">
        <v>41744</v>
      </c>
      <c r="I1705" s="55" t="s">
        <v>555</v>
      </c>
      <c r="J1705" s="55" t="s">
        <v>554</v>
      </c>
      <c r="K1705" s="55">
        <f>VLOOKUP(J1705,'Validacion reclamo de equipaje'!L:M,2,0)</f>
        <v>189</v>
      </c>
      <c r="L1705" s="55" t="str">
        <f>VLOOKUP(I1705,'Validacion reclamo de equipaje'!H:I,2,0)</f>
        <v>Internacional</v>
      </c>
      <c r="M1705" s="55" t="s">
        <v>523</v>
      </c>
    </row>
    <row r="1706" spans="1:13" x14ac:dyDescent="0.25">
      <c r="A1706">
        <v>783</v>
      </c>
      <c r="B1706" s="47" t="str">
        <f>VLOOKUP(Tabla6[[#This Row],['# Vuelo]],'Validacion reclamo de equipaje'!P:Q,2,0)</f>
        <v>MEXICO AEREO</v>
      </c>
      <c r="C1706" s="48">
        <v>0.72986111111111107</v>
      </c>
      <c r="D1706" s="48">
        <v>0.73402777777777783</v>
      </c>
      <c r="E1706" s="49">
        <f>'Reclamo de equipaje rediseñado'!$D1706-'Reclamo de equipaje rediseñado'!$C1706</f>
        <v>4.1666666666667629E-3</v>
      </c>
      <c r="F1706" s="48">
        <v>0.75416666666666676</v>
      </c>
      <c r="G1706" s="49">
        <f t="shared" si="26"/>
        <v>2.0138888888888928E-2</v>
      </c>
      <c r="H1706" s="50">
        <v>41745</v>
      </c>
      <c r="I1706" s="51" t="s">
        <v>555</v>
      </c>
      <c r="J1706" s="51" t="s">
        <v>554</v>
      </c>
      <c r="K1706" s="51">
        <f>VLOOKUP(J1706,'Validacion reclamo de equipaje'!L:M,2,0)</f>
        <v>189</v>
      </c>
      <c r="L1706" s="51" t="str">
        <f>VLOOKUP(I1706,'Validacion reclamo de equipaje'!H:I,2,0)</f>
        <v>Internacional</v>
      </c>
      <c r="M1706" s="51" t="s">
        <v>523</v>
      </c>
    </row>
    <row r="1707" spans="1:13" x14ac:dyDescent="0.25">
      <c r="A1707">
        <v>783</v>
      </c>
      <c r="B1707" s="47" t="str">
        <f>VLOOKUP(Tabla6[[#This Row],['# Vuelo]],'Validacion reclamo de equipaje'!P:Q,2,0)</f>
        <v>MEXICO AEREO</v>
      </c>
      <c r="C1707" s="52">
        <v>0.72638888888888886</v>
      </c>
      <c r="D1707" s="52">
        <v>0.73125000000000007</v>
      </c>
      <c r="E1707" s="53">
        <f>'Reclamo de equipaje rediseñado'!$D1707-'Reclamo de equipaje rediseñado'!$C1707</f>
        <v>4.8611111111112049E-3</v>
      </c>
      <c r="F1707" s="52">
        <v>0.75624999999999998</v>
      </c>
      <c r="G1707" s="53">
        <f t="shared" si="26"/>
        <v>2.4999999999999911E-2</v>
      </c>
      <c r="H1707" s="54">
        <v>41746</v>
      </c>
      <c r="I1707" s="55" t="s">
        <v>555</v>
      </c>
      <c r="J1707" s="55" t="s">
        <v>554</v>
      </c>
      <c r="K1707" s="55">
        <f>VLOOKUP(J1707,'Validacion reclamo de equipaje'!L:M,2,0)</f>
        <v>189</v>
      </c>
      <c r="L1707" s="55" t="str">
        <f>VLOOKUP(I1707,'Validacion reclamo de equipaje'!H:I,2,0)</f>
        <v>Internacional</v>
      </c>
      <c r="M1707" s="55" t="s">
        <v>523</v>
      </c>
    </row>
    <row r="1708" spans="1:13" x14ac:dyDescent="0.25">
      <c r="A1708">
        <v>783</v>
      </c>
      <c r="B1708" s="47" t="str">
        <f>VLOOKUP(Tabla6[[#This Row],['# Vuelo]],'Validacion reclamo de equipaje'!P:Q,2,0)</f>
        <v>MEXICO AEREO</v>
      </c>
      <c r="C1708" s="48">
        <v>0.72499999999999998</v>
      </c>
      <c r="D1708" s="48">
        <v>0.73263888888888884</v>
      </c>
      <c r="E1708" s="49">
        <f>'Reclamo de equipaje rediseñado'!$D1708-'Reclamo de equipaje rediseñado'!$C1708</f>
        <v>7.6388888888888618E-3</v>
      </c>
      <c r="F1708" s="48">
        <v>0.75138888888888899</v>
      </c>
      <c r="G1708" s="49">
        <f t="shared" si="26"/>
        <v>1.8750000000000155E-2</v>
      </c>
      <c r="H1708" s="50">
        <v>41747</v>
      </c>
      <c r="I1708" s="51" t="s">
        <v>555</v>
      </c>
      <c r="J1708" s="51" t="s">
        <v>554</v>
      </c>
      <c r="K1708" s="51">
        <f>VLOOKUP(J1708,'Validacion reclamo de equipaje'!L:M,2,0)</f>
        <v>189</v>
      </c>
      <c r="L1708" s="51" t="str">
        <f>VLOOKUP(I1708,'Validacion reclamo de equipaje'!H:I,2,0)</f>
        <v>Internacional</v>
      </c>
      <c r="M1708" s="51" t="s">
        <v>523</v>
      </c>
    </row>
    <row r="1709" spans="1:13" x14ac:dyDescent="0.25">
      <c r="A1709">
        <v>783</v>
      </c>
      <c r="B1709" s="47" t="str">
        <f>VLOOKUP(Tabla6[[#This Row],['# Vuelo]],'Validacion reclamo de equipaje'!P:Q,2,0)</f>
        <v>MEXICO AEREO</v>
      </c>
      <c r="C1709" s="52">
        <v>0.71736111111111101</v>
      </c>
      <c r="D1709" s="52">
        <v>0.72499999999999998</v>
      </c>
      <c r="E1709" s="53">
        <f>'Reclamo de equipaje rediseñado'!$D1709-'Reclamo de equipaje rediseñado'!$C1709</f>
        <v>7.6388888888889728E-3</v>
      </c>
      <c r="F1709" s="52">
        <v>0.74305555555555547</v>
      </c>
      <c r="G1709" s="53">
        <f t="shared" si="26"/>
        <v>1.8055555555555491E-2</v>
      </c>
      <c r="H1709" s="54">
        <v>41748</v>
      </c>
      <c r="I1709" s="55" t="s">
        <v>555</v>
      </c>
      <c r="J1709" s="55" t="s">
        <v>554</v>
      </c>
      <c r="K1709" s="55">
        <f>VLOOKUP(J1709,'Validacion reclamo de equipaje'!L:M,2,0)</f>
        <v>189</v>
      </c>
      <c r="L1709" s="55" t="str">
        <f>VLOOKUP(I1709,'Validacion reclamo de equipaje'!H:I,2,0)</f>
        <v>Internacional</v>
      </c>
      <c r="M1709" s="55" t="s">
        <v>523</v>
      </c>
    </row>
    <row r="1710" spans="1:13" x14ac:dyDescent="0.25">
      <c r="A1710">
        <v>783</v>
      </c>
      <c r="B1710" s="47" t="str">
        <f>VLOOKUP(Tabla6[[#This Row],['# Vuelo]],'Validacion reclamo de equipaje'!P:Q,2,0)</f>
        <v>MEXICO AEREO</v>
      </c>
      <c r="C1710" s="48">
        <v>0.71527777777777779</v>
      </c>
      <c r="D1710" s="48">
        <v>0.72291666666666676</v>
      </c>
      <c r="E1710" s="49">
        <f>'Reclamo de equipaje rediseñado'!$D1710-'Reclamo de equipaje rediseñado'!$C1710</f>
        <v>7.6388888888889728E-3</v>
      </c>
      <c r="F1710" s="48">
        <v>0.73819444444444438</v>
      </c>
      <c r="G1710" s="49">
        <f t="shared" si="26"/>
        <v>1.5277777777777612E-2</v>
      </c>
      <c r="H1710" s="50">
        <v>41749</v>
      </c>
      <c r="I1710" s="51" t="s">
        <v>555</v>
      </c>
      <c r="J1710" s="51" t="s">
        <v>554</v>
      </c>
      <c r="K1710" s="51">
        <f>VLOOKUP(J1710,'Validacion reclamo de equipaje'!L:M,2,0)</f>
        <v>189</v>
      </c>
      <c r="L1710" s="51" t="str">
        <f>VLOOKUP(I1710,'Validacion reclamo de equipaje'!H:I,2,0)</f>
        <v>Internacional</v>
      </c>
      <c r="M1710" s="51" t="s">
        <v>523</v>
      </c>
    </row>
    <row r="1711" spans="1:13" x14ac:dyDescent="0.25">
      <c r="A1711">
        <v>783</v>
      </c>
      <c r="B1711" s="47" t="str">
        <f>VLOOKUP(Tabla6[[#This Row],['# Vuelo]],'Validacion reclamo de equipaje'!P:Q,2,0)</f>
        <v>MEXICO AEREO</v>
      </c>
      <c r="C1711" s="52">
        <v>0.73055555555555562</v>
      </c>
      <c r="D1711" s="52">
        <v>0.7402777777777777</v>
      </c>
      <c r="E1711" s="53">
        <f>'Reclamo de equipaje rediseñado'!$D1711-'Reclamo de equipaje rediseñado'!$C1711</f>
        <v>9.7222222222220767E-3</v>
      </c>
      <c r="F1711" s="52">
        <v>0.75902777777777775</v>
      </c>
      <c r="G1711" s="53">
        <f t="shared" si="26"/>
        <v>1.8750000000000044E-2</v>
      </c>
      <c r="H1711" s="54">
        <v>41750</v>
      </c>
      <c r="I1711" s="55" t="s">
        <v>555</v>
      </c>
      <c r="J1711" s="55" t="s">
        <v>554</v>
      </c>
      <c r="K1711" s="55">
        <f>VLOOKUP(J1711,'Validacion reclamo de equipaje'!L:M,2,0)</f>
        <v>189</v>
      </c>
      <c r="L1711" s="55" t="str">
        <f>VLOOKUP(I1711,'Validacion reclamo de equipaje'!H:I,2,0)</f>
        <v>Internacional</v>
      </c>
      <c r="M1711" s="55" t="s">
        <v>523</v>
      </c>
    </row>
    <row r="1712" spans="1:13" x14ac:dyDescent="0.25">
      <c r="A1712">
        <v>783</v>
      </c>
      <c r="B1712" s="47" t="str">
        <f>VLOOKUP(Tabla6[[#This Row],['# Vuelo]],'Validacion reclamo de equipaje'!P:Q,2,0)</f>
        <v>MEXICO AEREO</v>
      </c>
      <c r="C1712" s="48">
        <v>0.71597222222222223</v>
      </c>
      <c r="D1712" s="48">
        <v>0.72777777777777775</v>
      </c>
      <c r="E1712" s="49">
        <f>'Reclamo de equipaje rediseñado'!$D1712-'Reclamo de equipaje rediseñado'!$C1712</f>
        <v>1.1805555555555514E-2</v>
      </c>
      <c r="F1712" s="48">
        <v>0.74722222222222223</v>
      </c>
      <c r="G1712" s="49">
        <f t="shared" si="26"/>
        <v>1.9444444444444486E-2</v>
      </c>
      <c r="H1712" s="50">
        <v>41751</v>
      </c>
      <c r="I1712" s="51" t="s">
        <v>555</v>
      </c>
      <c r="J1712" s="51" t="s">
        <v>554</v>
      </c>
      <c r="K1712" s="51">
        <f>VLOOKUP(J1712,'Validacion reclamo de equipaje'!L:M,2,0)</f>
        <v>189</v>
      </c>
      <c r="L1712" s="51" t="str">
        <f>VLOOKUP(I1712,'Validacion reclamo de equipaje'!H:I,2,0)</f>
        <v>Internacional</v>
      </c>
      <c r="M1712" s="51" t="s">
        <v>523</v>
      </c>
    </row>
    <row r="1713" spans="1:13" x14ac:dyDescent="0.25">
      <c r="A1713">
        <v>783</v>
      </c>
      <c r="B1713" s="47" t="str">
        <f>VLOOKUP(Tabla6[[#This Row],['# Vuelo]],'Validacion reclamo de equipaje'!P:Q,2,0)</f>
        <v>MEXICO AEREO</v>
      </c>
      <c r="C1713" s="52">
        <v>0.71597222222222223</v>
      </c>
      <c r="D1713" s="52">
        <v>0.72777777777777775</v>
      </c>
      <c r="E1713" s="53">
        <f>'Reclamo de equipaje rediseñado'!$D1713-'Reclamo de equipaje rediseñado'!$C1713</f>
        <v>1.1805555555555514E-2</v>
      </c>
      <c r="F1713" s="52">
        <v>0.74722222222222223</v>
      </c>
      <c r="G1713" s="53">
        <f t="shared" si="26"/>
        <v>1.9444444444444486E-2</v>
      </c>
      <c r="H1713" s="54">
        <v>41751</v>
      </c>
      <c r="I1713" s="55" t="s">
        <v>555</v>
      </c>
      <c r="J1713" s="55" t="s">
        <v>554</v>
      </c>
      <c r="K1713" s="55">
        <f>VLOOKUP(J1713,'Validacion reclamo de equipaje'!L:M,2,0)</f>
        <v>189</v>
      </c>
      <c r="L1713" s="55" t="str">
        <f>VLOOKUP(I1713,'Validacion reclamo de equipaje'!H:I,2,0)</f>
        <v>Internacional</v>
      </c>
      <c r="M1713" s="55" t="s">
        <v>523</v>
      </c>
    </row>
    <row r="1714" spans="1:13" x14ac:dyDescent="0.25">
      <c r="A1714">
        <v>783</v>
      </c>
      <c r="B1714" s="47" t="str">
        <f>VLOOKUP(Tabla6[[#This Row],['# Vuelo]],'Validacion reclamo de equipaje'!P:Q,2,0)</f>
        <v>MEXICO AEREO</v>
      </c>
      <c r="C1714" s="48">
        <v>0.73055555555555562</v>
      </c>
      <c r="D1714" s="48">
        <v>0.74097222222222225</v>
      </c>
      <c r="E1714" s="49">
        <f>'Reclamo de equipaje rediseñado'!$D1714-'Reclamo de equipaje rediseñado'!$C1714</f>
        <v>1.041666666666663E-2</v>
      </c>
      <c r="F1714" s="48">
        <v>0.75694444444444453</v>
      </c>
      <c r="G1714" s="49">
        <f t="shared" si="26"/>
        <v>1.5972222222222276E-2</v>
      </c>
      <c r="H1714" s="50">
        <v>41753</v>
      </c>
      <c r="I1714" s="51" t="s">
        <v>555</v>
      </c>
      <c r="J1714" s="51" t="s">
        <v>554</v>
      </c>
      <c r="K1714" s="51">
        <f>VLOOKUP(J1714,'Validacion reclamo de equipaje'!L:M,2,0)</f>
        <v>189</v>
      </c>
      <c r="L1714" s="51" t="str">
        <f>VLOOKUP(I1714,'Validacion reclamo de equipaje'!H:I,2,0)</f>
        <v>Internacional</v>
      </c>
      <c r="M1714" s="51" t="s">
        <v>523</v>
      </c>
    </row>
    <row r="1715" spans="1:13" x14ac:dyDescent="0.25">
      <c r="A1715">
        <v>783</v>
      </c>
      <c r="B1715" s="47" t="str">
        <f>VLOOKUP(Tabla6[[#This Row],['# Vuelo]],'Validacion reclamo de equipaje'!P:Q,2,0)</f>
        <v>MEXICO AEREO</v>
      </c>
      <c r="C1715" s="52">
        <v>0.72569444444444453</v>
      </c>
      <c r="D1715" s="52">
        <v>0.73333333333333339</v>
      </c>
      <c r="E1715" s="53">
        <f>'Reclamo de equipaje rediseñado'!$D1715-'Reclamo de equipaje rediseñado'!$C1715</f>
        <v>7.6388888888888618E-3</v>
      </c>
      <c r="F1715" s="52">
        <v>0.75208333333333333</v>
      </c>
      <c r="G1715" s="53">
        <f t="shared" si="26"/>
        <v>1.8749999999999933E-2</v>
      </c>
      <c r="H1715" s="54">
        <v>41754</v>
      </c>
      <c r="I1715" s="55" t="s">
        <v>555</v>
      </c>
      <c r="J1715" s="55" t="s">
        <v>554</v>
      </c>
      <c r="K1715" s="55">
        <f>VLOOKUP(J1715,'Validacion reclamo de equipaje'!L:M,2,0)</f>
        <v>189</v>
      </c>
      <c r="L1715" s="55" t="str">
        <f>VLOOKUP(I1715,'Validacion reclamo de equipaje'!H:I,2,0)</f>
        <v>Internacional</v>
      </c>
      <c r="M1715" s="55" t="s">
        <v>523</v>
      </c>
    </row>
    <row r="1716" spans="1:13" x14ac:dyDescent="0.25">
      <c r="A1716">
        <v>783</v>
      </c>
      <c r="B1716" s="47" t="str">
        <f>VLOOKUP(Tabla6[[#This Row],['# Vuelo]],'Validacion reclamo de equipaje'!P:Q,2,0)</f>
        <v>MEXICO AEREO</v>
      </c>
      <c r="C1716" s="48">
        <v>0.72222222222222221</v>
      </c>
      <c r="D1716" s="48">
        <v>0.73611111111111116</v>
      </c>
      <c r="E1716" s="49">
        <f>'Reclamo de equipaje rediseñado'!$D1716-'Reclamo de equipaje rediseñado'!$C1716</f>
        <v>1.3888888888888951E-2</v>
      </c>
      <c r="F1716" s="48">
        <v>0.77777777777777779</v>
      </c>
      <c r="G1716" s="49">
        <f t="shared" si="26"/>
        <v>4.166666666666663E-2</v>
      </c>
      <c r="H1716" s="50">
        <v>41754</v>
      </c>
      <c r="I1716" s="51" t="s">
        <v>555</v>
      </c>
      <c r="J1716" s="51" t="s">
        <v>554</v>
      </c>
      <c r="K1716" s="51">
        <f>VLOOKUP(J1716,'Validacion reclamo de equipaje'!L:M,2,0)</f>
        <v>189</v>
      </c>
      <c r="L1716" s="51" t="str">
        <f>VLOOKUP(I1716,'Validacion reclamo de equipaje'!H:I,2,0)</f>
        <v>Internacional</v>
      </c>
      <c r="M1716" s="51" t="s">
        <v>523</v>
      </c>
    </row>
    <row r="1717" spans="1:13" x14ac:dyDescent="0.25">
      <c r="A1717">
        <v>783</v>
      </c>
      <c r="B1717" s="47" t="str">
        <f>VLOOKUP(Tabla6[[#This Row],['# Vuelo]],'Validacion reclamo de equipaje'!P:Q,2,0)</f>
        <v>MEXICO AEREO</v>
      </c>
      <c r="C1717" s="52">
        <v>0.7284722222222223</v>
      </c>
      <c r="D1717" s="52">
        <v>0.73472222222222217</v>
      </c>
      <c r="E1717" s="53">
        <f>'Reclamo de equipaje rediseñado'!$D1717-'Reclamo de equipaje rediseñado'!$C1717</f>
        <v>6.2499999999998668E-3</v>
      </c>
      <c r="F1717" s="52">
        <v>0.7583333333333333</v>
      </c>
      <c r="G1717" s="53">
        <f t="shared" si="26"/>
        <v>2.3611111111111138E-2</v>
      </c>
      <c r="H1717" s="54">
        <v>41756</v>
      </c>
      <c r="I1717" s="55" t="s">
        <v>555</v>
      </c>
      <c r="J1717" s="55" t="s">
        <v>554</v>
      </c>
      <c r="K1717" s="55">
        <f>VLOOKUP(J1717,'Validacion reclamo de equipaje'!L:M,2,0)</f>
        <v>189</v>
      </c>
      <c r="L1717" s="55" t="str">
        <f>VLOOKUP(I1717,'Validacion reclamo de equipaje'!H:I,2,0)</f>
        <v>Internacional</v>
      </c>
      <c r="M1717" s="55" t="s">
        <v>523</v>
      </c>
    </row>
    <row r="1718" spans="1:13" x14ac:dyDescent="0.25">
      <c r="A1718">
        <v>783</v>
      </c>
      <c r="B1718" s="47" t="str">
        <f>VLOOKUP(Tabla6[[#This Row],['# Vuelo]],'Validacion reclamo de equipaje'!P:Q,2,0)</f>
        <v>MEXICO AEREO</v>
      </c>
      <c r="C1718" s="48">
        <v>0.72638888888888886</v>
      </c>
      <c r="D1718" s="48">
        <v>0.73611111111111116</v>
      </c>
      <c r="E1718" s="49">
        <f>'Reclamo de equipaje rediseñado'!$D1718-'Reclamo de equipaje rediseñado'!$C1718</f>
        <v>9.7222222222222987E-3</v>
      </c>
      <c r="F1718" s="48">
        <v>0.75277777777777777</v>
      </c>
      <c r="G1718" s="49">
        <f t="shared" si="26"/>
        <v>1.6666666666666607E-2</v>
      </c>
      <c r="H1718" s="50">
        <v>41757</v>
      </c>
      <c r="I1718" s="51" t="s">
        <v>555</v>
      </c>
      <c r="J1718" s="51" t="s">
        <v>554</v>
      </c>
      <c r="K1718" s="51">
        <f>VLOOKUP(J1718,'Validacion reclamo de equipaje'!L:M,2,0)</f>
        <v>189</v>
      </c>
      <c r="L1718" s="51" t="str">
        <f>VLOOKUP(I1718,'Validacion reclamo de equipaje'!H:I,2,0)</f>
        <v>Internacional</v>
      </c>
      <c r="M1718" s="51" t="s">
        <v>523</v>
      </c>
    </row>
    <row r="1719" spans="1:13" x14ac:dyDescent="0.25">
      <c r="A1719">
        <v>783</v>
      </c>
      <c r="B1719" s="47" t="str">
        <f>VLOOKUP(Tabla6[[#This Row],['# Vuelo]],'Validacion reclamo de equipaje'!P:Q,2,0)</f>
        <v>MEXICO AEREO</v>
      </c>
      <c r="C1719" s="52">
        <v>0.74583333333333324</v>
      </c>
      <c r="D1719" s="52">
        <v>0.75763888888888886</v>
      </c>
      <c r="E1719" s="53">
        <f>'Reclamo de equipaje rediseñado'!$D1719-'Reclamo de equipaje rediseñado'!$C1719</f>
        <v>1.1805555555555625E-2</v>
      </c>
      <c r="F1719" s="52">
        <v>0.78749999999999998</v>
      </c>
      <c r="G1719" s="53">
        <f t="shared" si="26"/>
        <v>2.9861111111111116E-2</v>
      </c>
      <c r="H1719" s="54">
        <v>41758</v>
      </c>
      <c r="I1719" s="55" t="s">
        <v>555</v>
      </c>
      <c r="J1719" s="55" t="s">
        <v>554</v>
      </c>
      <c r="K1719" s="55">
        <f>VLOOKUP(J1719,'Validacion reclamo de equipaje'!L:M,2,0)</f>
        <v>189</v>
      </c>
      <c r="L1719" s="55" t="str">
        <f>VLOOKUP(I1719,'Validacion reclamo de equipaje'!H:I,2,0)</f>
        <v>Internacional</v>
      </c>
      <c r="M1719" s="55" t="s">
        <v>523</v>
      </c>
    </row>
    <row r="1720" spans="1:13" x14ac:dyDescent="0.25">
      <c r="A1720">
        <v>783</v>
      </c>
      <c r="B1720" s="47" t="str">
        <f>VLOOKUP(Tabla6[[#This Row],['# Vuelo]],'Validacion reclamo de equipaje'!P:Q,2,0)</f>
        <v>MEXICO AEREO</v>
      </c>
      <c r="C1720" s="48">
        <v>0.7368055555555556</v>
      </c>
      <c r="D1720" s="48">
        <v>0.74305555555555547</v>
      </c>
      <c r="E1720" s="49">
        <f>'Reclamo de equipaje rediseñado'!$D1720-'Reclamo de equipaje rediseñado'!$C1720</f>
        <v>6.2499999999998668E-3</v>
      </c>
      <c r="F1720" s="48">
        <v>0.76458333333333339</v>
      </c>
      <c r="G1720" s="49">
        <f t="shared" si="26"/>
        <v>2.1527777777777923E-2</v>
      </c>
      <c r="H1720" s="50">
        <v>41759</v>
      </c>
      <c r="I1720" s="51" t="s">
        <v>555</v>
      </c>
      <c r="J1720" s="51" t="s">
        <v>554</v>
      </c>
      <c r="K1720" s="51">
        <f>VLOOKUP(J1720,'Validacion reclamo de equipaje'!L:M,2,0)</f>
        <v>189</v>
      </c>
      <c r="L1720" s="51" t="str">
        <f>VLOOKUP(I1720,'Validacion reclamo de equipaje'!H:I,2,0)</f>
        <v>Internacional</v>
      </c>
      <c r="M1720" s="51" t="s">
        <v>523</v>
      </c>
    </row>
    <row r="1721" spans="1:13" x14ac:dyDescent="0.25">
      <c r="A1721">
        <v>781</v>
      </c>
      <c r="B1721" s="47" t="str">
        <f>VLOOKUP(Tabla6[[#This Row],['# Vuelo]],'Validacion reclamo de equipaje'!P:Q,2,0)</f>
        <v>MEXICO AEREO</v>
      </c>
      <c r="C1721" s="52">
        <v>0.20902777777777778</v>
      </c>
      <c r="D1721" s="52">
        <v>0.21736111111111112</v>
      </c>
      <c r="E1721" s="53">
        <f>'Reclamo de equipaje rediseñado'!$D1721-'Reclamo de equipaje rediseñado'!$C1721</f>
        <v>8.3333333333333315E-3</v>
      </c>
      <c r="F1721" s="52">
        <v>0.23958333333333334</v>
      </c>
      <c r="G1721" s="53">
        <f t="shared" si="26"/>
        <v>2.2222222222222227E-2</v>
      </c>
      <c r="H1721" s="54">
        <v>41730</v>
      </c>
      <c r="I1721" s="55" t="s">
        <v>556</v>
      </c>
      <c r="J1721" s="55" t="s">
        <v>554</v>
      </c>
      <c r="K1721" s="55">
        <f>VLOOKUP(J1721,'Validacion reclamo de equipaje'!L:M,2,0)</f>
        <v>189</v>
      </c>
      <c r="L1721" s="55" t="str">
        <f>VLOOKUP(I1721,'Validacion reclamo de equipaje'!H:I,2,0)</f>
        <v>Internacional</v>
      </c>
      <c r="M1721" s="55" t="s">
        <v>523</v>
      </c>
    </row>
    <row r="1722" spans="1:13" x14ac:dyDescent="0.25">
      <c r="A1722">
        <v>781</v>
      </c>
      <c r="B1722" s="47" t="str">
        <f>VLOOKUP(Tabla6[[#This Row],['# Vuelo]],'Validacion reclamo de equipaje'!P:Q,2,0)</f>
        <v>MEXICO AEREO</v>
      </c>
      <c r="C1722" s="48">
        <v>0.21388888888888891</v>
      </c>
      <c r="D1722" s="48">
        <v>0.22569444444444445</v>
      </c>
      <c r="E1722" s="49">
        <f>'Reclamo de equipaje rediseñado'!$D1722-'Reclamo de equipaje rediseñado'!$C1722</f>
        <v>1.1805555555555541E-2</v>
      </c>
      <c r="F1722" s="48">
        <v>0.26458333333333334</v>
      </c>
      <c r="G1722" s="49">
        <f t="shared" si="26"/>
        <v>3.888888888888889E-2</v>
      </c>
      <c r="H1722" s="50">
        <v>41733</v>
      </c>
      <c r="I1722" s="51" t="s">
        <v>556</v>
      </c>
      <c r="J1722" s="51" t="s">
        <v>554</v>
      </c>
      <c r="K1722" s="51">
        <f>VLOOKUP(J1722,'Validacion reclamo de equipaje'!L:M,2,0)</f>
        <v>189</v>
      </c>
      <c r="L1722" s="51" t="str">
        <f>VLOOKUP(I1722,'Validacion reclamo de equipaje'!H:I,2,0)</f>
        <v>Internacional</v>
      </c>
      <c r="M1722" s="51" t="s">
        <v>523</v>
      </c>
    </row>
    <row r="1723" spans="1:13" x14ac:dyDescent="0.25">
      <c r="A1723">
        <v>781</v>
      </c>
      <c r="B1723" s="47" t="str">
        <f>VLOOKUP(Tabla6[[#This Row],['# Vuelo]],'Validacion reclamo de equipaje'!P:Q,2,0)</f>
        <v>MEXICO AEREO</v>
      </c>
      <c r="C1723" s="52">
        <v>0.26250000000000001</v>
      </c>
      <c r="D1723" s="52">
        <v>0.27569444444444446</v>
      </c>
      <c r="E1723" s="53">
        <f>'Reclamo de equipaje rediseñado'!$D1723-'Reclamo de equipaje rediseñado'!$C1723</f>
        <v>1.3194444444444453E-2</v>
      </c>
      <c r="F1723" s="52">
        <v>0.2902777777777778</v>
      </c>
      <c r="G1723" s="53">
        <f t="shared" si="26"/>
        <v>1.4583333333333337E-2</v>
      </c>
      <c r="H1723" s="54">
        <v>41734</v>
      </c>
      <c r="I1723" s="55" t="s">
        <v>556</v>
      </c>
      <c r="J1723" s="55" t="s">
        <v>554</v>
      </c>
      <c r="K1723" s="55">
        <f>VLOOKUP(J1723,'Validacion reclamo de equipaje'!L:M,2,0)</f>
        <v>189</v>
      </c>
      <c r="L1723" s="55" t="str">
        <f>VLOOKUP(I1723,'Validacion reclamo de equipaje'!H:I,2,0)</f>
        <v>Internacional</v>
      </c>
      <c r="M1723" s="55" t="s">
        <v>523</v>
      </c>
    </row>
    <row r="1724" spans="1:13" x14ac:dyDescent="0.25">
      <c r="A1724">
        <v>781</v>
      </c>
      <c r="B1724" s="47" t="str">
        <f>VLOOKUP(Tabla6[[#This Row],['# Vuelo]],'Validacion reclamo de equipaje'!P:Q,2,0)</f>
        <v>MEXICO AEREO</v>
      </c>
      <c r="C1724" s="48">
        <v>0.2076388888888889</v>
      </c>
      <c r="D1724" s="48">
        <v>0.21944444444444444</v>
      </c>
      <c r="E1724" s="49">
        <f>'Reclamo de equipaje rediseñado'!$D1724-'Reclamo de equipaje rediseñado'!$C1724</f>
        <v>1.1805555555555541E-2</v>
      </c>
      <c r="F1724" s="48">
        <v>0.22916666666666666</v>
      </c>
      <c r="G1724" s="49">
        <f t="shared" si="26"/>
        <v>9.7222222222222154E-3</v>
      </c>
      <c r="H1724" s="50">
        <v>41733</v>
      </c>
      <c r="I1724" s="51" t="s">
        <v>556</v>
      </c>
      <c r="J1724" s="51" t="s">
        <v>554</v>
      </c>
      <c r="K1724" s="51">
        <f>VLOOKUP(J1724,'Validacion reclamo de equipaje'!L:M,2,0)</f>
        <v>189</v>
      </c>
      <c r="L1724" s="51" t="str">
        <f>VLOOKUP(I1724,'Validacion reclamo de equipaje'!H:I,2,0)</f>
        <v>Internacional</v>
      </c>
      <c r="M1724" s="51" t="s">
        <v>523</v>
      </c>
    </row>
    <row r="1725" spans="1:13" x14ac:dyDescent="0.25">
      <c r="A1725">
        <v>781</v>
      </c>
      <c r="B1725" s="47" t="str">
        <f>VLOOKUP(Tabla6[[#This Row],['# Vuelo]],'Validacion reclamo de equipaje'!P:Q,2,0)</f>
        <v>MEXICO AEREO</v>
      </c>
      <c r="C1725" s="52">
        <v>0.24027777777777778</v>
      </c>
      <c r="D1725" s="52">
        <v>0.25138888888888888</v>
      </c>
      <c r="E1725" s="53">
        <f>'Reclamo de equipaje rediseñado'!$D1725-'Reclamo de equipaje rediseñado'!$C1725</f>
        <v>1.1111111111111099E-2</v>
      </c>
      <c r="F1725" s="52">
        <v>0.27777777777777779</v>
      </c>
      <c r="G1725" s="53">
        <f t="shared" si="26"/>
        <v>2.6388888888888906E-2</v>
      </c>
      <c r="H1725" s="54">
        <v>41736</v>
      </c>
      <c r="I1725" s="55" t="s">
        <v>556</v>
      </c>
      <c r="J1725" s="55" t="s">
        <v>554</v>
      </c>
      <c r="K1725" s="55">
        <f>VLOOKUP(J1725,'Validacion reclamo de equipaje'!L:M,2,0)</f>
        <v>189</v>
      </c>
      <c r="L1725" s="55" t="str">
        <f>VLOOKUP(I1725,'Validacion reclamo de equipaje'!H:I,2,0)</f>
        <v>Internacional</v>
      </c>
      <c r="M1725" s="55" t="s">
        <v>523</v>
      </c>
    </row>
    <row r="1726" spans="1:13" x14ac:dyDescent="0.25">
      <c r="A1726">
        <v>781</v>
      </c>
      <c r="B1726" s="47" t="str">
        <f>VLOOKUP(Tabla6[[#This Row],['# Vuelo]],'Validacion reclamo de equipaje'!P:Q,2,0)</f>
        <v>MEXICO AEREO</v>
      </c>
      <c r="C1726" s="48">
        <v>0.23124999999999998</v>
      </c>
      <c r="D1726" s="48">
        <v>0.23263888888888887</v>
      </c>
      <c r="E1726" s="49">
        <f>'Reclamo de equipaje rediseñado'!$D1726-'Reclamo de equipaje rediseñado'!$C1726</f>
        <v>1.388888888888884E-3</v>
      </c>
      <c r="F1726" s="48">
        <v>0.2638888888888889</v>
      </c>
      <c r="G1726" s="49">
        <f t="shared" si="26"/>
        <v>3.1250000000000028E-2</v>
      </c>
      <c r="H1726" s="50">
        <v>41737</v>
      </c>
      <c r="I1726" s="51" t="s">
        <v>556</v>
      </c>
      <c r="J1726" s="51" t="s">
        <v>554</v>
      </c>
      <c r="K1726" s="51">
        <f>VLOOKUP(J1726,'Validacion reclamo de equipaje'!L:M,2,0)</f>
        <v>189</v>
      </c>
      <c r="L1726" s="51" t="str">
        <f>VLOOKUP(I1726,'Validacion reclamo de equipaje'!H:I,2,0)</f>
        <v>Internacional</v>
      </c>
      <c r="M1726" s="51" t="s">
        <v>523</v>
      </c>
    </row>
    <row r="1727" spans="1:13" x14ac:dyDescent="0.25">
      <c r="A1727">
        <v>781</v>
      </c>
      <c r="B1727" s="47" t="str">
        <f>VLOOKUP(Tabla6[[#This Row],['# Vuelo]],'Validacion reclamo de equipaje'!P:Q,2,0)</f>
        <v>MEXICO AEREO</v>
      </c>
      <c r="C1727" s="52">
        <v>0.24097222222222223</v>
      </c>
      <c r="D1727" s="52">
        <v>0.26319444444444445</v>
      </c>
      <c r="E1727" s="53">
        <f>'Reclamo de equipaje rediseñado'!$D1727-'Reclamo de equipaje rediseñado'!$C1727</f>
        <v>2.2222222222222227E-2</v>
      </c>
      <c r="F1727" s="52">
        <v>0.27986111111111112</v>
      </c>
      <c r="G1727" s="53">
        <f t="shared" si="26"/>
        <v>1.6666666666666663E-2</v>
      </c>
      <c r="H1727" s="54">
        <v>41739</v>
      </c>
      <c r="I1727" s="55" t="s">
        <v>556</v>
      </c>
      <c r="J1727" s="55" t="s">
        <v>554</v>
      </c>
      <c r="K1727" s="55">
        <f>VLOOKUP(J1727,'Validacion reclamo de equipaje'!L:M,2,0)</f>
        <v>189</v>
      </c>
      <c r="L1727" s="55" t="str">
        <f>VLOOKUP(I1727,'Validacion reclamo de equipaje'!H:I,2,0)</f>
        <v>Internacional</v>
      </c>
      <c r="M1727" s="55" t="s">
        <v>523</v>
      </c>
    </row>
    <row r="1728" spans="1:13" x14ac:dyDescent="0.25">
      <c r="A1728">
        <v>781</v>
      </c>
      <c r="B1728" s="47" t="str">
        <f>VLOOKUP(Tabla6[[#This Row],['# Vuelo]],'Validacion reclamo de equipaje'!P:Q,2,0)</f>
        <v>MEXICO AEREO</v>
      </c>
      <c r="C1728" s="48">
        <v>0.24305555555555555</v>
      </c>
      <c r="D1728" s="48">
        <v>0.25347222222222221</v>
      </c>
      <c r="E1728" s="49">
        <f>'Reclamo de equipaje rediseñado'!$D1728-'Reclamo de equipaje rediseñado'!$C1728</f>
        <v>1.0416666666666657E-2</v>
      </c>
      <c r="F1728" s="48">
        <v>0.28750000000000003</v>
      </c>
      <c r="G1728" s="49">
        <f t="shared" si="26"/>
        <v>3.4027777777777823E-2</v>
      </c>
      <c r="H1728" s="50">
        <v>41740</v>
      </c>
      <c r="I1728" s="51" t="s">
        <v>556</v>
      </c>
      <c r="J1728" s="51" t="s">
        <v>554</v>
      </c>
      <c r="K1728" s="51">
        <f>VLOOKUP(J1728,'Validacion reclamo de equipaje'!L:M,2,0)</f>
        <v>189</v>
      </c>
      <c r="L1728" s="51" t="str">
        <f>VLOOKUP(I1728,'Validacion reclamo de equipaje'!H:I,2,0)</f>
        <v>Internacional</v>
      </c>
      <c r="M1728" s="51" t="s">
        <v>523</v>
      </c>
    </row>
    <row r="1729" spans="1:13" x14ac:dyDescent="0.25">
      <c r="A1729">
        <v>781</v>
      </c>
      <c r="B1729" s="47" t="str">
        <f>VLOOKUP(Tabla6[[#This Row],['# Vuelo]],'Validacion reclamo de equipaje'!P:Q,2,0)</f>
        <v>MEXICO AEREO</v>
      </c>
      <c r="C1729" s="52">
        <v>0.20902777777777778</v>
      </c>
      <c r="D1729" s="52">
        <v>0.21736111111111112</v>
      </c>
      <c r="E1729" s="53">
        <f>'Reclamo de equipaje rediseñado'!$D1729-'Reclamo de equipaje rediseñado'!$C1729</f>
        <v>8.3333333333333315E-3</v>
      </c>
      <c r="F1729" s="52">
        <v>0.23958333333333334</v>
      </c>
      <c r="G1729" s="53">
        <f t="shared" si="26"/>
        <v>2.2222222222222227E-2</v>
      </c>
      <c r="H1729" s="54">
        <v>41742</v>
      </c>
      <c r="I1729" s="55" t="s">
        <v>556</v>
      </c>
      <c r="J1729" s="55" t="s">
        <v>554</v>
      </c>
      <c r="K1729" s="55">
        <f>VLOOKUP(J1729,'Validacion reclamo de equipaje'!L:M,2,0)</f>
        <v>189</v>
      </c>
      <c r="L1729" s="55" t="str">
        <f>VLOOKUP(I1729,'Validacion reclamo de equipaje'!H:I,2,0)</f>
        <v>Internacional</v>
      </c>
      <c r="M1729" s="55" t="s">
        <v>523</v>
      </c>
    </row>
    <row r="1730" spans="1:13" x14ac:dyDescent="0.25">
      <c r="A1730">
        <v>781</v>
      </c>
      <c r="B1730" s="47" t="str">
        <f>VLOOKUP(Tabla6[[#This Row],['# Vuelo]],'Validacion reclamo de equipaje'!P:Q,2,0)</f>
        <v>MEXICO AEREO</v>
      </c>
      <c r="C1730" s="48">
        <v>0.23541666666666669</v>
      </c>
      <c r="D1730" s="48">
        <v>0.24652777777777779</v>
      </c>
      <c r="E1730" s="49">
        <f>'Reclamo de equipaje rediseñado'!$D1730-'Reclamo de equipaje rediseñado'!$C1730</f>
        <v>1.1111111111111099E-2</v>
      </c>
      <c r="F1730" s="48">
        <v>0.2673611111111111</v>
      </c>
      <c r="G1730" s="49">
        <f t="shared" si="26"/>
        <v>2.0833333333333315E-2</v>
      </c>
      <c r="H1730" s="50">
        <v>41745</v>
      </c>
      <c r="I1730" s="51" t="s">
        <v>556</v>
      </c>
      <c r="J1730" s="51" t="s">
        <v>554</v>
      </c>
      <c r="K1730" s="51">
        <f>VLOOKUP(J1730,'Validacion reclamo de equipaje'!L:M,2,0)</f>
        <v>189</v>
      </c>
      <c r="L1730" s="51" t="str">
        <f>VLOOKUP(I1730,'Validacion reclamo de equipaje'!H:I,2,0)</f>
        <v>Internacional</v>
      </c>
      <c r="M1730" s="51" t="s">
        <v>523</v>
      </c>
    </row>
    <row r="1731" spans="1:13" x14ac:dyDescent="0.25">
      <c r="A1731">
        <v>781</v>
      </c>
      <c r="B1731" s="47" t="str">
        <f>VLOOKUP(Tabla6[[#This Row],['# Vuelo]],'Validacion reclamo de equipaje'!P:Q,2,0)</f>
        <v>MEXICO AEREO</v>
      </c>
      <c r="C1731" s="52">
        <v>0.23750000000000002</v>
      </c>
      <c r="D1731" s="52">
        <v>0.25277777777777777</v>
      </c>
      <c r="E1731" s="53">
        <f>'Reclamo de equipaje rediseñado'!$D1731-'Reclamo de equipaje rediseñado'!$C1731</f>
        <v>1.5277777777777751E-2</v>
      </c>
      <c r="F1731" s="52">
        <v>0.28263888888888888</v>
      </c>
      <c r="G1731" s="53">
        <f t="shared" ref="G1731:G1794" si="27">F1731-D1731</f>
        <v>2.9861111111111116E-2</v>
      </c>
      <c r="H1731" s="54">
        <v>41747</v>
      </c>
      <c r="I1731" s="55" t="s">
        <v>556</v>
      </c>
      <c r="J1731" s="55" t="s">
        <v>554</v>
      </c>
      <c r="K1731" s="55">
        <f>VLOOKUP(J1731,'Validacion reclamo de equipaje'!L:M,2,0)</f>
        <v>189</v>
      </c>
      <c r="L1731" s="55" t="str">
        <f>VLOOKUP(I1731,'Validacion reclamo de equipaje'!H:I,2,0)</f>
        <v>Internacional</v>
      </c>
      <c r="M1731" s="55" t="s">
        <v>523</v>
      </c>
    </row>
    <row r="1732" spans="1:13" x14ac:dyDescent="0.25">
      <c r="A1732">
        <v>781</v>
      </c>
      <c r="B1732" s="47" t="str">
        <f>VLOOKUP(Tabla6[[#This Row],['# Vuelo]],'Validacion reclamo de equipaje'!P:Q,2,0)</f>
        <v>MEXICO AEREO</v>
      </c>
      <c r="C1732" s="48">
        <v>0.23611111111111113</v>
      </c>
      <c r="D1732" s="48">
        <v>0.25694444444444448</v>
      </c>
      <c r="E1732" s="49">
        <f>'Reclamo de equipaje rediseñado'!$D1732-'Reclamo de equipaje rediseñado'!$C1732</f>
        <v>2.0833333333333343E-2</v>
      </c>
      <c r="F1732" s="48">
        <v>0.28333333333333333</v>
      </c>
      <c r="G1732" s="49">
        <f t="shared" si="27"/>
        <v>2.6388888888888851E-2</v>
      </c>
      <c r="H1732" s="50">
        <v>41749</v>
      </c>
      <c r="I1732" s="51" t="s">
        <v>556</v>
      </c>
      <c r="J1732" s="51" t="s">
        <v>554</v>
      </c>
      <c r="K1732" s="51">
        <f>VLOOKUP(J1732,'Validacion reclamo de equipaje'!L:M,2,0)</f>
        <v>189</v>
      </c>
      <c r="L1732" s="51" t="str">
        <f>VLOOKUP(I1732,'Validacion reclamo de equipaje'!H:I,2,0)</f>
        <v>Internacional</v>
      </c>
      <c r="M1732" s="51" t="s">
        <v>523</v>
      </c>
    </row>
    <row r="1733" spans="1:13" x14ac:dyDescent="0.25">
      <c r="A1733">
        <v>781</v>
      </c>
      <c r="B1733" s="47" t="str">
        <f>VLOOKUP(Tabla6[[#This Row],['# Vuelo]],'Validacion reclamo de equipaje'!P:Q,2,0)</f>
        <v>MEXICO AEREO</v>
      </c>
      <c r="C1733" s="52">
        <v>0.24652777777777779</v>
      </c>
      <c r="D1733" s="52">
        <v>0.25486111111111109</v>
      </c>
      <c r="E1733" s="53">
        <f>'Reclamo de equipaje rediseñado'!$D1733-'Reclamo de equipaje rediseñado'!$C1733</f>
        <v>8.3333333333333037E-3</v>
      </c>
      <c r="F1733" s="52">
        <v>0.27499999999999997</v>
      </c>
      <c r="G1733" s="53">
        <f t="shared" si="27"/>
        <v>2.0138888888888873E-2</v>
      </c>
      <c r="H1733" s="54">
        <v>41749</v>
      </c>
      <c r="I1733" s="55" t="s">
        <v>556</v>
      </c>
      <c r="J1733" s="55" t="s">
        <v>554</v>
      </c>
      <c r="K1733" s="55">
        <f>VLOOKUP(J1733,'Validacion reclamo de equipaje'!L:M,2,0)</f>
        <v>189</v>
      </c>
      <c r="L1733" s="55" t="str">
        <f>VLOOKUP(I1733,'Validacion reclamo de equipaje'!H:I,2,0)</f>
        <v>Internacional</v>
      </c>
      <c r="M1733" s="55" t="s">
        <v>523</v>
      </c>
    </row>
    <row r="1734" spans="1:13" x14ac:dyDescent="0.25">
      <c r="A1734">
        <v>781</v>
      </c>
      <c r="B1734" s="47" t="str">
        <f>VLOOKUP(Tabla6[[#This Row],['# Vuelo]],'Validacion reclamo de equipaje'!P:Q,2,0)</f>
        <v>MEXICO AEREO</v>
      </c>
      <c r="C1734" s="48">
        <v>0.23194444444444443</v>
      </c>
      <c r="D1734" s="48">
        <v>0.23958333333333334</v>
      </c>
      <c r="E1734" s="49">
        <f>'Reclamo de equipaje rediseñado'!$D1734-'Reclamo de equipaje rediseñado'!$C1734</f>
        <v>7.6388888888889173E-3</v>
      </c>
      <c r="F1734" s="48">
        <v>0.27013888888888887</v>
      </c>
      <c r="G1734" s="49">
        <f t="shared" si="27"/>
        <v>3.055555555555553E-2</v>
      </c>
      <c r="H1734" s="50">
        <v>41749</v>
      </c>
      <c r="I1734" s="51" t="s">
        <v>556</v>
      </c>
      <c r="J1734" s="51" t="s">
        <v>554</v>
      </c>
      <c r="K1734" s="51">
        <f>VLOOKUP(J1734,'Validacion reclamo de equipaje'!L:M,2,0)</f>
        <v>189</v>
      </c>
      <c r="L1734" s="51" t="str">
        <f>VLOOKUP(I1734,'Validacion reclamo de equipaje'!H:I,2,0)</f>
        <v>Internacional</v>
      </c>
      <c r="M1734" s="51" t="s">
        <v>523</v>
      </c>
    </row>
    <row r="1735" spans="1:13" x14ac:dyDescent="0.25">
      <c r="A1735">
        <v>781</v>
      </c>
      <c r="B1735" s="47" t="str">
        <f>VLOOKUP(Tabla6[[#This Row],['# Vuelo]],'Validacion reclamo de equipaje'!P:Q,2,0)</f>
        <v>MEXICO AEREO</v>
      </c>
      <c r="C1735" s="52">
        <v>0.25</v>
      </c>
      <c r="D1735" s="52">
        <v>0.2590277777777778</v>
      </c>
      <c r="E1735" s="53">
        <f>'Reclamo de equipaje rediseñado'!$D1735-'Reclamo de equipaje rediseñado'!$C1735</f>
        <v>9.0277777777778012E-3</v>
      </c>
      <c r="F1735" s="52">
        <v>0.28125</v>
      </c>
      <c r="G1735" s="53">
        <f t="shared" si="27"/>
        <v>2.2222222222222199E-2</v>
      </c>
      <c r="H1735" s="54">
        <v>41751</v>
      </c>
      <c r="I1735" s="55" t="s">
        <v>556</v>
      </c>
      <c r="J1735" s="55" t="s">
        <v>554</v>
      </c>
      <c r="K1735" s="55">
        <f>VLOOKUP(J1735,'Validacion reclamo de equipaje'!L:M,2,0)</f>
        <v>189</v>
      </c>
      <c r="L1735" s="55" t="str">
        <f>VLOOKUP(I1735,'Validacion reclamo de equipaje'!H:I,2,0)</f>
        <v>Internacional</v>
      </c>
      <c r="M1735" s="55" t="s">
        <v>523</v>
      </c>
    </row>
    <row r="1736" spans="1:13" x14ac:dyDescent="0.25">
      <c r="A1736">
        <v>781</v>
      </c>
      <c r="B1736" s="47" t="str">
        <f>VLOOKUP(Tabla6[[#This Row],['# Vuelo]],'Validacion reclamo de equipaje'!P:Q,2,0)</f>
        <v>MEXICO AEREO</v>
      </c>
      <c r="C1736" s="48">
        <v>0.24930555555555556</v>
      </c>
      <c r="D1736" s="48">
        <v>0.25694444444444448</v>
      </c>
      <c r="E1736" s="49">
        <f>'Reclamo de equipaje rediseñado'!$D1736-'Reclamo de equipaje rediseñado'!$C1736</f>
        <v>7.6388888888889173E-3</v>
      </c>
      <c r="F1736" s="48">
        <v>0.26250000000000001</v>
      </c>
      <c r="G1736" s="49">
        <f t="shared" si="27"/>
        <v>5.5555555555555358E-3</v>
      </c>
      <c r="H1736" s="50">
        <v>41754</v>
      </c>
      <c r="I1736" s="51" t="s">
        <v>556</v>
      </c>
      <c r="J1736" s="51" t="s">
        <v>554</v>
      </c>
      <c r="K1736" s="51">
        <f>VLOOKUP(J1736,'Validacion reclamo de equipaje'!L:M,2,0)</f>
        <v>189</v>
      </c>
      <c r="L1736" s="51" t="str">
        <f>VLOOKUP(I1736,'Validacion reclamo de equipaje'!H:I,2,0)</f>
        <v>Internacional</v>
      </c>
      <c r="M1736" s="51" t="s">
        <v>523</v>
      </c>
    </row>
    <row r="1737" spans="1:13" x14ac:dyDescent="0.25">
      <c r="A1737">
        <v>781</v>
      </c>
      <c r="B1737" s="47" t="str">
        <f>VLOOKUP(Tabla6[[#This Row],['# Vuelo]],'Validacion reclamo de equipaje'!P:Q,2,0)</f>
        <v>MEXICO AEREO</v>
      </c>
      <c r="C1737" s="52">
        <v>0.24444444444444446</v>
      </c>
      <c r="D1737" s="52">
        <v>0.25694444444444448</v>
      </c>
      <c r="E1737" s="53">
        <f>'Reclamo de equipaje rediseñado'!$D1737-'Reclamo de equipaje rediseñado'!$C1737</f>
        <v>1.2500000000000011E-2</v>
      </c>
      <c r="F1737" s="52">
        <v>0.29375000000000001</v>
      </c>
      <c r="G1737" s="53">
        <f t="shared" si="27"/>
        <v>3.6805555555555536E-2</v>
      </c>
      <c r="H1737" s="54">
        <v>41756</v>
      </c>
      <c r="I1737" s="55" t="s">
        <v>556</v>
      </c>
      <c r="J1737" s="55" t="s">
        <v>554</v>
      </c>
      <c r="K1737" s="55">
        <f>VLOOKUP(J1737,'Validacion reclamo de equipaje'!L:M,2,0)</f>
        <v>189</v>
      </c>
      <c r="L1737" s="55" t="str">
        <f>VLOOKUP(I1737,'Validacion reclamo de equipaje'!H:I,2,0)</f>
        <v>Internacional</v>
      </c>
      <c r="M1737" s="55" t="s">
        <v>523</v>
      </c>
    </row>
    <row r="1738" spans="1:13" x14ac:dyDescent="0.25">
      <c r="A1738">
        <v>781</v>
      </c>
      <c r="B1738" s="47" t="str">
        <f>VLOOKUP(Tabla6[[#This Row],['# Vuelo]],'Validacion reclamo de equipaje'!P:Q,2,0)</f>
        <v>MEXICO AEREO</v>
      </c>
      <c r="C1738" s="48">
        <v>0.24097222222222223</v>
      </c>
      <c r="D1738" s="48">
        <v>0.24791666666666667</v>
      </c>
      <c r="E1738" s="49">
        <f>'Reclamo de equipaje rediseñado'!$D1738-'Reclamo de equipaje rediseñado'!$C1738</f>
        <v>6.9444444444444475E-3</v>
      </c>
      <c r="F1738" s="48">
        <v>0.28333333333333333</v>
      </c>
      <c r="G1738" s="49">
        <f t="shared" si="27"/>
        <v>3.5416666666666652E-2</v>
      </c>
      <c r="H1738" s="50">
        <v>41758</v>
      </c>
      <c r="I1738" s="51" t="s">
        <v>556</v>
      </c>
      <c r="J1738" s="51" t="s">
        <v>554</v>
      </c>
      <c r="K1738" s="51">
        <f>VLOOKUP(J1738,'Validacion reclamo de equipaje'!L:M,2,0)</f>
        <v>189</v>
      </c>
      <c r="L1738" s="51" t="str">
        <f>VLOOKUP(I1738,'Validacion reclamo de equipaje'!H:I,2,0)</f>
        <v>Internacional</v>
      </c>
      <c r="M1738" s="51" t="s">
        <v>523</v>
      </c>
    </row>
    <row r="1739" spans="1:13" x14ac:dyDescent="0.25">
      <c r="A1739">
        <v>779</v>
      </c>
      <c r="B1739" s="47" t="str">
        <f>VLOOKUP(Tabla6[[#This Row],['# Vuelo]],'Validacion reclamo de equipaje'!P:Q,2,0)</f>
        <v>MEXICO AEREO</v>
      </c>
      <c r="C1739" s="52">
        <v>0.92361111111111116</v>
      </c>
      <c r="D1739" s="52">
        <v>0.92986111111111114</v>
      </c>
      <c r="E1739" s="53">
        <f>'Reclamo de equipaje rediseñado'!$D1739-'Reclamo de equipaje rediseñado'!$C1739</f>
        <v>6.2499999999999778E-3</v>
      </c>
      <c r="F1739" s="52">
        <v>0.93472222222222223</v>
      </c>
      <c r="G1739" s="53">
        <f t="shared" si="27"/>
        <v>4.8611111111110938E-3</v>
      </c>
      <c r="H1739" s="54">
        <v>41730</v>
      </c>
      <c r="I1739" s="55" t="s">
        <v>550</v>
      </c>
      <c r="J1739" s="55" t="s">
        <v>554</v>
      </c>
      <c r="K1739" s="55">
        <f>VLOOKUP(J1739,'Validacion reclamo de equipaje'!L:M,2,0)</f>
        <v>189</v>
      </c>
      <c r="L1739" s="55" t="str">
        <f>VLOOKUP(I1739,'Validacion reclamo de equipaje'!H:I,2,0)</f>
        <v>Nacional</v>
      </c>
      <c r="M1739" s="55" t="s">
        <v>523</v>
      </c>
    </row>
    <row r="1740" spans="1:13" x14ac:dyDescent="0.25">
      <c r="A1740">
        <v>779</v>
      </c>
      <c r="B1740" s="47" t="str">
        <f>VLOOKUP(Tabla6[[#This Row],['# Vuelo]],'Validacion reclamo de equipaje'!P:Q,2,0)</f>
        <v>MEXICO AEREO</v>
      </c>
      <c r="C1740" s="48">
        <v>0.9159722222222223</v>
      </c>
      <c r="D1740" s="48">
        <v>0.92569444444444438</v>
      </c>
      <c r="E1740" s="49">
        <f>'Reclamo de equipaje rediseñado'!$D1740-'Reclamo de equipaje rediseñado'!$C1740</f>
        <v>9.7222222222220767E-3</v>
      </c>
      <c r="F1740" s="48">
        <v>0.92986111111111114</v>
      </c>
      <c r="G1740" s="49">
        <f t="shared" si="27"/>
        <v>4.1666666666667629E-3</v>
      </c>
      <c r="H1740" s="50">
        <v>41731</v>
      </c>
      <c r="I1740" s="51" t="s">
        <v>550</v>
      </c>
      <c r="J1740" s="51" t="s">
        <v>554</v>
      </c>
      <c r="K1740" s="51">
        <f>VLOOKUP(J1740,'Validacion reclamo de equipaje'!L:M,2,0)</f>
        <v>189</v>
      </c>
      <c r="L1740" s="51" t="str">
        <f>VLOOKUP(I1740,'Validacion reclamo de equipaje'!H:I,2,0)</f>
        <v>Nacional</v>
      </c>
      <c r="M1740" s="51" t="s">
        <v>523</v>
      </c>
    </row>
    <row r="1741" spans="1:13" x14ac:dyDescent="0.25">
      <c r="A1741">
        <v>779</v>
      </c>
      <c r="B1741" s="47" t="str">
        <f>VLOOKUP(Tabla6[[#This Row],['# Vuelo]],'Validacion reclamo de equipaje'!P:Q,2,0)</f>
        <v>MEXICO AEREO</v>
      </c>
      <c r="C1741" s="52">
        <v>0.91180555555555554</v>
      </c>
      <c r="D1741" s="52">
        <v>0.91527777777777775</v>
      </c>
      <c r="E1741" s="53">
        <f>'Reclamo de equipaje rediseñado'!$D1741-'Reclamo de equipaje rediseñado'!$C1741</f>
        <v>3.4722222222222099E-3</v>
      </c>
      <c r="F1741" s="52">
        <v>0.92152777777777783</v>
      </c>
      <c r="G1741" s="53">
        <f t="shared" si="27"/>
        <v>6.2500000000000888E-3</v>
      </c>
      <c r="H1741" s="54">
        <v>41732</v>
      </c>
      <c r="I1741" s="55" t="s">
        <v>550</v>
      </c>
      <c r="J1741" s="55" t="s">
        <v>554</v>
      </c>
      <c r="K1741" s="55">
        <f>VLOOKUP(J1741,'Validacion reclamo de equipaje'!L:M,2,0)</f>
        <v>189</v>
      </c>
      <c r="L1741" s="55" t="str">
        <f>VLOOKUP(I1741,'Validacion reclamo de equipaje'!H:I,2,0)</f>
        <v>Nacional</v>
      </c>
      <c r="M1741" s="55" t="s">
        <v>523</v>
      </c>
    </row>
    <row r="1742" spans="1:13" x14ac:dyDescent="0.25">
      <c r="A1742">
        <v>779</v>
      </c>
      <c r="B1742" s="47" t="str">
        <f>VLOOKUP(Tabla6[[#This Row],['# Vuelo]],'Validacion reclamo de equipaje'!P:Q,2,0)</f>
        <v>MEXICO AEREO</v>
      </c>
      <c r="C1742" s="48">
        <v>0.91805555555555562</v>
      </c>
      <c r="D1742" s="48">
        <v>0.92499999999999993</v>
      </c>
      <c r="E1742" s="49">
        <f>'Reclamo de equipaje rediseñado'!$D1742-'Reclamo de equipaje rediseñado'!$C1742</f>
        <v>6.9444444444443088E-3</v>
      </c>
      <c r="F1742" s="48">
        <v>0.9291666666666667</v>
      </c>
      <c r="G1742" s="49">
        <f t="shared" si="27"/>
        <v>4.1666666666667629E-3</v>
      </c>
      <c r="H1742" s="50">
        <v>41734</v>
      </c>
      <c r="I1742" s="51" t="s">
        <v>550</v>
      </c>
      <c r="J1742" s="51" t="s">
        <v>554</v>
      </c>
      <c r="K1742" s="51">
        <f>VLOOKUP(J1742,'Validacion reclamo de equipaje'!L:M,2,0)</f>
        <v>189</v>
      </c>
      <c r="L1742" s="51" t="str">
        <f>VLOOKUP(I1742,'Validacion reclamo de equipaje'!H:I,2,0)</f>
        <v>Nacional</v>
      </c>
      <c r="M1742" s="51" t="s">
        <v>523</v>
      </c>
    </row>
    <row r="1743" spans="1:13" x14ac:dyDescent="0.25">
      <c r="A1743">
        <v>779</v>
      </c>
      <c r="B1743" s="47" t="str">
        <f>VLOOKUP(Tabla6[[#This Row],['# Vuelo]],'Validacion reclamo de equipaje'!P:Q,2,0)</f>
        <v>MEXICO AEREO</v>
      </c>
      <c r="C1743" s="52">
        <v>0.9145833333333333</v>
      </c>
      <c r="D1743" s="52">
        <v>0.92361111111111116</v>
      </c>
      <c r="E1743" s="53">
        <f>'Reclamo de equipaje rediseñado'!$D1743-'Reclamo de equipaje rediseñado'!$C1743</f>
        <v>9.0277777777778567E-3</v>
      </c>
      <c r="F1743" s="52">
        <v>0.92708333333333337</v>
      </c>
      <c r="G1743" s="53">
        <f t="shared" si="27"/>
        <v>3.4722222222222099E-3</v>
      </c>
      <c r="H1743" s="54">
        <v>41734</v>
      </c>
      <c r="I1743" s="55" t="s">
        <v>550</v>
      </c>
      <c r="J1743" s="55" t="s">
        <v>554</v>
      </c>
      <c r="K1743" s="55">
        <f>VLOOKUP(J1743,'Validacion reclamo de equipaje'!L:M,2,0)</f>
        <v>189</v>
      </c>
      <c r="L1743" s="55" t="str">
        <f>VLOOKUP(I1743,'Validacion reclamo de equipaje'!H:I,2,0)</f>
        <v>Nacional</v>
      </c>
      <c r="M1743" s="55" t="s">
        <v>523</v>
      </c>
    </row>
    <row r="1744" spans="1:13" x14ac:dyDescent="0.25">
      <c r="A1744">
        <v>779</v>
      </c>
      <c r="B1744" s="47" t="str">
        <f>VLOOKUP(Tabla6[[#This Row],['# Vuelo]],'Validacion reclamo de equipaje'!P:Q,2,0)</f>
        <v>MEXICO AEREO</v>
      </c>
      <c r="C1744" s="48">
        <v>0.4236111111111111</v>
      </c>
      <c r="D1744" s="48">
        <v>0.42430555555555555</v>
      </c>
      <c r="E1744" s="49">
        <f>'Reclamo de equipaje rediseñado'!$D1744-'Reclamo de equipaje rediseñado'!$C1744</f>
        <v>6.9444444444444198E-4</v>
      </c>
      <c r="F1744" s="48">
        <v>0.42569444444444443</v>
      </c>
      <c r="G1744" s="49">
        <f t="shared" si="27"/>
        <v>1.388888888888884E-3</v>
      </c>
      <c r="H1744" s="50">
        <v>41735</v>
      </c>
      <c r="I1744" s="51" t="s">
        <v>550</v>
      </c>
      <c r="J1744" s="51" t="s">
        <v>554</v>
      </c>
      <c r="K1744" s="51">
        <f>VLOOKUP(J1744,'Validacion reclamo de equipaje'!L:M,2,0)</f>
        <v>189</v>
      </c>
      <c r="L1744" s="51" t="str">
        <f>VLOOKUP(I1744,'Validacion reclamo de equipaje'!H:I,2,0)</f>
        <v>Nacional</v>
      </c>
      <c r="M1744" s="51" t="s">
        <v>523</v>
      </c>
    </row>
    <row r="1745" spans="1:13" x14ac:dyDescent="0.25">
      <c r="A1745">
        <v>779</v>
      </c>
      <c r="B1745" s="47" t="str">
        <f>VLOOKUP(Tabla6[[#This Row],['# Vuelo]],'Validacion reclamo de equipaje'!P:Q,2,0)</f>
        <v>MEXICO AEREO</v>
      </c>
      <c r="C1745" s="52">
        <v>0.92361111111111116</v>
      </c>
      <c r="D1745" s="52">
        <v>0.92986111111111114</v>
      </c>
      <c r="E1745" s="53">
        <f>'Reclamo de equipaje rediseñado'!$D1745-'Reclamo de equipaje rediseñado'!$C1745</f>
        <v>6.2499999999999778E-3</v>
      </c>
      <c r="F1745" s="52">
        <v>0.93472222222222223</v>
      </c>
      <c r="G1745" s="53">
        <f t="shared" si="27"/>
        <v>4.8611111111110938E-3</v>
      </c>
      <c r="H1745" s="54">
        <v>41742</v>
      </c>
      <c r="I1745" s="55" t="s">
        <v>550</v>
      </c>
      <c r="J1745" s="55" t="s">
        <v>554</v>
      </c>
      <c r="K1745" s="55">
        <f>VLOOKUP(J1745,'Validacion reclamo de equipaje'!L:M,2,0)</f>
        <v>189</v>
      </c>
      <c r="L1745" s="55" t="str">
        <f>VLOOKUP(I1745,'Validacion reclamo de equipaje'!H:I,2,0)</f>
        <v>Nacional</v>
      </c>
      <c r="M1745" s="55" t="s">
        <v>523</v>
      </c>
    </row>
    <row r="1746" spans="1:13" x14ac:dyDescent="0.25">
      <c r="A1746">
        <v>779</v>
      </c>
      <c r="B1746" s="47" t="str">
        <f>VLOOKUP(Tabla6[[#This Row],['# Vuelo]],'Validacion reclamo de equipaje'!P:Q,2,0)</f>
        <v>MEXICO AEREO</v>
      </c>
      <c r="C1746" s="48">
        <v>1</v>
      </c>
      <c r="D1746" s="48">
        <v>1.0159722222222223</v>
      </c>
      <c r="E1746" s="49">
        <f>'Reclamo de equipaje rediseñado'!$D1746-'Reclamo de equipaje rediseñado'!$C1746</f>
        <v>1.5972222222222276E-2</v>
      </c>
      <c r="F1746" s="48">
        <v>1.0180555555555555</v>
      </c>
      <c r="G1746" s="49">
        <f t="shared" si="27"/>
        <v>2.0833333333332149E-3</v>
      </c>
      <c r="H1746" s="50">
        <v>41734</v>
      </c>
      <c r="I1746" s="51" t="s">
        <v>550</v>
      </c>
      <c r="J1746" s="51" t="s">
        <v>554</v>
      </c>
      <c r="K1746" s="51">
        <f>VLOOKUP(J1746,'Validacion reclamo de equipaje'!L:M,2,0)</f>
        <v>189</v>
      </c>
      <c r="L1746" s="51" t="str">
        <f>VLOOKUP(I1746,'Validacion reclamo de equipaje'!H:I,2,0)</f>
        <v>Nacional</v>
      </c>
      <c r="M1746" s="51" t="s">
        <v>523</v>
      </c>
    </row>
    <row r="1747" spans="1:13" x14ac:dyDescent="0.25">
      <c r="A1747">
        <v>775</v>
      </c>
      <c r="B1747" s="47" t="str">
        <f>VLOOKUP(Tabla6[[#This Row],['# Vuelo]],'Validacion reclamo de equipaje'!P:Q,2,0)</f>
        <v>MEXICO AEREO</v>
      </c>
      <c r="C1747" s="52">
        <v>0.79583333333333339</v>
      </c>
      <c r="D1747" s="52">
        <v>0.80694444444444446</v>
      </c>
      <c r="E1747" s="53">
        <f>'Reclamo de equipaje rediseñado'!$D1747-'Reclamo de equipaje rediseñado'!$C1747</f>
        <v>1.1111111111111072E-2</v>
      </c>
      <c r="F1747" s="52">
        <v>0.8125</v>
      </c>
      <c r="G1747" s="53">
        <f t="shared" si="27"/>
        <v>5.5555555555555358E-3</v>
      </c>
      <c r="H1747" s="54">
        <v>41759</v>
      </c>
      <c r="I1747" s="55" t="s">
        <v>549</v>
      </c>
      <c r="J1747" s="55" t="s">
        <v>554</v>
      </c>
      <c r="K1747" s="55">
        <f>VLOOKUP(J1747,'Validacion reclamo de equipaje'!L:M,2,0)</f>
        <v>189</v>
      </c>
      <c r="L1747" s="55" t="str">
        <f>VLOOKUP(I1747,'Validacion reclamo de equipaje'!H:I,2,0)</f>
        <v>Nacional</v>
      </c>
      <c r="M1747" s="55" t="s">
        <v>523</v>
      </c>
    </row>
    <row r="1748" spans="1:13" x14ac:dyDescent="0.25">
      <c r="A1748">
        <v>775</v>
      </c>
      <c r="B1748" s="47" t="str">
        <f>VLOOKUP(Tabla6[[#This Row],['# Vuelo]],'Validacion reclamo de equipaje'!P:Q,2,0)</f>
        <v>MEXICO AEREO</v>
      </c>
      <c r="C1748" s="48">
        <v>0.21875</v>
      </c>
      <c r="D1748" s="48">
        <v>0.22222222222222221</v>
      </c>
      <c r="E1748" s="49">
        <f>'Reclamo de equipaje rediseñado'!$D1748-'Reclamo de equipaje rediseñado'!$C1748</f>
        <v>3.4722222222222099E-3</v>
      </c>
      <c r="F1748" s="48">
        <v>0.22777777777777777</v>
      </c>
      <c r="G1748" s="49">
        <f t="shared" si="27"/>
        <v>5.5555555555555636E-3</v>
      </c>
      <c r="H1748" s="50">
        <v>41730</v>
      </c>
      <c r="I1748" s="51" t="s">
        <v>549</v>
      </c>
      <c r="J1748" s="51" t="s">
        <v>554</v>
      </c>
      <c r="K1748" s="51">
        <f>VLOOKUP(J1748,'Validacion reclamo de equipaje'!L:M,2,0)</f>
        <v>189</v>
      </c>
      <c r="L1748" s="51" t="str">
        <f>VLOOKUP(I1748,'Validacion reclamo de equipaje'!H:I,2,0)</f>
        <v>Nacional</v>
      </c>
      <c r="M1748" s="51" t="s">
        <v>523</v>
      </c>
    </row>
    <row r="1749" spans="1:13" x14ac:dyDescent="0.25">
      <c r="A1749">
        <v>775</v>
      </c>
      <c r="B1749" s="47" t="str">
        <f>VLOOKUP(Tabla6[[#This Row],['# Vuelo]],'Validacion reclamo de equipaje'!P:Q,2,0)</f>
        <v>MEXICO AEREO</v>
      </c>
      <c r="C1749" s="52">
        <v>0.22152777777777777</v>
      </c>
      <c r="D1749" s="52">
        <v>0.22916666666666666</v>
      </c>
      <c r="E1749" s="53">
        <f>'Reclamo de equipaje rediseñado'!$D1749-'Reclamo de equipaje rediseñado'!$C1749</f>
        <v>7.6388888888888895E-3</v>
      </c>
      <c r="F1749" s="52">
        <v>0.23819444444444446</v>
      </c>
      <c r="G1749" s="53">
        <f t="shared" si="27"/>
        <v>9.0277777777778012E-3</v>
      </c>
      <c r="H1749" s="54">
        <v>41731</v>
      </c>
      <c r="I1749" s="55" t="s">
        <v>549</v>
      </c>
      <c r="J1749" s="55" t="s">
        <v>554</v>
      </c>
      <c r="K1749" s="55">
        <f>VLOOKUP(J1749,'Validacion reclamo de equipaje'!L:M,2,0)</f>
        <v>189</v>
      </c>
      <c r="L1749" s="55" t="str">
        <f>VLOOKUP(I1749,'Validacion reclamo de equipaje'!H:I,2,0)</f>
        <v>Nacional</v>
      </c>
      <c r="M1749" s="55" t="s">
        <v>523</v>
      </c>
    </row>
    <row r="1750" spans="1:13" x14ac:dyDescent="0.25">
      <c r="A1750">
        <v>775</v>
      </c>
      <c r="B1750" s="47" t="str">
        <f>VLOOKUP(Tabla6[[#This Row],['# Vuelo]],'Validacion reclamo de equipaje'!P:Q,2,0)</f>
        <v>MEXICO AEREO</v>
      </c>
      <c r="C1750" s="48">
        <v>0.21666666666666667</v>
      </c>
      <c r="D1750" s="48">
        <v>0.22430555555555556</v>
      </c>
      <c r="E1750" s="49">
        <f>'Reclamo de equipaje rediseñado'!$D1750-'Reclamo de equipaje rediseñado'!$C1750</f>
        <v>7.6388888888888895E-3</v>
      </c>
      <c r="F1750" s="48">
        <v>0.23680555555555557</v>
      </c>
      <c r="G1750" s="49">
        <f t="shared" si="27"/>
        <v>1.2500000000000011E-2</v>
      </c>
      <c r="H1750" s="50">
        <v>41732</v>
      </c>
      <c r="I1750" s="51" t="s">
        <v>549</v>
      </c>
      <c r="J1750" s="51" t="s">
        <v>554</v>
      </c>
      <c r="K1750" s="51">
        <f>VLOOKUP(J1750,'Validacion reclamo de equipaje'!L:M,2,0)</f>
        <v>189</v>
      </c>
      <c r="L1750" s="51" t="str">
        <f>VLOOKUP(I1750,'Validacion reclamo de equipaje'!H:I,2,0)</f>
        <v>Nacional</v>
      </c>
      <c r="M1750" s="51" t="s">
        <v>523</v>
      </c>
    </row>
    <row r="1751" spans="1:13" x14ac:dyDescent="0.25">
      <c r="A1751">
        <v>775</v>
      </c>
      <c r="B1751" s="47" t="str">
        <f>VLOOKUP(Tabla6[[#This Row],['# Vuelo]],'Validacion reclamo de equipaje'!P:Q,2,0)</f>
        <v>MEXICO AEREO</v>
      </c>
      <c r="C1751" s="52">
        <v>0.21875</v>
      </c>
      <c r="D1751" s="52">
        <v>0.22222222222222221</v>
      </c>
      <c r="E1751" s="53">
        <f>'Reclamo de equipaje rediseñado'!$D1751-'Reclamo de equipaje rediseñado'!$C1751</f>
        <v>3.4722222222222099E-3</v>
      </c>
      <c r="F1751" s="52">
        <v>0.22777777777777777</v>
      </c>
      <c r="G1751" s="53">
        <f t="shared" si="27"/>
        <v>5.5555555555555636E-3</v>
      </c>
      <c r="H1751" s="54">
        <v>41742</v>
      </c>
      <c r="I1751" s="55" t="s">
        <v>549</v>
      </c>
      <c r="J1751" s="55" t="s">
        <v>554</v>
      </c>
      <c r="K1751" s="55">
        <f>VLOOKUP(J1751,'Validacion reclamo de equipaje'!L:M,2,0)</f>
        <v>189</v>
      </c>
      <c r="L1751" s="55" t="str">
        <f>VLOOKUP(I1751,'Validacion reclamo de equipaje'!H:I,2,0)</f>
        <v>Nacional</v>
      </c>
      <c r="M1751" s="55" t="s">
        <v>523</v>
      </c>
    </row>
    <row r="1752" spans="1:13" x14ac:dyDescent="0.25">
      <c r="A1752">
        <v>773</v>
      </c>
      <c r="B1752" s="47" t="str">
        <f>VLOOKUP(Tabla6[[#This Row],['# Vuelo]],'Validacion reclamo de equipaje'!P:Q,2,0)</f>
        <v>MEXICO AEREO</v>
      </c>
      <c r="C1752" s="48">
        <v>0.87291666666666667</v>
      </c>
      <c r="D1752" s="48">
        <v>0.875</v>
      </c>
      <c r="E1752" s="49">
        <f>'Reclamo de equipaje rediseñado'!$D1752-'Reclamo de equipaje rediseñado'!$C1752</f>
        <v>2.0833333333333259E-3</v>
      </c>
      <c r="F1752" s="48">
        <v>0.87916666666666676</v>
      </c>
      <c r="G1752" s="49">
        <f t="shared" si="27"/>
        <v>4.1666666666667629E-3</v>
      </c>
      <c r="H1752" s="50">
        <v>41731</v>
      </c>
      <c r="I1752" s="51" t="s">
        <v>549</v>
      </c>
      <c r="J1752" s="51" t="s">
        <v>554</v>
      </c>
      <c r="K1752" s="51">
        <f>VLOOKUP(J1752,'Validacion reclamo de equipaje'!L:M,2,0)</f>
        <v>189</v>
      </c>
      <c r="L1752" s="51" t="str">
        <f>VLOOKUP(I1752,'Validacion reclamo de equipaje'!H:I,2,0)</f>
        <v>Nacional</v>
      </c>
      <c r="M1752" s="51" t="s">
        <v>523</v>
      </c>
    </row>
    <row r="1753" spans="1:13" x14ac:dyDescent="0.25">
      <c r="A1753">
        <v>773</v>
      </c>
      <c r="B1753" s="47" t="str">
        <f>VLOOKUP(Tabla6[[#This Row],['# Vuelo]],'Validacion reclamo de equipaje'!P:Q,2,0)</f>
        <v>MEXICO AEREO</v>
      </c>
      <c r="C1753" s="52">
        <v>0.87152777777777779</v>
      </c>
      <c r="D1753" s="52">
        <v>0.875</v>
      </c>
      <c r="E1753" s="53">
        <f>'Reclamo de equipaje rediseñado'!$D1753-'Reclamo de equipaje rediseñado'!$C1753</f>
        <v>3.4722222222222099E-3</v>
      </c>
      <c r="F1753" s="52">
        <v>0.88194444444444453</v>
      </c>
      <c r="G1753" s="53">
        <f t="shared" si="27"/>
        <v>6.9444444444445308E-3</v>
      </c>
      <c r="H1753" s="54">
        <v>41732</v>
      </c>
      <c r="I1753" s="55" t="s">
        <v>549</v>
      </c>
      <c r="J1753" s="55" t="s">
        <v>554</v>
      </c>
      <c r="K1753" s="55">
        <f>VLOOKUP(J1753,'Validacion reclamo de equipaje'!L:M,2,0)</f>
        <v>189</v>
      </c>
      <c r="L1753" s="55" t="str">
        <f>VLOOKUP(I1753,'Validacion reclamo de equipaje'!H:I,2,0)</f>
        <v>Nacional</v>
      </c>
      <c r="M1753" s="55" t="s">
        <v>523</v>
      </c>
    </row>
    <row r="1754" spans="1:13" x14ac:dyDescent="0.25">
      <c r="A1754">
        <v>773</v>
      </c>
      <c r="B1754" s="47" t="str">
        <f>VLOOKUP(Tabla6[[#This Row],['# Vuelo]],'Validacion reclamo de equipaje'!P:Q,2,0)</f>
        <v>MEXICO AEREO</v>
      </c>
      <c r="C1754" s="48">
        <v>0.86597222222222225</v>
      </c>
      <c r="D1754" s="48">
        <v>0.87222222222222223</v>
      </c>
      <c r="E1754" s="49">
        <f>'Reclamo de equipaje rediseñado'!$D1754-'Reclamo de equipaje rediseñado'!$C1754</f>
        <v>6.2499999999999778E-3</v>
      </c>
      <c r="F1754" s="48">
        <v>0.88124999999999998</v>
      </c>
      <c r="G1754" s="49">
        <f t="shared" si="27"/>
        <v>9.0277777777777457E-3</v>
      </c>
      <c r="H1754" s="50">
        <v>41734</v>
      </c>
      <c r="I1754" s="51" t="s">
        <v>549</v>
      </c>
      <c r="J1754" s="51" t="s">
        <v>554</v>
      </c>
      <c r="K1754" s="51">
        <f>VLOOKUP(J1754,'Validacion reclamo de equipaje'!L:M,2,0)</f>
        <v>189</v>
      </c>
      <c r="L1754" s="51" t="str">
        <f>VLOOKUP(I1754,'Validacion reclamo de equipaje'!H:I,2,0)</f>
        <v>Nacional</v>
      </c>
      <c r="M1754" s="51" t="s">
        <v>523</v>
      </c>
    </row>
    <row r="1755" spans="1:13" x14ac:dyDescent="0.25">
      <c r="A1755">
        <v>773</v>
      </c>
      <c r="B1755" s="47" t="str">
        <f>VLOOKUP(Tabla6[[#This Row],['# Vuelo]],'Validacion reclamo de equipaje'!P:Q,2,0)</f>
        <v>MEXICO AEREO</v>
      </c>
      <c r="C1755" s="52">
        <v>0.90208333333333324</v>
      </c>
      <c r="D1755" s="52">
        <v>0.90416666666666667</v>
      </c>
      <c r="E1755" s="53">
        <f>'Reclamo de equipaje rediseñado'!$D1755-'Reclamo de equipaje rediseñado'!$C1755</f>
        <v>2.083333333333437E-3</v>
      </c>
      <c r="F1755" s="52">
        <v>0.90694444444444444</v>
      </c>
      <c r="G1755" s="53">
        <f t="shared" si="27"/>
        <v>2.7777777777777679E-3</v>
      </c>
      <c r="H1755" s="54">
        <v>41734</v>
      </c>
      <c r="I1755" s="55" t="s">
        <v>549</v>
      </c>
      <c r="J1755" s="55" t="s">
        <v>554</v>
      </c>
      <c r="K1755" s="55">
        <f>VLOOKUP(J1755,'Validacion reclamo de equipaje'!L:M,2,0)</f>
        <v>189</v>
      </c>
      <c r="L1755" s="55" t="str">
        <f>VLOOKUP(I1755,'Validacion reclamo de equipaje'!H:I,2,0)</f>
        <v>Nacional</v>
      </c>
      <c r="M1755" s="55" t="s">
        <v>523</v>
      </c>
    </row>
    <row r="1756" spans="1:13" x14ac:dyDescent="0.25">
      <c r="A1756">
        <v>773</v>
      </c>
      <c r="B1756" s="47" t="str">
        <f>VLOOKUP(Tabla6[[#This Row],['# Vuelo]],'Validacion reclamo de equipaje'!P:Q,2,0)</f>
        <v>MEXICO AEREO</v>
      </c>
      <c r="C1756" s="48">
        <v>0.37847222222222227</v>
      </c>
      <c r="D1756" s="48">
        <v>0.37916666666666665</v>
      </c>
      <c r="E1756" s="49">
        <f>'Reclamo de equipaje rediseñado'!$D1756-'Reclamo de equipaje rediseñado'!$C1756</f>
        <v>6.9444444444438647E-4</v>
      </c>
      <c r="F1756" s="48">
        <v>0.38194444444444442</v>
      </c>
      <c r="G1756" s="49">
        <f t="shared" si="27"/>
        <v>2.7777777777777679E-3</v>
      </c>
      <c r="H1756" s="50">
        <v>41735</v>
      </c>
      <c r="I1756" s="51" t="s">
        <v>549</v>
      </c>
      <c r="J1756" s="51" t="s">
        <v>554</v>
      </c>
      <c r="K1756" s="51">
        <f>VLOOKUP(J1756,'Validacion reclamo de equipaje'!L:M,2,0)</f>
        <v>189</v>
      </c>
      <c r="L1756" s="51" t="str">
        <f>VLOOKUP(I1756,'Validacion reclamo de equipaje'!H:I,2,0)</f>
        <v>Nacional</v>
      </c>
      <c r="M1756" s="51" t="s">
        <v>523</v>
      </c>
    </row>
    <row r="1757" spans="1:13" x14ac:dyDescent="0.25">
      <c r="A1757">
        <v>773</v>
      </c>
      <c r="B1757" s="47" t="str">
        <f>VLOOKUP(Tabla6[[#This Row],['# Vuelo]],'Validacion reclamo de equipaje'!P:Q,2,0)</f>
        <v>MEXICO AEREO</v>
      </c>
      <c r="C1757" s="52">
        <v>0.79027777777777775</v>
      </c>
      <c r="D1757" s="52">
        <v>0.79652777777777783</v>
      </c>
      <c r="E1757" s="53">
        <f>'Reclamo de equipaje rediseñado'!$D1757-'Reclamo de equipaje rediseñado'!$C1757</f>
        <v>6.2500000000000888E-3</v>
      </c>
      <c r="F1757" s="52">
        <v>0.79861111111111116</v>
      </c>
      <c r="G1757" s="53">
        <f t="shared" si="27"/>
        <v>2.0833333333333259E-3</v>
      </c>
      <c r="H1757" s="54">
        <v>41736</v>
      </c>
      <c r="I1757" s="55" t="s">
        <v>549</v>
      </c>
      <c r="J1757" s="55" t="s">
        <v>554</v>
      </c>
      <c r="K1757" s="55">
        <f>VLOOKUP(J1757,'Validacion reclamo de equipaje'!L:M,2,0)</f>
        <v>189</v>
      </c>
      <c r="L1757" s="55" t="str">
        <f>VLOOKUP(I1757,'Validacion reclamo de equipaje'!H:I,2,0)</f>
        <v>Nacional</v>
      </c>
      <c r="M1757" s="55" t="s">
        <v>523</v>
      </c>
    </row>
    <row r="1758" spans="1:13" x14ac:dyDescent="0.25">
      <c r="A1758">
        <v>773</v>
      </c>
      <c r="B1758" s="47" t="str">
        <f>VLOOKUP(Tabla6[[#This Row],['# Vuelo]],'Validacion reclamo de equipaje'!P:Q,2,0)</f>
        <v>MEXICO AEREO</v>
      </c>
      <c r="C1758" s="48">
        <v>0.80555555555555547</v>
      </c>
      <c r="D1758" s="48">
        <v>0.80902777777777779</v>
      </c>
      <c r="E1758" s="49">
        <f>'Reclamo de equipaje rediseñado'!$D1758-'Reclamo de equipaje rediseñado'!$C1758</f>
        <v>3.4722222222223209E-3</v>
      </c>
      <c r="F1758" s="48">
        <v>0.81944444444444453</v>
      </c>
      <c r="G1758" s="49">
        <f t="shared" si="27"/>
        <v>1.0416666666666741E-2</v>
      </c>
      <c r="H1758" s="50">
        <v>41741</v>
      </c>
      <c r="I1758" s="51" t="s">
        <v>549</v>
      </c>
      <c r="J1758" s="51" t="s">
        <v>554</v>
      </c>
      <c r="K1758" s="51">
        <f>VLOOKUP(J1758,'Validacion reclamo de equipaje'!L:M,2,0)</f>
        <v>189</v>
      </c>
      <c r="L1758" s="51" t="str">
        <f>VLOOKUP(I1758,'Validacion reclamo de equipaje'!H:I,2,0)</f>
        <v>Nacional</v>
      </c>
      <c r="M1758" s="51" t="s">
        <v>523</v>
      </c>
    </row>
    <row r="1759" spans="1:13" x14ac:dyDescent="0.25">
      <c r="A1759">
        <v>771</v>
      </c>
      <c r="B1759" s="47" t="str">
        <f>VLOOKUP(Tabla6[[#This Row],['# Vuelo]],'Validacion reclamo de equipaje'!P:Q,2,0)</f>
        <v>MEXICO AEREO</v>
      </c>
      <c r="C1759" s="52">
        <v>0.56319444444444444</v>
      </c>
      <c r="D1759" s="52">
        <v>0.57152777777777775</v>
      </c>
      <c r="E1759" s="53">
        <f>'Reclamo de equipaje rediseñado'!$D1759-'Reclamo de equipaje rediseñado'!$C1759</f>
        <v>8.3333333333333037E-3</v>
      </c>
      <c r="F1759" s="52">
        <v>0.58124999999999993</v>
      </c>
      <c r="G1759" s="53">
        <f t="shared" si="27"/>
        <v>9.7222222222221877E-3</v>
      </c>
      <c r="H1759" s="54">
        <v>41731</v>
      </c>
      <c r="I1759" s="55" t="s">
        <v>549</v>
      </c>
      <c r="J1759" s="55" t="s">
        <v>554</v>
      </c>
      <c r="K1759" s="55">
        <f>VLOOKUP(J1759,'Validacion reclamo de equipaje'!L:M,2,0)</f>
        <v>189</v>
      </c>
      <c r="L1759" s="55" t="str">
        <f>VLOOKUP(I1759,'Validacion reclamo de equipaje'!H:I,2,0)</f>
        <v>Nacional</v>
      </c>
      <c r="M1759" s="55" t="s">
        <v>523</v>
      </c>
    </row>
    <row r="1760" spans="1:13" x14ac:dyDescent="0.25">
      <c r="A1760">
        <v>771</v>
      </c>
      <c r="B1760" s="47" t="str">
        <f>VLOOKUP(Tabla6[[#This Row],['# Vuelo]],'Validacion reclamo de equipaje'!P:Q,2,0)</f>
        <v>MEXICO AEREO</v>
      </c>
      <c r="C1760" s="48">
        <v>6.25E-2</v>
      </c>
      <c r="D1760" s="48">
        <v>6.9444444444444434E-2</v>
      </c>
      <c r="E1760" s="49">
        <f>'Reclamo de equipaje rediseñado'!$D1760-'Reclamo de equipaje rediseñado'!$C1760</f>
        <v>6.9444444444444337E-3</v>
      </c>
      <c r="F1760" s="48">
        <v>7.4305555555555555E-2</v>
      </c>
      <c r="G1760" s="49">
        <f t="shared" si="27"/>
        <v>4.8611111111111216E-3</v>
      </c>
      <c r="H1760" s="50">
        <v>41732</v>
      </c>
      <c r="I1760" s="51" t="s">
        <v>549</v>
      </c>
      <c r="J1760" s="51" t="s">
        <v>554</v>
      </c>
      <c r="K1760" s="51">
        <f>VLOOKUP(J1760,'Validacion reclamo de equipaje'!L:M,2,0)</f>
        <v>189</v>
      </c>
      <c r="L1760" s="51" t="str">
        <f>VLOOKUP(I1760,'Validacion reclamo de equipaje'!H:I,2,0)</f>
        <v>Nacional</v>
      </c>
      <c r="M1760" s="51" t="s">
        <v>523</v>
      </c>
    </row>
    <row r="1761" spans="1:13" x14ac:dyDescent="0.25">
      <c r="A1761">
        <v>771</v>
      </c>
      <c r="B1761" s="47" t="str">
        <f>VLOOKUP(Tabla6[[#This Row],['# Vuelo]],'Validacion reclamo de equipaje'!P:Q,2,0)</f>
        <v>MEXICO AEREO</v>
      </c>
      <c r="C1761" s="52">
        <v>0.56527777777777777</v>
      </c>
      <c r="D1761" s="52">
        <v>0.57638888888888895</v>
      </c>
      <c r="E1761" s="53">
        <f>'Reclamo de equipaje rediseñado'!$D1761-'Reclamo de equipaje rediseñado'!$C1761</f>
        <v>1.1111111111111183E-2</v>
      </c>
      <c r="F1761" s="52">
        <v>0.5805555555555556</v>
      </c>
      <c r="G1761" s="53">
        <f t="shared" si="27"/>
        <v>4.1666666666666519E-3</v>
      </c>
      <c r="H1761" s="54">
        <v>41733</v>
      </c>
      <c r="I1761" s="55" t="s">
        <v>549</v>
      </c>
      <c r="J1761" s="55" t="s">
        <v>554</v>
      </c>
      <c r="K1761" s="55">
        <f>VLOOKUP(J1761,'Validacion reclamo de equipaje'!L:M,2,0)</f>
        <v>189</v>
      </c>
      <c r="L1761" s="55" t="str">
        <f>VLOOKUP(I1761,'Validacion reclamo de equipaje'!H:I,2,0)</f>
        <v>Nacional</v>
      </c>
      <c r="M1761" s="55" t="s">
        <v>523</v>
      </c>
    </row>
    <row r="1762" spans="1:13" x14ac:dyDescent="0.25">
      <c r="A1762">
        <v>771</v>
      </c>
      <c r="B1762" s="47" t="str">
        <f>VLOOKUP(Tabla6[[#This Row],['# Vuelo]],'Validacion reclamo de equipaje'!P:Q,2,0)</f>
        <v>MEXICO AEREO</v>
      </c>
      <c r="C1762" s="48">
        <v>0.61111111111111105</v>
      </c>
      <c r="D1762" s="48">
        <v>0.61875000000000002</v>
      </c>
      <c r="E1762" s="49">
        <f>'Reclamo de equipaje rediseñado'!$D1762-'Reclamo de equipaje rediseñado'!$C1762</f>
        <v>7.6388888888889728E-3</v>
      </c>
      <c r="F1762" s="48">
        <v>0.63194444444444442</v>
      </c>
      <c r="G1762" s="49">
        <f t="shared" si="27"/>
        <v>1.3194444444444398E-2</v>
      </c>
      <c r="H1762" s="50">
        <v>41735</v>
      </c>
      <c r="I1762" s="51" t="s">
        <v>549</v>
      </c>
      <c r="J1762" s="51" t="s">
        <v>554</v>
      </c>
      <c r="K1762" s="51">
        <f>VLOOKUP(J1762,'Validacion reclamo de equipaje'!L:M,2,0)</f>
        <v>189</v>
      </c>
      <c r="L1762" s="51" t="str">
        <f>VLOOKUP(I1762,'Validacion reclamo de equipaje'!H:I,2,0)</f>
        <v>Nacional</v>
      </c>
      <c r="M1762" s="51" t="s">
        <v>523</v>
      </c>
    </row>
    <row r="1763" spans="1:13" x14ac:dyDescent="0.25">
      <c r="A1763">
        <v>771</v>
      </c>
      <c r="B1763" s="47" t="str">
        <f>VLOOKUP(Tabla6[[#This Row],['# Vuelo]],'Validacion reclamo de equipaje'!P:Q,2,0)</f>
        <v>MEXICO AEREO</v>
      </c>
      <c r="C1763" s="52">
        <v>0.90138888888888891</v>
      </c>
      <c r="D1763" s="52">
        <v>0.90555555555555556</v>
      </c>
      <c r="E1763" s="53">
        <f>'Reclamo de equipaje rediseñado'!$D1763-'Reclamo de equipaje rediseñado'!$C1763</f>
        <v>4.1666666666666519E-3</v>
      </c>
      <c r="F1763" s="52">
        <v>0.91180555555555554</v>
      </c>
      <c r="G1763" s="53">
        <f t="shared" si="27"/>
        <v>6.2499999999999778E-3</v>
      </c>
      <c r="H1763" s="54">
        <v>41736</v>
      </c>
      <c r="I1763" s="55" t="s">
        <v>549</v>
      </c>
      <c r="J1763" s="55" t="s">
        <v>554</v>
      </c>
      <c r="K1763" s="55">
        <f>VLOOKUP(J1763,'Validacion reclamo de equipaje'!L:M,2,0)</f>
        <v>189</v>
      </c>
      <c r="L1763" s="55" t="str">
        <f>VLOOKUP(I1763,'Validacion reclamo de equipaje'!H:I,2,0)</f>
        <v>Nacional</v>
      </c>
      <c r="M1763" s="55" t="s">
        <v>523</v>
      </c>
    </row>
    <row r="1764" spans="1:13" x14ac:dyDescent="0.25">
      <c r="A1764">
        <v>771</v>
      </c>
      <c r="B1764" s="47" t="str">
        <f>VLOOKUP(Tabla6[[#This Row],['# Vuelo]],'Validacion reclamo de equipaje'!P:Q,2,0)</f>
        <v>MEXICO AEREO</v>
      </c>
      <c r="C1764" s="48">
        <v>0.87847222222222221</v>
      </c>
      <c r="D1764" s="48">
        <v>0.88680555555555562</v>
      </c>
      <c r="E1764" s="49">
        <f>'Reclamo de equipaje rediseñado'!$D1764-'Reclamo de equipaje rediseñado'!$C1764</f>
        <v>8.3333333333334147E-3</v>
      </c>
      <c r="F1764" s="48">
        <v>0.89236111111111116</v>
      </c>
      <c r="G1764" s="49">
        <f t="shared" si="27"/>
        <v>5.5555555555555358E-3</v>
      </c>
      <c r="H1764" s="50">
        <v>41739</v>
      </c>
      <c r="I1764" s="51" t="s">
        <v>549</v>
      </c>
      <c r="J1764" s="51" t="s">
        <v>554</v>
      </c>
      <c r="K1764" s="51">
        <f>VLOOKUP(J1764,'Validacion reclamo de equipaje'!L:M,2,0)</f>
        <v>189</v>
      </c>
      <c r="L1764" s="51" t="str">
        <f>VLOOKUP(I1764,'Validacion reclamo de equipaje'!H:I,2,0)</f>
        <v>Nacional</v>
      </c>
      <c r="M1764" s="51" t="s">
        <v>523</v>
      </c>
    </row>
    <row r="1765" spans="1:13" x14ac:dyDescent="0.25">
      <c r="A1765">
        <v>771</v>
      </c>
      <c r="B1765" s="47" t="str">
        <f>VLOOKUP(Tabla6[[#This Row],['# Vuelo]],'Validacion reclamo de equipaje'!P:Q,2,0)</f>
        <v>MEXICO AEREO</v>
      </c>
      <c r="C1765" s="52">
        <v>0.89097222222222217</v>
      </c>
      <c r="D1765" s="52">
        <v>0.90069444444444446</v>
      </c>
      <c r="E1765" s="53">
        <f>'Reclamo de equipaje rediseñado'!$D1765-'Reclamo de equipaje rediseñado'!$C1765</f>
        <v>9.7222222222222987E-3</v>
      </c>
      <c r="F1765" s="52">
        <v>0.90763888888888899</v>
      </c>
      <c r="G1765" s="53">
        <f t="shared" si="27"/>
        <v>6.9444444444445308E-3</v>
      </c>
      <c r="H1765" s="54">
        <v>41740</v>
      </c>
      <c r="I1765" s="55" t="s">
        <v>549</v>
      </c>
      <c r="J1765" s="55" t="s">
        <v>554</v>
      </c>
      <c r="K1765" s="55">
        <f>VLOOKUP(J1765,'Validacion reclamo de equipaje'!L:M,2,0)</f>
        <v>189</v>
      </c>
      <c r="L1765" s="55" t="str">
        <f>VLOOKUP(I1765,'Validacion reclamo de equipaje'!H:I,2,0)</f>
        <v>Nacional</v>
      </c>
      <c r="M1765" s="55" t="s">
        <v>523</v>
      </c>
    </row>
    <row r="1766" spans="1:13" x14ac:dyDescent="0.25">
      <c r="A1766">
        <v>771</v>
      </c>
      <c r="B1766" s="47" t="str">
        <f>VLOOKUP(Tabla6[[#This Row],['# Vuelo]],'Validacion reclamo de equipaje'!P:Q,2,0)</f>
        <v>MEXICO AEREO</v>
      </c>
      <c r="C1766" s="48">
        <v>0.91388888888888886</v>
      </c>
      <c r="D1766" s="48">
        <v>0.92222222222222217</v>
      </c>
      <c r="E1766" s="49">
        <f>'Reclamo de equipaje rediseñado'!$D1766-'Reclamo de equipaje rediseñado'!$C1766</f>
        <v>8.3333333333333037E-3</v>
      </c>
      <c r="F1766" s="48">
        <v>0.93055555555555547</v>
      </c>
      <c r="G1766" s="49">
        <f t="shared" si="27"/>
        <v>8.3333333333333037E-3</v>
      </c>
      <c r="H1766" s="50">
        <v>41741</v>
      </c>
      <c r="I1766" s="51" t="s">
        <v>549</v>
      </c>
      <c r="J1766" s="51" t="s">
        <v>554</v>
      </c>
      <c r="K1766" s="51">
        <f>VLOOKUP(J1766,'Validacion reclamo de equipaje'!L:M,2,0)</f>
        <v>189</v>
      </c>
      <c r="L1766" s="51" t="str">
        <f>VLOOKUP(I1766,'Validacion reclamo de equipaje'!H:I,2,0)</f>
        <v>Nacional</v>
      </c>
      <c r="M1766" s="51" t="s">
        <v>523</v>
      </c>
    </row>
    <row r="1767" spans="1:13" x14ac:dyDescent="0.25">
      <c r="A1767">
        <v>771</v>
      </c>
      <c r="B1767" s="47" t="str">
        <f>VLOOKUP(Tabla6[[#This Row],['# Vuelo]],'Validacion reclamo de equipaje'!P:Q,2,0)</f>
        <v>MEXICO AEREO</v>
      </c>
      <c r="C1767" s="52">
        <v>0.94791666666666663</v>
      </c>
      <c r="D1767" s="52">
        <v>0.95347222222222217</v>
      </c>
      <c r="E1767" s="53">
        <f>'Reclamo de equipaje rediseñado'!$D1767-'Reclamo de equipaje rediseñado'!$C1767</f>
        <v>5.5555555555555358E-3</v>
      </c>
      <c r="F1767" s="52">
        <v>0.95833333333333337</v>
      </c>
      <c r="G1767" s="53">
        <f t="shared" si="27"/>
        <v>4.8611111111112049E-3</v>
      </c>
      <c r="H1767" s="54">
        <v>41743</v>
      </c>
      <c r="I1767" s="55" t="s">
        <v>549</v>
      </c>
      <c r="J1767" s="55" t="s">
        <v>554</v>
      </c>
      <c r="K1767" s="55">
        <f>VLOOKUP(J1767,'Validacion reclamo de equipaje'!L:M,2,0)</f>
        <v>189</v>
      </c>
      <c r="L1767" s="55" t="str">
        <f>VLOOKUP(I1767,'Validacion reclamo de equipaje'!H:I,2,0)</f>
        <v>Nacional</v>
      </c>
      <c r="M1767" s="55" t="s">
        <v>523</v>
      </c>
    </row>
    <row r="1768" spans="1:13" x14ac:dyDescent="0.25">
      <c r="A1768">
        <v>771</v>
      </c>
      <c r="B1768" s="47" t="str">
        <f>VLOOKUP(Tabla6[[#This Row],['# Vuelo]],'Validacion reclamo de equipaje'!P:Q,2,0)</f>
        <v>MEXICO AEREO</v>
      </c>
      <c r="C1768" s="48">
        <v>0.89444444444444438</v>
      </c>
      <c r="D1768" s="48">
        <v>0.90208333333333324</v>
      </c>
      <c r="E1768" s="49">
        <f>'Reclamo de equipaje rediseñado'!$D1768-'Reclamo de equipaje rediseñado'!$C1768</f>
        <v>7.6388888888888618E-3</v>
      </c>
      <c r="F1768" s="48">
        <v>0.90833333333333333</v>
      </c>
      <c r="G1768" s="49">
        <f t="shared" si="27"/>
        <v>6.2500000000000888E-3</v>
      </c>
      <c r="H1768" s="50">
        <v>41745</v>
      </c>
      <c r="I1768" s="51" t="s">
        <v>549</v>
      </c>
      <c r="J1768" s="51" t="s">
        <v>554</v>
      </c>
      <c r="K1768" s="51">
        <f>VLOOKUP(J1768,'Validacion reclamo de equipaje'!L:M,2,0)</f>
        <v>189</v>
      </c>
      <c r="L1768" s="51" t="str">
        <f>VLOOKUP(I1768,'Validacion reclamo de equipaje'!H:I,2,0)</f>
        <v>Nacional</v>
      </c>
      <c r="M1768" s="51" t="s">
        <v>523</v>
      </c>
    </row>
    <row r="1769" spans="1:13" x14ac:dyDescent="0.25">
      <c r="A1769">
        <v>771</v>
      </c>
      <c r="B1769" s="47" t="str">
        <f>VLOOKUP(Tabla6[[#This Row],['# Vuelo]],'Validacion reclamo de equipaje'!P:Q,2,0)</f>
        <v>MEXICO AEREO</v>
      </c>
      <c r="C1769" s="52">
        <v>0.90138888888888891</v>
      </c>
      <c r="D1769" s="52">
        <v>0.91111111111111109</v>
      </c>
      <c r="E1769" s="53">
        <f>'Reclamo de equipaje rediseñado'!$D1769-'Reclamo de equipaje rediseñado'!$C1769</f>
        <v>9.7222222222221877E-3</v>
      </c>
      <c r="F1769" s="52">
        <v>0.91666666666666663</v>
      </c>
      <c r="G1769" s="53">
        <f t="shared" si="27"/>
        <v>5.5555555555555358E-3</v>
      </c>
      <c r="H1769" s="54">
        <v>41744</v>
      </c>
      <c r="I1769" s="55" t="s">
        <v>549</v>
      </c>
      <c r="J1769" s="55" t="s">
        <v>554</v>
      </c>
      <c r="K1769" s="55">
        <f>VLOOKUP(J1769,'Validacion reclamo de equipaje'!L:M,2,0)</f>
        <v>189</v>
      </c>
      <c r="L1769" s="55" t="str">
        <f>VLOOKUP(I1769,'Validacion reclamo de equipaje'!H:I,2,0)</f>
        <v>Nacional</v>
      </c>
      <c r="M1769" s="55" t="s">
        <v>523</v>
      </c>
    </row>
    <row r="1770" spans="1:13" x14ac:dyDescent="0.25">
      <c r="A1770">
        <v>771</v>
      </c>
      <c r="B1770" s="47" t="str">
        <f>VLOOKUP(Tabla6[[#This Row],['# Vuelo]],'Validacion reclamo de equipaje'!P:Q,2,0)</f>
        <v>MEXICO AEREO</v>
      </c>
      <c r="C1770" s="48">
        <v>0.87708333333333333</v>
      </c>
      <c r="D1770" s="48">
        <v>0.88888888888888884</v>
      </c>
      <c r="E1770" s="49">
        <f>'Reclamo de equipaje rediseñado'!$D1770-'Reclamo de equipaje rediseñado'!$C1770</f>
        <v>1.1805555555555514E-2</v>
      </c>
      <c r="F1770" s="48">
        <v>0.89583333333333337</v>
      </c>
      <c r="G1770" s="49">
        <f t="shared" si="27"/>
        <v>6.9444444444445308E-3</v>
      </c>
      <c r="H1770" s="50">
        <v>41749</v>
      </c>
      <c r="I1770" s="51" t="s">
        <v>549</v>
      </c>
      <c r="J1770" s="51" t="s">
        <v>554</v>
      </c>
      <c r="K1770" s="51">
        <f>VLOOKUP(J1770,'Validacion reclamo de equipaje'!L:M,2,0)</f>
        <v>189</v>
      </c>
      <c r="L1770" s="51" t="str">
        <f>VLOOKUP(I1770,'Validacion reclamo de equipaje'!H:I,2,0)</f>
        <v>Nacional</v>
      </c>
      <c r="M1770" s="51" t="s">
        <v>523</v>
      </c>
    </row>
    <row r="1771" spans="1:13" x14ac:dyDescent="0.25">
      <c r="A1771">
        <v>771</v>
      </c>
      <c r="B1771" s="47" t="str">
        <f>VLOOKUP(Tabla6[[#This Row],['# Vuelo]],'Validacion reclamo de equipaje'!P:Q,2,0)</f>
        <v>MEXICO AEREO</v>
      </c>
      <c r="C1771" s="52">
        <v>0.89444444444444438</v>
      </c>
      <c r="D1771" s="52">
        <v>0.89930555555555547</v>
      </c>
      <c r="E1771" s="53">
        <f>'Reclamo de equipaje rediseñado'!$D1771-'Reclamo de equipaje rediseñado'!$C1771</f>
        <v>4.8611111111110938E-3</v>
      </c>
      <c r="F1771" s="52">
        <v>0.90625</v>
      </c>
      <c r="G1771" s="53">
        <f t="shared" si="27"/>
        <v>6.9444444444445308E-3</v>
      </c>
      <c r="H1771" s="54">
        <v>41751</v>
      </c>
      <c r="I1771" s="55" t="s">
        <v>549</v>
      </c>
      <c r="J1771" s="55" t="s">
        <v>554</v>
      </c>
      <c r="K1771" s="55">
        <f>VLOOKUP(J1771,'Validacion reclamo de equipaje'!L:M,2,0)</f>
        <v>189</v>
      </c>
      <c r="L1771" s="55" t="str">
        <f>VLOOKUP(I1771,'Validacion reclamo de equipaje'!H:I,2,0)</f>
        <v>Nacional</v>
      </c>
      <c r="M1771" s="55" t="s">
        <v>523</v>
      </c>
    </row>
    <row r="1772" spans="1:13" x14ac:dyDescent="0.25">
      <c r="A1772">
        <v>771</v>
      </c>
      <c r="B1772" s="47" t="str">
        <f>VLOOKUP(Tabla6[[#This Row],['# Vuelo]],'Validacion reclamo de equipaje'!P:Q,2,0)</f>
        <v>MEXICO AEREO</v>
      </c>
      <c r="C1772" s="48">
        <v>0.9</v>
      </c>
      <c r="D1772" s="48">
        <v>0.90972222222222221</v>
      </c>
      <c r="E1772" s="49">
        <f>'Reclamo de equipaje rediseñado'!$D1772-'Reclamo de equipaje rediseñado'!$C1772</f>
        <v>9.7222222222221877E-3</v>
      </c>
      <c r="F1772" s="48">
        <v>0.91875000000000007</v>
      </c>
      <c r="G1772" s="49">
        <f t="shared" si="27"/>
        <v>9.0277777777778567E-3</v>
      </c>
      <c r="H1772" s="50">
        <v>41753</v>
      </c>
      <c r="I1772" s="51" t="s">
        <v>549</v>
      </c>
      <c r="J1772" s="51" t="s">
        <v>554</v>
      </c>
      <c r="K1772" s="51">
        <f>VLOOKUP(J1772,'Validacion reclamo de equipaje'!L:M,2,0)</f>
        <v>189</v>
      </c>
      <c r="L1772" s="51" t="str">
        <f>VLOOKUP(I1772,'Validacion reclamo de equipaje'!H:I,2,0)</f>
        <v>Nacional</v>
      </c>
      <c r="M1772" s="51" t="s">
        <v>523</v>
      </c>
    </row>
    <row r="1773" spans="1:13" x14ac:dyDescent="0.25">
      <c r="A1773">
        <v>771</v>
      </c>
      <c r="B1773" s="47" t="str">
        <f>VLOOKUP(Tabla6[[#This Row],['# Vuelo]],'Validacion reclamo de equipaje'!P:Q,2,0)</f>
        <v>MEXICO AEREO</v>
      </c>
      <c r="C1773" s="52">
        <v>0.88958333333333339</v>
      </c>
      <c r="D1773" s="52">
        <v>0.8965277777777777</v>
      </c>
      <c r="E1773" s="53">
        <f>'Reclamo de equipaje rediseñado'!$D1773-'Reclamo de equipaje rediseñado'!$C1773</f>
        <v>6.9444444444443088E-3</v>
      </c>
      <c r="F1773" s="52">
        <v>0.90902777777777777</v>
      </c>
      <c r="G1773" s="53">
        <f t="shared" si="27"/>
        <v>1.2500000000000067E-2</v>
      </c>
      <c r="H1773" s="54">
        <v>41755</v>
      </c>
      <c r="I1773" s="55" t="s">
        <v>549</v>
      </c>
      <c r="J1773" s="55" t="s">
        <v>554</v>
      </c>
      <c r="K1773" s="55">
        <f>VLOOKUP(J1773,'Validacion reclamo de equipaje'!L:M,2,0)</f>
        <v>189</v>
      </c>
      <c r="L1773" s="55" t="str">
        <f>VLOOKUP(I1773,'Validacion reclamo de equipaje'!H:I,2,0)</f>
        <v>Nacional</v>
      </c>
      <c r="M1773" s="55" t="s">
        <v>523</v>
      </c>
    </row>
    <row r="1774" spans="1:13" x14ac:dyDescent="0.25">
      <c r="A1774">
        <v>771</v>
      </c>
      <c r="B1774" s="47" t="str">
        <f>VLOOKUP(Tabla6[[#This Row],['# Vuelo]],'Validacion reclamo de equipaje'!P:Q,2,0)</f>
        <v>MEXICO AEREO</v>
      </c>
      <c r="C1774" s="48">
        <v>0.90694444444444444</v>
      </c>
      <c r="D1774" s="48">
        <v>0.9159722222222223</v>
      </c>
      <c r="E1774" s="49">
        <f>'Reclamo de equipaje rediseñado'!$D1774-'Reclamo de equipaje rediseñado'!$C1774</f>
        <v>9.0277777777778567E-3</v>
      </c>
      <c r="F1774" s="48">
        <v>0.9277777777777777</v>
      </c>
      <c r="G1774" s="49">
        <f t="shared" si="27"/>
        <v>1.1805555555555403E-2</v>
      </c>
      <c r="H1774" s="50">
        <v>41757</v>
      </c>
      <c r="I1774" s="51" t="s">
        <v>549</v>
      </c>
      <c r="J1774" s="51" t="s">
        <v>554</v>
      </c>
      <c r="K1774" s="51">
        <f>VLOOKUP(J1774,'Validacion reclamo de equipaje'!L:M,2,0)</f>
        <v>189</v>
      </c>
      <c r="L1774" s="51" t="str">
        <f>VLOOKUP(I1774,'Validacion reclamo de equipaje'!H:I,2,0)</f>
        <v>Nacional</v>
      </c>
      <c r="M1774" s="51" t="s">
        <v>523</v>
      </c>
    </row>
    <row r="1775" spans="1:13" x14ac:dyDescent="0.25">
      <c r="A1775">
        <v>771</v>
      </c>
      <c r="B1775" s="47" t="str">
        <f>VLOOKUP(Tabla6[[#This Row],['# Vuelo]],'Validacion reclamo de equipaje'!P:Q,2,0)</f>
        <v>MEXICO AEREO</v>
      </c>
      <c r="C1775" s="52">
        <v>0.90486111111111101</v>
      </c>
      <c r="D1775" s="52">
        <v>0.91388888888888886</v>
      </c>
      <c r="E1775" s="53">
        <f>'Reclamo de equipaje rediseñado'!$D1775-'Reclamo de equipaje rediseñado'!$C1775</f>
        <v>9.0277777777778567E-3</v>
      </c>
      <c r="F1775" s="52">
        <v>0.92986111111111114</v>
      </c>
      <c r="G1775" s="53">
        <f t="shared" si="27"/>
        <v>1.5972222222222276E-2</v>
      </c>
      <c r="H1775" s="54">
        <v>41759</v>
      </c>
      <c r="I1775" s="55" t="s">
        <v>549</v>
      </c>
      <c r="J1775" s="55" t="s">
        <v>554</v>
      </c>
      <c r="K1775" s="55">
        <f>VLOOKUP(J1775,'Validacion reclamo de equipaje'!L:M,2,0)</f>
        <v>189</v>
      </c>
      <c r="L1775" s="55" t="str">
        <f>VLOOKUP(I1775,'Validacion reclamo de equipaje'!H:I,2,0)</f>
        <v>Nacional</v>
      </c>
      <c r="M1775" s="55" t="s">
        <v>523</v>
      </c>
    </row>
    <row r="1776" spans="1:13" x14ac:dyDescent="0.25">
      <c r="A1776">
        <v>771</v>
      </c>
      <c r="B1776" s="47" t="str">
        <f>VLOOKUP(Tabla6[[#This Row],['# Vuelo]],'Validacion reclamo de equipaje'!P:Q,2,0)</f>
        <v>MEXICO AEREO</v>
      </c>
      <c r="C1776" s="48">
        <v>0.89861111111111114</v>
      </c>
      <c r="D1776" s="48">
        <v>0.90694444444444444</v>
      </c>
      <c r="E1776" s="49">
        <f>'Reclamo de equipaje rediseñado'!$D1776-'Reclamo de equipaje rediseñado'!$C1776</f>
        <v>8.3333333333333037E-3</v>
      </c>
      <c r="F1776" s="48">
        <v>0.92361111111111116</v>
      </c>
      <c r="G1776" s="49">
        <f t="shared" si="27"/>
        <v>1.6666666666666718E-2</v>
      </c>
      <c r="H1776" s="50">
        <v>41759</v>
      </c>
      <c r="I1776" s="51" t="s">
        <v>549</v>
      </c>
      <c r="J1776" s="51" t="s">
        <v>554</v>
      </c>
      <c r="K1776" s="51">
        <f>VLOOKUP(J1776,'Validacion reclamo de equipaje'!L:M,2,0)</f>
        <v>189</v>
      </c>
      <c r="L1776" s="51" t="str">
        <f>VLOOKUP(I1776,'Validacion reclamo de equipaje'!H:I,2,0)</f>
        <v>Nacional</v>
      </c>
      <c r="M1776" s="51" t="s">
        <v>523</v>
      </c>
    </row>
    <row r="1777" spans="1:13" x14ac:dyDescent="0.25">
      <c r="A1777">
        <v>693</v>
      </c>
      <c r="B1777" s="47" t="str">
        <f>VLOOKUP(Tabla6[[#This Row],['# Vuelo]],'Validacion reclamo de equipaje'!P:Q,2,0)</f>
        <v>BARATA Y MORADA</v>
      </c>
      <c r="C1777" s="52">
        <v>0.3840277777777778</v>
      </c>
      <c r="D1777" s="52">
        <v>0.38541666666666669</v>
      </c>
      <c r="E1777" s="53">
        <f>'Reclamo de equipaje rediseñado'!$D1777-'Reclamo de equipaje rediseñado'!$C1777</f>
        <v>1.388888888888884E-3</v>
      </c>
      <c r="F1777" s="52">
        <v>0.3923611111111111</v>
      </c>
      <c r="G1777" s="53">
        <f t="shared" si="27"/>
        <v>6.9444444444444198E-3</v>
      </c>
      <c r="H1777" s="54">
        <v>41738</v>
      </c>
      <c r="I1777" s="55" t="s">
        <v>573</v>
      </c>
      <c r="J1777" s="55" t="s">
        <v>572</v>
      </c>
      <c r="K1777" s="55">
        <f>VLOOKUP(J1777,'Validacion reclamo de equipaje'!L:M,2,0)</f>
        <v>142</v>
      </c>
      <c r="L1777" s="55" t="str">
        <f>VLOOKUP(I1777,'Validacion reclamo de equipaje'!H:I,2,0)</f>
        <v>Nacional</v>
      </c>
      <c r="M1777" s="55" t="s">
        <v>523</v>
      </c>
    </row>
    <row r="1778" spans="1:13" x14ac:dyDescent="0.25">
      <c r="A1778">
        <v>693</v>
      </c>
      <c r="B1778" s="47" t="str">
        <f>VLOOKUP(Tabla6[[#This Row],['# Vuelo]],'Validacion reclamo de equipaje'!P:Q,2,0)</f>
        <v>BARATA Y MORADA</v>
      </c>
      <c r="C1778" s="48">
        <v>0.5541666666666667</v>
      </c>
      <c r="D1778" s="48">
        <v>0.56180555555555556</v>
      </c>
      <c r="E1778" s="49">
        <f>'Reclamo de equipaje rediseñado'!$D1778-'Reclamo de equipaje rediseñado'!$C1778</f>
        <v>7.6388888888888618E-3</v>
      </c>
      <c r="F1778" s="48">
        <v>0.57847222222222217</v>
      </c>
      <c r="G1778" s="49">
        <f t="shared" si="27"/>
        <v>1.6666666666666607E-2</v>
      </c>
      <c r="H1778" s="50">
        <v>41731</v>
      </c>
      <c r="I1778" s="51" t="s">
        <v>573</v>
      </c>
      <c r="J1778" s="51" t="s">
        <v>572</v>
      </c>
      <c r="K1778" s="51">
        <f>VLOOKUP(J1778,'Validacion reclamo de equipaje'!L:M,2,0)</f>
        <v>142</v>
      </c>
      <c r="L1778" s="51" t="str">
        <f>VLOOKUP(I1778,'Validacion reclamo de equipaje'!H:I,2,0)</f>
        <v>Nacional</v>
      </c>
      <c r="M1778" s="51" t="s">
        <v>523</v>
      </c>
    </row>
    <row r="1779" spans="1:13" x14ac:dyDescent="0.25">
      <c r="A1779">
        <v>693</v>
      </c>
      <c r="B1779" s="47" t="str">
        <f>VLOOKUP(Tabla6[[#This Row],['# Vuelo]],'Validacion reclamo de equipaje'!P:Q,2,0)</f>
        <v>BARATA Y MORADA</v>
      </c>
      <c r="C1779" s="52">
        <v>0.5541666666666667</v>
      </c>
      <c r="D1779" s="52">
        <v>0.56180555555555556</v>
      </c>
      <c r="E1779" s="53">
        <f>'Reclamo de equipaje rediseñado'!$D1779-'Reclamo de equipaje rediseñado'!$C1779</f>
        <v>7.6388888888888618E-3</v>
      </c>
      <c r="F1779" s="52">
        <v>0.57847222222222217</v>
      </c>
      <c r="G1779" s="53">
        <f t="shared" si="27"/>
        <v>1.6666666666666607E-2</v>
      </c>
      <c r="H1779" s="54">
        <v>41731</v>
      </c>
      <c r="I1779" s="55" t="s">
        <v>573</v>
      </c>
      <c r="J1779" s="55" t="s">
        <v>572</v>
      </c>
      <c r="K1779" s="55">
        <f>VLOOKUP(J1779,'Validacion reclamo de equipaje'!L:M,2,0)</f>
        <v>142</v>
      </c>
      <c r="L1779" s="55" t="str">
        <f>VLOOKUP(I1779,'Validacion reclamo de equipaje'!H:I,2,0)</f>
        <v>Nacional</v>
      </c>
      <c r="M1779" s="55" t="s">
        <v>523</v>
      </c>
    </row>
    <row r="1780" spans="1:13" x14ac:dyDescent="0.25">
      <c r="A1780">
        <v>693</v>
      </c>
      <c r="B1780" s="47" t="str">
        <f>VLOOKUP(Tabla6[[#This Row],['# Vuelo]],'Validacion reclamo de equipaje'!P:Q,2,0)</f>
        <v>BARATA Y MORADA</v>
      </c>
      <c r="C1780" s="48">
        <v>0.55555555555555558</v>
      </c>
      <c r="D1780" s="48">
        <v>0.56666666666666665</v>
      </c>
      <c r="E1780" s="49">
        <f>'Reclamo de equipaje rediseñado'!$D1780-'Reclamo de equipaje rediseñado'!$C1780</f>
        <v>1.1111111111111072E-2</v>
      </c>
      <c r="F1780" s="48">
        <v>0.58472222222222225</v>
      </c>
      <c r="G1780" s="49">
        <f t="shared" si="27"/>
        <v>1.8055555555555602E-2</v>
      </c>
      <c r="H1780" s="50">
        <v>41732</v>
      </c>
      <c r="I1780" s="51" t="s">
        <v>573</v>
      </c>
      <c r="J1780" s="51" t="s">
        <v>572</v>
      </c>
      <c r="K1780" s="51">
        <f>VLOOKUP(J1780,'Validacion reclamo de equipaje'!L:M,2,0)</f>
        <v>142</v>
      </c>
      <c r="L1780" s="51" t="str">
        <f>VLOOKUP(I1780,'Validacion reclamo de equipaje'!H:I,2,0)</f>
        <v>Nacional</v>
      </c>
      <c r="M1780" s="51" t="s">
        <v>523</v>
      </c>
    </row>
    <row r="1781" spans="1:13" x14ac:dyDescent="0.25">
      <c r="A1781">
        <v>693</v>
      </c>
      <c r="B1781" s="47" t="str">
        <f>VLOOKUP(Tabla6[[#This Row],['# Vuelo]],'Validacion reclamo de equipaje'!P:Q,2,0)</f>
        <v>BARATA Y MORADA</v>
      </c>
      <c r="C1781" s="52">
        <v>0.56180555555555556</v>
      </c>
      <c r="D1781" s="52">
        <v>0.57222222222222219</v>
      </c>
      <c r="E1781" s="53">
        <f>'Reclamo de equipaje rediseñado'!$D1781-'Reclamo de equipaje rediseñado'!$C1781</f>
        <v>1.041666666666663E-2</v>
      </c>
      <c r="F1781" s="52">
        <v>0.58124999999999993</v>
      </c>
      <c r="G1781" s="53">
        <f t="shared" si="27"/>
        <v>9.0277777777777457E-3</v>
      </c>
      <c r="H1781" s="54">
        <v>41733</v>
      </c>
      <c r="I1781" s="55" t="s">
        <v>573</v>
      </c>
      <c r="J1781" s="55" t="s">
        <v>572</v>
      </c>
      <c r="K1781" s="55">
        <f>VLOOKUP(J1781,'Validacion reclamo de equipaje'!L:M,2,0)</f>
        <v>142</v>
      </c>
      <c r="L1781" s="55" t="str">
        <f>VLOOKUP(I1781,'Validacion reclamo de equipaje'!H:I,2,0)</f>
        <v>Nacional</v>
      </c>
      <c r="M1781" s="55" t="s">
        <v>523</v>
      </c>
    </row>
    <row r="1782" spans="1:13" x14ac:dyDescent="0.25">
      <c r="A1782">
        <v>693</v>
      </c>
      <c r="B1782" s="47" t="str">
        <f>VLOOKUP(Tabla6[[#This Row],['# Vuelo]],'Validacion reclamo de equipaje'!P:Q,2,0)</f>
        <v>BARATA Y MORADA</v>
      </c>
      <c r="C1782" s="48">
        <v>0.56111111111111112</v>
      </c>
      <c r="D1782" s="48">
        <v>0.56666666666666665</v>
      </c>
      <c r="E1782" s="49">
        <f>'Reclamo de equipaje rediseñado'!$D1782-'Reclamo de equipaje rediseñado'!$C1782</f>
        <v>5.5555555555555358E-3</v>
      </c>
      <c r="F1782" s="48">
        <v>0.58333333333333337</v>
      </c>
      <c r="G1782" s="49">
        <f t="shared" si="27"/>
        <v>1.6666666666666718E-2</v>
      </c>
      <c r="H1782" s="50">
        <v>41734</v>
      </c>
      <c r="I1782" s="51" t="s">
        <v>573</v>
      </c>
      <c r="J1782" s="51" t="s">
        <v>572</v>
      </c>
      <c r="K1782" s="51">
        <f>VLOOKUP(J1782,'Validacion reclamo de equipaje'!L:M,2,0)</f>
        <v>142</v>
      </c>
      <c r="L1782" s="51" t="str">
        <f>VLOOKUP(I1782,'Validacion reclamo de equipaje'!H:I,2,0)</f>
        <v>Nacional</v>
      </c>
      <c r="M1782" s="51" t="s">
        <v>523</v>
      </c>
    </row>
    <row r="1783" spans="1:13" x14ac:dyDescent="0.25">
      <c r="A1783">
        <v>693</v>
      </c>
      <c r="B1783" s="47" t="str">
        <f>VLOOKUP(Tabla6[[#This Row],['# Vuelo]],'Validacion reclamo de equipaje'!P:Q,2,0)</f>
        <v>BARATA Y MORADA</v>
      </c>
      <c r="C1783" s="52">
        <v>0.58611111111111114</v>
      </c>
      <c r="D1783" s="52">
        <v>0.59722222222222221</v>
      </c>
      <c r="E1783" s="53">
        <f>'Reclamo de equipaje rediseñado'!$D1783-'Reclamo de equipaje rediseñado'!$C1783</f>
        <v>1.1111111111111072E-2</v>
      </c>
      <c r="F1783" s="52">
        <v>0.60763888888888895</v>
      </c>
      <c r="G1783" s="53">
        <f t="shared" si="27"/>
        <v>1.0416666666666741E-2</v>
      </c>
      <c r="H1783" s="54">
        <v>41735</v>
      </c>
      <c r="I1783" s="55" t="s">
        <v>573</v>
      </c>
      <c r="J1783" s="55" t="s">
        <v>572</v>
      </c>
      <c r="K1783" s="55">
        <f>VLOOKUP(J1783,'Validacion reclamo de equipaje'!L:M,2,0)</f>
        <v>142</v>
      </c>
      <c r="L1783" s="55" t="str">
        <f>VLOOKUP(I1783,'Validacion reclamo de equipaje'!H:I,2,0)</f>
        <v>Nacional</v>
      </c>
      <c r="M1783" s="55" t="s">
        <v>523</v>
      </c>
    </row>
    <row r="1784" spans="1:13" x14ac:dyDescent="0.25">
      <c r="A1784">
        <v>693</v>
      </c>
      <c r="B1784" s="47" t="str">
        <f>VLOOKUP(Tabla6[[#This Row],['# Vuelo]],'Validacion reclamo de equipaje'!P:Q,2,0)</f>
        <v>BARATA Y MORADA</v>
      </c>
      <c r="C1784" s="48">
        <v>0.64027777777777783</v>
      </c>
      <c r="D1784" s="48">
        <v>0.65138888888888891</v>
      </c>
      <c r="E1784" s="49">
        <f>'Reclamo de equipaje rediseñado'!$D1784-'Reclamo de equipaje rediseñado'!$C1784</f>
        <v>1.1111111111111072E-2</v>
      </c>
      <c r="F1784" s="48">
        <v>0.66527777777777775</v>
      </c>
      <c r="G1784" s="49">
        <f t="shared" si="27"/>
        <v>1.388888888888884E-2</v>
      </c>
      <c r="H1784" s="50">
        <v>41739</v>
      </c>
      <c r="I1784" s="51" t="s">
        <v>573</v>
      </c>
      <c r="J1784" s="51" t="s">
        <v>572</v>
      </c>
      <c r="K1784" s="51">
        <f>VLOOKUP(J1784,'Validacion reclamo de equipaje'!L:M,2,0)</f>
        <v>142</v>
      </c>
      <c r="L1784" s="51" t="str">
        <f>VLOOKUP(I1784,'Validacion reclamo de equipaje'!H:I,2,0)</f>
        <v>Nacional</v>
      </c>
      <c r="M1784" s="51" t="s">
        <v>523</v>
      </c>
    </row>
    <row r="1785" spans="1:13" x14ac:dyDescent="0.25">
      <c r="A1785">
        <v>693</v>
      </c>
      <c r="B1785" s="47" t="str">
        <f>VLOOKUP(Tabla6[[#This Row],['# Vuelo]],'Validacion reclamo de equipaje'!P:Q,2,0)</f>
        <v>BARATA Y MORADA</v>
      </c>
      <c r="C1785" s="52">
        <v>0.65972222222222221</v>
      </c>
      <c r="D1785" s="52">
        <v>0.67013888888888884</v>
      </c>
      <c r="E1785" s="53">
        <f>'Reclamo de equipaje rediseñado'!$D1785-'Reclamo de equipaje rediseñado'!$C1785</f>
        <v>1.041666666666663E-2</v>
      </c>
      <c r="F1785" s="52">
        <v>0.68819444444444444</v>
      </c>
      <c r="G1785" s="53">
        <f t="shared" si="27"/>
        <v>1.8055555555555602E-2</v>
      </c>
      <c r="H1785" s="54">
        <v>41741</v>
      </c>
      <c r="I1785" s="55" t="s">
        <v>573</v>
      </c>
      <c r="J1785" s="55" t="s">
        <v>572</v>
      </c>
      <c r="K1785" s="55">
        <f>VLOOKUP(J1785,'Validacion reclamo de equipaje'!L:M,2,0)</f>
        <v>142</v>
      </c>
      <c r="L1785" s="55" t="str">
        <f>VLOOKUP(I1785,'Validacion reclamo de equipaje'!H:I,2,0)</f>
        <v>Nacional</v>
      </c>
      <c r="M1785" s="55" t="s">
        <v>523</v>
      </c>
    </row>
    <row r="1786" spans="1:13" x14ac:dyDescent="0.25">
      <c r="A1786">
        <v>693</v>
      </c>
      <c r="B1786" s="47" t="str">
        <f>VLOOKUP(Tabla6[[#This Row],['# Vuelo]],'Validacion reclamo de equipaje'!P:Q,2,0)</f>
        <v>BARATA Y MORADA</v>
      </c>
      <c r="C1786" s="48">
        <v>0.65486111111111112</v>
      </c>
      <c r="D1786" s="48">
        <v>0.66319444444444442</v>
      </c>
      <c r="E1786" s="49">
        <f>'Reclamo de equipaje rediseñado'!$D1786-'Reclamo de equipaje rediseñado'!$C1786</f>
        <v>8.3333333333333037E-3</v>
      </c>
      <c r="F1786" s="48">
        <v>0.67222222222222217</v>
      </c>
      <c r="G1786" s="49">
        <f t="shared" si="27"/>
        <v>9.0277777777777457E-3</v>
      </c>
      <c r="H1786" s="50">
        <v>41743</v>
      </c>
      <c r="I1786" s="51" t="s">
        <v>573</v>
      </c>
      <c r="J1786" s="51" t="s">
        <v>572</v>
      </c>
      <c r="K1786" s="51">
        <f>VLOOKUP(J1786,'Validacion reclamo de equipaje'!L:M,2,0)</f>
        <v>142</v>
      </c>
      <c r="L1786" s="51" t="str">
        <f>VLOOKUP(I1786,'Validacion reclamo de equipaje'!H:I,2,0)</f>
        <v>Nacional</v>
      </c>
      <c r="M1786" s="51" t="s">
        <v>523</v>
      </c>
    </row>
    <row r="1787" spans="1:13" x14ac:dyDescent="0.25">
      <c r="A1787">
        <v>693</v>
      </c>
      <c r="B1787" s="47" t="str">
        <f>VLOOKUP(Tabla6[[#This Row],['# Vuelo]],'Validacion reclamo de equipaje'!P:Q,2,0)</f>
        <v>BARATA Y MORADA</v>
      </c>
      <c r="C1787" s="52">
        <v>0.63888888888888895</v>
      </c>
      <c r="D1787" s="52">
        <v>0.64722222222222225</v>
      </c>
      <c r="E1787" s="53">
        <f>'Reclamo de equipaje rediseñado'!$D1787-'Reclamo de equipaje rediseñado'!$C1787</f>
        <v>8.3333333333333037E-3</v>
      </c>
      <c r="F1787" s="52">
        <v>0.65486111111111112</v>
      </c>
      <c r="G1787" s="53">
        <f t="shared" si="27"/>
        <v>7.6388888888888618E-3</v>
      </c>
      <c r="H1787" s="54">
        <v>41744</v>
      </c>
      <c r="I1787" s="55" t="s">
        <v>573</v>
      </c>
      <c r="J1787" s="55" t="s">
        <v>572</v>
      </c>
      <c r="K1787" s="55">
        <f>VLOOKUP(J1787,'Validacion reclamo de equipaje'!L:M,2,0)</f>
        <v>142</v>
      </c>
      <c r="L1787" s="55" t="str">
        <f>VLOOKUP(I1787,'Validacion reclamo de equipaje'!H:I,2,0)</f>
        <v>Nacional</v>
      </c>
      <c r="M1787" s="55" t="s">
        <v>523</v>
      </c>
    </row>
    <row r="1788" spans="1:13" x14ac:dyDescent="0.25">
      <c r="A1788">
        <v>693</v>
      </c>
      <c r="B1788" s="47" t="str">
        <f>VLOOKUP(Tabla6[[#This Row],['# Vuelo]],'Validacion reclamo de equipaje'!P:Q,2,0)</f>
        <v>BARATA Y MORADA</v>
      </c>
      <c r="C1788" s="48">
        <v>0.6430555555555556</v>
      </c>
      <c r="D1788" s="48">
        <v>0.65208333333333335</v>
      </c>
      <c r="E1788" s="49">
        <f>'Reclamo de equipaje rediseñado'!$D1788-'Reclamo de equipaje rediseñado'!$C1788</f>
        <v>9.0277777777777457E-3</v>
      </c>
      <c r="F1788" s="48">
        <v>0.65972222222222221</v>
      </c>
      <c r="G1788" s="49">
        <f t="shared" si="27"/>
        <v>7.6388888888888618E-3</v>
      </c>
      <c r="H1788" s="50">
        <v>41746</v>
      </c>
      <c r="I1788" s="51" t="s">
        <v>573</v>
      </c>
      <c r="J1788" s="51" t="s">
        <v>572</v>
      </c>
      <c r="K1788" s="51">
        <f>VLOOKUP(J1788,'Validacion reclamo de equipaje'!L:M,2,0)</f>
        <v>142</v>
      </c>
      <c r="L1788" s="51" t="str">
        <f>VLOOKUP(I1788,'Validacion reclamo de equipaje'!H:I,2,0)</f>
        <v>Nacional</v>
      </c>
      <c r="M1788" s="51" t="s">
        <v>523</v>
      </c>
    </row>
    <row r="1789" spans="1:13" x14ac:dyDescent="0.25">
      <c r="A1789">
        <v>693</v>
      </c>
      <c r="B1789" s="47" t="str">
        <f>VLOOKUP(Tabla6[[#This Row],['# Vuelo]],'Validacion reclamo de equipaje'!P:Q,2,0)</f>
        <v>BARATA Y MORADA</v>
      </c>
      <c r="C1789" s="52">
        <v>0.65069444444444446</v>
      </c>
      <c r="D1789" s="52">
        <v>0.66249999999999998</v>
      </c>
      <c r="E1789" s="53">
        <f>'Reclamo de equipaje rediseñado'!$D1789-'Reclamo de equipaje rediseñado'!$C1789</f>
        <v>1.1805555555555514E-2</v>
      </c>
      <c r="F1789" s="52">
        <v>0.68194444444444446</v>
      </c>
      <c r="G1789" s="53">
        <f t="shared" si="27"/>
        <v>1.9444444444444486E-2</v>
      </c>
      <c r="H1789" s="54">
        <v>41747</v>
      </c>
      <c r="I1789" s="55" t="s">
        <v>573</v>
      </c>
      <c r="J1789" s="55" t="s">
        <v>572</v>
      </c>
      <c r="K1789" s="55">
        <f>VLOOKUP(J1789,'Validacion reclamo de equipaje'!L:M,2,0)</f>
        <v>142</v>
      </c>
      <c r="L1789" s="55" t="str">
        <f>VLOOKUP(I1789,'Validacion reclamo de equipaje'!H:I,2,0)</f>
        <v>Nacional</v>
      </c>
      <c r="M1789" s="55" t="s">
        <v>523</v>
      </c>
    </row>
    <row r="1790" spans="1:13" x14ac:dyDescent="0.25">
      <c r="A1790">
        <v>693</v>
      </c>
      <c r="B1790" s="47" t="str">
        <f>VLOOKUP(Tabla6[[#This Row],['# Vuelo]],'Validacion reclamo de equipaje'!P:Q,2,0)</f>
        <v>BARATA Y MORADA</v>
      </c>
      <c r="C1790" s="48">
        <v>0.65902777777777777</v>
      </c>
      <c r="D1790" s="48">
        <v>0.66875000000000007</v>
      </c>
      <c r="E1790" s="49">
        <f>'Reclamo de equipaje rediseñado'!$D1790-'Reclamo de equipaje rediseñado'!$C1790</f>
        <v>9.7222222222222987E-3</v>
      </c>
      <c r="F1790" s="48">
        <v>0.68472222222222223</v>
      </c>
      <c r="G1790" s="49">
        <f t="shared" si="27"/>
        <v>1.5972222222222165E-2</v>
      </c>
      <c r="H1790" s="50">
        <v>41748</v>
      </c>
      <c r="I1790" s="51" t="s">
        <v>573</v>
      </c>
      <c r="J1790" s="51" t="s">
        <v>572</v>
      </c>
      <c r="K1790" s="51">
        <f>VLOOKUP(J1790,'Validacion reclamo de equipaje'!L:M,2,0)</f>
        <v>142</v>
      </c>
      <c r="L1790" s="51" t="str">
        <f>VLOOKUP(I1790,'Validacion reclamo de equipaje'!H:I,2,0)</f>
        <v>Nacional</v>
      </c>
      <c r="M1790" s="51" t="s">
        <v>523</v>
      </c>
    </row>
    <row r="1791" spans="1:13" x14ac:dyDescent="0.25">
      <c r="A1791">
        <v>693</v>
      </c>
      <c r="B1791" s="47" t="str">
        <f>VLOOKUP(Tabla6[[#This Row],['# Vuelo]],'Validacion reclamo de equipaje'!P:Q,2,0)</f>
        <v>BARATA Y MORADA</v>
      </c>
      <c r="C1791" s="52">
        <v>0.65069444444444446</v>
      </c>
      <c r="D1791" s="52">
        <v>0.65972222222222221</v>
      </c>
      <c r="E1791" s="53">
        <f>'Reclamo de equipaje rediseñado'!$D1791-'Reclamo de equipaje rediseñado'!$C1791</f>
        <v>9.0277777777777457E-3</v>
      </c>
      <c r="F1791" s="52">
        <v>0.67222222222222217</v>
      </c>
      <c r="G1791" s="53">
        <f t="shared" si="27"/>
        <v>1.2499999999999956E-2</v>
      </c>
      <c r="H1791" s="54">
        <v>41749</v>
      </c>
      <c r="I1791" s="55" t="s">
        <v>573</v>
      </c>
      <c r="J1791" s="55" t="s">
        <v>572</v>
      </c>
      <c r="K1791" s="55">
        <f>VLOOKUP(J1791,'Validacion reclamo de equipaje'!L:M,2,0)</f>
        <v>142</v>
      </c>
      <c r="L1791" s="55" t="str">
        <f>VLOOKUP(I1791,'Validacion reclamo de equipaje'!H:I,2,0)</f>
        <v>Nacional</v>
      </c>
      <c r="M1791" s="55" t="s">
        <v>523</v>
      </c>
    </row>
    <row r="1792" spans="1:13" x14ac:dyDescent="0.25">
      <c r="A1792">
        <v>693</v>
      </c>
      <c r="B1792" s="47" t="str">
        <f>VLOOKUP(Tabla6[[#This Row],['# Vuelo]],'Validacion reclamo de equipaje'!P:Q,2,0)</f>
        <v>BARATA Y MORADA</v>
      </c>
      <c r="C1792" s="48">
        <v>0.6645833333333333</v>
      </c>
      <c r="D1792" s="48">
        <v>0.66875000000000007</v>
      </c>
      <c r="E1792" s="49">
        <f>'Reclamo de equipaje rediseñado'!$D1792-'Reclamo de equipaje rediseñado'!$C1792</f>
        <v>4.1666666666667629E-3</v>
      </c>
      <c r="F1792" s="48">
        <v>0.68611111111111101</v>
      </c>
      <c r="G1792" s="49">
        <f t="shared" si="27"/>
        <v>1.7361111111110938E-2</v>
      </c>
      <c r="H1792" s="50">
        <v>41750</v>
      </c>
      <c r="I1792" s="51" t="s">
        <v>573</v>
      </c>
      <c r="J1792" s="51" t="s">
        <v>572</v>
      </c>
      <c r="K1792" s="51">
        <f>VLOOKUP(J1792,'Validacion reclamo de equipaje'!L:M,2,0)</f>
        <v>142</v>
      </c>
      <c r="L1792" s="51" t="str">
        <f>VLOOKUP(I1792,'Validacion reclamo de equipaje'!H:I,2,0)</f>
        <v>Nacional</v>
      </c>
      <c r="M1792" s="51" t="s">
        <v>523</v>
      </c>
    </row>
    <row r="1793" spans="1:13" x14ac:dyDescent="0.25">
      <c r="A1793">
        <v>693</v>
      </c>
      <c r="B1793" s="47" t="str">
        <f>VLOOKUP(Tabla6[[#This Row],['# Vuelo]],'Validacion reclamo de equipaje'!P:Q,2,0)</f>
        <v>BARATA Y MORADA</v>
      </c>
      <c r="C1793" s="52">
        <v>0.64722222222222225</v>
      </c>
      <c r="D1793" s="52">
        <v>0.65763888888888888</v>
      </c>
      <c r="E1793" s="53">
        <f>'Reclamo de equipaje rediseñado'!$D1793-'Reclamo de equipaje rediseñado'!$C1793</f>
        <v>1.041666666666663E-2</v>
      </c>
      <c r="F1793" s="52">
        <v>0.67499999999999993</v>
      </c>
      <c r="G1793" s="53">
        <f t="shared" si="27"/>
        <v>1.7361111111111049E-2</v>
      </c>
      <c r="H1793" s="54">
        <v>41751</v>
      </c>
      <c r="I1793" s="55" t="s">
        <v>573</v>
      </c>
      <c r="J1793" s="55" t="s">
        <v>572</v>
      </c>
      <c r="K1793" s="55">
        <f>VLOOKUP(J1793,'Validacion reclamo de equipaje'!L:M,2,0)</f>
        <v>142</v>
      </c>
      <c r="L1793" s="55" t="str">
        <f>VLOOKUP(I1793,'Validacion reclamo de equipaje'!H:I,2,0)</f>
        <v>Nacional</v>
      </c>
      <c r="M1793" s="55" t="s">
        <v>523</v>
      </c>
    </row>
    <row r="1794" spans="1:13" x14ac:dyDescent="0.25">
      <c r="A1794">
        <v>693</v>
      </c>
      <c r="B1794" s="47" t="str">
        <f>VLOOKUP(Tabla6[[#This Row],['# Vuelo]],'Validacion reclamo de equipaje'!P:Q,2,0)</f>
        <v>BARATA Y MORADA</v>
      </c>
      <c r="C1794" s="48">
        <v>0.64722222222222225</v>
      </c>
      <c r="D1794" s="48">
        <v>0.65763888888888888</v>
      </c>
      <c r="E1794" s="49">
        <f>'Reclamo de equipaje rediseñado'!$D1794-'Reclamo de equipaje rediseñado'!$C1794</f>
        <v>1.041666666666663E-2</v>
      </c>
      <c r="F1794" s="48">
        <v>0.67499999999999993</v>
      </c>
      <c r="G1794" s="49">
        <f t="shared" si="27"/>
        <v>1.7361111111111049E-2</v>
      </c>
      <c r="H1794" s="50">
        <v>41751</v>
      </c>
      <c r="I1794" s="51" t="s">
        <v>573</v>
      </c>
      <c r="J1794" s="51" t="s">
        <v>572</v>
      </c>
      <c r="K1794" s="51">
        <f>VLOOKUP(J1794,'Validacion reclamo de equipaje'!L:M,2,0)</f>
        <v>142</v>
      </c>
      <c r="L1794" s="51" t="str">
        <f>VLOOKUP(I1794,'Validacion reclamo de equipaje'!H:I,2,0)</f>
        <v>Nacional</v>
      </c>
      <c r="M1794" s="51" t="s">
        <v>523</v>
      </c>
    </row>
    <row r="1795" spans="1:13" x14ac:dyDescent="0.25">
      <c r="A1795">
        <v>693</v>
      </c>
      <c r="B1795" s="47" t="str">
        <f>VLOOKUP(Tabla6[[#This Row],['# Vuelo]],'Validacion reclamo de equipaje'!P:Q,2,0)</f>
        <v>BARATA Y MORADA</v>
      </c>
      <c r="C1795" s="52">
        <v>0.65069444444444446</v>
      </c>
      <c r="D1795" s="52">
        <v>0.66180555555555554</v>
      </c>
      <c r="E1795" s="53">
        <f>'Reclamo de equipaje rediseñado'!$D1795-'Reclamo de equipaje rediseñado'!$C1795</f>
        <v>1.1111111111111072E-2</v>
      </c>
      <c r="F1795" s="52">
        <v>0.67569444444444438</v>
      </c>
      <c r="G1795" s="53">
        <f t="shared" ref="G1795:G1858" si="28">F1795-D1795</f>
        <v>1.388888888888884E-2</v>
      </c>
      <c r="H1795" s="54">
        <v>41753</v>
      </c>
      <c r="I1795" s="55" t="s">
        <v>573</v>
      </c>
      <c r="J1795" s="55" t="s">
        <v>572</v>
      </c>
      <c r="K1795" s="55">
        <f>VLOOKUP(J1795,'Validacion reclamo de equipaje'!L:M,2,0)</f>
        <v>142</v>
      </c>
      <c r="L1795" s="55" t="str">
        <f>VLOOKUP(I1795,'Validacion reclamo de equipaje'!H:I,2,0)</f>
        <v>Nacional</v>
      </c>
      <c r="M1795" s="55" t="s">
        <v>523</v>
      </c>
    </row>
    <row r="1796" spans="1:13" x14ac:dyDescent="0.25">
      <c r="A1796">
        <v>693</v>
      </c>
      <c r="B1796" s="47" t="str">
        <f>VLOOKUP(Tabla6[[#This Row],['# Vuelo]],'Validacion reclamo de equipaje'!P:Q,2,0)</f>
        <v>BARATA Y MORADA</v>
      </c>
      <c r="C1796" s="48">
        <v>0.49305555555555558</v>
      </c>
      <c r="D1796" s="48">
        <v>0.65833333333333333</v>
      </c>
      <c r="E1796" s="49">
        <f>'Reclamo de equipaje rediseñado'!$D1796-'Reclamo de equipaje rediseñado'!$C1796</f>
        <v>0.16527777777777775</v>
      </c>
      <c r="F1796" s="48">
        <v>0.66736111111111107</v>
      </c>
      <c r="G1796" s="49">
        <f t="shared" si="28"/>
        <v>9.0277777777777457E-3</v>
      </c>
      <c r="H1796" s="50">
        <v>41754</v>
      </c>
      <c r="I1796" s="51" t="s">
        <v>573</v>
      </c>
      <c r="J1796" s="51" t="s">
        <v>572</v>
      </c>
      <c r="K1796" s="51">
        <f>VLOOKUP(J1796,'Validacion reclamo de equipaje'!L:M,2,0)</f>
        <v>142</v>
      </c>
      <c r="L1796" s="51" t="str">
        <f>VLOOKUP(I1796,'Validacion reclamo de equipaje'!H:I,2,0)</f>
        <v>Nacional</v>
      </c>
      <c r="M1796" s="51" t="s">
        <v>523</v>
      </c>
    </row>
    <row r="1797" spans="1:13" x14ac:dyDescent="0.25">
      <c r="A1797">
        <v>693</v>
      </c>
      <c r="B1797" s="47" t="str">
        <f>VLOOKUP(Tabla6[[#This Row],['# Vuelo]],'Validacion reclamo de equipaje'!P:Q,2,0)</f>
        <v>BARATA Y MORADA</v>
      </c>
      <c r="C1797" s="52">
        <v>0.64027777777777783</v>
      </c>
      <c r="D1797" s="52">
        <v>0.64444444444444449</v>
      </c>
      <c r="E1797" s="53">
        <f>'Reclamo de equipaje rediseñado'!$D1797-'Reclamo de equipaje rediseñado'!$C1797</f>
        <v>4.1666666666666519E-3</v>
      </c>
      <c r="F1797" s="52">
        <v>0.65555555555555556</v>
      </c>
      <c r="G1797" s="53">
        <f t="shared" si="28"/>
        <v>1.1111111111111072E-2</v>
      </c>
      <c r="H1797" s="54">
        <v>41757</v>
      </c>
      <c r="I1797" s="55" t="s">
        <v>573</v>
      </c>
      <c r="J1797" s="55" t="s">
        <v>572</v>
      </c>
      <c r="K1797" s="55">
        <f>VLOOKUP(J1797,'Validacion reclamo de equipaje'!L:M,2,0)</f>
        <v>142</v>
      </c>
      <c r="L1797" s="55" t="str">
        <f>VLOOKUP(I1797,'Validacion reclamo de equipaje'!H:I,2,0)</f>
        <v>Nacional</v>
      </c>
      <c r="M1797" s="55" t="s">
        <v>523</v>
      </c>
    </row>
    <row r="1798" spans="1:13" x14ac:dyDescent="0.25">
      <c r="A1798">
        <v>693</v>
      </c>
      <c r="B1798" s="47" t="str">
        <f>VLOOKUP(Tabla6[[#This Row],['# Vuelo]],'Validacion reclamo de equipaje'!P:Q,2,0)</f>
        <v>BARATA Y MORADA</v>
      </c>
      <c r="C1798" s="48">
        <v>0.65555555555555556</v>
      </c>
      <c r="D1798" s="48">
        <v>0.66527777777777775</v>
      </c>
      <c r="E1798" s="49">
        <f>'Reclamo de equipaje rediseñado'!$D1798-'Reclamo de equipaje rediseñado'!$C1798</f>
        <v>9.7222222222221877E-3</v>
      </c>
      <c r="F1798" s="48">
        <v>0.67638888888888893</v>
      </c>
      <c r="G1798" s="49">
        <f t="shared" si="28"/>
        <v>1.1111111111111183E-2</v>
      </c>
      <c r="H1798" s="50">
        <v>41758</v>
      </c>
      <c r="I1798" s="51" t="s">
        <v>573</v>
      </c>
      <c r="J1798" s="51" t="s">
        <v>572</v>
      </c>
      <c r="K1798" s="51">
        <f>VLOOKUP(J1798,'Validacion reclamo de equipaje'!L:M,2,0)</f>
        <v>142</v>
      </c>
      <c r="L1798" s="51" t="str">
        <f>VLOOKUP(I1798,'Validacion reclamo de equipaje'!H:I,2,0)</f>
        <v>Nacional</v>
      </c>
      <c r="M1798" s="51" t="s">
        <v>523</v>
      </c>
    </row>
    <row r="1799" spans="1:13" x14ac:dyDescent="0.25">
      <c r="A1799">
        <v>661</v>
      </c>
      <c r="B1799" s="47" t="str">
        <f>VLOOKUP(Tabla6[[#This Row],['# Vuelo]],'Validacion reclamo de equipaje'!P:Q,2,0)</f>
        <v>MEXICO AEREO</v>
      </c>
      <c r="C1799" s="52">
        <v>0.26111111111111113</v>
      </c>
      <c r="D1799" s="52">
        <v>0.26805555555555555</v>
      </c>
      <c r="E1799" s="53">
        <f>'Reclamo de equipaje rediseñado'!$D1799-'Reclamo de equipaje rediseñado'!$C1799</f>
        <v>6.9444444444444198E-3</v>
      </c>
      <c r="F1799" s="52">
        <v>0.28472222222222221</v>
      </c>
      <c r="G1799" s="53">
        <f t="shared" si="28"/>
        <v>1.6666666666666663E-2</v>
      </c>
      <c r="H1799" s="54">
        <v>41730</v>
      </c>
      <c r="I1799" s="55" t="s">
        <v>559</v>
      </c>
      <c r="J1799" s="55" t="s">
        <v>554</v>
      </c>
      <c r="K1799" s="55">
        <f>VLOOKUP(J1799,'Validacion reclamo de equipaje'!L:M,2,0)</f>
        <v>189</v>
      </c>
      <c r="L1799" s="55" t="str">
        <f>VLOOKUP(I1799,'Validacion reclamo de equipaje'!H:I,2,0)</f>
        <v>Internacional</v>
      </c>
      <c r="M1799" s="55" t="s">
        <v>523</v>
      </c>
    </row>
    <row r="1800" spans="1:13" x14ac:dyDescent="0.25">
      <c r="A1800">
        <v>661</v>
      </c>
      <c r="B1800" s="47" t="str">
        <f>VLOOKUP(Tabla6[[#This Row],['# Vuelo]],'Validacion reclamo de equipaje'!P:Q,2,0)</f>
        <v>MEXICO AEREO</v>
      </c>
      <c r="C1800" s="48">
        <v>0.26041666666666669</v>
      </c>
      <c r="D1800" s="48">
        <v>0.2722222222222222</v>
      </c>
      <c r="E1800" s="49">
        <f>'Reclamo de equipaje rediseñado'!$D1800-'Reclamo de equipaje rediseñado'!$C1800</f>
        <v>1.1805555555555514E-2</v>
      </c>
      <c r="F1800" s="48">
        <v>0.28263888888888888</v>
      </c>
      <c r="G1800" s="49">
        <f t="shared" si="28"/>
        <v>1.0416666666666685E-2</v>
      </c>
      <c r="H1800" s="50">
        <v>41731</v>
      </c>
      <c r="I1800" s="51" t="s">
        <v>559</v>
      </c>
      <c r="J1800" s="51" t="s">
        <v>554</v>
      </c>
      <c r="K1800" s="51">
        <f>VLOOKUP(J1800,'Validacion reclamo de equipaje'!L:M,2,0)</f>
        <v>189</v>
      </c>
      <c r="L1800" s="51" t="str">
        <f>VLOOKUP(I1800,'Validacion reclamo de equipaje'!H:I,2,0)</f>
        <v>Internacional</v>
      </c>
      <c r="M1800" s="51" t="s">
        <v>523</v>
      </c>
    </row>
    <row r="1801" spans="1:13" x14ac:dyDescent="0.25">
      <c r="A1801">
        <v>661</v>
      </c>
      <c r="B1801" s="47" t="str">
        <f>VLOOKUP(Tabla6[[#This Row],['# Vuelo]],'Validacion reclamo de equipaje'!P:Q,2,0)</f>
        <v>MEXICO AEREO</v>
      </c>
      <c r="C1801" s="52">
        <v>0.27430555555555552</v>
      </c>
      <c r="D1801" s="52">
        <v>0.28402777777777777</v>
      </c>
      <c r="E1801" s="53">
        <f>'Reclamo de equipaje rediseñado'!$D1801-'Reclamo de equipaje rediseñado'!$C1801</f>
        <v>9.7222222222222432E-3</v>
      </c>
      <c r="F1801" s="52">
        <v>0.30069444444444443</v>
      </c>
      <c r="G1801" s="53">
        <f t="shared" si="28"/>
        <v>1.6666666666666663E-2</v>
      </c>
      <c r="H1801" s="54">
        <v>41733</v>
      </c>
      <c r="I1801" s="55" t="s">
        <v>559</v>
      </c>
      <c r="J1801" s="55" t="s">
        <v>554</v>
      </c>
      <c r="K1801" s="55">
        <f>VLOOKUP(J1801,'Validacion reclamo de equipaje'!L:M,2,0)</f>
        <v>189</v>
      </c>
      <c r="L1801" s="55" t="str">
        <f>VLOOKUP(I1801,'Validacion reclamo de equipaje'!H:I,2,0)</f>
        <v>Internacional</v>
      </c>
      <c r="M1801" s="55" t="s">
        <v>523</v>
      </c>
    </row>
    <row r="1802" spans="1:13" x14ac:dyDescent="0.25">
      <c r="A1802">
        <v>661</v>
      </c>
      <c r="B1802" s="47" t="str">
        <f>VLOOKUP(Tabla6[[#This Row],['# Vuelo]],'Validacion reclamo de equipaje'!P:Q,2,0)</f>
        <v>MEXICO AEREO</v>
      </c>
      <c r="C1802" s="48">
        <v>0.27638888888888885</v>
      </c>
      <c r="D1802" s="48">
        <v>0.28819444444444448</v>
      </c>
      <c r="E1802" s="49">
        <f>'Reclamo de equipaje rediseñado'!$D1802-'Reclamo de equipaje rediseñado'!$C1802</f>
        <v>1.1805555555555625E-2</v>
      </c>
      <c r="F1802" s="48">
        <v>0.30208333333333331</v>
      </c>
      <c r="G1802" s="49">
        <f t="shared" si="28"/>
        <v>1.388888888888884E-2</v>
      </c>
      <c r="H1802" s="50">
        <v>41734</v>
      </c>
      <c r="I1802" s="51" t="s">
        <v>559</v>
      </c>
      <c r="J1802" s="51" t="s">
        <v>554</v>
      </c>
      <c r="K1802" s="51">
        <f>VLOOKUP(J1802,'Validacion reclamo de equipaje'!L:M,2,0)</f>
        <v>189</v>
      </c>
      <c r="L1802" s="51" t="str">
        <f>VLOOKUP(I1802,'Validacion reclamo de equipaje'!H:I,2,0)</f>
        <v>Internacional</v>
      </c>
      <c r="M1802" s="51" t="s">
        <v>523</v>
      </c>
    </row>
    <row r="1803" spans="1:13" x14ac:dyDescent="0.25">
      <c r="A1803">
        <v>661</v>
      </c>
      <c r="B1803" s="47" t="str">
        <f>VLOOKUP(Tabla6[[#This Row],['# Vuelo]],'Validacion reclamo de equipaje'!P:Q,2,0)</f>
        <v>MEXICO AEREO</v>
      </c>
      <c r="C1803" s="52">
        <v>0.27638888888888885</v>
      </c>
      <c r="D1803" s="52">
        <v>0.28472222222222221</v>
      </c>
      <c r="E1803" s="53">
        <f>'Reclamo de equipaje rediseñado'!$D1803-'Reclamo de equipaje rediseñado'!$C1803</f>
        <v>8.3333333333333592E-3</v>
      </c>
      <c r="F1803" s="52">
        <v>0.29652777777777778</v>
      </c>
      <c r="G1803" s="53">
        <f t="shared" si="28"/>
        <v>1.1805555555555569E-2</v>
      </c>
      <c r="H1803" s="54">
        <v>41733</v>
      </c>
      <c r="I1803" s="55" t="s">
        <v>559</v>
      </c>
      <c r="J1803" s="55" t="s">
        <v>554</v>
      </c>
      <c r="K1803" s="55">
        <f>VLOOKUP(J1803,'Validacion reclamo de equipaje'!L:M,2,0)</f>
        <v>189</v>
      </c>
      <c r="L1803" s="55" t="str">
        <f>VLOOKUP(I1803,'Validacion reclamo de equipaje'!H:I,2,0)</f>
        <v>Internacional</v>
      </c>
      <c r="M1803" s="55" t="s">
        <v>523</v>
      </c>
    </row>
    <row r="1804" spans="1:13" x14ac:dyDescent="0.25">
      <c r="A1804">
        <v>661</v>
      </c>
      <c r="B1804" s="47" t="str">
        <f>VLOOKUP(Tabla6[[#This Row],['# Vuelo]],'Validacion reclamo de equipaje'!P:Q,2,0)</f>
        <v>MEXICO AEREO</v>
      </c>
      <c r="C1804" s="48">
        <v>0.24513888888888888</v>
      </c>
      <c r="D1804" s="48">
        <v>0.25208333333333333</v>
      </c>
      <c r="E1804" s="49">
        <f>'Reclamo de equipaje rediseñado'!$D1804-'Reclamo de equipaje rediseñado'!$C1804</f>
        <v>6.9444444444444475E-3</v>
      </c>
      <c r="F1804" s="48">
        <v>0.25972222222222224</v>
      </c>
      <c r="G1804" s="49">
        <f t="shared" si="28"/>
        <v>7.6388888888889173E-3</v>
      </c>
      <c r="H1804" s="50">
        <v>41736</v>
      </c>
      <c r="I1804" s="51" t="s">
        <v>559</v>
      </c>
      <c r="J1804" s="51" t="s">
        <v>554</v>
      </c>
      <c r="K1804" s="51">
        <f>VLOOKUP(J1804,'Validacion reclamo de equipaje'!L:M,2,0)</f>
        <v>189</v>
      </c>
      <c r="L1804" s="51" t="str">
        <f>VLOOKUP(I1804,'Validacion reclamo de equipaje'!H:I,2,0)</f>
        <v>Internacional</v>
      </c>
      <c r="M1804" s="51" t="s">
        <v>523</v>
      </c>
    </row>
    <row r="1805" spans="1:13" x14ac:dyDescent="0.25">
      <c r="A1805">
        <v>661</v>
      </c>
      <c r="B1805" s="47" t="str">
        <f>VLOOKUP(Tabla6[[#This Row],['# Vuelo]],'Validacion reclamo de equipaje'!P:Q,2,0)</f>
        <v>MEXICO AEREO</v>
      </c>
      <c r="C1805" s="52">
        <v>0.23402777777777781</v>
      </c>
      <c r="D1805" s="52">
        <v>0.24513888888888888</v>
      </c>
      <c r="E1805" s="53">
        <f>'Reclamo de equipaje rediseñado'!$D1805-'Reclamo de equipaje rediseñado'!$C1805</f>
        <v>1.1111111111111072E-2</v>
      </c>
      <c r="F1805" s="52">
        <v>0.26666666666666666</v>
      </c>
      <c r="G1805" s="53">
        <f t="shared" si="28"/>
        <v>2.1527777777777785E-2</v>
      </c>
      <c r="H1805" s="54">
        <v>41737</v>
      </c>
      <c r="I1805" s="55" t="s">
        <v>559</v>
      </c>
      <c r="J1805" s="55" t="s">
        <v>554</v>
      </c>
      <c r="K1805" s="55">
        <f>VLOOKUP(J1805,'Validacion reclamo de equipaje'!L:M,2,0)</f>
        <v>189</v>
      </c>
      <c r="L1805" s="55" t="str">
        <f>VLOOKUP(I1805,'Validacion reclamo de equipaje'!H:I,2,0)</f>
        <v>Internacional</v>
      </c>
      <c r="M1805" s="55" t="s">
        <v>523</v>
      </c>
    </row>
    <row r="1806" spans="1:13" x14ac:dyDescent="0.25">
      <c r="A1806">
        <v>661</v>
      </c>
      <c r="B1806" s="47" t="str">
        <f>VLOOKUP(Tabla6[[#This Row],['# Vuelo]],'Validacion reclamo de equipaje'!P:Q,2,0)</f>
        <v>MEXICO AEREO</v>
      </c>
      <c r="C1806" s="48">
        <v>0.23611111111111113</v>
      </c>
      <c r="D1806" s="48">
        <v>0.24305555555555555</v>
      </c>
      <c r="E1806" s="49">
        <f>'Reclamo de equipaje rediseñado'!$D1806-'Reclamo de equipaje rediseñado'!$C1806</f>
        <v>6.9444444444444198E-3</v>
      </c>
      <c r="F1806" s="48">
        <v>0.27569444444444446</v>
      </c>
      <c r="G1806" s="49">
        <f t="shared" si="28"/>
        <v>3.2638888888888912E-2</v>
      </c>
      <c r="H1806" s="50">
        <v>41738</v>
      </c>
      <c r="I1806" s="51" t="s">
        <v>559</v>
      </c>
      <c r="J1806" s="51" t="s">
        <v>554</v>
      </c>
      <c r="K1806" s="51">
        <f>VLOOKUP(J1806,'Validacion reclamo de equipaje'!L:M,2,0)</f>
        <v>189</v>
      </c>
      <c r="L1806" s="51" t="str">
        <f>VLOOKUP(I1806,'Validacion reclamo de equipaje'!H:I,2,0)</f>
        <v>Internacional</v>
      </c>
      <c r="M1806" s="51" t="s">
        <v>523</v>
      </c>
    </row>
    <row r="1807" spans="1:13" x14ac:dyDescent="0.25">
      <c r="A1807">
        <v>661</v>
      </c>
      <c r="B1807" s="47" t="str">
        <f>VLOOKUP(Tabla6[[#This Row],['# Vuelo]],'Validacion reclamo de equipaje'!P:Q,2,0)</f>
        <v>MEXICO AEREO</v>
      </c>
      <c r="C1807" s="52">
        <v>0.2388888888888889</v>
      </c>
      <c r="D1807" s="52">
        <v>0.25</v>
      </c>
      <c r="E1807" s="53">
        <f>'Reclamo de equipaje rediseñado'!$D1807-'Reclamo de equipaje rediseñado'!$C1807</f>
        <v>1.1111111111111099E-2</v>
      </c>
      <c r="F1807" s="52">
        <v>0.27430555555555552</v>
      </c>
      <c r="G1807" s="53">
        <f t="shared" si="28"/>
        <v>2.4305555555555525E-2</v>
      </c>
      <c r="H1807" s="54">
        <v>41740</v>
      </c>
      <c r="I1807" s="55" t="s">
        <v>559</v>
      </c>
      <c r="J1807" s="55" t="s">
        <v>554</v>
      </c>
      <c r="K1807" s="55">
        <f>VLOOKUP(J1807,'Validacion reclamo de equipaje'!L:M,2,0)</f>
        <v>189</v>
      </c>
      <c r="L1807" s="55" t="str">
        <f>VLOOKUP(I1807,'Validacion reclamo de equipaje'!H:I,2,0)</f>
        <v>Internacional</v>
      </c>
      <c r="M1807" s="55" t="s">
        <v>523</v>
      </c>
    </row>
    <row r="1808" spans="1:13" x14ac:dyDescent="0.25">
      <c r="A1808">
        <v>661</v>
      </c>
      <c r="B1808" s="47" t="str">
        <f>VLOOKUP(Tabla6[[#This Row],['# Vuelo]],'Validacion reclamo de equipaje'!P:Q,2,0)</f>
        <v>MEXICO AEREO</v>
      </c>
      <c r="C1808" s="48">
        <v>0.26111111111111113</v>
      </c>
      <c r="D1808" s="48">
        <v>0.26805555555555555</v>
      </c>
      <c r="E1808" s="49">
        <f>'Reclamo de equipaje rediseñado'!$D1808-'Reclamo de equipaje rediseñado'!$C1808</f>
        <v>6.9444444444444198E-3</v>
      </c>
      <c r="F1808" s="48">
        <v>0.28472222222222221</v>
      </c>
      <c r="G1808" s="49">
        <f t="shared" si="28"/>
        <v>1.6666666666666663E-2</v>
      </c>
      <c r="H1808" s="50">
        <v>41742</v>
      </c>
      <c r="I1808" s="51" t="s">
        <v>559</v>
      </c>
      <c r="J1808" s="51" t="s">
        <v>554</v>
      </c>
      <c r="K1808" s="51">
        <f>VLOOKUP(J1808,'Validacion reclamo de equipaje'!L:M,2,0)</f>
        <v>189</v>
      </c>
      <c r="L1808" s="51" t="str">
        <f>VLOOKUP(I1808,'Validacion reclamo de equipaje'!H:I,2,0)</f>
        <v>Internacional</v>
      </c>
      <c r="M1808" s="51" t="s">
        <v>523</v>
      </c>
    </row>
    <row r="1809" spans="1:13" x14ac:dyDescent="0.25">
      <c r="A1809">
        <v>661</v>
      </c>
      <c r="B1809" s="47" t="str">
        <f>VLOOKUP(Tabla6[[#This Row],['# Vuelo]],'Validacion reclamo de equipaje'!P:Q,2,0)</f>
        <v>MEXICO AEREO</v>
      </c>
      <c r="C1809" s="52">
        <v>0.24374999999999999</v>
      </c>
      <c r="D1809" s="52">
        <v>0.25694444444444448</v>
      </c>
      <c r="E1809" s="53">
        <f>'Reclamo de equipaje rediseñado'!$D1809-'Reclamo de equipaje rediseñado'!$C1809</f>
        <v>1.3194444444444481E-2</v>
      </c>
      <c r="F1809" s="52">
        <v>0.27291666666666664</v>
      </c>
      <c r="G1809" s="53">
        <f t="shared" si="28"/>
        <v>1.5972222222222165E-2</v>
      </c>
      <c r="H1809" s="54">
        <v>41743</v>
      </c>
      <c r="I1809" s="55" t="s">
        <v>559</v>
      </c>
      <c r="J1809" s="55" t="s">
        <v>554</v>
      </c>
      <c r="K1809" s="55">
        <f>VLOOKUP(J1809,'Validacion reclamo de equipaje'!L:M,2,0)</f>
        <v>189</v>
      </c>
      <c r="L1809" s="55" t="str">
        <f>VLOOKUP(I1809,'Validacion reclamo de equipaje'!H:I,2,0)</f>
        <v>Internacional</v>
      </c>
      <c r="M1809" s="55" t="s">
        <v>523</v>
      </c>
    </row>
    <row r="1810" spans="1:13" x14ac:dyDescent="0.25">
      <c r="A1810">
        <v>661</v>
      </c>
      <c r="B1810" s="47" t="str">
        <f>VLOOKUP(Tabla6[[#This Row],['# Vuelo]],'Validacion reclamo de equipaje'!P:Q,2,0)</f>
        <v>MEXICO AEREO</v>
      </c>
      <c r="C1810" s="48">
        <v>0.24791666666666667</v>
      </c>
      <c r="D1810" s="48">
        <v>0.25833333333333336</v>
      </c>
      <c r="E1810" s="49">
        <f>'Reclamo de equipaje rediseñado'!$D1810-'Reclamo de equipaje rediseñado'!$C1810</f>
        <v>1.0416666666666685E-2</v>
      </c>
      <c r="F1810" s="48">
        <v>0.28055555555555556</v>
      </c>
      <c r="G1810" s="49">
        <f t="shared" si="28"/>
        <v>2.2222222222222199E-2</v>
      </c>
      <c r="H1810" s="50">
        <v>41745</v>
      </c>
      <c r="I1810" s="51" t="s">
        <v>559</v>
      </c>
      <c r="J1810" s="51" t="s">
        <v>554</v>
      </c>
      <c r="K1810" s="51">
        <f>VLOOKUP(J1810,'Validacion reclamo de equipaje'!L:M,2,0)</f>
        <v>189</v>
      </c>
      <c r="L1810" s="51" t="str">
        <f>VLOOKUP(I1810,'Validacion reclamo de equipaje'!H:I,2,0)</f>
        <v>Internacional</v>
      </c>
      <c r="M1810" s="51" t="s">
        <v>523</v>
      </c>
    </row>
    <row r="1811" spans="1:13" x14ac:dyDescent="0.25">
      <c r="A1811">
        <v>661</v>
      </c>
      <c r="B1811" s="47" t="str">
        <f>VLOOKUP(Tabla6[[#This Row],['# Vuelo]],'Validacion reclamo de equipaje'!P:Q,2,0)</f>
        <v>MEXICO AEREO</v>
      </c>
      <c r="C1811" s="52">
        <v>0.24930555555555556</v>
      </c>
      <c r="D1811" s="52">
        <v>0.26041666666666669</v>
      </c>
      <c r="E1811" s="53">
        <f>'Reclamo de equipaje rediseñado'!$D1811-'Reclamo de equipaje rediseñado'!$C1811</f>
        <v>1.1111111111111127E-2</v>
      </c>
      <c r="F1811" s="52">
        <v>0.26666666666666666</v>
      </c>
      <c r="G1811" s="53">
        <f t="shared" si="28"/>
        <v>6.2499999999999778E-3</v>
      </c>
      <c r="H1811" s="54">
        <v>41745</v>
      </c>
      <c r="I1811" s="55" t="s">
        <v>559</v>
      </c>
      <c r="J1811" s="55" t="s">
        <v>554</v>
      </c>
      <c r="K1811" s="55">
        <f>VLOOKUP(J1811,'Validacion reclamo de equipaje'!L:M,2,0)</f>
        <v>189</v>
      </c>
      <c r="L1811" s="55" t="str">
        <f>VLOOKUP(I1811,'Validacion reclamo de equipaje'!H:I,2,0)</f>
        <v>Internacional</v>
      </c>
      <c r="M1811" s="55" t="s">
        <v>523</v>
      </c>
    </row>
    <row r="1812" spans="1:13" x14ac:dyDescent="0.25">
      <c r="A1812">
        <v>661</v>
      </c>
      <c r="B1812" s="47" t="str">
        <f>VLOOKUP(Tabla6[[#This Row],['# Vuelo]],'Validacion reclamo de equipaje'!P:Q,2,0)</f>
        <v>MEXICO AEREO</v>
      </c>
      <c r="C1812" s="48">
        <v>0.24166666666666667</v>
      </c>
      <c r="D1812" s="48">
        <v>0.25138888888888888</v>
      </c>
      <c r="E1812" s="49">
        <f>'Reclamo de equipaje rediseñado'!$D1812-'Reclamo de equipaje rediseñado'!$C1812</f>
        <v>9.7222222222222154E-3</v>
      </c>
      <c r="F1812" s="48">
        <v>0.27986111111111112</v>
      </c>
      <c r="G1812" s="49">
        <f t="shared" si="28"/>
        <v>2.8472222222222232E-2</v>
      </c>
      <c r="H1812" s="50">
        <v>41746</v>
      </c>
      <c r="I1812" s="51" t="s">
        <v>559</v>
      </c>
      <c r="J1812" s="51" t="s">
        <v>554</v>
      </c>
      <c r="K1812" s="51">
        <f>VLOOKUP(J1812,'Validacion reclamo de equipaje'!L:M,2,0)</f>
        <v>189</v>
      </c>
      <c r="L1812" s="51" t="str">
        <f>VLOOKUP(I1812,'Validacion reclamo de equipaje'!H:I,2,0)</f>
        <v>Internacional</v>
      </c>
      <c r="M1812" s="51" t="s">
        <v>523</v>
      </c>
    </row>
    <row r="1813" spans="1:13" x14ac:dyDescent="0.25">
      <c r="A1813">
        <v>661</v>
      </c>
      <c r="B1813" s="47" t="str">
        <f>VLOOKUP(Tabla6[[#This Row],['# Vuelo]],'Validacion reclamo de equipaje'!P:Q,2,0)</f>
        <v>MEXICO AEREO</v>
      </c>
      <c r="C1813" s="52">
        <v>0.25763888888888892</v>
      </c>
      <c r="D1813" s="52">
        <v>0.26180555555555557</v>
      </c>
      <c r="E1813" s="53">
        <f>'Reclamo de equipaje rediseñado'!$D1813-'Reclamo de equipaje rediseñado'!$C1813</f>
        <v>4.1666666666666519E-3</v>
      </c>
      <c r="F1813" s="52">
        <v>0.27638888888888885</v>
      </c>
      <c r="G1813" s="53">
        <f t="shared" si="28"/>
        <v>1.4583333333333282E-2</v>
      </c>
      <c r="H1813" s="54">
        <v>41749</v>
      </c>
      <c r="I1813" s="55" t="s">
        <v>559</v>
      </c>
      <c r="J1813" s="55" t="s">
        <v>554</v>
      </c>
      <c r="K1813" s="55">
        <f>VLOOKUP(J1813,'Validacion reclamo de equipaje'!L:M,2,0)</f>
        <v>189</v>
      </c>
      <c r="L1813" s="55" t="str">
        <f>VLOOKUP(I1813,'Validacion reclamo de equipaje'!H:I,2,0)</f>
        <v>Internacional</v>
      </c>
      <c r="M1813" s="55" t="s">
        <v>523</v>
      </c>
    </row>
    <row r="1814" spans="1:13" x14ac:dyDescent="0.25">
      <c r="A1814">
        <v>661</v>
      </c>
      <c r="B1814" s="47" t="str">
        <f>VLOOKUP(Tabla6[[#This Row],['# Vuelo]],'Validacion reclamo de equipaje'!P:Q,2,0)</f>
        <v>MEXICO AEREO</v>
      </c>
      <c r="C1814" s="48">
        <v>0.26874999999999999</v>
      </c>
      <c r="D1814" s="48">
        <v>0.28263888888888888</v>
      </c>
      <c r="E1814" s="49">
        <f>'Reclamo de equipaje rediseñado'!$D1814-'Reclamo de equipaje rediseñado'!$C1814</f>
        <v>1.3888888888888895E-2</v>
      </c>
      <c r="F1814" s="48">
        <v>0.2902777777777778</v>
      </c>
      <c r="G1814" s="49">
        <f t="shared" si="28"/>
        <v>7.6388888888889173E-3</v>
      </c>
      <c r="H1814" s="50">
        <v>41749</v>
      </c>
      <c r="I1814" s="51" t="s">
        <v>559</v>
      </c>
      <c r="J1814" s="51" t="s">
        <v>554</v>
      </c>
      <c r="K1814" s="51">
        <f>VLOOKUP(J1814,'Validacion reclamo de equipaje'!L:M,2,0)</f>
        <v>189</v>
      </c>
      <c r="L1814" s="51" t="str">
        <f>VLOOKUP(I1814,'Validacion reclamo de equipaje'!H:I,2,0)</f>
        <v>Internacional</v>
      </c>
      <c r="M1814" s="51" t="s">
        <v>523</v>
      </c>
    </row>
    <row r="1815" spans="1:13" x14ac:dyDescent="0.25">
      <c r="A1815">
        <v>661</v>
      </c>
      <c r="B1815" s="47" t="str">
        <f>VLOOKUP(Tabla6[[#This Row],['# Vuelo]],'Validacion reclamo de equipaje'!P:Q,2,0)</f>
        <v>MEXICO AEREO</v>
      </c>
      <c r="C1815" s="52">
        <v>0.2590277777777778</v>
      </c>
      <c r="D1815" s="52">
        <v>0.26666666666666666</v>
      </c>
      <c r="E1815" s="53">
        <f>'Reclamo de equipaje rediseñado'!$D1815-'Reclamo de equipaje rediseñado'!$C1815</f>
        <v>7.6388888888888618E-3</v>
      </c>
      <c r="F1815" s="52">
        <v>0.29166666666666669</v>
      </c>
      <c r="G1815" s="53">
        <f t="shared" si="28"/>
        <v>2.5000000000000022E-2</v>
      </c>
      <c r="H1815" s="54">
        <v>41751</v>
      </c>
      <c r="I1815" s="55" t="s">
        <v>559</v>
      </c>
      <c r="J1815" s="55" t="s">
        <v>554</v>
      </c>
      <c r="K1815" s="55">
        <f>VLOOKUP(J1815,'Validacion reclamo de equipaje'!L:M,2,0)</f>
        <v>189</v>
      </c>
      <c r="L1815" s="55" t="str">
        <f>VLOOKUP(I1815,'Validacion reclamo de equipaje'!H:I,2,0)</f>
        <v>Internacional</v>
      </c>
      <c r="M1815" s="55" t="s">
        <v>523</v>
      </c>
    </row>
    <row r="1816" spans="1:13" x14ac:dyDescent="0.25">
      <c r="A1816">
        <v>661</v>
      </c>
      <c r="B1816" s="47" t="str">
        <f>VLOOKUP(Tabla6[[#This Row],['# Vuelo]],'Validacion reclamo de equipaje'!P:Q,2,0)</f>
        <v>MEXICO AEREO</v>
      </c>
      <c r="C1816" s="48">
        <v>0.24236111111111111</v>
      </c>
      <c r="D1816" s="48">
        <v>0.25763888888888892</v>
      </c>
      <c r="E1816" s="49">
        <f>'Reclamo de equipaje rediseñado'!$D1816-'Reclamo de equipaje rediseñado'!$C1816</f>
        <v>1.5277777777777807E-2</v>
      </c>
      <c r="F1816" s="48">
        <v>0.27152777777777776</v>
      </c>
      <c r="G1816" s="49">
        <f t="shared" si="28"/>
        <v>1.388888888888884E-2</v>
      </c>
      <c r="H1816" s="50">
        <v>41752</v>
      </c>
      <c r="I1816" s="51" t="s">
        <v>559</v>
      </c>
      <c r="J1816" s="51" t="s">
        <v>554</v>
      </c>
      <c r="K1816" s="51">
        <f>VLOOKUP(J1816,'Validacion reclamo de equipaje'!L:M,2,0)</f>
        <v>189</v>
      </c>
      <c r="L1816" s="51" t="str">
        <f>VLOOKUP(I1816,'Validacion reclamo de equipaje'!H:I,2,0)</f>
        <v>Internacional</v>
      </c>
      <c r="M1816" s="51" t="s">
        <v>523</v>
      </c>
    </row>
    <row r="1817" spans="1:13" x14ac:dyDescent="0.25">
      <c r="A1817">
        <v>661</v>
      </c>
      <c r="B1817" s="47" t="str">
        <f>VLOOKUP(Tabla6[[#This Row],['# Vuelo]],'Validacion reclamo de equipaje'!P:Q,2,0)</f>
        <v>MEXICO AEREO</v>
      </c>
      <c r="C1817" s="52">
        <v>0.25833333333333336</v>
      </c>
      <c r="D1817" s="52">
        <v>0.26111111111111113</v>
      </c>
      <c r="E1817" s="53">
        <f>'Reclamo de equipaje rediseñado'!$D1817-'Reclamo de equipaje rediseñado'!$C1817</f>
        <v>2.7777777777777679E-3</v>
      </c>
      <c r="F1817" s="52">
        <v>0.27638888888888885</v>
      </c>
      <c r="G1817" s="53">
        <f t="shared" si="28"/>
        <v>1.5277777777777724E-2</v>
      </c>
      <c r="H1817" s="54">
        <v>41752</v>
      </c>
      <c r="I1817" s="55" t="s">
        <v>559</v>
      </c>
      <c r="J1817" s="55" t="s">
        <v>554</v>
      </c>
      <c r="K1817" s="55">
        <f>VLOOKUP(J1817,'Validacion reclamo de equipaje'!L:M,2,0)</f>
        <v>189</v>
      </c>
      <c r="L1817" s="55" t="str">
        <f>VLOOKUP(I1817,'Validacion reclamo de equipaje'!H:I,2,0)</f>
        <v>Internacional</v>
      </c>
      <c r="M1817" s="55" t="s">
        <v>523</v>
      </c>
    </row>
    <row r="1818" spans="1:13" x14ac:dyDescent="0.25">
      <c r="A1818">
        <v>661</v>
      </c>
      <c r="B1818" s="47" t="str">
        <f>VLOOKUP(Tabla6[[#This Row],['# Vuelo]],'Validacion reclamo de equipaje'!P:Q,2,0)</f>
        <v>MEXICO AEREO</v>
      </c>
      <c r="C1818" s="48">
        <v>0.24305555555555555</v>
      </c>
      <c r="D1818" s="48">
        <v>0.25</v>
      </c>
      <c r="E1818" s="49">
        <f>'Reclamo de equipaje rediseñado'!$D1818-'Reclamo de equipaje rediseñado'!$C1818</f>
        <v>6.9444444444444475E-3</v>
      </c>
      <c r="F1818" s="48">
        <v>0.25347222222222221</v>
      </c>
      <c r="G1818" s="49">
        <f t="shared" si="28"/>
        <v>3.4722222222222099E-3</v>
      </c>
      <c r="H1818" s="50">
        <v>41754</v>
      </c>
      <c r="I1818" s="51" t="s">
        <v>559</v>
      </c>
      <c r="J1818" s="51" t="s">
        <v>554</v>
      </c>
      <c r="K1818" s="51">
        <f>VLOOKUP(J1818,'Validacion reclamo de equipaje'!L:M,2,0)</f>
        <v>189</v>
      </c>
      <c r="L1818" s="51" t="str">
        <f>VLOOKUP(I1818,'Validacion reclamo de equipaje'!H:I,2,0)</f>
        <v>Internacional</v>
      </c>
      <c r="M1818" s="51" t="s">
        <v>523</v>
      </c>
    </row>
    <row r="1819" spans="1:13" x14ac:dyDescent="0.25">
      <c r="A1819">
        <v>661</v>
      </c>
      <c r="B1819" s="47" t="str">
        <f>VLOOKUP(Tabla6[[#This Row],['# Vuelo]],'Validacion reclamo de equipaje'!P:Q,2,0)</f>
        <v>MEXICO AEREO</v>
      </c>
      <c r="C1819" s="52">
        <v>0.26319444444444445</v>
      </c>
      <c r="D1819" s="52">
        <v>0.27361111111111108</v>
      </c>
      <c r="E1819" s="53">
        <f>'Reclamo de equipaje rediseñado'!$D1819-'Reclamo de equipaje rediseñado'!$C1819</f>
        <v>1.041666666666663E-2</v>
      </c>
      <c r="F1819" s="52">
        <v>0.3</v>
      </c>
      <c r="G1819" s="53">
        <f t="shared" si="28"/>
        <v>2.6388888888888906E-2</v>
      </c>
      <c r="H1819" s="54">
        <v>41755</v>
      </c>
      <c r="I1819" s="55" t="s">
        <v>559</v>
      </c>
      <c r="J1819" s="55" t="s">
        <v>554</v>
      </c>
      <c r="K1819" s="55">
        <f>VLOOKUP(J1819,'Validacion reclamo de equipaje'!L:M,2,0)</f>
        <v>189</v>
      </c>
      <c r="L1819" s="55" t="str">
        <f>VLOOKUP(I1819,'Validacion reclamo de equipaje'!H:I,2,0)</f>
        <v>Internacional</v>
      </c>
      <c r="M1819" s="55" t="s">
        <v>523</v>
      </c>
    </row>
    <row r="1820" spans="1:13" x14ac:dyDescent="0.25">
      <c r="A1820">
        <v>661</v>
      </c>
      <c r="B1820" s="47" t="str">
        <f>VLOOKUP(Tabla6[[#This Row],['# Vuelo]],'Validacion reclamo de equipaje'!P:Q,2,0)</f>
        <v>MEXICO AEREO</v>
      </c>
      <c r="C1820" s="48">
        <v>0.25208333333333333</v>
      </c>
      <c r="D1820" s="48">
        <v>0.28125</v>
      </c>
      <c r="E1820" s="49">
        <f>'Reclamo de equipaje rediseñado'!$D1820-'Reclamo de equipaje rediseñado'!$C1820</f>
        <v>2.9166666666666674E-2</v>
      </c>
      <c r="F1820" s="48">
        <v>0.29444444444444445</v>
      </c>
      <c r="G1820" s="49">
        <f t="shared" si="28"/>
        <v>1.3194444444444453E-2</v>
      </c>
      <c r="H1820" s="50">
        <v>41756</v>
      </c>
      <c r="I1820" s="51" t="s">
        <v>559</v>
      </c>
      <c r="J1820" s="51" t="s">
        <v>554</v>
      </c>
      <c r="K1820" s="51">
        <f>VLOOKUP(J1820,'Validacion reclamo de equipaje'!L:M,2,0)</f>
        <v>189</v>
      </c>
      <c r="L1820" s="51" t="str">
        <f>VLOOKUP(I1820,'Validacion reclamo de equipaje'!H:I,2,0)</f>
        <v>Internacional</v>
      </c>
      <c r="M1820" s="51" t="s">
        <v>523</v>
      </c>
    </row>
    <row r="1821" spans="1:13" x14ac:dyDescent="0.25">
      <c r="A1821">
        <v>661</v>
      </c>
      <c r="B1821" s="47" t="str">
        <f>VLOOKUP(Tabla6[[#This Row],['# Vuelo]],'Validacion reclamo de equipaje'!P:Q,2,0)</f>
        <v>MEXICO AEREO</v>
      </c>
      <c r="C1821" s="52">
        <v>0.25277777777777777</v>
      </c>
      <c r="D1821" s="52">
        <v>0.25833333333333336</v>
      </c>
      <c r="E1821" s="53">
        <f>'Reclamo de equipaje rediseñado'!$D1821-'Reclamo de equipaje rediseñado'!$C1821</f>
        <v>5.5555555555555913E-3</v>
      </c>
      <c r="F1821" s="52">
        <v>0.27430555555555552</v>
      </c>
      <c r="G1821" s="53">
        <f t="shared" si="28"/>
        <v>1.5972222222222165E-2</v>
      </c>
      <c r="H1821" s="54">
        <v>41757</v>
      </c>
      <c r="I1821" s="55" t="s">
        <v>559</v>
      </c>
      <c r="J1821" s="55" t="s">
        <v>554</v>
      </c>
      <c r="K1821" s="55">
        <f>VLOOKUP(J1821,'Validacion reclamo de equipaje'!L:M,2,0)</f>
        <v>189</v>
      </c>
      <c r="L1821" s="55" t="str">
        <f>VLOOKUP(I1821,'Validacion reclamo de equipaje'!H:I,2,0)</f>
        <v>Internacional</v>
      </c>
      <c r="M1821" s="55" t="s">
        <v>523</v>
      </c>
    </row>
    <row r="1822" spans="1:13" x14ac:dyDescent="0.25">
      <c r="A1822">
        <v>661</v>
      </c>
      <c r="B1822" s="47" t="str">
        <f>VLOOKUP(Tabla6[[#This Row],['# Vuelo]],'Validacion reclamo de equipaje'!P:Q,2,0)</f>
        <v>MEXICO AEREO</v>
      </c>
      <c r="C1822" s="48">
        <v>0.26666666666666666</v>
      </c>
      <c r="D1822" s="48">
        <v>0.27777777777777779</v>
      </c>
      <c r="E1822" s="49">
        <f>'Reclamo de equipaje rediseñado'!$D1822-'Reclamo de equipaje rediseñado'!$C1822</f>
        <v>1.1111111111111127E-2</v>
      </c>
      <c r="F1822" s="48">
        <v>0.29583333333333334</v>
      </c>
      <c r="G1822" s="49">
        <f t="shared" si="28"/>
        <v>1.8055555555555547E-2</v>
      </c>
      <c r="H1822" s="50">
        <v>41759</v>
      </c>
      <c r="I1822" s="51" t="s">
        <v>559</v>
      </c>
      <c r="J1822" s="51" t="s">
        <v>554</v>
      </c>
      <c r="K1822" s="51">
        <f>VLOOKUP(J1822,'Validacion reclamo de equipaje'!L:M,2,0)</f>
        <v>189</v>
      </c>
      <c r="L1822" s="51" t="str">
        <f>VLOOKUP(I1822,'Validacion reclamo de equipaje'!H:I,2,0)</f>
        <v>Internacional</v>
      </c>
      <c r="M1822" s="51" t="s">
        <v>523</v>
      </c>
    </row>
    <row r="1823" spans="1:13" x14ac:dyDescent="0.25">
      <c r="A1823">
        <v>661</v>
      </c>
      <c r="B1823" s="47" t="str">
        <f>VLOOKUP(Tabla6[[#This Row],['# Vuelo]],'Validacion reclamo de equipaje'!P:Q,2,0)</f>
        <v>MEXICO AEREO</v>
      </c>
      <c r="C1823" s="52">
        <v>0.63541666666666663</v>
      </c>
      <c r="D1823" s="52">
        <v>0.64097222222222217</v>
      </c>
      <c r="E1823" s="53">
        <f>'Reclamo de equipaje rediseñado'!$D1823-'Reclamo de equipaje rediseñado'!$C1823</f>
        <v>5.5555555555555358E-3</v>
      </c>
      <c r="F1823" s="52">
        <v>0.64583333333333337</v>
      </c>
      <c r="G1823" s="53">
        <f t="shared" si="28"/>
        <v>4.8611111111112049E-3</v>
      </c>
      <c r="H1823" s="54">
        <v>41743</v>
      </c>
      <c r="I1823" s="55" t="s">
        <v>559</v>
      </c>
      <c r="J1823" s="55" t="s">
        <v>554</v>
      </c>
      <c r="K1823" s="55">
        <f>VLOOKUP(J1823,'Validacion reclamo de equipaje'!L:M,2,0)</f>
        <v>189</v>
      </c>
      <c r="L1823" s="55" t="str">
        <f>VLOOKUP(I1823,'Validacion reclamo de equipaje'!H:I,2,0)</f>
        <v>Internacional</v>
      </c>
      <c r="M1823" s="55" t="s">
        <v>523</v>
      </c>
    </row>
    <row r="1824" spans="1:13" x14ac:dyDescent="0.25">
      <c r="A1824">
        <v>466</v>
      </c>
      <c r="B1824" s="47" t="str">
        <f>VLOOKUP(Tabla6[[#This Row],['# Vuelo]],'Validacion reclamo de equipaje'!P:Q,2,0)</f>
        <v>MEXICO AEREO</v>
      </c>
      <c r="C1824" s="48">
        <v>0.93263888888888891</v>
      </c>
      <c r="D1824" s="48">
        <v>0.93958333333333333</v>
      </c>
      <c r="E1824" s="49">
        <f>'Reclamo de equipaje rediseñado'!$D1824-'Reclamo de equipaje rediseñado'!$C1824</f>
        <v>6.9444444444444198E-3</v>
      </c>
      <c r="F1824" s="48">
        <v>0.9458333333333333</v>
      </c>
      <c r="G1824" s="49">
        <f t="shared" si="28"/>
        <v>6.2499999999999778E-3</v>
      </c>
      <c r="H1824" s="50">
        <v>41730</v>
      </c>
      <c r="I1824" s="51" t="s">
        <v>536</v>
      </c>
      <c r="J1824" s="51" t="s">
        <v>560</v>
      </c>
      <c r="K1824" s="51">
        <f>VLOOKUP(J1824,'Validacion reclamo de equipaje'!L:M,2,0)</f>
        <v>126</v>
      </c>
      <c r="L1824" s="51" t="str">
        <f>VLOOKUP(I1824,'Validacion reclamo de equipaje'!H:I,2,0)</f>
        <v>Nacional</v>
      </c>
      <c r="M1824" s="51" t="s">
        <v>523</v>
      </c>
    </row>
    <row r="1825" spans="1:13" x14ac:dyDescent="0.25">
      <c r="A1825">
        <v>466</v>
      </c>
      <c r="B1825" s="47" t="str">
        <f>VLOOKUP(Tabla6[[#This Row],['# Vuelo]],'Validacion reclamo de equipaje'!P:Q,2,0)</f>
        <v>MEXICO AEREO</v>
      </c>
      <c r="C1825" s="52">
        <v>0.90138888888888891</v>
      </c>
      <c r="D1825" s="52">
        <v>0.90763888888888899</v>
      </c>
      <c r="E1825" s="53">
        <f>'Reclamo de equipaje rediseñado'!$D1825-'Reclamo de equipaje rediseñado'!$C1825</f>
        <v>6.2500000000000888E-3</v>
      </c>
      <c r="F1825" s="52">
        <v>0.92361111111111116</v>
      </c>
      <c r="G1825" s="53">
        <f t="shared" si="28"/>
        <v>1.5972222222222165E-2</v>
      </c>
      <c r="H1825" s="54">
        <v>41731</v>
      </c>
      <c r="I1825" s="55" t="s">
        <v>536</v>
      </c>
      <c r="J1825" s="55" t="s">
        <v>560</v>
      </c>
      <c r="K1825" s="55">
        <f>VLOOKUP(J1825,'Validacion reclamo de equipaje'!L:M,2,0)</f>
        <v>126</v>
      </c>
      <c r="L1825" s="55" t="str">
        <f>VLOOKUP(I1825,'Validacion reclamo de equipaje'!H:I,2,0)</f>
        <v>Nacional</v>
      </c>
      <c r="M1825" s="55" t="s">
        <v>523</v>
      </c>
    </row>
    <row r="1826" spans="1:13" x14ac:dyDescent="0.25">
      <c r="A1826">
        <v>466</v>
      </c>
      <c r="B1826" s="47" t="str">
        <f>VLOOKUP(Tabla6[[#This Row],['# Vuelo]],'Validacion reclamo de equipaje'!P:Q,2,0)</f>
        <v>MEXICO AEREO</v>
      </c>
      <c r="C1826" s="48">
        <v>0.95694444444444438</v>
      </c>
      <c r="D1826" s="48">
        <v>0.96111111111111114</v>
      </c>
      <c r="E1826" s="49">
        <f>'Reclamo de equipaje rediseñado'!$D1826-'Reclamo de equipaje rediseñado'!$C1826</f>
        <v>4.1666666666667629E-3</v>
      </c>
      <c r="F1826" s="48">
        <v>0.97152777777777777</v>
      </c>
      <c r="G1826" s="49">
        <f t="shared" si="28"/>
        <v>1.041666666666663E-2</v>
      </c>
      <c r="H1826" s="50">
        <v>41732</v>
      </c>
      <c r="I1826" s="51" t="s">
        <v>536</v>
      </c>
      <c r="J1826" s="51" t="s">
        <v>560</v>
      </c>
      <c r="K1826" s="51">
        <f>VLOOKUP(J1826,'Validacion reclamo de equipaje'!L:M,2,0)</f>
        <v>126</v>
      </c>
      <c r="L1826" s="51" t="str">
        <f>VLOOKUP(I1826,'Validacion reclamo de equipaje'!H:I,2,0)</f>
        <v>Nacional</v>
      </c>
      <c r="M1826" s="51" t="s">
        <v>523</v>
      </c>
    </row>
    <row r="1827" spans="1:13" x14ac:dyDescent="0.25">
      <c r="A1827">
        <v>466</v>
      </c>
      <c r="B1827" s="47" t="str">
        <f>VLOOKUP(Tabla6[[#This Row],['# Vuelo]],'Validacion reclamo de equipaje'!P:Q,2,0)</f>
        <v>MEXICO AEREO</v>
      </c>
      <c r="C1827" s="52">
        <v>0.88888888888888884</v>
      </c>
      <c r="D1827" s="52">
        <v>0.89583333333333337</v>
      </c>
      <c r="E1827" s="53">
        <f>'Reclamo de equipaje rediseñado'!$D1827-'Reclamo de equipaje rediseñado'!$C1827</f>
        <v>6.9444444444445308E-3</v>
      </c>
      <c r="F1827" s="52">
        <v>0.91527777777777775</v>
      </c>
      <c r="G1827" s="53">
        <f t="shared" si="28"/>
        <v>1.9444444444444375E-2</v>
      </c>
      <c r="H1827" s="54">
        <v>41736</v>
      </c>
      <c r="I1827" s="55" t="s">
        <v>536</v>
      </c>
      <c r="J1827" s="55" t="s">
        <v>560</v>
      </c>
      <c r="K1827" s="55">
        <f>VLOOKUP(J1827,'Validacion reclamo de equipaje'!L:M,2,0)</f>
        <v>126</v>
      </c>
      <c r="L1827" s="55" t="str">
        <f>VLOOKUP(I1827,'Validacion reclamo de equipaje'!H:I,2,0)</f>
        <v>Nacional</v>
      </c>
      <c r="M1827" s="55" t="s">
        <v>523</v>
      </c>
    </row>
    <row r="1828" spans="1:13" x14ac:dyDescent="0.25">
      <c r="A1828">
        <v>466</v>
      </c>
      <c r="B1828" s="47" t="str">
        <f>VLOOKUP(Tabla6[[#This Row],['# Vuelo]],'Validacion reclamo de equipaje'!P:Q,2,0)</f>
        <v>MEXICO AEREO</v>
      </c>
      <c r="C1828" s="48">
        <v>0.89444444444444438</v>
      </c>
      <c r="D1828" s="48">
        <v>0.89861111111111114</v>
      </c>
      <c r="E1828" s="49">
        <f>'Reclamo de equipaje rediseñado'!$D1828-'Reclamo de equipaje rediseñado'!$C1828</f>
        <v>4.1666666666667629E-3</v>
      </c>
      <c r="F1828" s="48">
        <v>0.90277777777777779</v>
      </c>
      <c r="G1828" s="49">
        <f t="shared" si="28"/>
        <v>4.1666666666666519E-3</v>
      </c>
      <c r="H1828" s="50">
        <v>41736</v>
      </c>
      <c r="I1828" s="51" t="s">
        <v>536</v>
      </c>
      <c r="J1828" s="51" t="s">
        <v>560</v>
      </c>
      <c r="K1828" s="51">
        <f>VLOOKUP(J1828,'Validacion reclamo de equipaje'!L:M,2,0)</f>
        <v>126</v>
      </c>
      <c r="L1828" s="51" t="str">
        <f>VLOOKUP(I1828,'Validacion reclamo de equipaje'!H:I,2,0)</f>
        <v>Nacional</v>
      </c>
      <c r="M1828" s="51" t="s">
        <v>523</v>
      </c>
    </row>
    <row r="1829" spans="1:13" x14ac:dyDescent="0.25">
      <c r="A1829">
        <v>466</v>
      </c>
      <c r="B1829" s="47" t="str">
        <f>VLOOKUP(Tabla6[[#This Row],['# Vuelo]],'Validacion reclamo de equipaje'!P:Q,2,0)</f>
        <v>MEXICO AEREO</v>
      </c>
      <c r="C1829" s="52">
        <v>0.89513888888888893</v>
      </c>
      <c r="D1829" s="52">
        <v>0.89861111111111114</v>
      </c>
      <c r="E1829" s="53">
        <f>'Reclamo de equipaje rediseñado'!$D1829-'Reclamo de equipaje rediseñado'!$C1829</f>
        <v>3.4722222222222099E-3</v>
      </c>
      <c r="F1829" s="52">
        <v>0.91041666666666676</v>
      </c>
      <c r="G1829" s="53">
        <f t="shared" si="28"/>
        <v>1.1805555555555625E-2</v>
      </c>
      <c r="H1829" s="54">
        <v>41739</v>
      </c>
      <c r="I1829" s="55" t="s">
        <v>536</v>
      </c>
      <c r="J1829" s="55" t="s">
        <v>560</v>
      </c>
      <c r="K1829" s="55">
        <f>VLOOKUP(J1829,'Validacion reclamo de equipaje'!L:M,2,0)</f>
        <v>126</v>
      </c>
      <c r="L1829" s="55" t="str">
        <f>VLOOKUP(I1829,'Validacion reclamo de equipaje'!H:I,2,0)</f>
        <v>Nacional</v>
      </c>
      <c r="M1829" s="55" t="s">
        <v>523</v>
      </c>
    </row>
    <row r="1830" spans="1:13" x14ac:dyDescent="0.25">
      <c r="A1830">
        <v>466</v>
      </c>
      <c r="B1830" s="47" t="str">
        <f>VLOOKUP(Tabla6[[#This Row],['# Vuelo]],'Validacion reclamo de equipaje'!P:Q,2,0)</f>
        <v>MEXICO AEREO</v>
      </c>
      <c r="C1830" s="48">
        <v>0.89722222222222225</v>
      </c>
      <c r="D1830" s="48">
        <v>0.90208333333333324</v>
      </c>
      <c r="E1830" s="49">
        <f>'Reclamo de equipaje rediseñado'!$D1830-'Reclamo de equipaje rediseñado'!$C1830</f>
        <v>4.8611111111109828E-3</v>
      </c>
      <c r="F1830" s="48">
        <v>0.91666666666666663</v>
      </c>
      <c r="G1830" s="49">
        <f t="shared" si="28"/>
        <v>1.4583333333333393E-2</v>
      </c>
      <c r="H1830" s="50">
        <v>41740</v>
      </c>
      <c r="I1830" s="51" t="s">
        <v>536</v>
      </c>
      <c r="J1830" s="51" t="s">
        <v>560</v>
      </c>
      <c r="K1830" s="51">
        <f>VLOOKUP(J1830,'Validacion reclamo de equipaje'!L:M,2,0)</f>
        <v>126</v>
      </c>
      <c r="L1830" s="51" t="str">
        <f>VLOOKUP(I1830,'Validacion reclamo de equipaje'!H:I,2,0)</f>
        <v>Nacional</v>
      </c>
      <c r="M1830" s="51" t="s">
        <v>523</v>
      </c>
    </row>
    <row r="1831" spans="1:13" x14ac:dyDescent="0.25">
      <c r="A1831">
        <v>466</v>
      </c>
      <c r="B1831" s="47" t="str">
        <f>VLOOKUP(Tabla6[[#This Row],['# Vuelo]],'Validacion reclamo de equipaje'!P:Q,2,0)</f>
        <v>MEXICO AEREO</v>
      </c>
      <c r="C1831" s="52">
        <v>0.93263888888888891</v>
      </c>
      <c r="D1831" s="52">
        <v>0.93958333333333333</v>
      </c>
      <c r="E1831" s="53">
        <f>'Reclamo de equipaje rediseñado'!$D1831-'Reclamo de equipaje rediseñado'!$C1831</f>
        <v>6.9444444444444198E-3</v>
      </c>
      <c r="F1831" s="52">
        <v>0.9458333333333333</v>
      </c>
      <c r="G1831" s="53">
        <f t="shared" si="28"/>
        <v>6.2499999999999778E-3</v>
      </c>
      <c r="H1831" s="54">
        <v>41742</v>
      </c>
      <c r="I1831" s="55" t="s">
        <v>536</v>
      </c>
      <c r="J1831" s="55" t="s">
        <v>560</v>
      </c>
      <c r="K1831" s="55">
        <f>VLOOKUP(J1831,'Validacion reclamo de equipaje'!L:M,2,0)</f>
        <v>126</v>
      </c>
      <c r="L1831" s="55" t="str">
        <f>VLOOKUP(I1831,'Validacion reclamo de equipaje'!H:I,2,0)</f>
        <v>Nacional</v>
      </c>
      <c r="M1831" s="55" t="s">
        <v>523</v>
      </c>
    </row>
    <row r="1832" spans="1:13" x14ac:dyDescent="0.25">
      <c r="A1832">
        <v>466</v>
      </c>
      <c r="B1832" s="47" t="str">
        <f>VLOOKUP(Tabla6[[#This Row],['# Vuelo]],'Validacion reclamo de equipaje'!P:Q,2,0)</f>
        <v>MEXICO AEREO</v>
      </c>
      <c r="C1832" s="48">
        <v>0.90486111111111101</v>
      </c>
      <c r="D1832" s="48">
        <v>0.90972222222222221</v>
      </c>
      <c r="E1832" s="49">
        <f>'Reclamo de equipaje rediseñado'!$D1832-'Reclamo de equipaje rediseñado'!$C1832</f>
        <v>4.8611111111112049E-3</v>
      </c>
      <c r="F1832" s="48">
        <v>0.91736111111111107</v>
      </c>
      <c r="G1832" s="49">
        <f t="shared" si="28"/>
        <v>7.6388888888888618E-3</v>
      </c>
      <c r="H1832" s="50">
        <v>41743</v>
      </c>
      <c r="I1832" s="51" t="s">
        <v>536</v>
      </c>
      <c r="J1832" s="51" t="s">
        <v>560</v>
      </c>
      <c r="K1832" s="51">
        <f>VLOOKUP(J1832,'Validacion reclamo de equipaje'!L:M,2,0)</f>
        <v>126</v>
      </c>
      <c r="L1832" s="51" t="str">
        <f>VLOOKUP(I1832,'Validacion reclamo de equipaje'!H:I,2,0)</f>
        <v>Nacional</v>
      </c>
      <c r="M1832" s="51" t="s">
        <v>523</v>
      </c>
    </row>
    <row r="1833" spans="1:13" x14ac:dyDescent="0.25">
      <c r="A1833">
        <v>466</v>
      </c>
      <c r="B1833" s="47" t="str">
        <f>VLOOKUP(Tabla6[[#This Row],['# Vuelo]],'Validacion reclamo de equipaje'!P:Q,2,0)</f>
        <v>MEXICO AEREO</v>
      </c>
      <c r="C1833" s="52">
        <v>0.91388888888888886</v>
      </c>
      <c r="D1833" s="52">
        <v>0.91875000000000007</v>
      </c>
      <c r="E1833" s="53">
        <f>'Reclamo de equipaje rediseñado'!$D1833-'Reclamo de equipaje rediseñado'!$C1833</f>
        <v>4.8611111111112049E-3</v>
      </c>
      <c r="F1833" s="52">
        <v>0.9243055555555556</v>
      </c>
      <c r="G1833" s="53">
        <f t="shared" si="28"/>
        <v>5.5555555555555358E-3</v>
      </c>
      <c r="H1833" s="54">
        <v>41745</v>
      </c>
      <c r="I1833" s="55" t="s">
        <v>536</v>
      </c>
      <c r="J1833" s="55" t="s">
        <v>560</v>
      </c>
      <c r="K1833" s="55">
        <f>VLOOKUP(J1833,'Validacion reclamo de equipaje'!L:M,2,0)</f>
        <v>126</v>
      </c>
      <c r="L1833" s="55" t="str">
        <f>VLOOKUP(I1833,'Validacion reclamo de equipaje'!H:I,2,0)</f>
        <v>Nacional</v>
      </c>
      <c r="M1833" s="55" t="s">
        <v>523</v>
      </c>
    </row>
    <row r="1834" spans="1:13" x14ac:dyDescent="0.25">
      <c r="A1834">
        <v>466</v>
      </c>
      <c r="B1834" s="47" t="str">
        <f>VLOOKUP(Tabla6[[#This Row],['# Vuelo]],'Validacion reclamo de equipaje'!P:Q,2,0)</f>
        <v>MEXICO AEREO</v>
      </c>
      <c r="C1834" s="48">
        <v>0.9243055555555556</v>
      </c>
      <c r="D1834" s="48">
        <v>0.92638888888888893</v>
      </c>
      <c r="E1834" s="49">
        <f>'Reclamo de equipaje rediseñado'!$D1834-'Reclamo de equipaje rediseñado'!$C1834</f>
        <v>2.0833333333333259E-3</v>
      </c>
      <c r="F1834" s="48">
        <v>0.9291666666666667</v>
      </c>
      <c r="G1834" s="49">
        <f t="shared" si="28"/>
        <v>2.7777777777777679E-3</v>
      </c>
      <c r="H1834" s="50">
        <v>41744</v>
      </c>
      <c r="I1834" s="51" t="s">
        <v>536</v>
      </c>
      <c r="J1834" s="51" t="s">
        <v>560</v>
      </c>
      <c r="K1834" s="51">
        <f>VLOOKUP(J1834,'Validacion reclamo de equipaje'!L:M,2,0)</f>
        <v>126</v>
      </c>
      <c r="L1834" s="51" t="str">
        <f>VLOOKUP(I1834,'Validacion reclamo de equipaje'!H:I,2,0)</f>
        <v>Nacional</v>
      </c>
      <c r="M1834" s="51" t="s">
        <v>523</v>
      </c>
    </row>
    <row r="1835" spans="1:13" x14ac:dyDescent="0.25">
      <c r="A1835">
        <v>466</v>
      </c>
      <c r="B1835" s="47" t="str">
        <f>VLOOKUP(Tabla6[[#This Row],['# Vuelo]],'Validacion reclamo de equipaje'!P:Q,2,0)</f>
        <v>MEXICO AEREO</v>
      </c>
      <c r="C1835" s="52">
        <v>0.87638888888888899</v>
      </c>
      <c r="D1835" s="52">
        <v>0.8833333333333333</v>
      </c>
      <c r="E1835" s="53">
        <f>'Reclamo de equipaje rediseñado'!$D1835-'Reclamo de equipaje rediseñado'!$C1835</f>
        <v>6.9444444444443088E-3</v>
      </c>
      <c r="F1835" s="52">
        <v>0.88750000000000007</v>
      </c>
      <c r="G1835" s="53">
        <f t="shared" si="28"/>
        <v>4.1666666666667629E-3</v>
      </c>
      <c r="H1835" s="54">
        <v>41746</v>
      </c>
      <c r="I1835" s="55" t="s">
        <v>536</v>
      </c>
      <c r="J1835" s="55" t="s">
        <v>560</v>
      </c>
      <c r="K1835" s="55">
        <f>VLOOKUP(J1835,'Validacion reclamo de equipaje'!L:M,2,0)</f>
        <v>126</v>
      </c>
      <c r="L1835" s="55" t="str">
        <f>VLOOKUP(I1835,'Validacion reclamo de equipaje'!H:I,2,0)</f>
        <v>Nacional</v>
      </c>
      <c r="M1835" s="55" t="s">
        <v>523</v>
      </c>
    </row>
    <row r="1836" spans="1:13" x14ac:dyDescent="0.25">
      <c r="A1836">
        <v>466</v>
      </c>
      <c r="B1836" s="47" t="str">
        <f>VLOOKUP(Tabla6[[#This Row],['# Vuelo]],'Validacion reclamo de equipaje'!P:Q,2,0)</f>
        <v>MEXICO AEREO</v>
      </c>
      <c r="C1836" s="48">
        <v>0.92013888888888884</v>
      </c>
      <c r="D1836" s="48">
        <v>0.92708333333333337</v>
      </c>
      <c r="E1836" s="49">
        <f>'Reclamo de equipaje rediseñado'!$D1836-'Reclamo de equipaje rediseñado'!$C1836</f>
        <v>6.9444444444445308E-3</v>
      </c>
      <c r="F1836" s="48">
        <v>0.93819444444444444</v>
      </c>
      <c r="G1836" s="49">
        <f t="shared" si="28"/>
        <v>1.1111111111111072E-2</v>
      </c>
      <c r="H1836" s="50">
        <v>41749</v>
      </c>
      <c r="I1836" s="51" t="s">
        <v>536</v>
      </c>
      <c r="J1836" s="51" t="s">
        <v>560</v>
      </c>
      <c r="K1836" s="51">
        <f>VLOOKUP(J1836,'Validacion reclamo de equipaje'!L:M,2,0)</f>
        <v>126</v>
      </c>
      <c r="L1836" s="51" t="str">
        <f>VLOOKUP(I1836,'Validacion reclamo de equipaje'!H:I,2,0)</f>
        <v>Nacional</v>
      </c>
      <c r="M1836" s="51" t="s">
        <v>523</v>
      </c>
    </row>
    <row r="1837" spans="1:13" x14ac:dyDescent="0.25">
      <c r="A1837">
        <v>466</v>
      </c>
      <c r="B1837" s="47" t="str">
        <f>VLOOKUP(Tabla6[[#This Row],['# Vuelo]],'Validacion reclamo de equipaje'!P:Q,2,0)</f>
        <v>MEXICO AEREO</v>
      </c>
      <c r="C1837" s="52">
        <v>0.89027777777777783</v>
      </c>
      <c r="D1837" s="52">
        <v>0.89513888888888893</v>
      </c>
      <c r="E1837" s="53">
        <f>'Reclamo de equipaje rediseñado'!$D1837-'Reclamo de equipaje rediseñado'!$C1837</f>
        <v>4.8611111111110938E-3</v>
      </c>
      <c r="F1837" s="52">
        <v>0.90277777777777779</v>
      </c>
      <c r="G1837" s="53">
        <f t="shared" si="28"/>
        <v>7.6388888888888618E-3</v>
      </c>
      <c r="H1837" s="54">
        <v>41751</v>
      </c>
      <c r="I1837" s="55" t="s">
        <v>536</v>
      </c>
      <c r="J1837" s="55" t="s">
        <v>560</v>
      </c>
      <c r="K1837" s="55">
        <f>VLOOKUP(J1837,'Validacion reclamo de equipaje'!L:M,2,0)</f>
        <v>126</v>
      </c>
      <c r="L1837" s="55" t="str">
        <f>VLOOKUP(I1837,'Validacion reclamo de equipaje'!H:I,2,0)</f>
        <v>Nacional</v>
      </c>
      <c r="M1837" s="55" t="s">
        <v>523</v>
      </c>
    </row>
    <row r="1838" spans="1:13" x14ac:dyDescent="0.25">
      <c r="A1838">
        <v>466</v>
      </c>
      <c r="B1838" s="47" t="str">
        <f>VLOOKUP(Tabla6[[#This Row],['# Vuelo]],'Validacion reclamo de equipaje'!P:Q,2,0)</f>
        <v>MEXICO AEREO</v>
      </c>
      <c r="C1838" s="48">
        <v>0.8881944444444444</v>
      </c>
      <c r="D1838" s="48">
        <v>0.89722222222222225</v>
      </c>
      <c r="E1838" s="49">
        <f>'Reclamo de equipaje rediseñado'!$D1838-'Reclamo de equipaje rediseñado'!$C1838</f>
        <v>9.0277777777778567E-3</v>
      </c>
      <c r="F1838" s="48">
        <v>0.90208333333333324</v>
      </c>
      <c r="G1838" s="49">
        <f t="shared" si="28"/>
        <v>4.8611111111109828E-3</v>
      </c>
      <c r="H1838" s="50">
        <v>41753</v>
      </c>
      <c r="I1838" s="51" t="s">
        <v>536</v>
      </c>
      <c r="J1838" s="51" t="s">
        <v>560</v>
      </c>
      <c r="K1838" s="51">
        <f>VLOOKUP(J1838,'Validacion reclamo de equipaje'!L:M,2,0)</f>
        <v>126</v>
      </c>
      <c r="L1838" s="51" t="str">
        <f>VLOOKUP(I1838,'Validacion reclamo de equipaje'!H:I,2,0)</f>
        <v>Nacional</v>
      </c>
      <c r="M1838" s="51" t="s">
        <v>523</v>
      </c>
    </row>
    <row r="1839" spans="1:13" x14ac:dyDescent="0.25">
      <c r="A1839">
        <v>466</v>
      </c>
      <c r="B1839" s="47" t="str">
        <f>VLOOKUP(Tabla6[[#This Row],['# Vuelo]],'Validacion reclamo de equipaje'!P:Q,2,0)</f>
        <v>MEXICO AEREO</v>
      </c>
      <c r="C1839" s="52">
        <v>0.88958333333333339</v>
      </c>
      <c r="D1839" s="52">
        <v>0.89583333333333337</v>
      </c>
      <c r="E1839" s="53">
        <f>'Reclamo de equipaje rediseñado'!$D1839-'Reclamo de equipaje rediseñado'!$C1839</f>
        <v>6.2499999999999778E-3</v>
      </c>
      <c r="F1839" s="52">
        <v>0.90625</v>
      </c>
      <c r="G1839" s="53">
        <f t="shared" si="28"/>
        <v>1.041666666666663E-2</v>
      </c>
      <c r="H1839" s="54">
        <v>41757</v>
      </c>
      <c r="I1839" s="55" t="s">
        <v>536</v>
      </c>
      <c r="J1839" s="55" t="s">
        <v>560</v>
      </c>
      <c r="K1839" s="55">
        <f>VLOOKUP(J1839,'Validacion reclamo de equipaje'!L:M,2,0)</f>
        <v>126</v>
      </c>
      <c r="L1839" s="55" t="str">
        <f>VLOOKUP(I1839,'Validacion reclamo de equipaje'!H:I,2,0)</f>
        <v>Nacional</v>
      </c>
      <c r="M1839" s="55" t="s">
        <v>523</v>
      </c>
    </row>
    <row r="1840" spans="1:13" x14ac:dyDescent="0.25">
      <c r="A1840">
        <v>466</v>
      </c>
      <c r="B1840" s="47" t="str">
        <f>VLOOKUP(Tabla6[[#This Row],['# Vuelo]],'Validacion reclamo de equipaje'!P:Q,2,0)</f>
        <v>MEXICO AEREO</v>
      </c>
      <c r="C1840" s="48">
        <v>0.89097222222222217</v>
      </c>
      <c r="D1840" s="48">
        <v>0.89861111111111114</v>
      </c>
      <c r="E1840" s="49">
        <f>'Reclamo de equipaje rediseñado'!$D1840-'Reclamo de equipaje rediseñado'!$C1840</f>
        <v>7.6388888888889728E-3</v>
      </c>
      <c r="F1840" s="48">
        <v>0.90694444444444444</v>
      </c>
      <c r="G1840" s="49">
        <f t="shared" si="28"/>
        <v>8.3333333333333037E-3</v>
      </c>
      <c r="H1840" s="50">
        <v>41759</v>
      </c>
      <c r="I1840" s="51" t="s">
        <v>536</v>
      </c>
      <c r="J1840" s="51" t="s">
        <v>560</v>
      </c>
      <c r="K1840" s="51">
        <f>VLOOKUP(J1840,'Validacion reclamo de equipaje'!L:M,2,0)</f>
        <v>126</v>
      </c>
      <c r="L1840" s="51" t="str">
        <f>VLOOKUP(I1840,'Validacion reclamo de equipaje'!H:I,2,0)</f>
        <v>Nacional</v>
      </c>
      <c r="M1840" s="51" t="s">
        <v>523</v>
      </c>
    </row>
    <row r="1841" spans="1:13" x14ac:dyDescent="0.25">
      <c r="A1841">
        <v>466</v>
      </c>
      <c r="B1841" s="47" t="str">
        <f>VLOOKUP(Tabla6[[#This Row],['# Vuelo]],'Validacion reclamo de equipaje'!P:Q,2,0)</f>
        <v>MEXICO AEREO</v>
      </c>
      <c r="C1841" s="52">
        <v>0.90972222222222221</v>
      </c>
      <c r="D1841" s="52">
        <v>0.91388888888888886</v>
      </c>
      <c r="E1841" s="53">
        <f>'Reclamo de equipaje rediseñado'!$D1841-'Reclamo de equipaje rediseñado'!$C1841</f>
        <v>4.1666666666666519E-3</v>
      </c>
      <c r="F1841" s="52">
        <v>0.92638888888888893</v>
      </c>
      <c r="G1841" s="53">
        <f t="shared" si="28"/>
        <v>1.2500000000000067E-2</v>
      </c>
      <c r="H1841" s="54">
        <v>41759</v>
      </c>
      <c r="I1841" s="55" t="s">
        <v>536</v>
      </c>
      <c r="J1841" s="55" t="s">
        <v>560</v>
      </c>
      <c r="K1841" s="55">
        <f>VLOOKUP(J1841,'Validacion reclamo de equipaje'!L:M,2,0)</f>
        <v>126</v>
      </c>
      <c r="L1841" s="55" t="str">
        <f>VLOOKUP(I1841,'Validacion reclamo de equipaje'!H:I,2,0)</f>
        <v>Nacional</v>
      </c>
      <c r="M1841" s="55" t="s">
        <v>523</v>
      </c>
    </row>
    <row r="1842" spans="1:13" x14ac:dyDescent="0.25">
      <c r="A1842">
        <v>460</v>
      </c>
      <c r="B1842" s="47" t="str">
        <f>VLOOKUP(Tabla6[[#This Row],['# Vuelo]],'Validacion reclamo de equipaje'!P:Q,2,0)</f>
        <v>MEXICO AEREO</v>
      </c>
      <c r="C1842" s="48">
        <v>0.88263888888888886</v>
      </c>
      <c r="D1842" s="48">
        <v>0.8881944444444444</v>
      </c>
      <c r="E1842" s="49">
        <f>'Reclamo de equipaje rediseñado'!$D1842-'Reclamo de equipaje rediseñado'!$C1842</f>
        <v>5.5555555555555358E-3</v>
      </c>
      <c r="F1842" s="48">
        <v>0.89374999999999993</v>
      </c>
      <c r="G1842" s="49">
        <f t="shared" si="28"/>
        <v>5.5555555555555358E-3</v>
      </c>
      <c r="H1842" s="50">
        <v>41738</v>
      </c>
      <c r="I1842" s="51" t="s">
        <v>558</v>
      </c>
      <c r="J1842" s="51">
        <v>320</v>
      </c>
      <c r="K1842" s="51">
        <f>VLOOKUP(J1842,'Validacion reclamo de equipaje'!L:M,2,0)</f>
        <v>179</v>
      </c>
      <c r="L1842" s="51" t="str">
        <f>VLOOKUP(I1842,'Validacion reclamo de equipaje'!H:I,2,0)</f>
        <v>Internacional</v>
      </c>
      <c r="M1842" s="51" t="s">
        <v>523</v>
      </c>
    </row>
    <row r="1843" spans="1:13" x14ac:dyDescent="0.25">
      <c r="A1843">
        <v>286</v>
      </c>
      <c r="B1843" s="47" t="str">
        <f>VLOOKUP(Tabla6[[#This Row],['# Vuelo]],'Validacion reclamo de equipaje'!P:Q,2,0)</f>
        <v>MEXICO AEREO</v>
      </c>
      <c r="C1843" s="52">
        <v>0.38194444444444442</v>
      </c>
      <c r="D1843" s="52">
        <v>0.39513888888888887</v>
      </c>
      <c r="E1843" s="53">
        <f>'Reclamo de equipaje rediseñado'!$D1843-'Reclamo de equipaje rediseñado'!$C1843</f>
        <v>1.3194444444444453E-2</v>
      </c>
      <c r="F1843" s="52">
        <v>0.39930555555555558</v>
      </c>
      <c r="G1843" s="53">
        <f t="shared" si="28"/>
        <v>4.1666666666667074E-3</v>
      </c>
      <c r="H1843" s="54">
        <v>41750</v>
      </c>
      <c r="I1843" s="55" t="s">
        <v>536</v>
      </c>
      <c r="J1843" s="55" t="s">
        <v>560</v>
      </c>
      <c r="K1843" s="55">
        <f>VLOOKUP(J1843,'Validacion reclamo de equipaje'!L:M,2,0)</f>
        <v>126</v>
      </c>
      <c r="L1843" s="55" t="str">
        <f>VLOOKUP(I1843,'Validacion reclamo de equipaje'!H:I,2,0)</f>
        <v>Nacional</v>
      </c>
      <c r="M1843" s="55" t="s">
        <v>523</v>
      </c>
    </row>
    <row r="1844" spans="1:13" x14ac:dyDescent="0.25">
      <c r="A1844">
        <v>286</v>
      </c>
      <c r="B1844" s="47" t="str">
        <f>VLOOKUP(Tabla6[[#This Row],['# Vuelo]],'Validacion reclamo de equipaje'!P:Q,2,0)</f>
        <v>MEXICO AEREO</v>
      </c>
      <c r="C1844" s="48">
        <v>0.61458333333333337</v>
      </c>
      <c r="D1844" s="48">
        <v>0.62152777777777779</v>
      </c>
      <c r="E1844" s="49">
        <f>'Reclamo de equipaje rediseñado'!$D1844-'Reclamo de equipaje rediseñado'!$C1844</f>
        <v>6.9444444444444198E-3</v>
      </c>
      <c r="F1844" s="48">
        <v>0.62569444444444444</v>
      </c>
      <c r="G1844" s="49">
        <f t="shared" si="28"/>
        <v>4.1666666666666519E-3</v>
      </c>
      <c r="H1844" s="50">
        <v>41731</v>
      </c>
      <c r="I1844" s="51" t="s">
        <v>536</v>
      </c>
      <c r="J1844" s="51" t="s">
        <v>560</v>
      </c>
      <c r="K1844" s="51">
        <f>VLOOKUP(J1844,'Validacion reclamo de equipaje'!L:M,2,0)</f>
        <v>126</v>
      </c>
      <c r="L1844" s="51" t="str">
        <f>VLOOKUP(I1844,'Validacion reclamo de equipaje'!H:I,2,0)</f>
        <v>Nacional</v>
      </c>
      <c r="M1844" s="51" t="s">
        <v>523</v>
      </c>
    </row>
    <row r="1845" spans="1:13" x14ac:dyDescent="0.25">
      <c r="A1845">
        <v>286</v>
      </c>
      <c r="B1845" s="47" t="str">
        <f>VLOOKUP(Tabla6[[#This Row],['# Vuelo]],'Validacion reclamo de equipaje'!P:Q,2,0)</f>
        <v>MEXICO AEREO</v>
      </c>
      <c r="C1845" s="52">
        <v>0.70694444444444438</v>
      </c>
      <c r="D1845" s="52">
        <v>0.70833333333333337</v>
      </c>
      <c r="E1845" s="53">
        <f>'Reclamo de equipaje rediseñado'!$D1845-'Reclamo de equipaje rediseñado'!$C1845</f>
        <v>1.388888888888995E-3</v>
      </c>
      <c r="F1845" s="52">
        <v>0.71180555555555547</v>
      </c>
      <c r="G1845" s="53">
        <f t="shared" si="28"/>
        <v>3.4722222222220989E-3</v>
      </c>
      <c r="H1845" s="54">
        <v>41735</v>
      </c>
      <c r="I1845" s="55" t="s">
        <v>536</v>
      </c>
      <c r="J1845" s="55" t="s">
        <v>560</v>
      </c>
      <c r="K1845" s="55">
        <f>VLOOKUP(J1845,'Validacion reclamo de equipaje'!L:M,2,0)</f>
        <v>126</v>
      </c>
      <c r="L1845" s="55" t="str">
        <f>VLOOKUP(I1845,'Validacion reclamo de equipaje'!H:I,2,0)</f>
        <v>Nacional</v>
      </c>
      <c r="M1845" s="55" t="s">
        <v>523</v>
      </c>
    </row>
    <row r="1846" spans="1:13" x14ac:dyDescent="0.25">
      <c r="A1846">
        <v>286</v>
      </c>
      <c r="B1846" s="47" t="str">
        <f>VLOOKUP(Tabla6[[#This Row],['# Vuelo]],'Validacion reclamo de equipaje'!P:Q,2,0)</f>
        <v>MEXICO AEREO</v>
      </c>
      <c r="C1846" s="48">
        <v>0.59305555555555556</v>
      </c>
      <c r="D1846" s="48">
        <v>0.59722222222222221</v>
      </c>
      <c r="E1846" s="49">
        <f>'Reclamo de equipaje rediseñado'!$D1846-'Reclamo de equipaje rediseñado'!$C1846</f>
        <v>4.1666666666666519E-3</v>
      </c>
      <c r="F1846" s="48">
        <v>0.60416666666666663</v>
      </c>
      <c r="G1846" s="49">
        <f t="shared" si="28"/>
        <v>6.9444444444444198E-3</v>
      </c>
      <c r="H1846" s="50">
        <v>41736</v>
      </c>
      <c r="I1846" s="51" t="s">
        <v>536</v>
      </c>
      <c r="J1846" s="51" t="s">
        <v>560</v>
      </c>
      <c r="K1846" s="51">
        <f>VLOOKUP(J1846,'Validacion reclamo de equipaje'!L:M,2,0)</f>
        <v>126</v>
      </c>
      <c r="L1846" s="51" t="str">
        <f>VLOOKUP(I1846,'Validacion reclamo de equipaje'!H:I,2,0)</f>
        <v>Nacional</v>
      </c>
      <c r="M1846" s="51" t="s">
        <v>523</v>
      </c>
    </row>
    <row r="1847" spans="1:13" x14ac:dyDescent="0.25">
      <c r="A1847">
        <v>286</v>
      </c>
      <c r="B1847" s="47" t="str">
        <f>VLOOKUP(Tabla6[[#This Row],['# Vuelo]],'Validacion reclamo de equipaje'!P:Q,2,0)</f>
        <v>MEXICO AEREO</v>
      </c>
      <c r="C1847" s="52">
        <v>0.59027777777777779</v>
      </c>
      <c r="D1847" s="52">
        <v>0.59583333333333333</v>
      </c>
      <c r="E1847" s="53">
        <f>'Reclamo de equipaje rediseñado'!$D1847-'Reclamo de equipaje rediseñado'!$C1847</f>
        <v>5.5555555555555358E-3</v>
      </c>
      <c r="F1847" s="52">
        <v>0.59791666666666665</v>
      </c>
      <c r="G1847" s="53">
        <f t="shared" si="28"/>
        <v>2.0833333333333259E-3</v>
      </c>
      <c r="H1847" s="54">
        <v>41737</v>
      </c>
      <c r="I1847" s="55" t="s">
        <v>536</v>
      </c>
      <c r="J1847" s="55" t="s">
        <v>560</v>
      </c>
      <c r="K1847" s="55">
        <f>VLOOKUP(J1847,'Validacion reclamo de equipaje'!L:M,2,0)</f>
        <v>126</v>
      </c>
      <c r="L1847" s="55" t="str">
        <f>VLOOKUP(I1847,'Validacion reclamo de equipaje'!H:I,2,0)</f>
        <v>Nacional</v>
      </c>
      <c r="M1847" s="55" t="s">
        <v>523</v>
      </c>
    </row>
    <row r="1848" spans="1:13" x14ac:dyDescent="0.25">
      <c r="A1848">
        <v>286</v>
      </c>
      <c r="B1848" s="47" t="str">
        <f>VLOOKUP(Tabla6[[#This Row],['# Vuelo]],'Validacion reclamo de equipaje'!P:Q,2,0)</f>
        <v>MEXICO AEREO</v>
      </c>
      <c r="C1848" s="48">
        <v>0.5854166666666667</v>
      </c>
      <c r="D1848" s="48">
        <v>0.60069444444444442</v>
      </c>
      <c r="E1848" s="49">
        <f>'Reclamo de equipaje rediseñado'!$D1848-'Reclamo de equipaje rediseñado'!$C1848</f>
        <v>1.5277777777777724E-2</v>
      </c>
      <c r="F1848" s="48">
        <v>0.60625000000000007</v>
      </c>
      <c r="G1848" s="49">
        <f t="shared" si="28"/>
        <v>5.5555555555556468E-3</v>
      </c>
      <c r="H1848" s="50">
        <v>41738</v>
      </c>
      <c r="I1848" s="51" t="s">
        <v>536</v>
      </c>
      <c r="J1848" s="51" t="s">
        <v>560</v>
      </c>
      <c r="K1848" s="51">
        <f>VLOOKUP(J1848,'Validacion reclamo de equipaje'!L:M,2,0)</f>
        <v>126</v>
      </c>
      <c r="L1848" s="51" t="str">
        <f>VLOOKUP(I1848,'Validacion reclamo de equipaje'!H:I,2,0)</f>
        <v>Nacional</v>
      </c>
      <c r="M1848" s="51" t="s">
        <v>523</v>
      </c>
    </row>
    <row r="1849" spans="1:13" x14ac:dyDescent="0.25">
      <c r="A1849">
        <v>286</v>
      </c>
      <c r="B1849" s="47" t="str">
        <f>VLOOKUP(Tabla6[[#This Row],['# Vuelo]],'Validacion reclamo de equipaje'!P:Q,2,0)</f>
        <v>MEXICO AEREO</v>
      </c>
      <c r="C1849" s="52">
        <v>0.59861111111111109</v>
      </c>
      <c r="D1849" s="52">
        <v>0.60138888888888886</v>
      </c>
      <c r="E1849" s="53">
        <f>'Reclamo de equipaje rediseñado'!$D1849-'Reclamo de equipaje rediseñado'!$C1849</f>
        <v>2.7777777777777679E-3</v>
      </c>
      <c r="F1849" s="52">
        <v>0.6069444444444444</v>
      </c>
      <c r="G1849" s="53">
        <f t="shared" si="28"/>
        <v>5.5555555555555358E-3</v>
      </c>
      <c r="H1849" s="54">
        <v>41739</v>
      </c>
      <c r="I1849" s="55" t="s">
        <v>536</v>
      </c>
      <c r="J1849" s="55" t="s">
        <v>560</v>
      </c>
      <c r="K1849" s="55">
        <f>VLOOKUP(J1849,'Validacion reclamo de equipaje'!L:M,2,0)</f>
        <v>126</v>
      </c>
      <c r="L1849" s="55" t="str">
        <f>VLOOKUP(I1849,'Validacion reclamo de equipaje'!H:I,2,0)</f>
        <v>Nacional</v>
      </c>
      <c r="M1849" s="55" t="s">
        <v>523</v>
      </c>
    </row>
    <row r="1850" spans="1:13" x14ac:dyDescent="0.25">
      <c r="A1850">
        <v>286</v>
      </c>
      <c r="B1850" s="47" t="str">
        <f>VLOOKUP(Tabla6[[#This Row],['# Vuelo]],'Validacion reclamo de equipaje'!P:Q,2,0)</f>
        <v>MEXICO AEREO</v>
      </c>
      <c r="C1850" s="48">
        <v>0.59375</v>
      </c>
      <c r="D1850" s="48">
        <v>0.6020833333333333</v>
      </c>
      <c r="E1850" s="49">
        <f>'Reclamo de equipaje rediseñado'!$D1850-'Reclamo de equipaje rediseñado'!$C1850</f>
        <v>8.3333333333333037E-3</v>
      </c>
      <c r="F1850" s="48">
        <v>0.61111111111111105</v>
      </c>
      <c r="G1850" s="49">
        <f t="shared" si="28"/>
        <v>9.0277777777777457E-3</v>
      </c>
      <c r="H1850" s="50">
        <v>41741</v>
      </c>
      <c r="I1850" s="51" t="s">
        <v>536</v>
      </c>
      <c r="J1850" s="51" t="s">
        <v>560</v>
      </c>
      <c r="K1850" s="51">
        <f>VLOOKUP(J1850,'Validacion reclamo de equipaje'!L:M,2,0)</f>
        <v>126</v>
      </c>
      <c r="L1850" s="51" t="str">
        <f>VLOOKUP(I1850,'Validacion reclamo de equipaje'!H:I,2,0)</f>
        <v>Nacional</v>
      </c>
      <c r="M1850" s="51" t="s">
        <v>523</v>
      </c>
    </row>
    <row r="1851" spans="1:13" x14ac:dyDescent="0.25">
      <c r="A1851">
        <v>286</v>
      </c>
      <c r="B1851" s="47" t="str">
        <f>VLOOKUP(Tabla6[[#This Row],['# Vuelo]],'Validacion reclamo de equipaje'!P:Q,2,0)</f>
        <v>MEXICO AEREO</v>
      </c>
      <c r="C1851" s="52">
        <v>0.61458333333333337</v>
      </c>
      <c r="D1851" s="52">
        <v>0.62083333333333335</v>
      </c>
      <c r="E1851" s="53">
        <f>'Reclamo de equipaje rediseñado'!$D1851-'Reclamo de equipaje rediseñado'!$C1851</f>
        <v>6.2499999999999778E-3</v>
      </c>
      <c r="F1851" s="52">
        <v>0.625</v>
      </c>
      <c r="G1851" s="53">
        <f t="shared" si="28"/>
        <v>4.1666666666666519E-3</v>
      </c>
      <c r="H1851" s="54">
        <v>41743</v>
      </c>
      <c r="I1851" s="55" t="s">
        <v>536</v>
      </c>
      <c r="J1851" s="55" t="s">
        <v>560</v>
      </c>
      <c r="K1851" s="55">
        <f>VLOOKUP(J1851,'Validacion reclamo de equipaje'!L:M,2,0)</f>
        <v>126</v>
      </c>
      <c r="L1851" s="55" t="str">
        <f>VLOOKUP(I1851,'Validacion reclamo de equipaje'!H:I,2,0)</f>
        <v>Nacional</v>
      </c>
      <c r="M1851" s="55" t="s">
        <v>523</v>
      </c>
    </row>
    <row r="1852" spans="1:13" x14ac:dyDescent="0.25">
      <c r="A1852">
        <v>286</v>
      </c>
      <c r="B1852" s="47" t="str">
        <f>VLOOKUP(Tabla6[[#This Row],['# Vuelo]],'Validacion reclamo de equipaje'!P:Q,2,0)</f>
        <v>MEXICO AEREO</v>
      </c>
      <c r="C1852" s="48">
        <v>0.57986111111111105</v>
      </c>
      <c r="D1852" s="48">
        <v>0.58888888888888891</v>
      </c>
      <c r="E1852" s="49">
        <f>'Reclamo de equipaje rediseñado'!$D1852-'Reclamo de equipaje rediseñado'!$C1852</f>
        <v>9.0277777777778567E-3</v>
      </c>
      <c r="F1852" s="48">
        <v>0.59236111111111112</v>
      </c>
      <c r="G1852" s="49">
        <f t="shared" si="28"/>
        <v>3.4722222222222099E-3</v>
      </c>
      <c r="H1852" s="50">
        <v>41745</v>
      </c>
      <c r="I1852" s="51" t="s">
        <v>536</v>
      </c>
      <c r="J1852" s="51" t="s">
        <v>560</v>
      </c>
      <c r="K1852" s="51">
        <f>VLOOKUP(J1852,'Validacion reclamo de equipaje'!L:M,2,0)</f>
        <v>126</v>
      </c>
      <c r="L1852" s="51" t="str">
        <f>VLOOKUP(I1852,'Validacion reclamo de equipaje'!H:I,2,0)</f>
        <v>Nacional</v>
      </c>
      <c r="M1852" s="51" t="s">
        <v>523</v>
      </c>
    </row>
    <row r="1853" spans="1:13" x14ac:dyDescent="0.25">
      <c r="A1853">
        <v>286</v>
      </c>
      <c r="B1853" s="47" t="str">
        <f>VLOOKUP(Tabla6[[#This Row],['# Vuelo]],'Validacion reclamo de equipaje'!P:Q,2,0)</f>
        <v>MEXICO AEREO</v>
      </c>
      <c r="C1853" s="52">
        <v>0.6069444444444444</v>
      </c>
      <c r="D1853" s="52">
        <v>0.61388888888888882</v>
      </c>
      <c r="E1853" s="53">
        <f>'Reclamo de equipaje rediseñado'!$D1853-'Reclamo de equipaje rediseñado'!$C1853</f>
        <v>6.9444444444444198E-3</v>
      </c>
      <c r="F1853" s="52">
        <v>0.62013888888888891</v>
      </c>
      <c r="G1853" s="53">
        <f t="shared" si="28"/>
        <v>6.2500000000000888E-3</v>
      </c>
      <c r="H1853" s="54">
        <v>41748</v>
      </c>
      <c r="I1853" s="55" t="s">
        <v>536</v>
      </c>
      <c r="J1853" s="55" t="s">
        <v>560</v>
      </c>
      <c r="K1853" s="55">
        <f>VLOOKUP(J1853,'Validacion reclamo de equipaje'!L:M,2,0)</f>
        <v>126</v>
      </c>
      <c r="L1853" s="55" t="str">
        <f>VLOOKUP(I1853,'Validacion reclamo de equipaje'!H:I,2,0)</f>
        <v>Nacional</v>
      </c>
      <c r="M1853" s="55" t="s">
        <v>523</v>
      </c>
    </row>
    <row r="1854" spans="1:13" x14ac:dyDescent="0.25">
      <c r="A1854">
        <v>286</v>
      </c>
      <c r="B1854" s="47" t="str">
        <f>VLOOKUP(Tabla6[[#This Row],['# Vuelo]],'Validacion reclamo de equipaje'!P:Q,2,0)</f>
        <v>MEXICO AEREO</v>
      </c>
      <c r="C1854" s="48">
        <v>0.60555555555555551</v>
      </c>
      <c r="D1854" s="48">
        <v>0.60625000000000007</v>
      </c>
      <c r="E1854" s="49">
        <f>'Reclamo de equipaje rediseñado'!$D1854-'Reclamo de equipaje rediseñado'!$C1854</f>
        <v>6.94444444444553E-4</v>
      </c>
      <c r="F1854" s="48">
        <v>0.60833333333333328</v>
      </c>
      <c r="G1854" s="49">
        <f t="shared" si="28"/>
        <v>2.0833333333332149E-3</v>
      </c>
      <c r="H1854" s="50">
        <v>41749</v>
      </c>
      <c r="I1854" s="51" t="s">
        <v>536</v>
      </c>
      <c r="J1854" s="51" t="s">
        <v>560</v>
      </c>
      <c r="K1854" s="51">
        <f>VLOOKUP(J1854,'Validacion reclamo de equipaje'!L:M,2,0)</f>
        <v>126</v>
      </c>
      <c r="L1854" s="51" t="str">
        <f>VLOOKUP(I1854,'Validacion reclamo de equipaje'!H:I,2,0)</f>
        <v>Nacional</v>
      </c>
      <c r="M1854" s="51" t="s">
        <v>523</v>
      </c>
    </row>
    <row r="1855" spans="1:13" x14ac:dyDescent="0.25">
      <c r="A1855">
        <v>286</v>
      </c>
      <c r="B1855" s="47" t="str">
        <f>VLOOKUP(Tabla6[[#This Row],['# Vuelo]],'Validacion reclamo de equipaje'!P:Q,2,0)</f>
        <v>MEXICO AEREO</v>
      </c>
      <c r="C1855" s="52">
        <v>0.60277777777777775</v>
      </c>
      <c r="D1855" s="52">
        <v>0.60763888888888895</v>
      </c>
      <c r="E1855" s="53">
        <f>'Reclamo de equipaje rediseñado'!$D1855-'Reclamo de equipaje rediseñado'!$C1855</f>
        <v>4.8611111111112049E-3</v>
      </c>
      <c r="F1855" s="52">
        <v>0.6166666666666667</v>
      </c>
      <c r="G1855" s="53">
        <f t="shared" si="28"/>
        <v>9.0277777777777457E-3</v>
      </c>
      <c r="H1855" s="54">
        <v>41753</v>
      </c>
      <c r="I1855" s="55" t="s">
        <v>536</v>
      </c>
      <c r="J1855" s="55" t="s">
        <v>560</v>
      </c>
      <c r="K1855" s="55">
        <f>VLOOKUP(J1855,'Validacion reclamo de equipaje'!L:M,2,0)</f>
        <v>126</v>
      </c>
      <c r="L1855" s="55" t="str">
        <f>VLOOKUP(I1855,'Validacion reclamo de equipaje'!H:I,2,0)</f>
        <v>Nacional</v>
      </c>
      <c r="M1855" s="55" t="s">
        <v>523</v>
      </c>
    </row>
    <row r="1856" spans="1:13" x14ac:dyDescent="0.25">
      <c r="A1856">
        <v>286</v>
      </c>
      <c r="B1856" s="47" t="str">
        <f>VLOOKUP(Tabla6[[#This Row],['# Vuelo]],'Validacion reclamo de equipaje'!P:Q,2,0)</f>
        <v>MEXICO AEREO</v>
      </c>
      <c r="C1856" s="48">
        <v>0.59652777777777777</v>
      </c>
      <c r="D1856" s="48">
        <v>0.60277777777777775</v>
      </c>
      <c r="E1856" s="49">
        <f>'Reclamo de equipaje rediseñado'!$D1856-'Reclamo de equipaje rediseñado'!$C1856</f>
        <v>6.2499999999999778E-3</v>
      </c>
      <c r="F1856" s="48">
        <v>0.6069444444444444</v>
      </c>
      <c r="G1856" s="49">
        <f t="shared" si="28"/>
        <v>4.1666666666666519E-3</v>
      </c>
      <c r="H1856" s="50">
        <v>41754</v>
      </c>
      <c r="I1856" s="51" t="s">
        <v>536</v>
      </c>
      <c r="J1856" s="51" t="s">
        <v>560</v>
      </c>
      <c r="K1856" s="51">
        <f>VLOOKUP(J1856,'Validacion reclamo de equipaje'!L:M,2,0)</f>
        <v>126</v>
      </c>
      <c r="L1856" s="51" t="str">
        <f>VLOOKUP(I1856,'Validacion reclamo de equipaje'!H:I,2,0)</f>
        <v>Nacional</v>
      </c>
      <c r="M1856" s="51" t="s">
        <v>523</v>
      </c>
    </row>
    <row r="1857" spans="1:13" x14ac:dyDescent="0.25">
      <c r="A1857">
        <v>286</v>
      </c>
      <c r="B1857" s="47" t="str">
        <f>VLOOKUP(Tabla6[[#This Row],['# Vuelo]],'Validacion reclamo de equipaje'!P:Q,2,0)</f>
        <v>MEXICO AEREO</v>
      </c>
      <c r="C1857" s="52">
        <v>0.59722222222222221</v>
      </c>
      <c r="D1857" s="52">
        <v>0.59930555555555554</v>
      </c>
      <c r="E1857" s="53">
        <f>'Reclamo de equipaje rediseñado'!$D1857-'Reclamo de equipaje rediseñado'!$C1857</f>
        <v>2.0833333333333259E-3</v>
      </c>
      <c r="F1857" s="52">
        <v>0.60902777777777783</v>
      </c>
      <c r="G1857" s="53">
        <f t="shared" si="28"/>
        <v>9.7222222222222987E-3</v>
      </c>
      <c r="H1857" s="54">
        <v>41756</v>
      </c>
      <c r="I1857" s="55" t="s">
        <v>536</v>
      </c>
      <c r="J1857" s="55" t="s">
        <v>560</v>
      </c>
      <c r="K1857" s="55">
        <f>VLOOKUP(J1857,'Validacion reclamo de equipaje'!L:M,2,0)</f>
        <v>126</v>
      </c>
      <c r="L1857" s="55" t="str">
        <f>VLOOKUP(I1857,'Validacion reclamo de equipaje'!H:I,2,0)</f>
        <v>Nacional</v>
      </c>
      <c r="M1857" s="55" t="s">
        <v>523</v>
      </c>
    </row>
    <row r="1858" spans="1:13" x14ac:dyDescent="0.25">
      <c r="A1858">
        <v>286</v>
      </c>
      <c r="B1858" s="47" t="str">
        <f>VLOOKUP(Tabla6[[#This Row],['# Vuelo]],'Validacion reclamo de equipaje'!P:Q,2,0)</f>
        <v>MEXICO AEREO</v>
      </c>
      <c r="C1858" s="48">
        <v>0.59375</v>
      </c>
      <c r="D1858" s="48">
        <v>0.60069444444444442</v>
      </c>
      <c r="E1858" s="49">
        <f>'Reclamo de equipaje rediseñado'!$D1858-'Reclamo de equipaje rediseñado'!$C1858</f>
        <v>6.9444444444444198E-3</v>
      </c>
      <c r="F1858" s="48">
        <v>0.60416666666666663</v>
      </c>
      <c r="G1858" s="49">
        <f t="shared" si="28"/>
        <v>3.4722222222222099E-3</v>
      </c>
      <c r="H1858" s="50">
        <v>41757</v>
      </c>
      <c r="I1858" s="51" t="s">
        <v>536</v>
      </c>
      <c r="J1858" s="51" t="s">
        <v>560</v>
      </c>
      <c r="K1858" s="51">
        <f>VLOOKUP(J1858,'Validacion reclamo de equipaje'!L:M,2,0)</f>
        <v>126</v>
      </c>
      <c r="L1858" s="51" t="str">
        <f>VLOOKUP(I1858,'Validacion reclamo de equipaje'!H:I,2,0)</f>
        <v>Nacional</v>
      </c>
      <c r="M1858" s="51" t="s">
        <v>523</v>
      </c>
    </row>
    <row r="1859" spans="1:13" x14ac:dyDescent="0.25">
      <c r="A1859">
        <v>286</v>
      </c>
      <c r="B1859" s="47" t="str">
        <f>VLOOKUP(Tabla6[[#This Row],['# Vuelo]],'Validacion reclamo de equipaje'!P:Q,2,0)</f>
        <v>MEXICO AEREO</v>
      </c>
      <c r="C1859" s="52">
        <v>0.58750000000000002</v>
      </c>
      <c r="D1859" s="52">
        <v>0.59513888888888888</v>
      </c>
      <c r="E1859" s="53">
        <f>'Reclamo de equipaje rediseñado'!$D1859-'Reclamo de equipaje rediseñado'!$C1859</f>
        <v>7.6388888888888618E-3</v>
      </c>
      <c r="F1859" s="52">
        <v>0.60347222222222219</v>
      </c>
      <c r="G1859" s="53">
        <f t="shared" ref="G1859:G1922" si="29">F1859-D1859</f>
        <v>8.3333333333333037E-3</v>
      </c>
      <c r="H1859" s="54">
        <v>41758</v>
      </c>
      <c r="I1859" s="55" t="s">
        <v>536</v>
      </c>
      <c r="J1859" s="55" t="s">
        <v>560</v>
      </c>
      <c r="K1859" s="55">
        <f>VLOOKUP(J1859,'Validacion reclamo de equipaje'!L:M,2,0)</f>
        <v>126</v>
      </c>
      <c r="L1859" s="55" t="str">
        <f>VLOOKUP(I1859,'Validacion reclamo de equipaje'!H:I,2,0)</f>
        <v>Nacional</v>
      </c>
      <c r="M1859" s="55" t="s">
        <v>523</v>
      </c>
    </row>
    <row r="1860" spans="1:13" x14ac:dyDescent="0.25">
      <c r="A1860">
        <v>286</v>
      </c>
      <c r="B1860" s="47" t="str">
        <f>VLOOKUP(Tabla6[[#This Row],['# Vuelo]],'Validacion reclamo de equipaje'!P:Q,2,0)</f>
        <v>MEXICO AEREO</v>
      </c>
      <c r="C1860" s="48">
        <v>0.59375</v>
      </c>
      <c r="D1860" s="48">
        <v>0.60347222222222219</v>
      </c>
      <c r="E1860" s="49">
        <f>'Reclamo de equipaje rediseñado'!$D1860-'Reclamo de equipaje rediseñado'!$C1860</f>
        <v>9.7222222222221877E-3</v>
      </c>
      <c r="F1860" s="48">
        <v>0.60902777777777783</v>
      </c>
      <c r="G1860" s="49">
        <f t="shared" si="29"/>
        <v>5.5555555555556468E-3</v>
      </c>
      <c r="H1860" s="50">
        <v>41759</v>
      </c>
      <c r="I1860" s="51" t="s">
        <v>536</v>
      </c>
      <c r="J1860" s="51" t="s">
        <v>560</v>
      </c>
      <c r="K1860" s="51">
        <f>VLOOKUP(J1860,'Validacion reclamo de equipaje'!L:M,2,0)</f>
        <v>126</v>
      </c>
      <c r="L1860" s="51" t="str">
        <f>VLOOKUP(I1860,'Validacion reclamo de equipaje'!H:I,2,0)</f>
        <v>Nacional</v>
      </c>
      <c r="M1860" s="51" t="s">
        <v>523</v>
      </c>
    </row>
    <row r="1861" spans="1:13" x14ac:dyDescent="0.25">
      <c r="A1861">
        <v>286</v>
      </c>
      <c r="B1861" s="47" t="str">
        <f>VLOOKUP(Tabla6[[#This Row],['# Vuelo]],'Validacion reclamo de equipaje'!P:Q,2,0)</f>
        <v>MEXICO AEREO</v>
      </c>
      <c r="C1861" s="52">
        <v>0.58888888888888891</v>
      </c>
      <c r="D1861" s="52">
        <v>0.59583333333333333</v>
      </c>
      <c r="E1861" s="53">
        <f>'Reclamo de equipaje rediseñado'!$D1861-'Reclamo de equipaje rediseñado'!$C1861</f>
        <v>6.9444444444444198E-3</v>
      </c>
      <c r="F1861" s="52">
        <v>0.59930555555555554</v>
      </c>
      <c r="G1861" s="53">
        <f t="shared" si="29"/>
        <v>3.4722222222222099E-3</v>
      </c>
      <c r="H1861" s="54">
        <v>41730</v>
      </c>
      <c r="I1861" s="55" t="s">
        <v>536</v>
      </c>
      <c r="J1861" s="55" t="s">
        <v>560</v>
      </c>
      <c r="K1861" s="55">
        <f>VLOOKUP(J1861,'Validacion reclamo de equipaje'!L:M,2,0)</f>
        <v>126</v>
      </c>
      <c r="L1861" s="55" t="str">
        <f>VLOOKUP(I1861,'Validacion reclamo de equipaje'!H:I,2,0)</f>
        <v>Nacional</v>
      </c>
      <c r="M1861" s="55" t="s">
        <v>523</v>
      </c>
    </row>
    <row r="1862" spans="1:13" x14ac:dyDescent="0.25">
      <c r="A1862">
        <v>276</v>
      </c>
      <c r="B1862" s="47" t="str">
        <f>VLOOKUP(Tabla6[[#This Row],['# Vuelo]],'Validacion reclamo de equipaje'!P:Q,2,0)</f>
        <v>MEXICO AEREO</v>
      </c>
      <c r="C1862" s="48">
        <v>0.37777777777777777</v>
      </c>
      <c r="D1862" s="48">
        <v>0.38194444444444442</v>
      </c>
      <c r="E1862" s="49">
        <f>'Reclamo de equipaje rediseñado'!$D1862-'Reclamo de equipaje rediseñado'!$C1862</f>
        <v>4.1666666666666519E-3</v>
      </c>
      <c r="F1862" s="48">
        <v>0.39097222222222222</v>
      </c>
      <c r="G1862" s="49">
        <f t="shared" si="29"/>
        <v>9.0277777777778012E-3</v>
      </c>
      <c r="H1862" s="50">
        <v>41730</v>
      </c>
      <c r="I1862" s="51" t="s">
        <v>536</v>
      </c>
      <c r="J1862" s="51" t="s">
        <v>560</v>
      </c>
      <c r="K1862" s="51">
        <f>VLOOKUP(J1862,'Validacion reclamo de equipaje'!L:M,2,0)</f>
        <v>126</v>
      </c>
      <c r="L1862" s="51" t="str">
        <f>VLOOKUP(I1862,'Validacion reclamo de equipaje'!H:I,2,0)</f>
        <v>Nacional</v>
      </c>
      <c r="M1862" s="51" t="s">
        <v>523</v>
      </c>
    </row>
    <row r="1863" spans="1:13" x14ac:dyDescent="0.25">
      <c r="A1863">
        <v>276</v>
      </c>
      <c r="B1863" s="47" t="str">
        <f>VLOOKUP(Tabla6[[#This Row],['# Vuelo]],'Validacion reclamo de equipaje'!P:Q,2,0)</f>
        <v>MEXICO AEREO</v>
      </c>
      <c r="C1863" s="52">
        <v>0.37986111111111115</v>
      </c>
      <c r="D1863" s="52">
        <v>0.38819444444444445</v>
      </c>
      <c r="E1863" s="53">
        <f>'Reclamo de equipaje rediseñado'!$D1863-'Reclamo de equipaje rediseñado'!$C1863</f>
        <v>8.3333333333333037E-3</v>
      </c>
      <c r="F1863" s="52">
        <v>0.3979166666666667</v>
      </c>
      <c r="G1863" s="53">
        <f t="shared" si="29"/>
        <v>9.7222222222222432E-3</v>
      </c>
      <c r="H1863" s="54">
        <v>41731</v>
      </c>
      <c r="I1863" s="55" t="s">
        <v>536</v>
      </c>
      <c r="J1863" s="55" t="s">
        <v>560</v>
      </c>
      <c r="K1863" s="55">
        <f>VLOOKUP(J1863,'Validacion reclamo de equipaje'!L:M,2,0)</f>
        <v>126</v>
      </c>
      <c r="L1863" s="55" t="str">
        <f>VLOOKUP(I1863,'Validacion reclamo de equipaje'!H:I,2,0)</f>
        <v>Nacional</v>
      </c>
      <c r="M1863" s="55" t="s">
        <v>523</v>
      </c>
    </row>
    <row r="1864" spans="1:13" x14ac:dyDescent="0.25">
      <c r="A1864">
        <v>276</v>
      </c>
      <c r="B1864" s="47" t="str">
        <f>VLOOKUP(Tabla6[[#This Row],['# Vuelo]],'Validacion reclamo de equipaje'!P:Q,2,0)</f>
        <v>MEXICO AEREO</v>
      </c>
      <c r="C1864" s="48">
        <v>0.3756944444444445</v>
      </c>
      <c r="D1864" s="48">
        <v>0.3840277777777778</v>
      </c>
      <c r="E1864" s="49">
        <f>'Reclamo de equipaje rediseñado'!$D1864-'Reclamo de equipaje rediseñado'!$C1864</f>
        <v>8.3333333333333037E-3</v>
      </c>
      <c r="F1864" s="48">
        <v>0.38541666666666669</v>
      </c>
      <c r="G1864" s="49">
        <f t="shared" si="29"/>
        <v>1.388888888888884E-3</v>
      </c>
      <c r="H1864" s="50">
        <v>41732</v>
      </c>
      <c r="I1864" s="51" t="s">
        <v>536</v>
      </c>
      <c r="J1864" s="51" t="s">
        <v>560</v>
      </c>
      <c r="K1864" s="51">
        <f>VLOOKUP(J1864,'Validacion reclamo de equipaje'!L:M,2,0)</f>
        <v>126</v>
      </c>
      <c r="L1864" s="51" t="str">
        <f>VLOOKUP(I1864,'Validacion reclamo de equipaje'!H:I,2,0)</f>
        <v>Nacional</v>
      </c>
      <c r="M1864" s="51" t="s">
        <v>523</v>
      </c>
    </row>
    <row r="1865" spans="1:13" x14ac:dyDescent="0.25">
      <c r="A1865">
        <v>276</v>
      </c>
      <c r="B1865" s="47" t="str">
        <f>VLOOKUP(Tabla6[[#This Row],['# Vuelo]],'Validacion reclamo de equipaje'!P:Q,2,0)</f>
        <v>MEXICO AEREO</v>
      </c>
      <c r="C1865" s="52">
        <v>0.37916666666666665</v>
      </c>
      <c r="D1865" s="52">
        <v>0.3840277777777778</v>
      </c>
      <c r="E1865" s="53">
        <f>'Reclamo de equipaje rediseñado'!$D1865-'Reclamo de equipaje rediseñado'!$C1865</f>
        <v>4.8611111111111494E-3</v>
      </c>
      <c r="F1865" s="52">
        <v>0.39097222222222222</v>
      </c>
      <c r="G1865" s="53">
        <f t="shared" si="29"/>
        <v>6.9444444444444198E-3</v>
      </c>
      <c r="H1865" s="54">
        <v>41733</v>
      </c>
      <c r="I1865" s="55" t="s">
        <v>536</v>
      </c>
      <c r="J1865" s="55" t="s">
        <v>560</v>
      </c>
      <c r="K1865" s="55">
        <f>VLOOKUP(J1865,'Validacion reclamo de equipaje'!L:M,2,0)</f>
        <v>126</v>
      </c>
      <c r="L1865" s="55" t="str">
        <f>VLOOKUP(I1865,'Validacion reclamo de equipaje'!H:I,2,0)</f>
        <v>Nacional</v>
      </c>
      <c r="M1865" s="55" t="s">
        <v>523</v>
      </c>
    </row>
    <row r="1866" spans="1:13" x14ac:dyDescent="0.25">
      <c r="A1866">
        <v>276</v>
      </c>
      <c r="B1866" s="47" t="str">
        <f>VLOOKUP(Tabla6[[#This Row],['# Vuelo]],'Validacion reclamo de equipaje'!P:Q,2,0)</f>
        <v>MEXICO AEREO</v>
      </c>
      <c r="C1866" s="48">
        <v>0.38194444444444442</v>
      </c>
      <c r="D1866" s="48">
        <v>0.3888888888888889</v>
      </c>
      <c r="E1866" s="49">
        <f>'Reclamo de equipaje rediseñado'!$D1866-'Reclamo de equipaje rediseñado'!$C1866</f>
        <v>6.9444444444444753E-3</v>
      </c>
      <c r="F1866" s="48">
        <v>0.3923611111111111</v>
      </c>
      <c r="G1866" s="49">
        <f t="shared" si="29"/>
        <v>3.4722222222222099E-3</v>
      </c>
      <c r="H1866" s="50">
        <v>41735</v>
      </c>
      <c r="I1866" s="51" t="s">
        <v>536</v>
      </c>
      <c r="J1866" s="51" t="s">
        <v>560</v>
      </c>
      <c r="K1866" s="51">
        <f>VLOOKUP(J1866,'Validacion reclamo de equipaje'!L:M,2,0)</f>
        <v>126</v>
      </c>
      <c r="L1866" s="51" t="str">
        <f>VLOOKUP(I1866,'Validacion reclamo de equipaje'!H:I,2,0)</f>
        <v>Nacional</v>
      </c>
      <c r="M1866" s="51" t="s">
        <v>523</v>
      </c>
    </row>
    <row r="1867" spans="1:13" x14ac:dyDescent="0.25">
      <c r="A1867">
        <v>276</v>
      </c>
      <c r="B1867" s="47" t="str">
        <f>VLOOKUP(Tabla6[[#This Row],['# Vuelo]],'Validacion reclamo de equipaje'!P:Q,2,0)</f>
        <v>MEXICO AEREO</v>
      </c>
      <c r="C1867" s="52">
        <v>0.375</v>
      </c>
      <c r="D1867" s="52">
        <v>0.38680555555555557</v>
      </c>
      <c r="E1867" s="53">
        <f>'Reclamo de equipaje rediseñado'!$D1867-'Reclamo de equipaje rediseñado'!$C1867</f>
        <v>1.1805555555555569E-2</v>
      </c>
      <c r="F1867" s="52">
        <v>0.3923611111111111</v>
      </c>
      <c r="G1867" s="53">
        <f t="shared" si="29"/>
        <v>5.5555555555555358E-3</v>
      </c>
      <c r="H1867" s="54">
        <v>41737</v>
      </c>
      <c r="I1867" s="55" t="s">
        <v>536</v>
      </c>
      <c r="J1867" s="55" t="s">
        <v>560</v>
      </c>
      <c r="K1867" s="55">
        <f>VLOOKUP(J1867,'Validacion reclamo de equipaje'!L:M,2,0)</f>
        <v>126</v>
      </c>
      <c r="L1867" s="55" t="str">
        <f>VLOOKUP(I1867,'Validacion reclamo de equipaje'!H:I,2,0)</f>
        <v>Nacional</v>
      </c>
      <c r="M1867" s="55" t="s">
        <v>523</v>
      </c>
    </row>
    <row r="1868" spans="1:13" x14ac:dyDescent="0.25">
      <c r="A1868">
        <v>276</v>
      </c>
      <c r="B1868" s="47" t="str">
        <f>VLOOKUP(Tabla6[[#This Row],['# Vuelo]],'Validacion reclamo de equipaje'!P:Q,2,0)</f>
        <v>MEXICO AEREO</v>
      </c>
      <c r="C1868" s="48">
        <v>0.38680555555555557</v>
      </c>
      <c r="D1868" s="48">
        <v>0.39166666666666666</v>
      </c>
      <c r="E1868" s="49">
        <f>'Reclamo de equipaje rediseñado'!$D1868-'Reclamo de equipaje rediseñado'!$C1868</f>
        <v>4.8611111111110938E-3</v>
      </c>
      <c r="F1868" s="48">
        <v>0.40208333333333335</v>
      </c>
      <c r="G1868" s="49">
        <f t="shared" si="29"/>
        <v>1.0416666666666685E-2</v>
      </c>
      <c r="H1868" s="50">
        <v>41739</v>
      </c>
      <c r="I1868" s="51" t="s">
        <v>536</v>
      </c>
      <c r="J1868" s="51" t="s">
        <v>560</v>
      </c>
      <c r="K1868" s="51">
        <f>VLOOKUP(J1868,'Validacion reclamo de equipaje'!L:M,2,0)</f>
        <v>126</v>
      </c>
      <c r="L1868" s="51" t="str">
        <f>VLOOKUP(I1868,'Validacion reclamo de equipaje'!H:I,2,0)</f>
        <v>Nacional</v>
      </c>
      <c r="M1868" s="51" t="s">
        <v>523</v>
      </c>
    </row>
    <row r="1869" spans="1:13" x14ac:dyDescent="0.25">
      <c r="A1869">
        <v>276</v>
      </c>
      <c r="B1869" s="47" t="str">
        <f>VLOOKUP(Tabla6[[#This Row],['# Vuelo]],'Validacion reclamo de equipaje'!P:Q,2,0)</f>
        <v>MEXICO AEREO</v>
      </c>
      <c r="C1869" s="52">
        <v>0.3756944444444445</v>
      </c>
      <c r="D1869" s="52">
        <v>0.38541666666666669</v>
      </c>
      <c r="E1869" s="53">
        <f>'Reclamo de equipaje rediseñado'!$D1869-'Reclamo de equipaje rediseñado'!$C1869</f>
        <v>9.7222222222221877E-3</v>
      </c>
      <c r="F1869" s="52">
        <v>0.3972222222222222</v>
      </c>
      <c r="G1869" s="53">
        <f t="shared" si="29"/>
        <v>1.1805555555555514E-2</v>
      </c>
      <c r="H1869" s="54">
        <v>41741</v>
      </c>
      <c r="I1869" s="55" t="s">
        <v>536</v>
      </c>
      <c r="J1869" s="55" t="s">
        <v>560</v>
      </c>
      <c r="K1869" s="55">
        <f>VLOOKUP(J1869,'Validacion reclamo de equipaje'!L:M,2,0)</f>
        <v>126</v>
      </c>
      <c r="L1869" s="55" t="str">
        <f>VLOOKUP(I1869,'Validacion reclamo de equipaje'!H:I,2,0)</f>
        <v>Nacional</v>
      </c>
      <c r="M1869" s="55" t="s">
        <v>523</v>
      </c>
    </row>
    <row r="1870" spans="1:13" x14ac:dyDescent="0.25">
      <c r="A1870">
        <v>276</v>
      </c>
      <c r="B1870" s="47" t="str">
        <f>VLOOKUP(Tabla6[[#This Row],['# Vuelo]],'Validacion reclamo de equipaje'!P:Q,2,0)</f>
        <v>MEXICO AEREO</v>
      </c>
      <c r="C1870" s="48">
        <v>0.37777777777777777</v>
      </c>
      <c r="D1870" s="48">
        <v>0.38194444444444442</v>
      </c>
      <c r="E1870" s="49">
        <f>'Reclamo de equipaje rediseñado'!$D1870-'Reclamo de equipaje rediseñado'!$C1870</f>
        <v>4.1666666666666519E-3</v>
      </c>
      <c r="F1870" s="48">
        <v>0.39097222222222222</v>
      </c>
      <c r="G1870" s="49">
        <f t="shared" si="29"/>
        <v>9.0277777777778012E-3</v>
      </c>
      <c r="H1870" s="50">
        <v>41742</v>
      </c>
      <c r="I1870" s="51" t="s">
        <v>536</v>
      </c>
      <c r="J1870" s="51" t="s">
        <v>560</v>
      </c>
      <c r="K1870" s="51">
        <f>VLOOKUP(J1870,'Validacion reclamo de equipaje'!L:M,2,0)</f>
        <v>126</v>
      </c>
      <c r="L1870" s="51" t="str">
        <f>VLOOKUP(I1870,'Validacion reclamo de equipaje'!H:I,2,0)</f>
        <v>Nacional</v>
      </c>
      <c r="M1870" s="51" t="s">
        <v>523</v>
      </c>
    </row>
    <row r="1871" spans="1:13" x14ac:dyDescent="0.25">
      <c r="A1871">
        <v>276</v>
      </c>
      <c r="B1871" s="47" t="str">
        <f>VLOOKUP(Tabla6[[#This Row],['# Vuelo]],'Validacion reclamo de equipaje'!P:Q,2,0)</f>
        <v>MEXICO AEREO</v>
      </c>
      <c r="C1871" s="52">
        <v>0.38194444444444442</v>
      </c>
      <c r="D1871" s="52">
        <v>0.3923611111111111</v>
      </c>
      <c r="E1871" s="53">
        <f>'Reclamo de equipaje rediseñado'!$D1871-'Reclamo de equipaje rediseñado'!$C1871</f>
        <v>1.0416666666666685E-2</v>
      </c>
      <c r="F1871" s="52">
        <v>0.39930555555555558</v>
      </c>
      <c r="G1871" s="53">
        <f t="shared" si="29"/>
        <v>6.9444444444444753E-3</v>
      </c>
      <c r="H1871" s="54">
        <v>41743</v>
      </c>
      <c r="I1871" s="55" t="s">
        <v>536</v>
      </c>
      <c r="J1871" s="55" t="s">
        <v>560</v>
      </c>
      <c r="K1871" s="55">
        <f>VLOOKUP(J1871,'Validacion reclamo de equipaje'!L:M,2,0)</f>
        <v>126</v>
      </c>
      <c r="L1871" s="55" t="str">
        <f>VLOOKUP(I1871,'Validacion reclamo de equipaje'!H:I,2,0)</f>
        <v>Nacional</v>
      </c>
      <c r="M1871" s="55" t="s">
        <v>523</v>
      </c>
    </row>
    <row r="1872" spans="1:13" x14ac:dyDescent="0.25">
      <c r="A1872">
        <v>276</v>
      </c>
      <c r="B1872" s="47" t="str">
        <f>VLOOKUP(Tabla6[[#This Row],['# Vuelo]],'Validacion reclamo de equipaje'!P:Q,2,0)</f>
        <v>MEXICO AEREO</v>
      </c>
      <c r="C1872" s="48">
        <v>0.37986111111111115</v>
      </c>
      <c r="D1872" s="48">
        <v>0.38611111111111113</v>
      </c>
      <c r="E1872" s="49">
        <f>'Reclamo de equipaje rediseñado'!$D1872-'Reclamo de equipaje rediseñado'!$C1872</f>
        <v>6.2499999999999778E-3</v>
      </c>
      <c r="F1872" s="48">
        <v>0.39861111111111108</v>
      </c>
      <c r="G1872" s="49">
        <f t="shared" si="29"/>
        <v>1.2499999999999956E-2</v>
      </c>
      <c r="H1872" s="50">
        <v>41744</v>
      </c>
      <c r="I1872" s="51" t="s">
        <v>536</v>
      </c>
      <c r="J1872" s="51" t="s">
        <v>560</v>
      </c>
      <c r="K1872" s="51">
        <f>VLOOKUP(J1872,'Validacion reclamo de equipaje'!L:M,2,0)</f>
        <v>126</v>
      </c>
      <c r="L1872" s="51" t="str">
        <f>VLOOKUP(I1872,'Validacion reclamo de equipaje'!H:I,2,0)</f>
        <v>Nacional</v>
      </c>
      <c r="M1872" s="51" t="s">
        <v>523</v>
      </c>
    </row>
    <row r="1873" spans="1:13" x14ac:dyDescent="0.25">
      <c r="A1873">
        <v>276</v>
      </c>
      <c r="B1873" s="47" t="str">
        <f>VLOOKUP(Tabla6[[#This Row],['# Vuelo]],'Validacion reclamo de equipaje'!P:Q,2,0)</f>
        <v>MEXICO AEREO</v>
      </c>
      <c r="C1873" s="52">
        <v>0.37986111111111115</v>
      </c>
      <c r="D1873" s="52">
        <v>0.38472222222222219</v>
      </c>
      <c r="E1873" s="53">
        <f>'Reclamo de equipaje rediseñado'!$D1873-'Reclamo de equipaje rediseñado'!$C1873</f>
        <v>4.8611111111110383E-3</v>
      </c>
      <c r="F1873" s="52">
        <v>0.39166666666666666</v>
      </c>
      <c r="G1873" s="53">
        <f t="shared" si="29"/>
        <v>6.9444444444444753E-3</v>
      </c>
      <c r="H1873" s="54">
        <v>41745</v>
      </c>
      <c r="I1873" s="55" t="s">
        <v>536</v>
      </c>
      <c r="J1873" s="55" t="s">
        <v>560</v>
      </c>
      <c r="K1873" s="55">
        <f>VLOOKUP(J1873,'Validacion reclamo de equipaje'!L:M,2,0)</f>
        <v>126</v>
      </c>
      <c r="L1873" s="55" t="str">
        <f>VLOOKUP(I1873,'Validacion reclamo de equipaje'!H:I,2,0)</f>
        <v>Nacional</v>
      </c>
      <c r="M1873" s="55" t="s">
        <v>523</v>
      </c>
    </row>
    <row r="1874" spans="1:13" x14ac:dyDescent="0.25">
      <c r="A1874">
        <v>276</v>
      </c>
      <c r="B1874" s="47" t="str">
        <f>VLOOKUP(Tabla6[[#This Row],['# Vuelo]],'Validacion reclamo de equipaje'!P:Q,2,0)</f>
        <v>MEXICO AEREO</v>
      </c>
      <c r="C1874" s="48">
        <v>0.37708333333333338</v>
      </c>
      <c r="D1874" s="48">
        <v>0.38194444444444442</v>
      </c>
      <c r="E1874" s="49">
        <f>'Reclamo de equipaje rediseñado'!$D1874-'Reclamo de equipaje rediseñado'!$C1874</f>
        <v>4.8611111111110383E-3</v>
      </c>
      <c r="F1874" s="48">
        <v>0.38680555555555557</v>
      </c>
      <c r="G1874" s="49">
        <f t="shared" si="29"/>
        <v>4.8611111111111494E-3</v>
      </c>
      <c r="H1874" s="50">
        <v>41748</v>
      </c>
      <c r="I1874" s="51" t="s">
        <v>536</v>
      </c>
      <c r="J1874" s="51" t="s">
        <v>560</v>
      </c>
      <c r="K1874" s="51">
        <f>VLOOKUP(J1874,'Validacion reclamo de equipaje'!L:M,2,0)</f>
        <v>126</v>
      </c>
      <c r="L1874" s="51" t="str">
        <f>VLOOKUP(I1874,'Validacion reclamo de equipaje'!H:I,2,0)</f>
        <v>Nacional</v>
      </c>
      <c r="M1874" s="51" t="s">
        <v>523</v>
      </c>
    </row>
    <row r="1875" spans="1:13" x14ac:dyDescent="0.25">
      <c r="A1875">
        <v>276</v>
      </c>
      <c r="B1875" s="47" t="str">
        <f>VLOOKUP(Tabla6[[#This Row],['# Vuelo]],'Validacion reclamo de equipaje'!P:Q,2,0)</f>
        <v>MEXICO AEREO</v>
      </c>
      <c r="C1875" s="52">
        <v>0.38750000000000001</v>
      </c>
      <c r="D1875" s="52">
        <v>0.39444444444444443</v>
      </c>
      <c r="E1875" s="53">
        <f>'Reclamo de equipaje rediseñado'!$D1875-'Reclamo de equipaje rediseñado'!$C1875</f>
        <v>6.9444444444444198E-3</v>
      </c>
      <c r="F1875" s="52">
        <v>0.40138888888888885</v>
      </c>
      <c r="G1875" s="53">
        <f t="shared" si="29"/>
        <v>6.9444444444444198E-3</v>
      </c>
      <c r="H1875" s="54">
        <v>41751</v>
      </c>
      <c r="I1875" s="55" t="s">
        <v>536</v>
      </c>
      <c r="J1875" s="55" t="s">
        <v>560</v>
      </c>
      <c r="K1875" s="55">
        <f>VLOOKUP(J1875,'Validacion reclamo de equipaje'!L:M,2,0)</f>
        <v>126</v>
      </c>
      <c r="L1875" s="55" t="str">
        <f>VLOOKUP(I1875,'Validacion reclamo de equipaje'!H:I,2,0)</f>
        <v>Nacional</v>
      </c>
      <c r="M1875" s="55" t="s">
        <v>523</v>
      </c>
    </row>
    <row r="1876" spans="1:13" x14ac:dyDescent="0.25">
      <c r="A1876">
        <v>276</v>
      </c>
      <c r="B1876" s="47" t="str">
        <f>VLOOKUP(Tabla6[[#This Row],['# Vuelo]],'Validacion reclamo de equipaje'!P:Q,2,0)</f>
        <v>MEXICO AEREO</v>
      </c>
      <c r="C1876" s="48">
        <v>0.38680555555555557</v>
      </c>
      <c r="D1876" s="48">
        <v>0.3888888888888889</v>
      </c>
      <c r="E1876" s="49">
        <f>'Reclamo de equipaje rediseñado'!$D1876-'Reclamo de equipaje rediseñado'!$C1876</f>
        <v>2.0833333333333259E-3</v>
      </c>
      <c r="F1876" s="48">
        <v>0.39583333333333331</v>
      </c>
      <c r="G1876" s="49">
        <f t="shared" si="29"/>
        <v>6.9444444444444198E-3</v>
      </c>
      <c r="H1876" s="50">
        <v>41753</v>
      </c>
      <c r="I1876" s="51" t="s">
        <v>536</v>
      </c>
      <c r="J1876" s="51" t="s">
        <v>560</v>
      </c>
      <c r="K1876" s="51">
        <f>VLOOKUP(J1876,'Validacion reclamo de equipaje'!L:M,2,0)</f>
        <v>126</v>
      </c>
      <c r="L1876" s="51" t="str">
        <f>VLOOKUP(I1876,'Validacion reclamo de equipaje'!H:I,2,0)</f>
        <v>Nacional</v>
      </c>
      <c r="M1876" s="51" t="s">
        <v>523</v>
      </c>
    </row>
    <row r="1877" spans="1:13" x14ac:dyDescent="0.25">
      <c r="A1877">
        <v>276</v>
      </c>
      <c r="B1877" s="47" t="str">
        <f>VLOOKUP(Tabla6[[#This Row],['# Vuelo]],'Validacion reclamo de equipaje'!P:Q,2,0)</f>
        <v>MEXICO AEREO</v>
      </c>
      <c r="C1877" s="52">
        <v>0.38125000000000003</v>
      </c>
      <c r="D1877" s="52">
        <v>0.38680555555555557</v>
      </c>
      <c r="E1877" s="53">
        <f>'Reclamo de equipaje rediseñado'!$D1877-'Reclamo de equipaje rediseñado'!$C1877</f>
        <v>5.5555555555555358E-3</v>
      </c>
      <c r="F1877" s="52">
        <v>0.39374999999999999</v>
      </c>
      <c r="G1877" s="53">
        <f t="shared" si="29"/>
        <v>6.9444444444444198E-3</v>
      </c>
      <c r="H1877" s="54">
        <v>41754</v>
      </c>
      <c r="I1877" s="55" t="s">
        <v>536</v>
      </c>
      <c r="J1877" s="55" t="s">
        <v>560</v>
      </c>
      <c r="K1877" s="55">
        <f>VLOOKUP(J1877,'Validacion reclamo de equipaje'!L:M,2,0)</f>
        <v>126</v>
      </c>
      <c r="L1877" s="55" t="str">
        <f>VLOOKUP(I1877,'Validacion reclamo de equipaje'!H:I,2,0)</f>
        <v>Nacional</v>
      </c>
      <c r="M1877" s="55" t="s">
        <v>523</v>
      </c>
    </row>
    <row r="1878" spans="1:13" x14ac:dyDescent="0.25">
      <c r="A1878">
        <v>276</v>
      </c>
      <c r="B1878" s="47" t="str">
        <f>VLOOKUP(Tabla6[[#This Row],['# Vuelo]],'Validacion reclamo de equipaje'!P:Q,2,0)</f>
        <v>MEXICO AEREO</v>
      </c>
      <c r="C1878" s="48">
        <v>0.3840277777777778</v>
      </c>
      <c r="D1878" s="48">
        <v>0.38819444444444445</v>
      </c>
      <c r="E1878" s="49">
        <f>'Reclamo de equipaje rediseñado'!$D1878-'Reclamo de equipaje rediseñado'!$C1878</f>
        <v>4.1666666666666519E-3</v>
      </c>
      <c r="F1878" s="48">
        <v>0.39930555555555558</v>
      </c>
      <c r="G1878" s="49">
        <f t="shared" si="29"/>
        <v>1.1111111111111127E-2</v>
      </c>
      <c r="H1878" s="50">
        <v>41756</v>
      </c>
      <c r="I1878" s="51" t="s">
        <v>536</v>
      </c>
      <c r="J1878" s="51" t="s">
        <v>560</v>
      </c>
      <c r="K1878" s="51">
        <f>VLOOKUP(J1878,'Validacion reclamo de equipaje'!L:M,2,0)</f>
        <v>126</v>
      </c>
      <c r="L1878" s="51" t="str">
        <f>VLOOKUP(I1878,'Validacion reclamo de equipaje'!H:I,2,0)</f>
        <v>Nacional</v>
      </c>
      <c r="M1878" s="51" t="s">
        <v>523</v>
      </c>
    </row>
    <row r="1879" spans="1:13" x14ac:dyDescent="0.25">
      <c r="A1879">
        <v>276</v>
      </c>
      <c r="B1879" s="47" t="str">
        <f>VLOOKUP(Tabla6[[#This Row],['# Vuelo]],'Validacion reclamo de equipaje'!P:Q,2,0)</f>
        <v>MEXICO AEREO</v>
      </c>
      <c r="C1879" s="52">
        <v>0.39305555555555555</v>
      </c>
      <c r="D1879" s="52">
        <v>0.39930555555555558</v>
      </c>
      <c r="E1879" s="53">
        <f>'Reclamo de equipaje rediseñado'!$D1879-'Reclamo de equipaje rediseñado'!$C1879</f>
        <v>6.2500000000000333E-3</v>
      </c>
      <c r="F1879" s="52">
        <v>0.40902777777777777</v>
      </c>
      <c r="G1879" s="53">
        <f t="shared" si="29"/>
        <v>9.7222222222221877E-3</v>
      </c>
      <c r="H1879" s="54">
        <v>41757</v>
      </c>
      <c r="I1879" s="55" t="s">
        <v>536</v>
      </c>
      <c r="J1879" s="55" t="s">
        <v>560</v>
      </c>
      <c r="K1879" s="55">
        <f>VLOOKUP(J1879,'Validacion reclamo de equipaje'!L:M,2,0)</f>
        <v>126</v>
      </c>
      <c r="L1879" s="55" t="str">
        <f>VLOOKUP(I1879,'Validacion reclamo de equipaje'!H:I,2,0)</f>
        <v>Nacional</v>
      </c>
      <c r="M1879" s="55" t="s">
        <v>523</v>
      </c>
    </row>
    <row r="1880" spans="1:13" x14ac:dyDescent="0.25">
      <c r="A1880">
        <v>276</v>
      </c>
      <c r="B1880" s="47" t="str">
        <f>VLOOKUP(Tabla6[[#This Row],['# Vuelo]],'Validacion reclamo de equipaje'!P:Q,2,0)</f>
        <v>MEXICO AEREO</v>
      </c>
      <c r="C1880" s="48">
        <v>0.37777777777777777</v>
      </c>
      <c r="D1880" s="48">
        <v>0.3833333333333333</v>
      </c>
      <c r="E1880" s="49">
        <f>'Reclamo de equipaje rediseñado'!$D1880-'Reclamo de equipaje rediseñado'!$C1880</f>
        <v>5.5555555555555358E-3</v>
      </c>
      <c r="F1880" s="48">
        <v>0.39374999999999999</v>
      </c>
      <c r="G1880" s="49">
        <f t="shared" si="29"/>
        <v>1.0416666666666685E-2</v>
      </c>
      <c r="H1880" s="50">
        <v>41758</v>
      </c>
      <c r="I1880" s="51" t="s">
        <v>536</v>
      </c>
      <c r="J1880" s="51" t="s">
        <v>560</v>
      </c>
      <c r="K1880" s="51">
        <f>VLOOKUP(J1880,'Validacion reclamo de equipaje'!L:M,2,0)</f>
        <v>126</v>
      </c>
      <c r="L1880" s="51" t="str">
        <f>VLOOKUP(I1880,'Validacion reclamo de equipaje'!H:I,2,0)</f>
        <v>Nacional</v>
      </c>
      <c r="M1880" s="51" t="s">
        <v>523</v>
      </c>
    </row>
    <row r="1881" spans="1:13" x14ac:dyDescent="0.25">
      <c r="A1881">
        <v>276</v>
      </c>
      <c r="B1881" s="47" t="str">
        <f>VLOOKUP(Tabla6[[#This Row],['# Vuelo]],'Validacion reclamo de equipaje'!P:Q,2,0)</f>
        <v>MEXICO AEREO</v>
      </c>
      <c r="C1881" s="52">
        <v>0.3923611111111111</v>
      </c>
      <c r="D1881" s="52">
        <v>0.39930555555555558</v>
      </c>
      <c r="E1881" s="53">
        <f>'Reclamo de equipaje rediseñado'!$D1881-'Reclamo de equipaje rediseñado'!$C1881</f>
        <v>6.9444444444444753E-3</v>
      </c>
      <c r="F1881" s="52">
        <v>0.40208333333333335</v>
      </c>
      <c r="G1881" s="53">
        <f t="shared" si="29"/>
        <v>2.7777777777777679E-3</v>
      </c>
      <c r="H1881" s="54">
        <v>41759</v>
      </c>
      <c r="I1881" s="55" t="s">
        <v>536</v>
      </c>
      <c r="J1881" s="55" t="s">
        <v>560</v>
      </c>
      <c r="K1881" s="55">
        <f>VLOOKUP(J1881,'Validacion reclamo de equipaje'!L:M,2,0)</f>
        <v>126</v>
      </c>
      <c r="L1881" s="55" t="str">
        <f>VLOOKUP(I1881,'Validacion reclamo de equipaje'!H:I,2,0)</f>
        <v>Nacional</v>
      </c>
      <c r="M1881" s="55" t="s">
        <v>523</v>
      </c>
    </row>
    <row r="1882" spans="1:13" x14ac:dyDescent="0.25">
      <c r="A1882">
        <v>254</v>
      </c>
      <c r="B1882" s="47" t="str">
        <f>VLOOKUP(Tabla6[[#This Row],['# Vuelo]],'Validacion reclamo de equipaje'!P:Q,2,0)</f>
        <v>MEXICO AEREO</v>
      </c>
      <c r="C1882" s="48">
        <v>0.74722222222222223</v>
      </c>
      <c r="D1882" s="48">
        <v>0.75</v>
      </c>
      <c r="E1882" s="49">
        <f>'Reclamo de equipaje rediseñado'!$D1882-'Reclamo de equipaje rediseñado'!$C1882</f>
        <v>2.7777777777777679E-3</v>
      </c>
      <c r="F1882" s="48">
        <v>0.75347222222222221</v>
      </c>
      <c r="G1882" s="49">
        <f t="shared" si="29"/>
        <v>3.4722222222222099E-3</v>
      </c>
      <c r="H1882" s="50">
        <v>41730</v>
      </c>
      <c r="I1882" s="51" t="s">
        <v>536</v>
      </c>
      <c r="J1882" s="51" t="s">
        <v>535</v>
      </c>
      <c r="K1882" s="51">
        <f>VLOOKUP(J1882,'Validacion reclamo de equipaje'!L:M,2,0)</f>
        <v>50</v>
      </c>
      <c r="L1882" s="51" t="str">
        <f>VLOOKUP(I1882,'Validacion reclamo de equipaje'!H:I,2,0)</f>
        <v>Nacional</v>
      </c>
      <c r="M1882" s="51" t="s">
        <v>523</v>
      </c>
    </row>
    <row r="1883" spans="1:13" x14ac:dyDescent="0.25">
      <c r="A1883">
        <v>254</v>
      </c>
      <c r="B1883" s="47" t="str">
        <f>VLOOKUP(Tabla6[[#This Row],['# Vuelo]],'Validacion reclamo de equipaje'!P:Q,2,0)</f>
        <v>MEXICO AEREO</v>
      </c>
      <c r="C1883" s="52">
        <v>0.7402777777777777</v>
      </c>
      <c r="D1883" s="52">
        <v>0.74583333333333324</v>
      </c>
      <c r="E1883" s="53">
        <f>'Reclamo de equipaje rediseñado'!$D1883-'Reclamo de equipaje rediseñado'!$C1883</f>
        <v>5.5555555555555358E-3</v>
      </c>
      <c r="F1883" s="52">
        <v>0.75</v>
      </c>
      <c r="G1883" s="53">
        <f t="shared" si="29"/>
        <v>4.1666666666667629E-3</v>
      </c>
      <c r="H1883" s="54">
        <v>41731</v>
      </c>
      <c r="I1883" s="55" t="s">
        <v>536</v>
      </c>
      <c r="J1883" s="55" t="s">
        <v>535</v>
      </c>
      <c r="K1883" s="55">
        <f>VLOOKUP(J1883,'Validacion reclamo de equipaje'!L:M,2,0)</f>
        <v>50</v>
      </c>
      <c r="L1883" s="55" t="str">
        <f>VLOOKUP(I1883,'Validacion reclamo de equipaje'!H:I,2,0)</f>
        <v>Nacional</v>
      </c>
      <c r="M1883" s="55" t="s">
        <v>523</v>
      </c>
    </row>
    <row r="1884" spans="1:13" x14ac:dyDescent="0.25">
      <c r="A1884">
        <v>254</v>
      </c>
      <c r="B1884" s="47" t="str">
        <f>VLOOKUP(Tabla6[[#This Row],['# Vuelo]],'Validacion reclamo de equipaje'!P:Q,2,0)</f>
        <v>MEXICO AEREO</v>
      </c>
      <c r="C1884" s="48">
        <v>0.74444444444444446</v>
      </c>
      <c r="D1884" s="48">
        <v>0.75138888888888899</v>
      </c>
      <c r="E1884" s="49">
        <f>'Reclamo de equipaje rediseñado'!$D1884-'Reclamo de equipaje rediseñado'!$C1884</f>
        <v>6.9444444444445308E-3</v>
      </c>
      <c r="F1884" s="48">
        <v>0.75416666666666676</v>
      </c>
      <c r="G1884" s="49">
        <f t="shared" si="29"/>
        <v>2.7777777777777679E-3</v>
      </c>
      <c r="H1884" s="50">
        <v>41733</v>
      </c>
      <c r="I1884" s="51" t="s">
        <v>536</v>
      </c>
      <c r="J1884" s="51" t="s">
        <v>535</v>
      </c>
      <c r="K1884" s="51">
        <f>VLOOKUP(J1884,'Validacion reclamo de equipaje'!L:M,2,0)</f>
        <v>50</v>
      </c>
      <c r="L1884" s="51" t="str">
        <f>VLOOKUP(I1884,'Validacion reclamo de equipaje'!H:I,2,0)</f>
        <v>Nacional</v>
      </c>
      <c r="M1884" s="51" t="s">
        <v>523</v>
      </c>
    </row>
    <row r="1885" spans="1:13" x14ac:dyDescent="0.25">
      <c r="A1885">
        <v>254</v>
      </c>
      <c r="B1885" s="47" t="str">
        <f>VLOOKUP(Tabla6[[#This Row],['# Vuelo]],'Validacion reclamo de equipaje'!P:Q,2,0)</f>
        <v>MEXICO AEREO</v>
      </c>
      <c r="C1885" s="52">
        <v>0.74722222222222223</v>
      </c>
      <c r="D1885" s="52">
        <v>0.75</v>
      </c>
      <c r="E1885" s="53">
        <f>'Reclamo de equipaje rediseñado'!$D1885-'Reclamo de equipaje rediseñado'!$C1885</f>
        <v>2.7777777777777679E-3</v>
      </c>
      <c r="F1885" s="52">
        <v>0.75347222222222221</v>
      </c>
      <c r="G1885" s="53">
        <f t="shared" si="29"/>
        <v>3.4722222222222099E-3</v>
      </c>
      <c r="H1885" s="54">
        <v>41742</v>
      </c>
      <c r="I1885" s="55" t="s">
        <v>536</v>
      </c>
      <c r="J1885" s="55" t="s">
        <v>535</v>
      </c>
      <c r="K1885" s="55">
        <f>VLOOKUP(J1885,'Validacion reclamo de equipaje'!L:M,2,0)</f>
        <v>50</v>
      </c>
      <c r="L1885" s="55" t="str">
        <f>VLOOKUP(I1885,'Validacion reclamo de equipaje'!H:I,2,0)</f>
        <v>Nacional</v>
      </c>
      <c r="M1885" s="55" t="s">
        <v>523</v>
      </c>
    </row>
    <row r="1886" spans="1:13" x14ac:dyDescent="0.25">
      <c r="A1886">
        <v>252</v>
      </c>
      <c r="B1886" s="47" t="str">
        <f>VLOOKUP(Tabla6[[#This Row],['# Vuelo]],'Validacion reclamo de equipaje'!P:Q,2,0)</f>
        <v>MEXICO AEREO</v>
      </c>
      <c r="C1886" s="48">
        <v>0.71527777777777779</v>
      </c>
      <c r="D1886" s="48">
        <v>0.72152777777777777</v>
      </c>
      <c r="E1886" s="49">
        <f>'Reclamo de equipaje rediseñado'!$D1886-'Reclamo de equipaje rediseñado'!$C1886</f>
        <v>6.2499999999999778E-3</v>
      </c>
      <c r="F1886" s="48">
        <v>0.72916666666666663</v>
      </c>
      <c r="G1886" s="49">
        <f t="shared" si="29"/>
        <v>7.6388888888888618E-3</v>
      </c>
      <c r="H1886" s="50">
        <v>41730</v>
      </c>
      <c r="I1886" s="51" t="s">
        <v>536</v>
      </c>
      <c r="J1886" s="51" t="s">
        <v>560</v>
      </c>
      <c r="K1886" s="51">
        <f>VLOOKUP(J1886,'Validacion reclamo de equipaje'!L:M,2,0)</f>
        <v>126</v>
      </c>
      <c r="L1886" s="51" t="str">
        <f>VLOOKUP(I1886,'Validacion reclamo de equipaje'!H:I,2,0)</f>
        <v>Nacional</v>
      </c>
      <c r="M1886" s="51" t="s">
        <v>523</v>
      </c>
    </row>
    <row r="1887" spans="1:13" x14ac:dyDescent="0.25">
      <c r="A1887">
        <v>252</v>
      </c>
      <c r="B1887" s="47" t="str">
        <f>VLOOKUP(Tabla6[[#This Row],['# Vuelo]],'Validacion reclamo de equipaje'!P:Q,2,0)</f>
        <v>MEXICO AEREO</v>
      </c>
      <c r="C1887" s="52">
        <v>0.72430555555555554</v>
      </c>
      <c r="D1887" s="52">
        <v>0.73055555555555562</v>
      </c>
      <c r="E1887" s="53">
        <f>'Reclamo de equipaje rediseñado'!$D1887-'Reclamo de equipaje rediseñado'!$C1887</f>
        <v>6.2500000000000888E-3</v>
      </c>
      <c r="F1887" s="52">
        <v>0.73749999999999993</v>
      </c>
      <c r="G1887" s="53">
        <f t="shared" si="29"/>
        <v>6.9444444444443088E-3</v>
      </c>
      <c r="H1887" s="54">
        <v>41731</v>
      </c>
      <c r="I1887" s="55" t="s">
        <v>536</v>
      </c>
      <c r="J1887" s="55" t="s">
        <v>560</v>
      </c>
      <c r="K1887" s="55">
        <f>VLOOKUP(J1887,'Validacion reclamo de equipaje'!L:M,2,0)</f>
        <v>126</v>
      </c>
      <c r="L1887" s="55" t="str">
        <f>VLOOKUP(I1887,'Validacion reclamo de equipaje'!H:I,2,0)</f>
        <v>Nacional</v>
      </c>
      <c r="M1887" s="55" t="s">
        <v>523</v>
      </c>
    </row>
    <row r="1888" spans="1:13" x14ac:dyDescent="0.25">
      <c r="A1888">
        <v>252</v>
      </c>
      <c r="B1888" s="47" t="str">
        <f>VLOOKUP(Tabla6[[#This Row],['# Vuelo]],'Validacion reclamo de equipaje'!P:Q,2,0)</f>
        <v>MEXICO AEREO</v>
      </c>
      <c r="C1888" s="48">
        <v>0.72916666666666663</v>
      </c>
      <c r="D1888" s="48">
        <v>0.73611111111111116</v>
      </c>
      <c r="E1888" s="49">
        <f>'Reclamo de equipaje rediseñado'!$D1888-'Reclamo de equipaje rediseñado'!$C1888</f>
        <v>6.9444444444445308E-3</v>
      </c>
      <c r="F1888" s="48">
        <v>0.74375000000000002</v>
      </c>
      <c r="G1888" s="49">
        <f t="shared" si="29"/>
        <v>7.6388888888888618E-3</v>
      </c>
      <c r="H1888" s="50">
        <v>41732</v>
      </c>
      <c r="I1888" s="51" t="s">
        <v>536</v>
      </c>
      <c r="J1888" s="51" t="s">
        <v>560</v>
      </c>
      <c r="K1888" s="51">
        <f>VLOOKUP(J1888,'Validacion reclamo de equipaje'!L:M,2,0)</f>
        <v>126</v>
      </c>
      <c r="L1888" s="51" t="str">
        <f>VLOOKUP(I1888,'Validacion reclamo de equipaje'!H:I,2,0)</f>
        <v>Nacional</v>
      </c>
      <c r="M1888" s="51" t="s">
        <v>523</v>
      </c>
    </row>
    <row r="1889" spans="1:13" x14ac:dyDescent="0.25">
      <c r="A1889">
        <v>252</v>
      </c>
      <c r="B1889" s="47" t="str">
        <f>VLOOKUP(Tabla6[[#This Row],['# Vuelo]],'Validacion reclamo de equipaje'!P:Q,2,0)</f>
        <v>MEXICO AEREO</v>
      </c>
      <c r="C1889" s="52">
        <v>0.72222222222222221</v>
      </c>
      <c r="D1889" s="52">
        <v>0.72777777777777775</v>
      </c>
      <c r="E1889" s="53">
        <f>'Reclamo de equipaje rediseñado'!$D1889-'Reclamo de equipaje rediseñado'!$C1889</f>
        <v>5.5555555555555358E-3</v>
      </c>
      <c r="F1889" s="52">
        <v>0.7368055555555556</v>
      </c>
      <c r="G1889" s="53">
        <f t="shared" si="29"/>
        <v>9.0277777777778567E-3</v>
      </c>
      <c r="H1889" s="54">
        <v>41733</v>
      </c>
      <c r="I1889" s="55" t="s">
        <v>536</v>
      </c>
      <c r="J1889" s="55" t="s">
        <v>560</v>
      </c>
      <c r="K1889" s="55">
        <f>VLOOKUP(J1889,'Validacion reclamo de equipaje'!L:M,2,0)</f>
        <v>126</v>
      </c>
      <c r="L1889" s="55" t="str">
        <f>VLOOKUP(I1889,'Validacion reclamo de equipaje'!H:I,2,0)</f>
        <v>Nacional</v>
      </c>
      <c r="M1889" s="55" t="s">
        <v>523</v>
      </c>
    </row>
    <row r="1890" spans="1:13" x14ac:dyDescent="0.25">
      <c r="A1890">
        <v>252</v>
      </c>
      <c r="B1890" s="47" t="str">
        <f>VLOOKUP(Tabla6[[#This Row],['# Vuelo]],'Validacion reclamo de equipaje'!P:Q,2,0)</f>
        <v>MEXICO AEREO</v>
      </c>
      <c r="C1890" s="48">
        <v>0.74305555555555547</v>
      </c>
      <c r="D1890" s="48">
        <v>0.74791666666666667</v>
      </c>
      <c r="E1890" s="49">
        <f>'Reclamo de equipaje rediseñado'!$D1890-'Reclamo de equipaje rediseñado'!$C1890</f>
        <v>4.8611111111112049E-3</v>
      </c>
      <c r="F1890" s="48">
        <v>0.75347222222222221</v>
      </c>
      <c r="G1890" s="49">
        <f t="shared" si="29"/>
        <v>5.5555555555555358E-3</v>
      </c>
      <c r="H1890" s="50">
        <v>41735</v>
      </c>
      <c r="I1890" s="51" t="s">
        <v>536</v>
      </c>
      <c r="J1890" s="51" t="s">
        <v>560</v>
      </c>
      <c r="K1890" s="51">
        <f>VLOOKUP(J1890,'Validacion reclamo de equipaje'!L:M,2,0)</f>
        <v>126</v>
      </c>
      <c r="L1890" s="51" t="str">
        <f>VLOOKUP(I1890,'Validacion reclamo de equipaje'!H:I,2,0)</f>
        <v>Nacional</v>
      </c>
      <c r="M1890" s="51" t="s">
        <v>523</v>
      </c>
    </row>
    <row r="1891" spans="1:13" x14ac:dyDescent="0.25">
      <c r="A1891">
        <v>252</v>
      </c>
      <c r="B1891" s="47" t="str">
        <f>VLOOKUP(Tabla6[[#This Row],['# Vuelo]],'Validacion reclamo de equipaje'!P:Q,2,0)</f>
        <v>MEXICO AEREO</v>
      </c>
      <c r="C1891" s="52">
        <v>0.71666666666666667</v>
      </c>
      <c r="D1891" s="52">
        <v>0.71805555555555556</v>
      </c>
      <c r="E1891" s="53">
        <f>'Reclamo de equipaje rediseñado'!$D1891-'Reclamo de equipaje rediseñado'!$C1891</f>
        <v>1.388888888888884E-3</v>
      </c>
      <c r="F1891" s="52">
        <v>0.72777777777777775</v>
      </c>
      <c r="G1891" s="53">
        <f t="shared" si="29"/>
        <v>9.7222222222221877E-3</v>
      </c>
      <c r="H1891" s="54">
        <v>41736</v>
      </c>
      <c r="I1891" s="55" t="s">
        <v>536</v>
      </c>
      <c r="J1891" s="55" t="s">
        <v>560</v>
      </c>
      <c r="K1891" s="55">
        <f>VLOOKUP(J1891,'Validacion reclamo de equipaje'!L:M,2,0)</f>
        <v>126</v>
      </c>
      <c r="L1891" s="55" t="str">
        <f>VLOOKUP(I1891,'Validacion reclamo de equipaje'!H:I,2,0)</f>
        <v>Nacional</v>
      </c>
      <c r="M1891" s="55" t="s">
        <v>523</v>
      </c>
    </row>
    <row r="1892" spans="1:13" x14ac:dyDescent="0.25">
      <c r="A1892">
        <v>252</v>
      </c>
      <c r="B1892" s="47" t="str">
        <f>VLOOKUP(Tabla6[[#This Row],['# Vuelo]],'Validacion reclamo de equipaje'!P:Q,2,0)</f>
        <v>MEXICO AEREO</v>
      </c>
      <c r="C1892" s="48">
        <v>0.70833333333333337</v>
      </c>
      <c r="D1892" s="48">
        <v>0.71180555555555547</v>
      </c>
      <c r="E1892" s="49">
        <f>'Reclamo de equipaje rediseñado'!$D1892-'Reclamo de equipaje rediseñado'!$C1892</f>
        <v>3.4722222222220989E-3</v>
      </c>
      <c r="F1892" s="48">
        <v>0.72083333333333333</v>
      </c>
      <c r="G1892" s="49">
        <f t="shared" si="29"/>
        <v>9.0277777777778567E-3</v>
      </c>
      <c r="H1892" s="50">
        <v>41737</v>
      </c>
      <c r="I1892" s="51" t="s">
        <v>536</v>
      </c>
      <c r="J1892" s="51" t="s">
        <v>560</v>
      </c>
      <c r="K1892" s="51">
        <f>VLOOKUP(J1892,'Validacion reclamo de equipaje'!L:M,2,0)</f>
        <v>126</v>
      </c>
      <c r="L1892" s="51" t="str">
        <f>VLOOKUP(I1892,'Validacion reclamo de equipaje'!H:I,2,0)</f>
        <v>Nacional</v>
      </c>
      <c r="M1892" s="51" t="s">
        <v>523</v>
      </c>
    </row>
    <row r="1893" spans="1:13" x14ac:dyDescent="0.25">
      <c r="A1893">
        <v>252</v>
      </c>
      <c r="B1893" s="47" t="str">
        <f>VLOOKUP(Tabla6[[#This Row],['# Vuelo]],'Validacion reclamo de equipaje'!P:Q,2,0)</f>
        <v>MEXICO AEREO</v>
      </c>
      <c r="C1893" s="52">
        <v>0.71597222222222223</v>
      </c>
      <c r="D1893" s="52">
        <v>0.71875</v>
      </c>
      <c r="E1893" s="53">
        <f>'Reclamo de equipaje rediseñado'!$D1893-'Reclamo de equipaje rediseñado'!$C1893</f>
        <v>2.7777777777777679E-3</v>
      </c>
      <c r="F1893" s="52">
        <v>0.72222222222222221</v>
      </c>
      <c r="G1893" s="53">
        <f t="shared" si="29"/>
        <v>3.4722222222222099E-3</v>
      </c>
      <c r="H1893" s="54">
        <v>41738</v>
      </c>
      <c r="I1893" s="55" t="s">
        <v>536</v>
      </c>
      <c r="J1893" s="55" t="s">
        <v>560</v>
      </c>
      <c r="K1893" s="55">
        <f>VLOOKUP(J1893,'Validacion reclamo de equipaje'!L:M,2,0)</f>
        <v>126</v>
      </c>
      <c r="L1893" s="55" t="str">
        <f>VLOOKUP(I1893,'Validacion reclamo de equipaje'!H:I,2,0)</f>
        <v>Nacional</v>
      </c>
      <c r="M1893" s="55" t="s">
        <v>523</v>
      </c>
    </row>
    <row r="1894" spans="1:13" x14ac:dyDescent="0.25">
      <c r="A1894">
        <v>252</v>
      </c>
      <c r="B1894" s="47" t="str">
        <f>VLOOKUP(Tabla6[[#This Row],['# Vuelo]],'Validacion reclamo de equipaje'!P:Q,2,0)</f>
        <v>MEXICO AEREO</v>
      </c>
      <c r="C1894" s="48">
        <v>0.71736111111111101</v>
      </c>
      <c r="D1894" s="48">
        <v>0.72291666666666676</v>
      </c>
      <c r="E1894" s="49">
        <f>'Reclamo de equipaje rediseñado'!$D1894-'Reclamo de equipaje rediseñado'!$C1894</f>
        <v>5.5555555555557579E-3</v>
      </c>
      <c r="F1894" s="48">
        <v>0.73055555555555562</v>
      </c>
      <c r="G1894" s="49">
        <f t="shared" si="29"/>
        <v>7.6388888888888618E-3</v>
      </c>
      <c r="H1894" s="50">
        <v>41739</v>
      </c>
      <c r="I1894" s="51" t="s">
        <v>536</v>
      </c>
      <c r="J1894" s="51" t="s">
        <v>560</v>
      </c>
      <c r="K1894" s="51">
        <f>VLOOKUP(J1894,'Validacion reclamo de equipaje'!L:M,2,0)</f>
        <v>126</v>
      </c>
      <c r="L1894" s="51" t="str">
        <f>VLOOKUP(I1894,'Validacion reclamo de equipaje'!H:I,2,0)</f>
        <v>Nacional</v>
      </c>
      <c r="M1894" s="51" t="s">
        <v>523</v>
      </c>
    </row>
    <row r="1895" spans="1:13" x14ac:dyDescent="0.25">
      <c r="A1895">
        <v>252</v>
      </c>
      <c r="B1895" s="47" t="str">
        <f>VLOOKUP(Tabla6[[#This Row],['# Vuelo]],'Validacion reclamo de equipaje'!P:Q,2,0)</f>
        <v>MEXICO AEREO</v>
      </c>
      <c r="C1895" s="52">
        <v>0.71250000000000002</v>
      </c>
      <c r="D1895" s="52">
        <v>0.71875</v>
      </c>
      <c r="E1895" s="53">
        <f>'Reclamo de equipaje rediseñado'!$D1895-'Reclamo de equipaje rediseñado'!$C1895</f>
        <v>6.2499999999999778E-3</v>
      </c>
      <c r="F1895" s="52">
        <v>0.72569444444444453</v>
      </c>
      <c r="G1895" s="53">
        <f t="shared" si="29"/>
        <v>6.9444444444445308E-3</v>
      </c>
      <c r="H1895" s="54">
        <v>41743</v>
      </c>
      <c r="I1895" s="55" t="s">
        <v>536</v>
      </c>
      <c r="J1895" s="55" t="s">
        <v>560</v>
      </c>
      <c r="K1895" s="55">
        <f>VLOOKUP(J1895,'Validacion reclamo de equipaje'!L:M,2,0)</f>
        <v>126</v>
      </c>
      <c r="L1895" s="55" t="str">
        <f>VLOOKUP(I1895,'Validacion reclamo de equipaje'!H:I,2,0)</f>
        <v>Nacional</v>
      </c>
      <c r="M1895" s="55" t="s">
        <v>523</v>
      </c>
    </row>
    <row r="1896" spans="1:13" x14ac:dyDescent="0.25">
      <c r="A1896">
        <v>252</v>
      </c>
      <c r="B1896" s="47" t="str">
        <f>VLOOKUP(Tabla6[[#This Row],['# Vuelo]],'Validacion reclamo de equipaje'!P:Q,2,0)</f>
        <v>MEXICO AEREO</v>
      </c>
      <c r="C1896" s="48">
        <v>0.71875</v>
      </c>
      <c r="D1896" s="48">
        <v>0.72361111111111109</v>
      </c>
      <c r="E1896" s="49">
        <f>'Reclamo de equipaje rediseñado'!$D1896-'Reclamo de equipaje rediseñado'!$C1896</f>
        <v>4.8611111111110938E-3</v>
      </c>
      <c r="F1896" s="48">
        <v>0.72986111111111107</v>
      </c>
      <c r="G1896" s="49">
        <f t="shared" si="29"/>
        <v>6.2499999999999778E-3</v>
      </c>
      <c r="H1896" s="50">
        <v>41744</v>
      </c>
      <c r="I1896" s="51" t="s">
        <v>536</v>
      </c>
      <c r="J1896" s="51" t="s">
        <v>560</v>
      </c>
      <c r="K1896" s="51">
        <f>VLOOKUP(J1896,'Validacion reclamo de equipaje'!L:M,2,0)</f>
        <v>126</v>
      </c>
      <c r="L1896" s="51" t="str">
        <f>VLOOKUP(I1896,'Validacion reclamo de equipaje'!H:I,2,0)</f>
        <v>Nacional</v>
      </c>
      <c r="M1896" s="51" t="s">
        <v>523</v>
      </c>
    </row>
    <row r="1897" spans="1:13" x14ac:dyDescent="0.25">
      <c r="A1897">
        <v>252</v>
      </c>
      <c r="B1897" s="47" t="str">
        <f>VLOOKUP(Tabla6[[#This Row],['# Vuelo]],'Validacion reclamo de equipaje'!P:Q,2,0)</f>
        <v>MEXICO AEREO</v>
      </c>
      <c r="C1897" s="52">
        <v>0.72569444444444453</v>
      </c>
      <c r="D1897" s="52">
        <v>0.73055555555555562</v>
      </c>
      <c r="E1897" s="53">
        <f>'Reclamo de equipaje rediseñado'!$D1897-'Reclamo de equipaje rediseñado'!$C1897</f>
        <v>4.8611111111110938E-3</v>
      </c>
      <c r="F1897" s="52">
        <v>0.7402777777777777</v>
      </c>
      <c r="G1897" s="53">
        <f t="shared" si="29"/>
        <v>9.7222222222220767E-3</v>
      </c>
      <c r="H1897" s="54">
        <v>41745</v>
      </c>
      <c r="I1897" s="55" t="s">
        <v>536</v>
      </c>
      <c r="J1897" s="55" t="s">
        <v>560</v>
      </c>
      <c r="K1897" s="55">
        <f>VLOOKUP(J1897,'Validacion reclamo de equipaje'!L:M,2,0)</f>
        <v>126</v>
      </c>
      <c r="L1897" s="55" t="str">
        <f>VLOOKUP(I1897,'Validacion reclamo de equipaje'!H:I,2,0)</f>
        <v>Nacional</v>
      </c>
      <c r="M1897" s="55" t="s">
        <v>523</v>
      </c>
    </row>
    <row r="1898" spans="1:13" x14ac:dyDescent="0.25">
      <c r="A1898">
        <v>252</v>
      </c>
      <c r="B1898" s="47" t="str">
        <f>VLOOKUP(Tabla6[[#This Row],['# Vuelo]],'Validacion reclamo de equipaje'!P:Q,2,0)</f>
        <v>MEXICO AEREO</v>
      </c>
      <c r="C1898" s="48">
        <v>0.71944444444444444</v>
      </c>
      <c r="D1898" s="48">
        <v>0.72569444444444453</v>
      </c>
      <c r="E1898" s="49">
        <f>'Reclamo de equipaje rediseñado'!$D1898-'Reclamo de equipaje rediseñado'!$C1898</f>
        <v>6.2500000000000888E-3</v>
      </c>
      <c r="F1898" s="48">
        <v>0.73472222222222217</v>
      </c>
      <c r="G1898" s="49">
        <f t="shared" si="29"/>
        <v>9.0277777777776347E-3</v>
      </c>
      <c r="H1898" s="50">
        <v>41749</v>
      </c>
      <c r="I1898" s="51" t="s">
        <v>536</v>
      </c>
      <c r="J1898" s="51" t="s">
        <v>560</v>
      </c>
      <c r="K1898" s="51">
        <f>VLOOKUP(J1898,'Validacion reclamo de equipaje'!L:M,2,0)</f>
        <v>126</v>
      </c>
      <c r="L1898" s="51" t="str">
        <f>VLOOKUP(I1898,'Validacion reclamo de equipaje'!H:I,2,0)</f>
        <v>Nacional</v>
      </c>
      <c r="M1898" s="51" t="s">
        <v>523</v>
      </c>
    </row>
    <row r="1899" spans="1:13" x14ac:dyDescent="0.25">
      <c r="A1899">
        <v>252</v>
      </c>
      <c r="B1899" s="47" t="str">
        <f>VLOOKUP(Tabla6[[#This Row],['# Vuelo]],'Validacion reclamo de equipaje'!P:Q,2,0)</f>
        <v>MEXICO AEREO</v>
      </c>
      <c r="C1899" s="52">
        <v>0.72499999999999998</v>
      </c>
      <c r="D1899" s="52">
        <v>0.73263888888888884</v>
      </c>
      <c r="E1899" s="53">
        <f>'Reclamo de equipaje rediseñado'!$D1899-'Reclamo de equipaje rediseñado'!$C1899</f>
        <v>7.6388888888888618E-3</v>
      </c>
      <c r="F1899" s="52">
        <v>0.73819444444444438</v>
      </c>
      <c r="G1899" s="53">
        <f t="shared" si="29"/>
        <v>5.5555555555555358E-3</v>
      </c>
      <c r="H1899" s="54">
        <v>41753</v>
      </c>
      <c r="I1899" s="55" t="s">
        <v>536</v>
      </c>
      <c r="J1899" s="55" t="s">
        <v>560</v>
      </c>
      <c r="K1899" s="55">
        <f>VLOOKUP(J1899,'Validacion reclamo de equipaje'!L:M,2,0)</f>
        <v>126</v>
      </c>
      <c r="L1899" s="55" t="str">
        <f>VLOOKUP(I1899,'Validacion reclamo de equipaje'!H:I,2,0)</f>
        <v>Nacional</v>
      </c>
      <c r="M1899" s="55" t="s">
        <v>523</v>
      </c>
    </row>
    <row r="1900" spans="1:13" x14ac:dyDescent="0.25">
      <c r="A1900">
        <v>252</v>
      </c>
      <c r="B1900" s="47" t="str">
        <f>VLOOKUP(Tabla6[[#This Row],['# Vuelo]],'Validacion reclamo de equipaje'!P:Q,2,0)</f>
        <v>MEXICO AEREO</v>
      </c>
      <c r="C1900" s="48">
        <v>0.71944444444444444</v>
      </c>
      <c r="D1900" s="48">
        <v>0.72638888888888886</v>
      </c>
      <c r="E1900" s="49">
        <f>'Reclamo de equipaje rediseñado'!$D1900-'Reclamo de equipaje rediseñado'!$C1900</f>
        <v>6.9444444444444198E-3</v>
      </c>
      <c r="F1900" s="48">
        <v>0.73472222222222217</v>
      </c>
      <c r="G1900" s="49">
        <f t="shared" si="29"/>
        <v>8.3333333333333037E-3</v>
      </c>
      <c r="H1900" s="50">
        <v>41754</v>
      </c>
      <c r="I1900" s="51" t="s">
        <v>536</v>
      </c>
      <c r="J1900" s="51" t="s">
        <v>560</v>
      </c>
      <c r="K1900" s="51">
        <f>VLOOKUP(J1900,'Validacion reclamo de equipaje'!L:M,2,0)</f>
        <v>126</v>
      </c>
      <c r="L1900" s="51" t="str">
        <f>VLOOKUP(I1900,'Validacion reclamo de equipaje'!H:I,2,0)</f>
        <v>Nacional</v>
      </c>
      <c r="M1900" s="51" t="s">
        <v>523</v>
      </c>
    </row>
    <row r="1901" spans="1:13" x14ac:dyDescent="0.25">
      <c r="A1901">
        <v>252</v>
      </c>
      <c r="B1901" s="47" t="str">
        <f>VLOOKUP(Tabla6[[#This Row],['# Vuelo]],'Validacion reclamo de equipaje'!P:Q,2,0)</f>
        <v>MEXICO AEREO</v>
      </c>
      <c r="C1901" s="52">
        <v>0.72222222222222221</v>
      </c>
      <c r="D1901" s="52">
        <v>0.72569444444444453</v>
      </c>
      <c r="E1901" s="53">
        <f>'Reclamo de equipaje rediseñado'!$D1901-'Reclamo de equipaje rediseñado'!$C1901</f>
        <v>3.4722222222223209E-3</v>
      </c>
      <c r="F1901" s="52">
        <v>0.74444444444444446</v>
      </c>
      <c r="G1901" s="53">
        <f t="shared" si="29"/>
        <v>1.8749999999999933E-2</v>
      </c>
      <c r="H1901" s="54">
        <v>41756</v>
      </c>
      <c r="I1901" s="55" t="s">
        <v>536</v>
      </c>
      <c r="J1901" s="55" t="s">
        <v>560</v>
      </c>
      <c r="K1901" s="55">
        <f>VLOOKUP(J1901,'Validacion reclamo de equipaje'!L:M,2,0)</f>
        <v>126</v>
      </c>
      <c r="L1901" s="55" t="str">
        <f>VLOOKUP(I1901,'Validacion reclamo de equipaje'!H:I,2,0)</f>
        <v>Nacional</v>
      </c>
      <c r="M1901" s="55" t="s">
        <v>523</v>
      </c>
    </row>
    <row r="1902" spans="1:13" x14ac:dyDescent="0.25">
      <c r="A1902">
        <v>252</v>
      </c>
      <c r="B1902" s="47" t="str">
        <f>VLOOKUP(Tabla6[[#This Row],['# Vuelo]],'Validacion reclamo de equipaje'!P:Q,2,0)</f>
        <v>MEXICO AEREO</v>
      </c>
      <c r="C1902" s="48">
        <v>0.7270833333333333</v>
      </c>
      <c r="D1902" s="48">
        <v>0.73125000000000007</v>
      </c>
      <c r="E1902" s="49">
        <f>'Reclamo de equipaje rediseñado'!$D1902-'Reclamo de equipaje rediseñado'!$C1902</f>
        <v>4.1666666666667629E-3</v>
      </c>
      <c r="F1902" s="48">
        <v>0.74236111111111114</v>
      </c>
      <c r="G1902" s="49">
        <f t="shared" si="29"/>
        <v>1.1111111111111072E-2</v>
      </c>
      <c r="H1902" s="50">
        <v>41757</v>
      </c>
      <c r="I1902" s="51" t="s">
        <v>536</v>
      </c>
      <c r="J1902" s="51" t="s">
        <v>560</v>
      </c>
      <c r="K1902" s="51">
        <f>VLOOKUP(J1902,'Validacion reclamo de equipaje'!L:M,2,0)</f>
        <v>126</v>
      </c>
      <c r="L1902" s="51" t="str">
        <f>VLOOKUP(I1902,'Validacion reclamo de equipaje'!H:I,2,0)</f>
        <v>Nacional</v>
      </c>
      <c r="M1902" s="51" t="s">
        <v>523</v>
      </c>
    </row>
    <row r="1903" spans="1:13" x14ac:dyDescent="0.25">
      <c r="A1903">
        <v>252</v>
      </c>
      <c r="B1903" s="47" t="str">
        <f>VLOOKUP(Tabla6[[#This Row],['# Vuelo]],'Validacion reclamo de equipaje'!P:Q,2,0)</f>
        <v>MEXICO AEREO</v>
      </c>
      <c r="C1903" s="52">
        <v>0.72361111111111109</v>
      </c>
      <c r="D1903" s="52">
        <v>0.7284722222222223</v>
      </c>
      <c r="E1903" s="53">
        <f>'Reclamo de equipaje rediseñado'!$D1903-'Reclamo de equipaje rediseñado'!$C1903</f>
        <v>4.8611111111112049E-3</v>
      </c>
      <c r="F1903" s="52">
        <v>0.73819444444444438</v>
      </c>
      <c r="G1903" s="53">
        <f t="shared" si="29"/>
        <v>9.7222222222220767E-3</v>
      </c>
      <c r="H1903" s="54">
        <v>41758</v>
      </c>
      <c r="I1903" s="55" t="s">
        <v>536</v>
      </c>
      <c r="J1903" s="55" t="s">
        <v>560</v>
      </c>
      <c r="K1903" s="55">
        <f>VLOOKUP(J1903,'Validacion reclamo de equipaje'!L:M,2,0)</f>
        <v>126</v>
      </c>
      <c r="L1903" s="55" t="str">
        <f>VLOOKUP(I1903,'Validacion reclamo de equipaje'!H:I,2,0)</f>
        <v>Nacional</v>
      </c>
      <c r="M1903" s="55" t="s">
        <v>523</v>
      </c>
    </row>
    <row r="1904" spans="1:13" x14ac:dyDescent="0.25">
      <c r="A1904">
        <v>252</v>
      </c>
      <c r="B1904" s="47" t="str">
        <f>VLOOKUP(Tabla6[[#This Row],['# Vuelo]],'Validacion reclamo de equipaje'!P:Q,2,0)</f>
        <v>MEXICO AEREO</v>
      </c>
      <c r="C1904" s="48">
        <v>0.71875</v>
      </c>
      <c r="D1904" s="48">
        <v>0.72569444444444453</v>
      </c>
      <c r="E1904" s="49">
        <f>'Reclamo de equipaje rediseñado'!$D1904-'Reclamo de equipaje rediseñado'!$C1904</f>
        <v>6.9444444444445308E-3</v>
      </c>
      <c r="F1904" s="48">
        <v>0.72638888888888886</v>
      </c>
      <c r="G1904" s="49">
        <f t="shared" si="29"/>
        <v>6.9444444444433095E-4</v>
      </c>
      <c r="H1904" s="50">
        <v>41759</v>
      </c>
      <c r="I1904" s="51" t="s">
        <v>536</v>
      </c>
      <c r="J1904" s="51" t="s">
        <v>560</v>
      </c>
      <c r="K1904" s="51">
        <f>VLOOKUP(J1904,'Validacion reclamo de equipaje'!L:M,2,0)</f>
        <v>126</v>
      </c>
      <c r="L1904" s="51" t="str">
        <f>VLOOKUP(I1904,'Validacion reclamo de equipaje'!H:I,2,0)</f>
        <v>Nacional</v>
      </c>
      <c r="M1904" s="51" t="s">
        <v>523</v>
      </c>
    </row>
    <row r="1905" spans="1:13" x14ac:dyDescent="0.25">
      <c r="A1905">
        <v>228</v>
      </c>
      <c r="B1905" s="47" t="str">
        <f>VLOOKUP(Tabla6[[#This Row],['# Vuelo]],'Validacion reclamo de equipaje'!P:Q,2,0)</f>
        <v>MEXICO AEREO</v>
      </c>
      <c r="C1905" s="52">
        <v>0.6791666666666667</v>
      </c>
      <c r="D1905" s="52">
        <v>0.68263888888888891</v>
      </c>
      <c r="E1905" s="53">
        <f>'Reclamo de equipaje rediseñado'!$D1905-'Reclamo de equipaje rediseñado'!$C1905</f>
        <v>3.4722222222222099E-3</v>
      </c>
      <c r="F1905" s="52">
        <v>0.68680555555555556</v>
      </c>
      <c r="G1905" s="53">
        <f t="shared" si="29"/>
        <v>4.1666666666666519E-3</v>
      </c>
      <c r="H1905" s="54">
        <v>41730</v>
      </c>
      <c r="I1905" s="55" t="s">
        <v>536</v>
      </c>
      <c r="J1905" s="55" t="s">
        <v>560</v>
      </c>
      <c r="K1905" s="55">
        <f>VLOOKUP(J1905,'Validacion reclamo de equipaje'!L:M,2,0)</f>
        <v>126</v>
      </c>
      <c r="L1905" s="55" t="str">
        <f>VLOOKUP(I1905,'Validacion reclamo de equipaje'!H:I,2,0)</f>
        <v>Nacional</v>
      </c>
      <c r="M1905" s="55" t="s">
        <v>523</v>
      </c>
    </row>
    <row r="1906" spans="1:13" x14ac:dyDescent="0.25">
      <c r="A1906">
        <v>228</v>
      </c>
      <c r="B1906" s="47" t="str">
        <f>VLOOKUP(Tabla6[[#This Row],['# Vuelo]],'Validacion reclamo de equipaje'!P:Q,2,0)</f>
        <v>MEXICO AEREO</v>
      </c>
      <c r="C1906" s="48">
        <v>0.65069444444444446</v>
      </c>
      <c r="D1906" s="48">
        <v>0.67013888888888884</v>
      </c>
      <c r="E1906" s="49">
        <f>'Reclamo de equipaje rediseñado'!$D1906-'Reclamo de equipaje rediseñado'!$C1906</f>
        <v>1.9444444444444375E-2</v>
      </c>
      <c r="F1906" s="48">
        <v>0.68472222222222223</v>
      </c>
      <c r="G1906" s="49">
        <f t="shared" si="29"/>
        <v>1.4583333333333393E-2</v>
      </c>
      <c r="H1906" s="50">
        <v>41731</v>
      </c>
      <c r="I1906" s="51" t="s">
        <v>536</v>
      </c>
      <c r="J1906" s="51" t="s">
        <v>560</v>
      </c>
      <c r="K1906" s="51">
        <f>VLOOKUP(J1906,'Validacion reclamo de equipaje'!L:M,2,0)</f>
        <v>126</v>
      </c>
      <c r="L1906" s="51" t="str">
        <f>VLOOKUP(I1906,'Validacion reclamo de equipaje'!H:I,2,0)</f>
        <v>Nacional</v>
      </c>
      <c r="M1906" s="51" t="s">
        <v>523</v>
      </c>
    </row>
    <row r="1907" spans="1:13" x14ac:dyDescent="0.25">
      <c r="A1907">
        <v>228</v>
      </c>
      <c r="B1907" s="47" t="str">
        <f>VLOOKUP(Tabla6[[#This Row],['# Vuelo]],'Validacion reclamo de equipaje'!P:Q,2,0)</f>
        <v>MEXICO AEREO</v>
      </c>
      <c r="C1907" s="52">
        <v>0.71527777777777779</v>
      </c>
      <c r="D1907" s="52">
        <v>0.72013888888888899</v>
      </c>
      <c r="E1907" s="53">
        <f>'Reclamo de equipaje rediseñado'!$D1907-'Reclamo de equipaje rediseñado'!$C1907</f>
        <v>4.8611111111112049E-3</v>
      </c>
      <c r="F1907" s="52">
        <v>0.72569444444444453</v>
      </c>
      <c r="G1907" s="53">
        <f t="shared" si="29"/>
        <v>5.5555555555555358E-3</v>
      </c>
      <c r="H1907" s="54">
        <v>41733</v>
      </c>
      <c r="I1907" s="55" t="s">
        <v>536</v>
      </c>
      <c r="J1907" s="55" t="s">
        <v>560</v>
      </c>
      <c r="K1907" s="55">
        <f>VLOOKUP(J1907,'Validacion reclamo de equipaje'!L:M,2,0)</f>
        <v>126</v>
      </c>
      <c r="L1907" s="55" t="str">
        <f>VLOOKUP(I1907,'Validacion reclamo de equipaje'!H:I,2,0)</f>
        <v>Nacional</v>
      </c>
      <c r="M1907" s="55" t="s">
        <v>523</v>
      </c>
    </row>
    <row r="1908" spans="1:13" x14ac:dyDescent="0.25">
      <c r="A1908">
        <v>228</v>
      </c>
      <c r="B1908" s="47" t="str">
        <f>VLOOKUP(Tabla6[[#This Row],['# Vuelo]],'Validacion reclamo de equipaje'!P:Q,2,0)</f>
        <v>MEXICO AEREO</v>
      </c>
      <c r="C1908" s="48">
        <v>0.70833333333333337</v>
      </c>
      <c r="D1908" s="48">
        <v>0.71180555555555547</v>
      </c>
      <c r="E1908" s="49">
        <f>'Reclamo de equipaje rediseñado'!$D1908-'Reclamo de equipaje rediseñado'!$C1908</f>
        <v>3.4722222222220989E-3</v>
      </c>
      <c r="F1908" s="48">
        <v>0.71875</v>
      </c>
      <c r="G1908" s="49">
        <f t="shared" si="29"/>
        <v>6.9444444444445308E-3</v>
      </c>
      <c r="H1908" s="50">
        <v>41735</v>
      </c>
      <c r="I1908" s="51" t="s">
        <v>536</v>
      </c>
      <c r="J1908" s="51" t="s">
        <v>560</v>
      </c>
      <c r="K1908" s="51">
        <f>VLOOKUP(J1908,'Validacion reclamo de equipaje'!L:M,2,0)</f>
        <v>126</v>
      </c>
      <c r="L1908" s="51" t="str">
        <f>VLOOKUP(I1908,'Validacion reclamo de equipaje'!H:I,2,0)</f>
        <v>Nacional</v>
      </c>
      <c r="M1908" s="51" t="s">
        <v>523</v>
      </c>
    </row>
    <row r="1909" spans="1:13" x14ac:dyDescent="0.25">
      <c r="A1909">
        <v>228</v>
      </c>
      <c r="B1909" s="47" t="str">
        <f>VLOOKUP(Tabla6[[#This Row],['# Vuelo]],'Validacion reclamo de equipaje'!P:Q,2,0)</f>
        <v>MEXICO AEREO</v>
      </c>
      <c r="C1909" s="52">
        <v>0.6694444444444444</v>
      </c>
      <c r="D1909" s="52">
        <v>0.67222222222222217</v>
      </c>
      <c r="E1909" s="53">
        <f>'Reclamo de equipaje rediseñado'!$D1909-'Reclamo de equipaje rediseñado'!$C1909</f>
        <v>2.7777777777777679E-3</v>
      </c>
      <c r="F1909" s="52">
        <v>0.6777777777777777</v>
      </c>
      <c r="G1909" s="53">
        <f t="shared" si="29"/>
        <v>5.5555555555555358E-3</v>
      </c>
      <c r="H1909" s="54">
        <v>41736</v>
      </c>
      <c r="I1909" s="55" t="s">
        <v>536</v>
      </c>
      <c r="J1909" s="55" t="s">
        <v>560</v>
      </c>
      <c r="K1909" s="55">
        <f>VLOOKUP(J1909,'Validacion reclamo de equipaje'!L:M,2,0)</f>
        <v>126</v>
      </c>
      <c r="L1909" s="55" t="str">
        <f>VLOOKUP(I1909,'Validacion reclamo de equipaje'!H:I,2,0)</f>
        <v>Nacional</v>
      </c>
      <c r="M1909" s="55" t="s">
        <v>523</v>
      </c>
    </row>
    <row r="1910" spans="1:13" x14ac:dyDescent="0.25">
      <c r="A1910">
        <v>228</v>
      </c>
      <c r="B1910" s="47" t="str">
        <f>VLOOKUP(Tabla6[[#This Row],['# Vuelo]],'Validacion reclamo de equipaje'!P:Q,2,0)</f>
        <v>MEXICO AEREO</v>
      </c>
      <c r="C1910" s="48">
        <v>0.6791666666666667</v>
      </c>
      <c r="D1910" s="48">
        <v>0.68194444444444446</v>
      </c>
      <c r="E1910" s="49">
        <f>'Reclamo de equipaje rediseñado'!$D1910-'Reclamo de equipaje rediseñado'!$C1910</f>
        <v>2.7777777777777679E-3</v>
      </c>
      <c r="F1910" s="48">
        <v>0.68819444444444444</v>
      </c>
      <c r="G1910" s="49">
        <f t="shared" si="29"/>
        <v>6.2499999999999778E-3</v>
      </c>
      <c r="H1910" s="50">
        <v>41737</v>
      </c>
      <c r="I1910" s="51" t="s">
        <v>536</v>
      </c>
      <c r="J1910" s="51" t="s">
        <v>560</v>
      </c>
      <c r="K1910" s="51">
        <f>VLOOKUP(J1910,'Validacion reclamo de equipaje'!L:M,2,0)</f>
        <v>126</v>
      </c>
      <c r="L1910" s="51" t="str">
        <f>VLOOKUP(I1910,'Validacion reclamo de equipaje'!H:I,2,0)</f>
        <v>Nacional</v>
      </c>
      <c r="M1910" s="51" t="s">
        <v>523</v>
      </c>
    </row>
    <row r="1911" spans="1:13" x14ac:dyDescent="0.25">
      <c r="A1911">
        <v>228</v>
      </c>
      <c r="B1911" s="47" t="str">
        <f>VLOOKUP(Tabla6[[#This Row],['# Vuelo]],'Validacion reclamo de equipaje'!P:Q,2,0)</f>
        <v>MEXICO AEREO</v>
      </c>
      <c r="C1911" s="52">
        <v>0.67708333333333337</v>
      </c>
      <c r="D1911" s="52">
        <v>0.6791666666666667</v>
      </c>
      <c r="E1911" s="53">
        <f>'Reclamo de equipaje rediseñado'!$D1911-'Reclamo de equipaje rediseñado'!$C1911</f>
        <v>2.0833333333333259E-3</v>
      </c>
      <c r="F1911" s="52">
        <v>0.68194444444444446</v>
      </c>
      <c r="G1911" s="53">
        <f t="shared" si="29"/>
        <v>2.7777777777777679E-3</v>
      </c>
      <c r="H1911" s="54">
        <v>41738</v>
      </c>
      <c r="I1911" s="55" t="s">
        <v>536</v>
      </c>
      <c r="J1911" s="55" t="s">
        <v>560</v>
      </c>
      <c r="K1911" s="55">
        <f>VLOOKUP(J1911,'Validacion reclamo de equipaje'!L:M,2,0)</f>
        <v>126</v>
      </c>
      <c r="L1911" s="55" t="str">
        <f>VLOOKUP(I1911,'Validacion reclamo de equipaje'!H:I,2,0)</f>
        <v>Nacional</v>
      </c>
      <c r="M1911" s="55" t="s">
        <v>523</v>
      </c>
    </row>
    <row r="1912" spans="1:13" x14ac:dyDescent="0.25">
      <c r="A1912">
        <v>228</v>
      </c>
      <c r="B1912" s="47" t="str">
        <f>VLOOKUP(Tabla6[[#This Row],['# Vuelo]],'Validacion reclamo de equipaje'!P:Q,2,0)</f>
        <v>MEXICO AEREO</v>
      </c>
      <c r="C1912" s="48">
        <v>0.68125000000000002</v>
      </c>
      <c r="D1912" s="48">
        <v>0.68402777777777779</v>
      </c>
      <c r="E1912" s="49">
        <f>'Reclamo de equipaje rediseñado'!$D1912-'Reclamo de equipaje rediseñado'!$C1912</f>
        <v>2.7777777777777679E-3</v>
      </c>
      <c r="F1912" s="48">
        <v>0.69236111111111109</v>
      </c>
      <c r="G1912" s="49">
        <f t="shared" si="29"/>
        <v>8.3333333333333037E-3</v>
      </c>
      <c r="H1912" s="50">
        <v>41739</v>
      </c>
      <c r="I1912" s="51" t="s">
        <v>536</v>
      </c>
      <c r="J1912" s="51" t="s">
        <v>560</v>
      </c>
      <c r="K1912" s="51">
        <f>VLOOKUP(J1912,'Validacion reclamo de equipaje'!L:M,2,0)</f>
        <v>126</v>
      </c>
      <c r="L1912" s="51" t="str">
        <f>VLOOKUP(I1912,'Validacion reclamo de equipaje'!H:I,2,0)</f>
        <v>Nacional</v>
      </c>
      <c r="M1912" s="51" t="s">
        <v>523</v>
      </c>
    </row>
    <row r="1913" spans="1:13" x14ac:dyDescent="0.25">
      <c r="A1913">
        <v>228</v>
      </c>
      <c r="B1913" s="47" t="str">
        <f>VLOOKUP(Tabla6[[#This Row],['# Vuelo]],'Validacion reclamo de equipaje'!P:Q,2,0)</f>
        <v>MEXICO AEREO</v>
      </c>
      <c r="C1913" s="52">
        <v>0.6743055555555556</v>
      </c>
      <c r="D1913" s="52">
        <v>0.68055555555555547</v>
      </c>
      <c r="E1913" s="53">
        <f>'Reclamo de equipaje rediseñado'!$D1913-'Reclamo de equipaje rediseñado'!$C1913</f>
        <v>6.2499999999998668E-3</v>
      </c>
      <c r="F1913" s="52">
        <v>0.68819444444444444</v>
      </c>
      <c r="G1913" s="53">
        <f t="shared" si="29"/>
        <v>7.6388888888889728E-3</v>
      </c>
      <c r="H1913" s="54">
        <v>41743</v>
      </c>
      <c r="I1913" s="55" t="s">
        <v>536</v>
      </c>
      <c r="J1913" s="55" t="s">
        <v>560</v>
      </c>
      <c r="K1913" s="55">
        <f>VLOOKUP(J1913,'Validacion reclamo de equipaje'!L:M,2,0)</f>
        <v>126</v>
      </c>
      <c r="L1913" s="55" t="str">
        <f>VLOOKUP(I1913,'Validacion reclamo de equipaje'!H:I,2,0)</f>
        <v>Nacional</v>
      </c>
      <c r="M1913" s="55" t="s">
        <v>523</v>
      </c>
    </row>
    <row r="1914" spans="1:13" x14ac:dyDescent="0.25">
      <c r="A1914">
        <v>228</v>
      </c>
      <c r="B1914" s="47" t="str">
        <f>VLOOKUP(Tabla6[[#This Row],['# Vuelo]],'Validacion reclamo de equipaje'!P:Q,2,0)</f>
        <v>MEXICO AEREO</v>
      </c>
      <c r="C1914" s="48">
        <v>0.67291666666666661</v>
      </c>
      <c r="D1914" s="48">
        <v>0.67708333333333337</v>
      </c>
      <c r="E1914" s="49">
        <f>'Reclamo de equipaje rediseñado'!$D1914-'Reclamo de equipaje rediseñado'!$C1914</f>
        <v>4.1666666666667629E-3</v>
      </c>
      <c r="F1914" s="48">
        <v>0.68055555555555547</v>
      </c>
      <c r="G1914" s="49">
        <f t="shared" si="29"/>
        <v>3.4722222222220989E-3</v>
      </c>
      <c r="H1914" s="50">
        <v>41744</v>
      </c>
      <c r="I1914" s="51" t="s">
        <v>536</v>
      </c>
      <c r="J1914" s="51" t="s">
        <v>560</v>
      </c>
      <c r="K1914" s="51">
        <f>VLOOKUP(J1914,'Validacion reclamo de equipaje'!L:M,2,0)</f>
        <v>126</v>
      </c>
      <c r="L1914" s="51" t="str">
        <f>VLOOKUP(I1914,'Validacion reclamo de equipaje'!H:I,2,0)</f>
        <v>Nacional</v>
      </c>
      <c r="M1914" s="51" t="s">
        <v>523</v>
      </c>
    </row>
    <row r="1915" spans="1:13" x14ac:dyDescent="0.25">
      <c r="A1915">
        <v>228</v>
      </c>
      <c r="B1915" s="47" t="str">
        <f>VLOOKUP(Tabla6[[#This Row],['# Vuelo]],'Validacion reclamo de equipaje'!P:Q,2,0)</f>
        <v>MEXICO AEREO</v>
      </c>
      <c r="C1915" s="52">
        <v>0.67222222222222217</v>
      </c>
      <c r="D1915" s="52">
        <v>0.67847222222222225</v>
      </c>
      <c r="E1915" s="53">
        <f>'Reclamo de equipaje rediseñado'!$D1915-'Reclamo de equipaje rediseñado'!$C1915</f>
        <v>6.2500000000000888E-3</v>
      </c>
      <c r="F1915" s="52">
        <v>0.68541666666666667</v>
      </c>
      <c r="G1915" s="53">
        <f t="shared" si="29"/>
        <v>6.9444444444444198E-3</v>
      </c>
      <c r="H1915" s="54">
        <v>41747</v>
      </c>
      <c r="I1915" s="55" t="s">
        <v>536</v>
      </c>
      <c r="J1915" s="55" t="s">
        <v>560</v>
      </c>
      <c r="K1915" s="55">
        <f>VLOOKUP(J1915,'Validacion reclamo de equipaje'!L:M,2,0)</f>
        <v>126</v>
      </c>
      <c r="L1915" s="55" t="str">
        <f>VLOOKUP(I1915,'Validacion reclamo de equipaje'!H:I,2,0)</f>
        <v>Nacional</v>
      </c>
      <c r="M1915" s="55" t="s">
        <v>523</v>
      </c>
    </row>
    <row r="1916" spans="1:13" x14ac:dyDescent="0.25">
      <c r="A1916">
        <v>228</v>
      </c>
      <c r="B1916" s="47" t="str">
        <f>VLOOKUP(Tabla6[[#This Row],['# Vuelo]],'Validacion reclamo de equipaje'!P:Q,2,0)</f>
        <v>MEXICO AEREO</v>
      </c>
      <c r="C1916" s="48">
        <v>0.67708333333333337</v>
      </c>
      <c r="D1916" s="48">
        <v>0.68402777777777779</v>
      </c>
      <c r="E1916" s="49">
        <f>'Reclamo de equipaje rediseñado'!$D1916-'Reclamo de equipaje rediseñado'!$C1916</f>
        <v>6.9444444444444198E-3</v>
      </c>
      <c r="F1916" s="48">
        <v>0.69097222222222221</v>
      </c>
      <c r="G1916" s="49">
        <f t="shared" si="29"/>
        <v>6.9444444444444198E-3</v>
      </c>
      <c r="H1916" s="50">
        <v>41748</v>
      </c>
      <c r="I1916" s="51" t="s">
        <v>536</v>
      </c>
      <c r="J1916" s="51" t="s">
        <v>560</v>
      </c>
      <c r="K1916" s="51">
        <f>VLOOKUP(J1916,'Validacion reclamo de equipaje'!L:M,2,0)</f>
        <v>126</v>
      </c>
      <c r="L1916" s="51" t="str">
        <f>VLOOKUP(I1916,'Validacion reclamo de equipaje'!H:I,2,0)</f>
        <v>Nacional</v>
      </c>
      <c r="M1916" s="51" t="s">
        <v>523</v>
      </c>
    </row>
    <row r="1917" spans="1:13" x14ac:dyDescent="0.25">
      <c r="A1917">
        <v>228</v>
      </c>
      <c r="B1917" s="47" t="str">
        <f>VLOOKUP(Tabla6[[#This Row],['# Vuelo]],'Validacion reclamo de equipaje'!P:Q,2,0)</f>
        <v>MEXICO AEREO</v>
      </c>
      <c r="C1917" s="52">
        <v>0.67291666666666661</v>
      </c>
      <c r="D1917" s="52">
        <v>0.68402777777777779</v>
      </c>
      <c r="E1917" s="53">
        <f>'Reclamo de equipaje rediseñado'!$D1917-'Reclamo de equipaje rediseñado'!$C1917</f>
        <v>1.1111111111111183E-2</v>
      </c>
      <c r="F1917" s="52">
        <v>0.69097222222222221</v>
      </c>
      <c r="G1917" s="53">
        <f t="shared" si="29"/>
        <v>6.9444444444444198E-3</v>
      </c>
      <c r="H1917" s="54">
        <v>41753</v>
      </c>
      <c r="I1917" s="55" t="s">
        <v>536</v>
      </c>
      <c r="J1917" s="55" t="s">
        <v>560</v>
      </c>
      <c r="K1917" s="55">
        <f>VLOOKUP(J1917,'Validacion reclamo de equipaje'!L:M,2,0)</f>
        <v>126</v>
      </c>
      <c r="L1917" s="55" t="str">
        <f>VLOOKUP(I1917,'Validacion reclamo de equipaje'!H:I,2,0)</f>
        <v>Nacional</v>
      </c>
      <c r="M1917" s="55" t="s">
        <v>523</v>
      </c>
    </row>
    <row r="1918" spans="1:13" x14ac:dyDescent="0.25">
      <c r="A1918">
        <v>228</v>
      </c>
      <c r="B1918" s="47" t="str">
        <f>VLOOKUP(Tabla6[[#This Row],['# Vuelo]],'Validacion reclamo de equipaje'!P:Q,2,0)</f>
        <v>MEXICO AEREO</v>
      </c>
      <c r="C1918" s="48">
        <v>0.66875000000000007</v>
      </c>
      <c r="D1918" s="48">
        <v>0.67083333333333339</v>
      </c>
      <c r="E1918" s="49">
        <f>'Reclamo de equipaje rediseñado'!$D1918-'Reclamo de equipaje rediseñado'!$C1918</f>
        <v>2.0833333333333259E-3</v>
      </c>
      <c r="F1918" s="48">
        <v>0.68333333333333324</v>
      </c>
      <c r="G1918" s="49">
        <f t="shared" si="29"/>
        <v>1.2499999999999845E-2</v>
      </c>
      <c r="H1918" s="50">
        <v>41754</v>
      </c>
      <c r="I1918" s="51" t="s">
        <v>536</v>
      </c>
      <c r="J1918" s="51" t="s">
        <v>560</v>
      </c>
      <c r="K1918" s="51">
        <f>VLOOKUP(J1918,'Validacion reclamo de equipaje'!L:M,2,0)</f>
        <v>126</v>
      </c>
      <c r="L1918" s="51" t="str">
        <f>VLOOKUP(I1918,'Validacion reclamo de equipaje'!H:I,2,0)</f>
        <v>Nacional</v>
      </c>
      <c r="M1918" s="51" t="s">
        <v>523</v>
      </c>
    </row>
    <row r="1919" spans="1:13" x14ac:dyDescent="0.25">
      <c r="A1919">
        <v>228</v>
      </c>
      <c r="B1919" s="47" t="str">
        <f>VLOOKUP(Tabla6[[#This Row],['# Vuelo]],'Validacion reclamo de equipaje'!P:Q,2,0)</f>
        <v>MEXICO AEREO</v>
      </c>
      <c r="C1919" s="52">
        <v>0.68263888888888891</v>
      </c>
      <c r="D1919" s="52">
        <v>0.68819444444444444</v>
      </c>
      <c r="E1919" s="53">
        <f>'Reclamo de equipaje rediseñado'!$D1919-'Reclamo de equipaje rediseñado'!$C1919</f>
        <v>5.5555555555555358E-3</v>
      </c>
      <c r="F1919" s="52">
        <v>0.70000000000000007</v>
      </c>
      <c r="G1919" s="53">
        <f t="shared" si="29"/>
        <v>1.1805555555555625E-2</v>
      </c>
      <c r="H1919" s="54">
        <v>41756</v>
      </c>
      <c r="I1919" s="55" t="s">
        <v>536</v>
      </c>
      <c r="J1919" s="55" t="s">
        <v>560</v>
      </c>
      <c r="K1919" s="55">
        <f>VLOOKUP(J1919,'Validacion reclamo de equipaje'!L:M,2,0)</f>
        <v>126</v>
      </c>
      <c r="L1919" s="55" t="str">
        <f>VLOOKUP(I1919,'Validacion reclamo de equipaje'!H:I,2,0)</f>
        <v>Nacional</v>
      </c>
      <c r="M1919" s="55" t="s">
        <v>523</v>
      </c>
    </row>
    <row r="1920" spans="1:13" x14ac:dyDescent="0.25">
      <c r="A1920">
        <v>228</v>
      </c>
      <c r="B1920" s="47" t="str">
        <f>VLOOKUP(Tabla6[[#This Row],['# Vuelo]],'Validacion reclamo de equipaje'!P:Q,2,0)</f>
        <v>MEXICO AEREO</v>
      </c>
      <c r="C1920" s="48">
        <v>0.68611111111111101</v>
      </c>
      <c r="D1920" s="48">
        <v>0.69166666666666676</v>
      </c>
      <c r="E1920" s="49">
        <f>'Reclamo de equipaje rediseñado'!$D1920-'Reclamo de equipaje rediseñado'!$C1920</f>
        <v>5.5555555555557579E-3</v>
      </c>
      <c r="F1920" s="48">
        <v>0.70694444444444438</v>
      </c>
      <c r="G1920" s="49">
        <f t="shared" si="29"/>
        <v>1.5277777777777612E-2</v>
      </c>
      <c r="H1920" s="50">
        <v>41757</v>
      </c>
      <c r="I1920" s="51" t="s">
        <v>536</v>
      </c>
      <c r="J1920" s="51" t="s">
        <v>560</v>
      </c>
      <c r="K1920" s="51">
        <f>VLOOKUP(J1920,'Validacion reclamo de equipaje'!L:M,2,0)</f>
        <v>126</v>
      </c>
      <c r="L1920" s="51" t="str">
        <f>VLOOKUP(I1920,'Validacion reclamo de equipaje'!H:I,2,0)</f>
        <v>Nacional</v>
      </c>
      <c r="M1920" s="51" t="s">
        <v>523</v>
      </c>
    </row>
    <row r="1921" spans="1:13" x14ac:dyDescent="0.25">
      <c r="A1921">
        <v>228</v>
      </c>
      <c r="B1921" s="47" t="str">
        <f>VLOOKUP(Tabla6[[#This Row],['# Vuelo]],'Validacion reclamo de equipaje'!P:Q,2,0)</f>
        <v>MEXICO AEREO</v>
      </c>
      <c r="C1921" s="52">
        <v>0.68958333333333333</v>
      </c>
      <c r="D1921" s="52">
        <v>0.69444444444444453</v>
      </c>
      <c r="E1921" s="53">
        <f>'Reclamo de equipaje rediseñado'!$D1921-'Reclamo de equipaje rediseñado'!$C1921</f>
        <v>4.8611111111112049E-3</v>
      </c>
      <c r="F1921" s="52">
        <v>0.70138888888888884</v>
      </c>
      <c r="G1921" s="53">
        <f t="shared" si="29"/>
        <v>6.9444444444443088E-3</v>
      </c>
      <c r="H1921" s="54">
        <v>41758</v>
      </c>
      <c r="I1921" s="55" t="s">
        <v>536</v>
      </c>
      <c r="J1921" s="55" t="s">
        <v>560</v>
      </c>
      <c r="K1921" s="55">
        <f>VLOOKUP(J1921,'Validacion reclamo de equipaje'!L:M,2,0)</f>
        <v>126</v>
      </c>
      <c r="L1921" s="55" t="str">
        <f>VLOOKUP(I1921,'Validacion reclamo de equipaje'!H:I,2,0)</f>
        <v>Nacional</v>
      </c>
      <c r="M1921" s="55" t="s">
        <v>523</v>
      </c>
    </row>
    <row r="1922" spans="1:13" x14ac:dyDescent="0.25">
      <c r="A1922">
        <v>228</v>
      </c>
      <c r="B1922" s="47" t="str">
        <f>VLOOKUP(Tabla6[[#This Row],['# Vuelo]],'Validacion reclamo de equipaje'!P:Q,2,0)</f>
        <v>MEXICO AEREO</v>
      </c>
      <c r="C1922" s="48">
        <v>0.68194444444444446</v>
      </c>
      <c r="D1922" s="48">
        <v>0.69097222222222221</v>
      </c>
      <c r="E1922" s="49">
        <f>'Reclamo de equipaje rediseñado'!$D1922-'Reclamo de equipaje rediseñado'!$C1922</f>
        <v>9.0277777777777457E-3</v>
      </c>
      <c r="F1922" s="48">
        <v>0.69861111111111107</v>
      </c>
      <c r="G1922" s="49">
        <f t="shared" si="29"/>
        <v>7.6388888888888618E-3</v>
      </c>
      <c r="H1922" s="50">
        <v>41759</v>
      </c>
      <c r="I1922" s="51" t="s">
        <v>536</v>
      </c>
      <c r="J1922" s="51" t="s">
        <v>560</v>
      </c>
      <c r="K1922" s="51">
        <f>VLOOKUP(J1922,'Validacion reclamo de equipaje'!L:M,2,0)</f>
        <v>126</v>
      </c>
      <c r="L1922" s="51" t="str">
        <f>VLOOKUP(I1922,'Validacion reclamo de equipaje'!H:I,2,0)</f>
        <v>Nacional</v>
      </c>
      <c r="M1922" s="51" t="s">
        <v>523</v>
      </c>
    </row>
    <row r="1923" spans="1:13" x14ac:dyDescent="0.25">
      <c r="A1923">
        <v>224</v>
      </c>
      <c r="B1923" s="47" t="str">
        <f>VLOOKUP(Tabla6[[#This Row],['# Vuelo]],'Validacion reclamo de equipaje'!P:Q,2,0)</f>
        <v>MEXICO AEREO</v>
      </c>
      <c r="C1923" s="52">
        <v>0.75624999999999998</v>
      </c>
      <c r="D1923" s="52">
        <v>0.76180555555555562</v>
      </c>
      <c r="E1923" s="53">
        <f>'Reclamo de equipaje rediseñado'!$D1923-'Reclamo de equipaje rediseñado'!$C1923</f>
        <v>5.5555555555556468E-3</v>
      </c>
      <c r="F1923" s="52">
        <v>0.76666666666666661</v>
      </c>
      <c r="G1923" s="53">
        <f t="shared" ref="G1923:G1986" si="30">F1923-D1923</f>
        <v>4.8611111111109828E-3</v>
      </c>
      <c r="H1923" s="54">
        <v>41730</v>
      </c>
      <c r="I1923" s="55" t="s">
        <v>536</v>
      </c>
      <c r="J1923" s="55" t="s">
        <v>560</v>
      </c>
      <c r="K1923" s="55">
        <f>VLOOKUP(J1923,'Validacion reclamo de equipaje'!L:M,2,0)</f>
        <v>126</v>
      </c>
      <c r="L1923" s="55" t="str">
        <f>VLOOKUP(I1923,'Validacion reclamo de equipaje'!H:I,2,0)</f>
        <v>Nacional</v>
      </c>
      <c r="M1923" s="55" t="s">
        <v>523</v>
      </c>
    </row>
    <row r="1924" spans="1:13" x14ac:dyDescent="0.25">
      <c r="A1924">
        <v>224</v>
      </c>
      <c r="B1924" s="47" t="str">
        <f>VLOOKUP(Tabla6[[#This Row],['# Vuelo]],'Validacion reclamo de equipaje'!P:Q,2,0)</f>
        <v>MEXICO AEREO</v>
      </c>
      <c r="C1924" s="48">
        <v>0.7680555555555556</v>
      </c>
      <c r="D1924" s="48">
        <v>0.77430555555555547</v>
      </c>
      <c r="E1924" s="49">
        <f>'Reclamo de equipaje rediseñado'!$D1924-'Reclamo de equipaje rediseñado'!$C1924</f>
        <v>6.2499999999998668E-3</v>
      </c>
      <c r="F1924" s="48">
        <v>0.78263888888888899</v>
      </c>
      <c r="G1924" s="49">
        <f t="shared" si="30"/>
        <v>8.3333333333335258E-3</v>
      </c>
      <c r="H1924" s="50">
        <v>41731</v>
      </c>
      <c r="I1924" s="51" t="s">
        <v>536</v>
      </c>
      <c r="J1924" s="51" t="s">
        <v>560</v>
      </c>
      <c r="K1924" s="51">
        <f>VLOOKUP(J1924,'Validacion reclamo de equipaje'!L:M,2,0)</f>
        <v>126</v>
      </c>
      <c r="L1924" s="51" t="str">
        <f>VLOOKUP(I1924,'Validacion reclamo de equipaje'!H:I,2,0)</f>
        <v>Nacional</v>
      </c>
      <c r="M1924" s="51" t="s">
        <v>523</v>
      </c>
    </row>
    <row r="1925" spans="1:13" x14ac:dyDescent="0.25">
      <c r="A1925">
        <v>224</v>
      </c>
      <c r="B1925" s="47" t="str">
        <f>VLOOKUP(Tabla6[[#This Row],['# Vuelo]],'Validacion reclamo de equipaje'!P:Q,2,0)</f>
        <v>MEXICO AEREO</v>
      </c>
      <c r="C1925" s="52">
        <v>0.76388888888888884</v>
      </c>
      <c r="D1925" s="52">
        <v>0.76736111111111116</v>
      </c>
      <c r="E1925" s="53">
        <f>'Reclamo de equipaje rediseñado'!$D1925-'Reclamo de equipaje rediseñado'!$C1925</f>
        <v>3.4722222222223209E-3</v>
      </c>
      <c r="F1925" s="52">
        <v>0.77083333333333337</v>
      </c>
      <c r="G1925" s="53">
        <f t="shared" si="30"/>
        <v>3.4722222222222099E-3</v>
      </c>
      <c r="H1925" s="54">
        <v>41735</v>
      </c>
      <c r="I1925" s="55" t="s">
        <v>536</v>
      </c>
      <c r="J1925" s="55" t="s">
        <v>560</v>
      </c>
      <c r="K1925" s="55">
        <f>VLOOKUP(J1925,'Validacion reclamo de equipaje'!L:M,2,0)</f>
        <v>126</v>
      </c>
      <c r="L1925" s="55" t="str">
        <f>VLOOKUP(I1925,'Validacion reclamo de equipaje'!H:I,2,0)</f>
        <v>Nacional</v>
      </c>
      <c r="M1925" s="55" t="s">
        <v>523</v>
      </c>
    </row>
    <row r="1926" spans="1:13" x14ac:dyDescent="0.25">
      <c r="A1926">
        <v>224</v>
      </c>
      <c r="B1926" s="47" t="str">
        <f>VLOOKUP(Tabla6[[#This Row],['# Vuelo]],'Validacion reclamo de equipaje'!P:Q,2,0)</f>
        <v>MEXICO AEREO</v>
      </c>
      <c r="C1926" s="48">
        <v>0.75555555555555554</v>
      </c>
      <c r="D1926" s="48">
        <v>0.75763888888888886</v>
      </c>
      <c r="E1926" s="49">
        <f>'Reclamo de equipaje rediseñado'!$D1926-'Reclamo de equipaje rediseñado'!$C1926</f>
        <v>2.0833333333333259E-3</v>
      </c>
      <c r="F1926" s="48">
        <v>0.7680555555555556</v>
      </c>
      <c r="G1926" s="49">
        <f t="shared" si="30"/>
        <v>1.0416666666666741E-2</v>
      </c>
      <c r="H1926" s="50">
        <v>41736</v>
      </c>
      <c r="I1926" s="51" t="s">
        <v>536</v>
      </c>
      <c r="J1926" s="51" t="s">
        <v>560</v>
      </c>
      <c r="K1926" s="51">
        <f>VLOOKUP(J1926,'Validacion reclamo de equipaje'!L:M,2,0)</f>
        <v>126</v>
      </c>
      <c r="L1926" s="51" t="str">
        <f>VLOOKUP(I1926,'Validacion reclamo de equipaje'!H:I,2,0)</f>
        <v>Nacional</v>
      </c>
      <c r="M1926" s="51" t="s">
        <v>523</v>
      </c>
    </row>
    <row r="1927" spans="1:13" x14ac:dyDescent="0.25">
      <c r="A1927">
        <v>224</v>
      </c>
      <c r="B1927" s="47" t="str">
        <f>VLOOKUP(Tabla6[[#This Row],['# Vuelo]],'Validacion reclamo de equipaje'!P:Q,2,0)</f>
        <v>MEXICO AEREO</v>
      </c>
      <c r="C1927" s="52">
        <v>0.76527777777777783</v>
      </c>
      <c r="D1927" s="52">
        <v>0.76736111111111116</v>
      </c>
      <c r="E1927" s="53">
        <f>'Reclamo de equipaje rediseñado'!$D1927-'Reclamo de equipaje rediseñado'!$C1927</f>
        <v>2.0833333333333259E-3</v>
      </c>
      <c r="F1927" s="52">
        <v>0.77013888888888893</v>
      </c>
      <c r="G1927" s="53">
        <f t="shared" si="30"/>
        <v>2.7777777777777679E-3</v>
      </c>
      <c r="H1927" s="54">
        <v>41738</v>
      </c>
      <c r="I1927" s="55" t="s">
        <v>536</v>
      </c>
      <c r="J1927" s="55" t="s">
        <v>560</v>
      </c>
      <c r="K1927" s="55">
        <f>VLOOKUP(J1927,'Validacion reclamo de equipaje'!L:M,2,0)</f>
        <v>126</v>
      </c>
      <c r="L1927" s="55" t="str">
        <f>VLOOKUP(I1927,'Validacion reclamo de equipaje'!H:I,2,0)</f>
        <v>Nacional</v>
      </c>
      <c r="M1927" s="55" t="s">
        <v>523</v>
      </c>
    </row>
    <row r="1928" spans="1:13" x14ac:dyDescent="0.25">
      <c r="A1928">
        <v>224</v>
      </c>
      <c r="B1928" s="47" t="str">
        <f>VLOOKUP(Tabla6[[#This Row],['# Vuelo]],'Validacion reclamo de equipaje'!P:Q,2,0)</f>
        <v>MEXICO AEREO</v>
      </c>
      <c r="C1928" s="48">
        <v>0.75555555555555554</v>
      </c>
      <c r="D1928" s="48">
        <v>0.7583333333333333</v>
      </c>
      <c r="E1928" s="49">
        <f>'Reclamo de equipaje rediseñado'!$D1928-'Reclamo de equipaje rediseñado'!$C1928</f>
        <v>2.7777777777777679E-3</v>
      </c>
      <c r="F1928" s="48">
        <v>0.76736111111111116</v>
      </c>
      <c r="G1928" s="49">
        <f t="shared" si="30"/>
        <v>9.0277777777778567E-3</v>
      </c>
      <c r="H1928" s="50">
        <v>41739</v>
      </c>
      <c r="I1928" s="51" t="s">
        <v>536</v>
      </c>
      <c r="J1928" s="51" t="s">
        <v>560</v>
      </c>
      <c r="K1928" s="51">
        <f>VLOOKUP(J1928,'Validacion reclamo de equipaje'!L:M,2,0)</f>
        <v>126</v>
      </c>
      <c r="L1928" s="51" t="str">
        <f>VLOOKUP(I1928,'Validacion reclamo de equipaje'!H:I,2,0)</f>
        <v>Nacional</v>
      </c>
      <c r="M1928" s="51" t="s">
        <v>523</v>
      </c>
    </row>
    <row r="1929" spans="1:13" x14ac:dyDescent="0.25">
      <c r="A1929">
        <v>224</v>
      </c>
      <c r="B1929" s="47" t="str">
        <f>VLOOKUP(Tabla6[[#This Row],['# Vuelo]],'Validacion reclamo de equipaje'!P:Q,2,0)</f>
        <v>MEXICO AEREO</v>
      </c>
      <c r="C1929" s="52">
        <v>0.7597222222222223</v>
      </c>
      <c r="D1929" s="52">
        <v>0.76597222222222217</v>
      </c>
      <c r="E1929" s="53">
        <f>'Reclamo de equipaje rediseñado'!$D1929-'Reclamo de equipaje rediseñado'!$C1929</f>
        <v>6.2499999999998668E-3</v>
      </c>
      <c r="F1929" s="52">
        <v>0.77083333333333337</v>
      </c>
      <c r="G1929" s="53">
        <f t="shared" si="30"/>
        <v>4.8611111111112049E-3</v>
      </c>
      <c r="H1929" s="54">
        <v>41741</v>
      </c>
      <c r="I1929" s="55" t="s">
        <v>536</v>
      </c>
      <c r="J1929" s="55" t="s">
        <v>560</v>
      </c>
      <c r="K1929" s="55">
        <f>VLOOKUP(J1929,'Validacion reclamo de equipaje'!L:M,2,0)</f>
        <v>126</v>
      </c>
      <c r="L1929" s="55" t="str">
        <f>VLOOKUP(I1929,'Validacion reclamo de equipaje'!H:I,2,0)</f>
        <v>Nacional</v>
      </c>
      <c r="M1929" s="55" t="s">
        <v>523</v>
      </c>
    </row>
    <row r="1930" spans="1:13" x14ac:dyDescent="0.25">
      <c r="A1930">
        <v>224</v>
      </c>
      <c r="B1930" s="47" t="str">
        <f>VLOOKUP(Tabla6[[#This Row],['# Vuelo]],'Validacion reclamo de equipaje'!P:Q,2,0)</f>
        <v>MEXICO AEREO</v>
      </c>
      <c r="C1930" s="48">
        <v>0.75624999999999998</v>
      </c>
      <c r="D1930" s="48">
        <v>0.76180555555555562</v>
      </c>
      <c r="E1930" s="49">
        <f>'Reclamo de equipaje rediseñado'!$D1930-'Reclamo de equipaje rediseñado'!$C1930</f>
        <v>5.5555555555556468E-3</v>
      </c>
      <c r="F1930" s="48">
        <v>0.76666666666666661</v>
      </c>
      <c r="G1930" s="49">
        <f t="shared" si="30"/>
        <v>4.8611111111109828E-3</v>
      </c>
      <c r="H1930" s="50">
        <v>41742</v>
      </c>
      <c r="I1930" s="51" t="s">
        <v>536</v>
      </c>
      <c r="J1930" s="51" t="s">
        <v>560</v>
      </c>
      <c r="K1930" s="51">
        <f>VLOOKUP(J1930,'Validacion reclamo de equipaje'!L:M,2,0)</f>
        <v>126</v>
      </c>
      <c r="L1930" s="51" t="str">
        <f>VLOOKUP(I1930,'Validacion reclamo de equipaje'!H:I,2,0)</f>
        <v>Nacional</v>
      </c>
      <c r="M1930" s="51" t="s">
        <v>523</v>
      </c>
    </row>
    <row r="1931" spans="1:13" x14ac:dyDescent="0.25">
      <c r="A1931">
        <v>224</v>
      </c>
      <c r="B1931" s="47" t="str">
        <f>VLOOKUP(Tabla6[[#This Row],['# Vuelo]],'Validacion reclamo de equipaje'!P:Q,2,0)</f>
        <v>MEXICO AEREO</v>
      </c>
      <c r="C1931" s="52">
        <v>0.75555555555555554</v>
      </c>
      <c r="D1931" s="52">
        <v>0.76041666666666663</v>
      </c>
      <c r="E1931" s="53">
        <f>'Reclamo de equipaje rediseñado'!$D1931-'Reclamo de equipaje rediseñado'!$C1931</f>
        <v>4.8611111111110938E-3</v>
      </c>
      <c r="F1931" s="52">
        <v>0.76666666666666661</v>
      </c>
      <c r="G1931" s="53">
        <f t="shared" si="30"/>
        <v>6.2499999999999778E-3</v>
      </c>
      <c r="H1931" s="54">
        <v>41743</v>
      </c>
      <c r="I1931" s="55" t="s">
        <v>536</v>
      </c>
      <c r="J1931" s="55" t="s">
        <v>560</v>
      </c>
      <c r="K1931" s="55">
        <f>VLOOKUP(J1931,'Validacion reclamo de equipaje'!L:M,2,0)</f>
        <v>126</v>
      </c>
      <c r="L1931" s="55" t="str">
        <f>VLOOKUP(I1931,'Validacion reclamo de equipaje'!H:I,2,0)</f>
        <v>Nacional</v>
      </c>
      <c r="M1931" s="55" t="s">
        <v>523</v>
      </c>
    </row>
    <row r="1932" spans="1:13" x14ac:dyDescent="0.25">
      <c r="A1932">
        <v>224</v>
      </c>
      <c r="B1932" s="47" t="str">
        <f>VLOOKUP(Tabla6[[#This Row],['# Vuelo]],'Validacion reclamo de equipaje'!P:Q,2,0)</f>
        <v>MEXICO AEREO</v>
      </c>
      <c r="C1932" s="48">
        <v>0.76527777777777783</v>
      </c>
      <c r="D1932" s="48">
        <v>0.7729166666666667</v>
      </c>
      <c r="E1932" s="49">
        <f>'Reclamo de equipaje rediseñado'!$D1932-'Reclamo de equipaje rediseñado'!$C1932</f>
        <v>7.6388888888888618E-3</v>
      </c>
      <c r="F1932" s="48">
        <v>0.77986111111111101</v>
      </c>
      <c r="G1932" s="49">
        <f t="shared" si="30"/>
        <v>6.9444444444443088E-3</v>
      </c>
      <c r="H1932" s="50">
        <v>41745</v>
      </c>
      <c r="I1932" s="51" t="s">
        <v>536</v>
      </c>
      <c r="J1932" s="51" t="s">
        <v>560</v>
      </c>
      <c r="K1932" s="51">
        <f>VLOOKUP(J1932,'Validacion reclamo de equipaje'!L:M,2,0)</f>
        <v>126</v>
      </c>
      <c r="L1932" s="51" t="str">
        <f>VLOOKUP(I1932,'Validacion reclamo de equipaje'!H:I,2,0)</f>
        <v>Nacional</v>
      </c>
      <c r="M1932" s="51" t="s">
        <v>523</v>
      </c>
    </row>
    <row r="1933" spans="1:13" x14ac:dyDescent="0.25">
      <c r="A1933">
        <v>224</v>
      </c>
      <c r="B1933" s="47" t="str">
        <f>VLOOKUP(Tabla6[[#This Row],['# Vuelo]],'Validacion reclamo de equipaje'!P:Q,2,0)</f>
        <v>MEXICO AEREO</v>
      </c>
      <c r="C1933" s="52">
        <v>0.76388888888888884</v>
      </c>
      <c r="D1933" s="52">
        <v>0.77222222222222225</v>
      </c>
      <c r="E1933" s="53">
        <f>'Reclamo de equipaje rediseñado'!$D1933-'Reclamo de equipaje rediseñado'!$C1933</f>
        <v>8.3333333333334147E-3</v>
      </c>
      <c r="F1933" s="52">
        <v>0.78055555555555556</v>
      </c>
      <c r="G1933" s="53">
        <f t="shared" si="30"/>
        <v>8.3333333333333037E-3</v>
      </c>
      <c r="H1933" s="54">
        <v>41746</v>
      </c>
      <c r="I1933" s="55" t="s">
        <v>536</v>
      </c>
      <c r="J1933" s="55" t="s">
        <v>560</v>
      </c>
      <c r="K1933" s="55">
        <f>VLOOKUP(J1933,'Validacion reclamo de equipaje'!L:M,2,0)</f>
        <v>126</v>
      </c>
      <c r="L1933" s="55" t="str">
        <f>VLOOKUP(I1933,'Validacion reclamo de equipaje'!H:I,2,0)</f>
        <v>Nacional</v>
      </c>
      <c r="M1933" s="55" t="s">
        <v>523</v>
      </c>
    </row>
    <row r="1934" spans="1:13" x14ac:dyDescent="0.25">
      <c r="A1934">
        <v>224</v>
      </c>
      <c r="B1934" s="47" t="str">
        <f>VLOOKUP(Tabla6[[#This Row],['# Vuelo]],'Validacion reclamo de equipaje'!P:Q,2,0)</f>
        <v>MEXICO AEREO</v>
      </c>
      <c r="C1934" s="48">
        <v>0.77013888888888893</v>
      </c>
      <c r="D1934" s="48">
        <v>0.77569444444444446</v>
      </c>
      <c r="E1934" s="49">
        <f>'Reclamo de equipaje rediseñado'!$D1934-'Reclamo de equipaje rediseñado'!$C1934</f>
        <v>5.5555555555555358E-3</v>
      </c>
      <c r="F1934" s="48">
        <v>0.78402777777777777</v>
      </c>
      <c r="G1934" s="49">
        <f t="shared" si="30"/>
        <v>8.3333333333333037E-3</v>
      </c>
      <c r="H1934" s="50">
        <v>41748</v>
      </c>
      <c r="I1934" s="51" t="s">
        <v>536</v>
      </c>
      <c r="J1934" s="51" t="s">
        <v>560</v>
      </c>
      <c r="K1934" s="51">
        <f>VLOOKUP(J1934,'Validacion reclamo de equipaje'!L:M,2,0)</f>
        <v>126</v>
      </c>
      <c r="L1934" s="51" t="str">
        <f>VLOOKUP(I1934,'Validacion reclamo de equipaje'!H:I,2,0)</f>
        <v>Nacional</v>
      </c>
      <c r="M1934" s="51" t="s">
        <v>523</v>
      </c>
    </row>
    <row r="1935" spans="1:13" x14ac:dyDescent="0.25">
      <c r="A1935">
        <v>224</v>
      </c>
      <c r="B1935" s="47" t="str">
        <f>VLOOKUP(Tabla6[[#This Row],['# Vuelo]],'Validacion reclamo de equipaje'!P:Q,2,0)</f>
        <v>MEXICO AEREO</v>
      </c>
      <c r="C1935" s="52">
        <v>0.76041666666666663</v>
      </c>
      <c r="D1935" s="52">
        <v>0.77083333333333337</v>
      </c>
      <c r="E1935" s="53">
        <f>'Reclamo de equipaje rediseñado'!$D1935-'Reclamo de equipaje rediseñado'!$C1935</f>
        <v>1.0416666666666741E-2</v>
      </c>
      <c r="F1935" s="52">
        <v>0.78125</v>
      </c>
      <c r="G1935" s="53">
        <f t="shared" si="30"/>
        <v>1.041666666666663E-2</v>
      </c>
      <c r="H1935" s="54">
        <v>41750</v>
      </c>
      <c r="I1935" s="55" t="s">
        <v>536</v>
      </c>
      <c r="J1935" s="55" t="s">
        <v>560</v>
      </c>
      <c r="K1935" s="55">
        <f>VLOOKUP(J1935,'Validacion reclamo de equipaje'!L:M,2,0)</f>
        <v>126</v>
      </c>
      <c r="L1935" s="55" t="str">
        <f>VLOOKUP(I1935,'Validacion reclamo de equipaje'!H:I,2,0)</f>
        <v>Nacional</v>
      </c>
      <c r="M1935" s="55" t="s">
        <v>523</v>
      </c>
    </row>
    <row r="1936" spans="1:13" x14ac:dyDescent="0.25">
      <c r="A1936">
        <v>224</v>
      </c>
      <c r="B1936" s="47" t="str">
        <f>VLOOKUP(Tabla6[[#This Row],['# Vuelo]],'Validacion reclamo de equipaje'!P:Q,2,0)</f>
        <v>MEXICO AEREO</v>
      </c>
      <c r="C1936" s="48">
        <v>0.76736111111111116</v>
      </c>
      <c r="D1936" s="48">
        <v>0.77222222222222225</v>
      </c>
      <c r="E1936" s="49">
        <f>'Reclamo de equipaje rediseñado'!$D1936-'Reclamo de equipaje rediseñado'!$C1936</f>
        <v>4.8611111111110938E-3</v>
      </c>
      <c r="F1936" s="48">
        <v>0.77777777777777779</v>
      </c>
      <c r="G1936" s="49">
        <f t="shared" si="30"/>
        <v>5.5555555555555358E-3</v>
      </c>
      <c r="H1936" s="50">
        <v>41751</v>
      </c>
      <c r="I1936" s="51" t="s">
        <v>536</v>
      </c>
      <c r="J1936" s="51" t="s">
        <v>560</v>
      </c>
      <c r="K1936" s="51">
        <f>VLOOKUP(J1936,'Validacion reclamo de equipaje'!L:M,2,0)</f>
        <v>126</v>
      </c>
      <c r="L1936" s="51" t="str">
        <f>VLOOKUP(I1936,'Validacion reclamo de equipaje'!H:I,2,0)</f>
        <v>Nacional</v>
      </c>
      <c r="M1936" s="51" t="s">
        <v>523</v>
      </c>
    </row>
    <row r="1937" spans="1:13" x14ac:dyDescent="0.25">
      <c r="A1937">
        <v>224</v>
      </c>
      <c r="B1937" s="47" t="str">
        <f>VLOOKUP(Tabla6[[#This Row],['# Vuelo]],'Validacion reclamo de equipaje'!P:Q,2,0)</f>
        <v>MEXICO AEREO</v>
      </c>
      <c r="C1937" s="52">
        <v>0.78055555555555556</v>
      </c>
      <c r="D1937" s="52">
        <v>0.78472222222222221</v>
      </c>
      <c r="E1937" s="53">
        <f>'Reclamo de equipaje rediseñado'!$D1937-'Reclamo de equipaje rediseñado'!$C1937</f>
        <v>4.1666666666666519E-3</v>
      </c>
      <c r="F1937" s="52">
        <v>0.79375000000000007</v>
      </c>
      <c r="G1937" s="53">
        <f t="shared" si="30"/>
        <v>9.0277777777778567E-3</v>
      </c>
      <c r="H1937" s="54">
        <v>41753</v>
      </c>
      <c r="I1937" s="55" t="s">
        <v>536</v>
      </c>
      <c r="J1937" s="55" t="s">
        <v>560</v>
      </c>
      <c r="K1937" s="55">
        <f>VLOOKUP(J1937,'Validacion reclamo de equipaje'!L:M,2,0)</f>
        <v>126</v>
      </c>
      <c r="L1937" s="55" t="str">
        <f>VLOOKUP(I1937,'Validacion reclamo de equipaje'!H:I,2,0)</f>
        <v>Nacional</v>
      </c>
      <c r="M1937" s="55" t="s">
        <v>523</v>
      </c>
    </row>
    <row r="1938" spans="1:13" x14ac:dyDescent="0.25">
      <c r="A1938">
        <v>224</v>
      </c>
      <c r="B1938" s="47" t="str">
        <f>VLOOKUP(Tabla6[[#This Row],['# Vuelo]],'Validacion reclamo de equipaje'!P:Q,2,0)</f>
        <v>MEXICO AEREO</v>
      </c>
      <c r="C1938" s="48">
        <v>0.75694444444444453</v>
      </c>
      <c r="D1938" s="48">
        <v>0.76180555555555562</v>
      </c>
      <c r="E1938" s="49">
        <f>'Reclamo de equipaje rediseñado'!$D1938-'Reclamo de equipaje rediseñado'!$C1938</f>
        <v>4.8611111111110938E-3</v>
      </c>
      <c r="F1938" s="48">
        <v>0.77083333333333337</v>
      </c>
      <c r="G1938" s="49">
        <f t="shared" si="30"/>
        <v>9.0277777777777457E-3</v>
      </c>
      <c r="H1938" s="50">
        <v>41754</v>
      </c>
      <c r="I1938" s="51" t="s">
        <v>536</v>
      </c>
      <c r="J1938" s="51" t="s">
        <v>560</v>
      </c>
      <c r="K1938" s="51">
        <f>VLOOKUP(J1938,'Validacion reclamo de equipaje'!L:M,2,0)</f>
        <v>126</v>
      </c>
      <c r="L1938" s="51" t="str">
        <f>VLOOKUP(I1938,'Validacion reclamo de equipaje'!H:I,2,0)</f>
        <v>Nacional</v>
      </c>
      <c r="M1938" s="51" t="s">
        <v>523</v>
      </c>
    </row>
    <row r="1939" spans="1:13" x14ac:dyDescent="0.25">
      <c r="A1939">
        <v>224</v>
      </c>
      <c r="B1939" s="47" t="str">
        <f>VLOOKUP(Tabla6[[#This Row],['# Vuelo]],'Validacion reclamo de equipaje'!P:Q,2,0)</f>
        <v>MEXICO AEREO</v>
      </c>
      <c r="C1939" s="52">
        <v>0.7597222222222223</v>
      </c>
      <c r="D1939" s="52">
        <v>0.76458333333333339</v>
      </c>
      <c r="E1939" s="53">
        <f>'Reclamo de equipaje rediseñado'!$D1939-'Reclamo de equipaje rediseñado'!$C1939</f>
        <v>4.8611111111110938E-3</v>
      </c>
      <c r="F1939" s="52">
        <v>0.78055555555555556</v>
      </c>
      <c r="G1939" s="53">
        <f t="shared" si="30"/>
        <v>1.5972222222222165E-2</v>
      </c>
      <c r="H1939" s="54">
        <v>41756</v>
      </c>
      <c r="I1939" s="55" t="s">
        <v>536</v>
      </c>
      <c r="J1939" s="55" t="s">
        <v>560</v>
      </c>
      <c r="K1939" s="55">
        <f>VLOOKUP(J1939,'Validacion reclamo de equipaje'!L:M,2,0)</f>
        <v>126</v>
      </c>
      <c r="L1939" s="55" t="str">
        <f>VLOOKUP(I1939,'Validacion reclamo de equipaje'!H:I,2,0)</f>
        <v>Nacional</v>
      </c>
      <c r="M1939" s="55" t="s">
        <v>523</v>
      </c>
    </row>
    <row r="1940" spans="1:13" x14ac:dyDescent="0.25">
      <c r="A1940">
        <v>224</v>
      </c>
      <c r="B1940" s="47" t="str">
        <f>VLOOKUP(Tabla6[[#This Row],['# Vuelo]],'Validacion reclamo de equipaje'!P:Q,2,0)</f>
        <v>MEXICO AEREO</v>
      </c>
      <c r="C1940" s="48">
        <v>0.7715277777777777</v>
      </c>
      <c r="D1940" s="48">
        <v>0.77847222222222223</v>
      </c>
      <c r="E1940" s="49">
        <f>'Reclamo de equipaje rediseñado'!$D1940-'Reclamo de equipaje rediseñado'!$C1940</f>
        <v>6.9444444444445308E-3</v>
      </c>
      <c r="F1940" s="48">
        <v>0.78680555555555554</v>
      </c>
      <c r="G1940" s="49">
        <f t="shared" si="30"/>
        <v>8.3333333333333037E-3</v>
      </c>
      <c r="H1940" s="50">
        <v>41757</v>
      </c>
      <c r="I1940" s="51" t="s">
        <v>536</v>
      </c>
      <c r="J1940" s="51" t="s">
        <v>560</v>
      </c>
      <c r="K1940" s="51">
        <f>VLOOKUP(J1940,'Validacion reclamo de equipaje'!L:M,2,0)</f>
        <v>126</v>
      </c>
      <c r="L1940" s="51" t="str">
        <f>VLOOKUP(I1940,'Validacion reclamo de equipaje'!H:I,2,0)</f>
        <v>Nacional</v>
      </c>
      <c r="M1940" s="51" t="s">
        <v>523</v>
      </c>
    </row>
    <row r="1941" spans="1:13" x14ac:dyDescent="0.25">
      <c r="A1941">
        <v>224</v>
      </c>
      <c r="B1941" s="47" t="str">
        <f>VLOOKUP(Tabla6[[#This Row],['# Vuelo]],'Validacion reclamo de equipaje'!P:Q,2,0)</f>
        <v>MEXICO AEREO</v>
      </c>
      <c r="C1941" s="52">
        <v>0.76597222222222217</v>
      </c>
      <c r="D1941" s="52">
        <v>0.77083333333333337</v>
      </c>
      <c r="E1941" s="53">
        <f>'Reclamo de equipaje rediseñado'!$D1941-'Reclamo de equipaje rediseñado'!$C1941</f>
        <v>4.8611111111112049E-3</v>
      </c>
      <c r="F1941" s="52">
        <v>0.77847222222222223</v>
      </c>
      <c r="G1941" s="53">
        <f t="shared" si="30"/>
        <v>7.6388888888888618E-3</v>
      </c>
      <c r="H1941" s="54">
        <v>41758</v>
      </c>
      <c r="I1941" s="55" t="s">
        <v>536</v>
      </c>
      <c r="J1941" s="55" t="s">
        <v>560</v>
      </c>
      <c r="K1941" s="55">
        <f>VLOOKUP(J1941,'Validacion reclamo de equipaje'!L:M,2,0)</f>
        <v>126</v>
      </c>
      <c r="L1941" s="55" t="str">
        <f>VLOOKUP(I1941,'Validacion reclamo de equipaje'!H:I,2,0)</f>
        <v>Nacional</v>
      </c>
      <c r="M1941" s="55" t="s">
        <v>523</v>
      </c>
    </row>
    <row r="1942" spans="1:13" x14ac:dyDescent="0.25">
      <c r="A1942">
        <v>224</v>
      </c>
      <c r="B1942" s="47" t="str">
        <f>VLOOKUP(Tabla6[[#This Row],['# Vuelo]],'Validacion reclamo de equipaje'!P:Q,2,0)</f>
        <v>MEXICO AEREO</v>
      </c>
      <c r="C1942" s="48">
        <v>0.76041666666666663</v>
      </c>
      <c r="D1942" s="48">
        <v>0.77500000000000002</v>
      </c>
      <c r="E1942" s="49">
        <f>'Reclamo de equipaje rediseñado'!$D1942-'Reclamo de equipaje rediseñado'!$C1942</f>
        <v>1.4583333333333393E-2</v>
      </c>
      <c r="F1942" s="48">
        <v>0.77777777777777779</v>
      </c>
      <c r="G1942" s="49">
        <f t="shared" si="30"/>
        <v>2.7777777777777679E-3</v>
      </c>
      <c r="H1942" s="50">
        <v>41759</v>
      </c>
      <c r="I1942" s="51" t="s">
        <v>536</v>
      </c>
      <c r="J1942" s="51" t="s">
        <v>560</v>
      </c>
      <c r="K1942" s="51">
        <f>VLOOKUP(J1942,'Validacion reclamo de equipaje'!L:M,2,0)</f>
        <v>126</v>
      </c>
      <c r="L1942" s="51" t="str">
        <f>VLOOKUP(I1942,'Validacion reclamo de equipaje'!H:I,2,0)</f>
        <v>Nacional</v>
      </c>
      <c r="M1942" s="51" t="s">
        <v>523</v>
      </c>
    </row>
    <row r="1943" spans="1:13" x14ac:dyDescent="0.25">
      <c r="A1943">
        <v>224</v>
      </c>
      <c r="B1943" s="47" t="str">
        <f>VLOOKUP(Tabla6[[#This Row],['# Vuelo]],'Validacion reclamo de equipaje'!P:Q,2,0)</f>
        <v>MEXICO AEREO</v>
      </c>
      <c r="C1943" s="52">
        <v>0.9</v>
      </c>
      <c r="D1943" s="52">
        <v>0.90763888888888899</v>
      </c>
      <c r="E1943" s="53">
        <f>'Reclamo de equipaje rediseñado'!$D1943-'Reclamo de equipaje rediseñado'!$C1943</f>
        <v>7.6388888888889728E-3</v>
      </c>
      <c r="F1943" s="52">
        <v>0.91875000000000007</v>
      </c>
      <c r="G1943" s="53">
        <f t="shared" si="30"/>
        <v>1.1111111111111072E-2</v>
      </c>
      <c r="H1943" s="54">
        <v>41749</v>
      </c>
      <c r="I1943" s="55" t="s">
        <v>536</v>
      </c>
      <c r="J1943" s="55" t="s">
        <v>560</v>
      </c>
      <c r="K1943" s="55">
        <f>VLOOKUP(J1943,'Validacion reclamo de equipaje'!L:M,2,0)</f>
        <v>126</v>
      </c>
      <c r="L1943" s="55" t="str">
        <f>VLOOKUP(I1943,'Validacion reclamo de equipaje'!H:I,2,0)</f>
        <v>Nacional</v>
      </c>
      <c r="M1943" s="55" t="s">
        <v>523</v>
      </c>
    </row>
    <row r="1944" spans="1:13" x14ac:dyDescent="0.25">
      <c r="A1944">
        <v>214</v>
      </c>
      <c r="B1944" s="47" t="str">
        <f>VLOOKUP(Tabla6[[#This Row],['# Vuelo]],'Validacion reclamo de equipaje'!P:Q,2,0)</f>
        <v>MEXICO AEREO</v>
      </c>
      <c r="C1944" s="48">
        <v>0.66319444444444442</v>
      </c>
      <c r="D1944" s="48">
        <v>0.66527777777777775</v>
      </c>
      <c r="E1944" s="49">
        <f>'Reclamo de equipaje rediseñado'!$D1944-'Reclamo de equipaje rediseñado'!$C1944</f>
        <v>2.0833333333333259E-3</v>
      </c>
      <c r="F1944" s="48">
        <v>0.6694444444444444</v>
      </c>
      <c r="G1944" s="49">
        <f t="shared" si="30"/>
        <v>4.1666666666666519E-3</v>
      </c>
      <c r="H1944" s="50">
        <v>41730</v>
      </c>
      <c r="I1944" s="51" t="s">
        <v>536</v>
      </c>
      <c r="J1944" s="51" t="s">
        <v>535</v>
      </c>
      <c r="K1944" s="51">
        <f>VLOOKUP(J1944,'Validacion reclamo de equipaje'!L:M,2,0)</f>
        <v>50</v>
      </c>
      <c r="L1944" s="51" t="str">
        <f>VLOOKUP(I1944,'Validacion reclamo de equipaje'!H:I,2,0)</f>
        <v>Nacional</v>
      </c>
      <c r="M1944" s="51" t="s">
        <v>523</v>
      </c>
    </row>
    <row r="1945" spans="1:13" x14ac:dyDescent="0.25">
      <c r="A1945">
        <v>214</v>
      </c>
      <c r="B1945" s="47" t="str">
        <f>VLOOKUP(Tabla6[[#This Row],['# Vuelo]],'Validacion reclamo de equipaje'!P:Q,2,0)</f>
        <v>MEXICO AEREO</v>
      </c>
      <c r="C1945" s="52">
        <v>0.68055555555555547</v>
      </c>
      <c r="D1945" s="52">
        <v>0.68611111111111101</v>
      </c>
      <c r="E1945" s="53">
        <f>'Reclamo de equipaje rediseñado'!$D1945-'Reclamo de equipaje rediseñado'!$C1945</f>
        <v>5.5555555555555358E-3</v>
      </c>
      <c r="F1945" s="52">
        <v>0.69027777777777777</v>
      </c>
      <c r="G1945" s="53">
        <f t="shared" si="30"/>
        <v>4.1666666666667629E-3</v>
      </c>
      <c r="H1945" s="54">
        <v>41731</v>
      </c>
      <c r="I1945" s="55" t="s">
        <v>536</v>
      </c>
      <c r="J1945" s="55" t="s">
        <v>535</v>
      </c>
      <c r="K1945" s="55">
        <f>VLOOKUP(J1945,'Validacion reclamo de equipaje'!L:M,2,0)</f>
        <v>50</v>
      </c>
      <c r="L1945" s="55" t="str">
        <f>VLOOKUP(I1945,'Validacion reclamo de equipaje'!H:I,2,0)</f>
        <v>Nacional</v>
      </c>
      <c r="M1945" s="55" t="s">
        <v>523</v>
      </c>
    </row>
    <row r="1946" spans="1:13" x14ac:dyDescent="0.25">
      <c r="A1946">
        <v>214</v>
      </c>
      <c r="B1946" s="47" t="str">
        <f>VLOOKUP(Tabla6[[#This Row],['# Vuelo]],'Validacion reclamo de equipaje'!P:Q,2,0)</f>
        <v>MEXICO AEREO</v>
      </c>
      <c r="C1946" s="48">
        <v>0.1673611111111111</v>
      </c>
      <c r="D1946" s="48">
        <v>0.17361111111111113</v>
      </c>
      <c r="E1946" s="49">
        <f>'Reclamo de equipaje rediseñado'!$D1946-'Reclamo de equipaje rediseñado'!$C1946</f>
        <v>6.2500000000000333E-3</v>
      </c>
      <c r="F1946" s="48">
        <v>0.6791666666666667</v>
      </c>
      <c r="G1946" s="49">
        <f t="shared" si="30"/>
        <v>0.50555555555555554</v>
      </c>
      <c r="H1946" s="50">
        <v>41732</v>
      </c>
      <c r="I1946" s="51" t="s">
        <v>536</v>
      </c>
      <c r="J1946" s="51" t="s">
        <v>535</v>
      </c>
      <c r="K1946" s="51">
        <f>VLOOKUP(J1946,'Validacion reclamo de equipaje'!L:M,2,0)</f>
        <v>50</v>
      </c>
      <c r="L1946" s="51" t="str">
        <f>VLOOKUP(I1946,'Validacion reclamo de equipaje'!H:I,2,0)</f>
        <v>Nacional</v>
      </c>
      <c r="M1946" s="51" t="s">
        <v>523</v>
      </c>
    </row>
    <row r="1947" spans="1:13" x14ac:dyDescent="0.25">
      <c r="A1947">
        <v>214</v>
      </c>
      <c r="B1947" s="47" t="str">
        <f>VLOOKUP(Tabla6[[#This Row],['# Vuelo]],'Validacion reclamo de equipaje'!P:Q,2,0)</f>
        <v>MEXICO AEREO</v>
      </c>
      <c r="C1947" s="52">
        <v>0.66666666666666663</v>
      </c>
      <c r="D1947" s="52">
        <v>0.6743055555555556</v>
      </c>
      <c r="E1947" s="53">
        <f>'Reclamo de equipaje rediseñado'!$D1947-'Reclamo de equipaje rediseñado'!$C1947</f>
        <v>7.6388888888889728E-3</v>
      </c>
      <c r="F1947" s="52">
        <v>0.68125000000000002</v>
      </c>
      <c r="G1947" s="53">
        <f t="shared" si="30"/>
        <v>6.9444444444444198E-3</v>
      </c>
      <c r="H1947" s="54">
        <v>41733</v>
      </c>
      <c r="I1947" s="55" t="s">
        <v>536</v>
      </c>
      <c r="J1947" s="55" t="s">
        <v>535</v>
      </c>
      <c r="K1947" s="55">
        <f>VLOOKUP(J1947,'Validacion reclamo de equipaje'!L:M,2,0)</f>
        <v>50</v>
      </c>
      <c r="L1947" s="55" t="str">
        <f>VLOOKUP(I1947,'Validacion reclamo de equipaje'!H:I,2,0)</f>
        <v>Nacional</v>
      </c>
      <c r="M1947" s="55" t="s">
        <v>523</v>
      </c>
    </row>
    <row r="1948" spans="1:13" x14ac:dyDescent="0.25">
      <c r="A1948">
        <v>214</v>
      </c>
      <c r="B1948" s="47" t="str">
        <f>VLOOKUP(Tabla6[[#This Row],['# Vuelo]],'Validacion reclamo de equipaje'!P:Q,2,0)</f>
        <v>MEXICO AEREO</v>
      </c>
      <c r="C1948" s="48">
        <v>0.66527777777777775</v>
      </c>
      <c r="D1948" s="48">
        <v>0.67361111111111116</v>
      </c>
      <c r="E1948" s="49">
        <f>'Reclamo de equipaje rediseñado'!$D1948-'Reclamo de equipaje rediseñado'!$C1948</f>
        <v>8.3333333333334147E-3</v>
      </c>
      <c r="F1948" s="48">
        <v>0.6791666666666667</v>
      </c>
      <c r="G1948" s="49">
        <f t="shared" si="30"/>
        <v>5.5555555555555358E-3</v>
      </c>
      <c r="H1948" s="50">
        <v>41735</v>
      </c>
      <c r="I1948" s="51" t="s">
        <v>536</v>
      </c>
      <c r="J1948" s="51" t="s">
        <v>535</v>
      </c>
      <c r="K1948" s="51">
        <f>VLOOKUP(J1948,'Validacion reclamo de equipaje'!L:M,2,0)</f>
        <v>50</v>
      </c>
      <c r="L1948" s="51" t="str">
        <f>VLOOKUP(I1948,'Validacion reclamo de equipaje'!H:I,2,0)</f>
        <v>Nacional</v>
      </c>
      <c r="M1948" s="51" t="s">
        <v>523</v>
      </c>
    </row>
    <row r="1949" spans="1:13" x14ac:dyDescent="0.25">
      <c r="A1949">
        <v>214</v>
      </c>
      <c r="B1949" s="47" t="str">
        <f>VLOOKUP(Tabla6[[#This Row],['# Vuelo]],'Validacion reclamo de equipaje'!P:Q,2,0)</f>
        <v>MEXICO AEREO</v>
      </c>
      <c r="C1949" s="52">
        <v>0.6430555555555556</v>
      </c>
      <c r="D1949" s="52">
        <v>0.65208333333333335</v>
      </c>
      <c r="E1949" s="53">
        <f>'Reclamo de equipaje rediseñado'!$D1949-'Reclamo de equipaje rediseñado'!$C1949</f>
        <v>9.0277777777777457E-3</v>
      </c>
      <c r="F1949" s="52">
        <v>0.65486111111111112</v>
      </c>
      <c r="G1949" s="53">
        <f t="shared" si="30"/>
        <v>2.7777777777777679E-3</v>
      </c>
      <c r="H1949" s="54">
        <v>41736</v>
      </c>
      <c r="I1949" s="55" t="s">
        <v>536</v>
      </c>
      <c r="J1949" s="55" t="s">
        <v>535</v>
      </c>
      <c r="K1949" s="55">
        <f>VLOOKUP(J1949,'Validacion reclamo de equipaje'!L:M,2,0)</f>
        <v>50</v>
      </c>
      <c r="L1949" s="55" t="str">
        <f>VLOOKUP(I1949,'Validacion reclamo de equipaje'!H:I,2,0)</f>
        <v>Nacional</v>
      </c>
      <c r="M1949" s="55" t="s">
        <v>523</v>
      </c>
    </row>
    <row r="1950" spans="1:13" x14ac:dyDescent="0.25">
      <c r="A1950">
        <v>214</v>
      </c>
      <c r="B1950" s="47" t="str">
        <f>VLOOKUP(Tabla6[[#This Row],['# Vuelo]],'Validacion reclamo de equipaje'!P:Q,2,0)</f>
        <v>MEXICO AEREO</v>
      </c>
      <c r="C1950" s="48">
        <v>0.62847222222222221</v>
      </c>
      <c r="D1950" s="48">
        <v>0.63888888888888895</v>
      </c>
      <c r="E1950" s="49">
        <f>'Reclamo de equipaje rediseñado'!$D1950-'Reclamo de equipaje rediseñado'!$C1950</f>
        <v>1.0416666666666741E-2</v>
      </c>
      <c r="F1950" s="48">
        <v>0.64236111111111105</v>
      </c>
      <c r="G1950" s="49">
        <f t="shared" si="30"/>
        <v>3.4722222222220989E-3</v>
      </c>
      <c r="H1950" s="50">
        <v>41737</v>
      </c>
      <c r="I1950" s="51" t="s">
        <v>536</v>
      </c>
      <c r="J1950" s="51" t="s">
        <v>535</v>
      </c>
      <c r="K1950" s="51">
        <f>VLOOKUP(J1950,'Validacion reclamo de equipaje'!L:M,2,0)</f>
        <v>50</v>
      </c>
      <c r="L1950" s="51" t="str">
        <f>VLOOKUP(I1950,'Validacion reclamo de equipaje'!H:I,2,0)</f>
        <v>Nacional</v>
      </c>
      <c r="M1950" s="51" t="s">
        <v>523</v>
      </c>
    </row>
    <row r="1951" spans="1:13" x14ac:dyDescent="0.25">
      <c r="A1951">
        <v>214</v>
      </c>
      <c r="B1951" s="47" t="str">
        <f>VLOOKUP(Tabla6[[#This Row],['# Vuelo]],'Validacion reclamo de equipaje'!P:Q,2,0)</f>
        <v>MEXICO AEREO</v>
      </c>
      <c r="C1951" s="52">
        <v>0.63402777777777775</v>
      </c>
      <c r="D1951" s="52">
        <v>0.63958333333333328</v>
      </c>
      <c r="E1951" s="53">
        <f>'Reclamo de equipaje rediseñado'!$D1951-'Reclamo de equipaje rediseñado'!$C1951</f>
        <v>5.5555555555555358E-3</v>
      </c>
      <c r="F1951" s="52">
        <v>0.64444444444444449</v>
      </c>
      <c r="G1951" s="53">
        <f t="shared" si="30"/>
        <v>4.8611111111112049E-3</v>
      </c>
      <c r="H1951" s="54">
        <v>41738</v>
      </c>
      <c r="I1951" s="55" t="s">
        <v>536</v>
      </c>
      <c r="J1951" s="55" t="s">
        <v>535</v>
      </c>
      <c r="K1951" s="55">
        <f>VLOOKUP(J1951,'Validacion reclamo de equipaje'!L:M,2,0)</f>
        <v>50</v>
      </c>
      <c r="L1951" s="55" t="str">
        <f>VLOOKUP(I1951,'Validacion reclamo de equipaje'!H:I,2,0)</f>
        <v>Nacional</v>
      </c>
      <c r="M1951" s="55" t="s">
        <v>523</v>
      </c>
    </row>
    <row r="1952" spans="1:13" x14ac:dyDescent="0.25">
      <c r="A1952">
        <v>214</v>
      </c>
      <c r="B1952" s="47" t="str">
        <f>VLOOKUP(Tabla6[[#This Row],['# Vuelo]],'Validacion reclamo de equipaje'!P:Q,2,0)</f>
        <v>MEXICO AEREO</v>
      </c>
      <c r="C1952" s="48">
        <v>0.63611111111111118</v>
      </c>
      <c r="D1952" s="48">
        <v>0.63750000000000007</v>
      </c>
      <c r="E1952" s="49">
        <f>'Reclamo de equipaje rediseñado'!$D1952-'Reclamo de equipaje rediseñado'!$C1952</f>
        <v>1.388888888888884E-3</v>
      </c>
      <c r="F1952" s="48">
        <v>0.64027777777777783</v>
      </c>
      <c r="G1952" s="49">
        <f t="shared" si="30"/>
        <v>2.7777777777777679E-3</v>
      </c>
      <c r="H1952" s="50">
        <v>41739</v>
      </c>
      <c r="I1952" s="51" t="s">
        <v>536</v>
      </c>
      <c r="J1952" s="51" t="s">
        <v>535</v>
      </c>
      <c r="K1952" s="51">
        <f>VLOOKUP(J1952,'Validacion reclamo de equipaje'!L:M,2,0)</f>
        <v>50</v>
      </c>
      <c r="L1952" s="51" t="str">
        <f>VLOOKUP(I1952,'Validacion reclamo de equipaje'!H:I,2,0)</f>
        <v>Nacional</v>
      </c>
      <c r="M1952" s="51" t="s">
        <v>523</v>
      </c>
    </row>
    <row r="1953" spans="1:13" x14ac:dyDescent="0.25">
      <c r="A1953">
        <v>214</v>
      </c>
      <c r="B1953" s="47" t="str">
        <f>VLOOKUP(Tabla6[[#This Row],['# Vuelo]],'Validacion reclamo de equipaje'!P:Q,2,0)</f>
        <v>MEXICO AEREO</v>
      </c>
      <c r="C1953" s="52">
        <v>0.63055555555555554</v>
      </c>
      <c r="D1953" s="52">
        <v>0.63611111111111118</v>
      </c>
      <c r="E1953" s="53">
        <f>'Reclamo de equipaje rediseñado'!$D1953-'Reclamo de equipaje rediseñado'!$C1953</f>
        <v>5.5555555555556468E-3</v>
      </c>
      <c r="F1953" s="52">
        <v>0.64027777777777783</v>
      </c>
      <c r="G1953" s="53">
        <f t="shared" si="30"/>
        <v>4.1666666666666519E-3</v>
      </c>
      <c r="H1953" s="54">
        <v>41739</v>
      </c>
      <c r="I1953" s="55" t="s">
        <v>536</v>
      </c>
      <c r="J1953" s="55" t="s">
        <v>535</v>
      </c>
      <c r="K1953" s="55">
        <f>VLOOKUP(J1953,'Validacion reclamo de equipaje'!L:M,2,0)</f>
        <v>50</v>
      </c>
      <c r="L1953" s="55" t="str">
        <f>VLOOKUP(I1953,'Validacion reclamo de equipaje'!H:I,2,0)</f>
        <v>Nacional</v>
      </c>
      <c r="M1953" s="55" t="s">
        <v>523</v>
      </c>
    </row>
    <row r="1954" spans="1:13" x14ac:dyDescent="0.25">
      <c r="A1954">
        <v>214</v>
      </c>
      <c r="B1954" s="47" t="str">
        <f>VLOOKUP(Tabla6[[#This Row],['# Vuelo]],'Validacion reclamo de equipaje'!P:Q,2,0)</f>
        <v>MEXICO AEREO</v>
      </c>
      <c r="C1954" s="48">
        <v>0.66319444444444442</v>
      </c>
      <c r="D1954" s="48">
        <v>0.66527777777777775</v>
      </c>
      <c r="E1954" s="49">
        <f>'Reclamo de equipaje rediseñado'!$D1954-'Reclamo de equipaje rediseñado'!$C1954</f>
        <v>2.0833333333333259E-3</v>
      </c>
      <c r="F1954" s="48">
        <v>0.6694444444444444</v>
      </c>
      <c r="G1954" s="49">
        <f t="shared" si="30"/>
        <v>4.1666666666666519E-3</v>
      </c>
      <c r="H1954" s="50">
        <v>41742</v>
      </c>
      <c r="I1954" s="51" t="s">
        <v>536</v>
      </c>
      <c r="J1954" s="51" t="s">
        <v>535</v>
      </c>
      <c r="K1954" s="51">
        <f>VLOOKUP(J1954,'Validacion reclamo de equipaje'!L:M,2,0)</f>
        <v>50</v>
      </c>
      <c r="L1954" s="51" t="str">
        <f>VLOOKUP(I1954,'Validacion reclamo de equipaje'!H:I,2,0)</f>
        <v>Nacional</v>
      </c>
      <c r="M1954" s="51" t="s">
        <v>523</v>
      </c>
    </row>
    <row r="1955" spans="1:13" x14ac:dyDescent="0.25">
      <c r="A1955">
        <v>214</v>
      </c>
      <c r="B1955" s="47" t="str">
        <f>VLOOKUP(Tabla6[[#This Row],['# Vuelo]],'Validacion reclamo de equipaje'!P:Q,2,0)</f>
        <v>MEXICO AEREO</v>
      </c>
      <c r="C1955" s="52">
        <v>0.63888888888888895</v>
      </c>
      <c r="D1955" s="52">
        <v>0.6430555555555556</v>
      </c>
      <c r="E1955" s="53">
        <f>'Reclamo de equipaje rediseñado'!$D1955-'Reclamo de equipaje rediseñado'!$C1955</f>
        <v>4.1666666666666519E-3</v>
      </c>
      <c r="F1955" s="52">
        <v>0.64583333333333337</v>
      </c>
      <c r="G1955" s="53">
        <f t="shared" si="30"/>
        <v>2.7777777777777679E-3</v>
      </c>
      <c r="H1955" s="54">
        <v>41743</v>
      </c>
      <c r="I1955" s="55" t="s">
        <v>536</v>
      </c>
      <c r="J1955" s="55" t="s">
        <v>535</v>
      </c>
      <c r="K1955" s="55">
        <f>VLOOKUP(J1955,'Validacion reclamo de equipaje'!L:M,2,0)</f>
        <v>50</v>
      </c>
      <c r="L1955" s="55" t="str">
        <f>VLOOKUP(I1955,'Validacion reclamo de equipaje'!H:I,2,0)</f>
        <v>Nacional</v>
      </c>
      <c r="M1955" s="55" t="s">
        <v>523</v>
      </c>
    </row>
    <row r="1956" spans="1:13" x14ac:dyDescent="0.25">
      <c r="A1956">
        <v>214</v>
      </c>
      <c r="B1956" s="47" t="str">
        <f>VLOOKUP(Tabla6[[#This Row],['# Vuelo]],'Validacion reclamo de equipaje'!P:Q,2,0)</f>
        <v>MEXICO AEREO</v>
      </c>
      <c r="C1956" s="48">
        <v>0.63402777777777775</v>
      </c>
      <c r="D1956" s="48">
        <v>0.63888888888888895</v>
      </c>
      <c r="E1956" s="49">
        <f>'Reclamo de equipaje rediseñado'!$D1956-'Reclamo de equipaje rediseñado'!$C1956</f>
        <v>4.8611111111112049E-3</v>
      </c>
      <c r="F1956" s="48">
        <v>0.64583333333333337</v>
      </c>
      <c r="G1956" s="49">
        <f t="shared" si="30"/>
        <v>6.9444444444444198E-3</v>
      </c>
      <c r="H1956" s="50">
        <v>41744</v>
      </c>
      <c r="I1956" s="51" t="s">
        <v>536</v>
      </c>
      <c r="J1956" s="51" t="s">
        <v>535</v>
      </c>
      <c r="K1956" s="51">
        <f>VLOOKUP(J1956,'Validacion reclamo de equipaje'!L:M,2,0)</f>
        <v>50</v>
      </c>
      <c r="L1956" s="51" t="str">
        <f>VLOOKUP(I1956,'Validacion reclamo de equipaje'!H:I,2,0)</f>
        <v>Nacional</v>
      </c>
      <c r="M1956" s="51" t="s">
        <v>523</v>
      </c>
    </row>
    <row r="1957" spans="1:13" x14ac:dyDescent="0.25">
      <c r="A1957">
        <v>214</v>
      </c>
      <c r="B1957" s="47" t="str">
        <f>VLOOKUP(Tabla6[[#This Row],['# Vuelo]],'Validacion reclamo de equipaje'!P:Q,2,0)</f>
        <v>MEXICO AEREO</v>
      </c>
      <c r="C1957" s="52">
        <v>0.63124999999999998</v>
      </c>
      <c r="D1957" s="52">
        <v>0.63611111111111118</v>
      </c>
      <c r="E1957" s="53">
        <f>'Reclamo de equipaje rediseñado'!$D1957-'Reclamo de equipaje rediseñado'!$C1957</f>
        <v>4.8611111111112049E-3</v>
      </c>
      <c r="F1957" s="52">
        <v>0.64097222222222217</v>
      </c>
      <c r="G1957" s="53">
        <f t="shared" si="30"/>
        <v>4.8611111111109828E-3</v>
      </c>
      <c r="H1957" s="54">
        <v>41746</v>
      </c>
      <c r="I1957" s="55" t="s">
        <v>536</v>
      </c>
      <c r="J1957" s="55" t="s">
        <v>535</v>
      </c>
      <c r="K1957" s="55">
        <f>VLOOKUP(J1957,'Validacion reclamo de equipaje'!L:M,2,0)</f>
        <v>50</v>
      </c>
      <c r="L1957" s="55" t="str">
        <f>VLOOKUP(I1957,'Validacion reclamo de equipaje'!H:I,2,0)</f>
        <v>Nacional</v>
      </c>
      <c r="M1957" s="55" t="s">
        <v>523</v>
      </c>
    </row>
    <row r="1958" spans="1:13" x14ac:dyDescent="0.25">
      <c r="A1958">
        <v>214</v>
      </c>
      <c r="B1958" s="47" t="str">
        <f>VLOOKUP(Tabla6[[#This Row],['# Vuelo]],'Validacion reclamo de equipaje'!P:Q,2,0)</f>
        <v>MEXICO AEREO</v>
      </c>
      <c r="C1958" s="48">
        <v>0.63472222222222219</v>
      </c>
      <c r="D1958" s="48">
        <v>0.63888888888888895</v>
      </c>
      <c r="E1958" s="49">
        <f>'Reclamo de equipaje rediseñado'!$D1958-'Reclamo de equipaje rediseñado'!$C1958</f>
        <v>4.1666666666667629E-3</v>
      </c>
      <c r="F1958" s="48">
        <v>0.64722222222222225</v>
      </c>
      <c r="G1958" s="49">
        <f t="shared" si="30"/>
        <v>8.3333333333333037E-3</v>
      </c>
      <c r="H1958" s="50">
        <v>41749</v>
      </c>
      <c r="I1958" s="51" t="s">
        <v>536</v>
      </c>
      <c r="J1958" s="51" t="s">
        <v>535</v>
      </c>
      <c r="K1958" s="51">
        <f>VLOOKUP(J1958,'Validacion reclamo de equipaje'!L:M,2,0)</f>
        <v>50</v>
      </c>
      <c r="L1958" s="51" t="str">
        <f>VLOOKUP(I1958,'Validacion reclamo de equipaje'!H:I,2,0)</f>
        <v>Nacional</v>
      </c>
      <c r="M1958" s="51" t="s">
        <v>523</v>
      </c>
    </row>
    <row r="1959" spans="1:13" x14ac:dyDescent="0.25">
      <c r="A1959">
        <v>214</v>
      </c>
      <c r="B1959" s="47" t="str">
        <f>VLOOKUP(Tabla6[[#This Row],['# Vuelo]],'Validacion reclamo de equipaje'!P:Q,2,0)</f>
        <v>MEXICO AEREO</v>
      </c>
      <c r="C1959" s="52">
        <v>0.63958333333333328</v>
      </c>
      <c r="D1959" s="52">
        <v>0.64166666666666672</v>
      </c>
      <c r="E1959" s="53">
        <f>'Reclamo de equipaje rediseñado'!$D1959-'Reclamo de equipaje rediseñado'!$C1959</f>
        <v>2.083333333333437E-3</v>
      </c>
      <c r="F1959" s="52">
        <v>0.64861111111111114</v>
      </c>
      <c r="G1959" s="53">
        <f t="shared" si="30"/>
        <v>6.9444444444444198E-3</v>
      </c>
      <c r="H1959" s="54">
        <v>41751</v>
      </c>
      <c r="I1959" s="55" t="s">
        <v>536</v>
      </c>
      <c r="J1959" s="55" t="s">
        <v>535</v>
      </c>
      <c r="K1959" s="55">
        <f>VLOOKUP(J1959,'Validacion reclamo de equipaje'!L:M,2,0)</f>
        <v>50</v>
      </c>
      <c r="L1959" s="55" t="str">
        <f>VLOOKUP(I1959,'Validacion reclamo de equipaje'!H:I,2,0)</f>
        <v>Nacional</v>
      </c>
      <c r="M1959" s="55" t="s">
        <v>523</v>
      </c>
    </row>
    <row r="1960" spans="1:13" x14ac:dyDescent="0.25">
      <c r="A1960">
        <v>214</v>
      </c>
      <c r="B1960" s="47" t="str">
        <f>VLOOKUP(Tabla6[[#This Row],['# Vuelo]],'Validacion reclamo de equipaje'!P:Q,2,0)</f>
        <v>MEXICO AEREO</v>
      </c>
      <c r="C1960" s="48">
        <v>0.62430555555555556</v>
      </c>
      <c r="D1960" s="48">
        <v>0.63402777777777775</v>
      </c>
      <c r="E1960" s="49">
        <f>'Reclamo de equipaje rediseñado'!$D1960-'Reclamo de equipaje rediseñado'!$C1960</f>
        <v>9.7222222222221877E-3</v>
      </c>
      <c r="F1960" s="48">
        <v>0.64097222222222217</v>
      </c>
      <c r="G1960" s="49">
        <f t="shared" si="30"/>
        <v>6.9444444444444198E-3</v>
      </c>
      <c r="H1960" s="50">
        <v>41753</v>
      </c>
      <c r="I1960" s="51" t="s">
        <v>536</v>
      </c>
      <c r="J1960" s="51" t="s">
        <v>535</v>
      </c>
      <c r="K1960" s="51">
        <f>VLOOKUP(J1960,'Validacion reclamo de equipaje'!L:M,2,0)</f>
        <v>50</v>
      </c>
      <c r="L1960" s="51" t="str">
        <f>VLOOKUP(I1960,'Validacion reclamo de equipaje'!H:I,2,0)</f>
        <v>Nacional</v>
      </c>
      <c r="M1960" s="51" t="s">
        <v>523</v>
      </c>
    </row>
    <row r="1961" spans="1:13" x14ac:dyDescent="0.25">
      <c r="A1961">
        <v>214</v>
      </c>
      <c r="B1961" s="47" t="str">
        <f>VLOOKUP(Tabla6[[#This Row],['# Vuelo]],'Validacion reclamo de equipaje'!P:Q,2,0)</f>
        <v>MEXICO AEREO</v>
      </c>
      <c r="C1961" s="52">
        <v>0.7055555555555556</v>
      </c>
      <c r="D1961" s="52">
        <v>0.70972222222222225</v>
      </c>
      <c r="E1961" s="53">
        <f>'Reclamo de equipaje rediseñado'!$D1961-'Reclamo de equipaje rediseñado'!$C1961</f>
        <v>4.1666666666666519E-3</v>
      </c>
      <c r="F1961" s="52">
        <v>0.71666666666666667</v>
      </c>
      <c r="G1961" s="53">
        <f t="shared" si="30"/>
        <v>6.9444444444444198E-3</v>
      </c>
      <c r="H1961" s="54">
        <v>41754</v>
      </c>
      <c r="I1961" s="55" t="s">
        <v>536</v>
      </c>
      <c r="J1961" s="55" t="s">
        <v>535</v>
      </c>
      <c r="K1961" s="55">
        <f>VLOOKUP(J1961,'Validacion reclamo de equipaje'!L:M,2,0)</f>
        <v>50</v>
      </c>
      <c r="L1961" s="55" t="str">
        <f>VLOOKUP(I1961,'Validacion reclamo de equipaje'!H:I,2,0)</f>
        <v>Nacional</v>
      </c>
      <c r="M1961" s="55" t="s">
        <v>523</v>
      </c>
    </row>
    <row r="1962" spans="1:13" x14ac:dyDescent="0.25">
      <c r="A1962">
        <v>214</v>
      </c>
      <c r="B1962" s="47" t="str">
        <f>VLOOKUP(Tabla6[[#This Row],['# Vuelo]],'Validacion reclamo de equipaje'!P:Q,2,0)</f>
        <v>MEXICO AEREO</v>
      </c>
      <c r="C1962" s="48">
        <v>0.64374999999999993</v>
      </c>
      <c r="D1962" s="48">
        <v>0.64930555555555558</v>
      </c>
      <c r="E1962" s="49">
        <f>'Reclamo de equipaje rediseñado'!$D1962-'Reclamo de equipaje rediseñado'!$C1962</f>
        <v>5.5555555555556468E-3</v>
      </c>
      <c r="F1962" s="48">
        <v>0.65486111111111112</v>
      </c>
      <c r="G1962" s="49">
        <f t="shared" si="30"/>
        <v>5.5555555555555358E-3</v>
      </c>
      <c r="H1962" s="50">
        <v>41756</v>
      </c>
      <c r="I1962" s="51" t="s">
        <v>536</v>
      </c>
      <c r="J1962" s="51" t="s">
        <v>535</v>
      </c>
      <c r="K1962" s="51">
        <f>VLOOKUP(J1962,'Validacion reclamo de equipaje'!L:M,2,0)</f>
        <v>50</v>
      </c>
      <c r="L1962" s="51" t="str">
        <f>VLOOKUP(I1962,'Validacion reclamo de equipaje'!H:I,2,0)</f>
        <v>Nacional</v>
      </c>
      <c r="M1962" s="51" t="s">
        <v>523</v>
      </c>
    </row>
    <row r="1963" spans="1:13" x14ac:dyDescent="0.25">
      <c r="A1963">
        <v>214</v>
      </c>
      <c r="B1963" s="47" t="str">
        <f>VLOOKUP(Tabla6[[#This Row],['# Vuelo]],'Validacion reclamo de equipaje'!P:Q,2,0)</f>
        <v>MEXICO AEREO</v>
      </c>
      <c r="C1963" s="52">
        <v>0.63750000000000007</v>
      </c>
      <c r="D1963" s="52">
        <v>0.64027777777777783</v>
      </c>
      <c r="E1963" s="53">
        <f>'Reclamo de equipaje rediseñado'!$D1963-'Reclamo de equipaje rediseñado'!$C1963</f>
        <v>2.7777777777777679E-3</v>
      </c>
      <c r="F1963" s="52">
        <v>0.65138888888888891</v>
      </c>
      <c r="G1963" s="53">
        <f t="shared" si="30"/>
        <v>1.1111111111111072E-2</v>
      </c>
      <c r="H1963" s="54">
        <v>41757</v>
      </c>
      <c r="I1963" s="55" t="s">
        <v>536</v>
      </c>
      <c r="J1963" s="55" t="s">
        <v>535</v>
      </c>
      <c r="K1963" s="55">
        <f>VLOOKUP(J1963,'Validacion reclamo de equipaje'!L:M,2,0)</f>
        <v>50</v>
      </c>
      <c r="L1963" s="55" t="str">
        <f>VLOOKUP(I1963,'Validacion reclamo de equipaje'!H:I,2,0)</f>
        <v>Nacional</v>
      </c>
      <c r="M1963" s="55" t="s">
        <v>523</v>
      </c>
    </row>
    <row r="1964" spans="1:13" x14ac:dyDescent="0.25">
      <c r="A1964">
        <v>214</v>
      </c>
      <c r="B1964" s="47" t="str">
        <f>VLOOKUP(Tabla6[[#This Row],['# Vuelo]],'Validacion reclamo de equipaje'!P:Q,2,0)</f>
        <v>MEXICO AEREO</v>
      </c>
      <c r="C1964" s="48">
        <v>0.63611111111111118</v>
      </c>
      <c r="D1964" s="48">
        <v>0.64097222222222217</v>
      </c>
      <c r="E1964" s="49">
        <f>'Reclamo de equipaje rediseñado'!$D1964-'Reclamo de equipaje rediseñado'!$C1964</f>
        <v>4.8611111111109828E-3</v>
      </c>
      <c r="F1964" s="48">
        <v>0.64861111111111114</v>
      </c>
      <c r="G1964" s="49">
        <f t="shared" si="30"/>
        <v>7.6388888888889728E-3</v>
      </c>
      <c r="H1964" s="50">
        <v>41758</v>
      </c>
      <c r="I1964" s="51" t="s">
        <v>536</v>
      </c>
      <c r="J1964" s="51" t="s">
        <v>535</v>
      </c>
      <c r="K1964" s="51">
        <f>VLOOKUP(J1964,'Validacion reclamo de equipaje'!L:M,2,0)</f>
        <v>50</v>
      </c>
      <c r="L1964" s="51" t="str">
        <f>VLOOKUP(I1964,'Validacion reclamo de equipaje'!H:I,2,0)</f>
        <v>Nacional</v>
      </c>
      <c r="M1964" s="51" t="s">
        <v>523</v>
      </c>
    </row>
    <row r="1965" spans="1:13" x14ac:dyDescent="0.25">
      <c r="A1965">
        <v>214</v>
      </c>
      <c r="B1965" s="47" t="str">
        <f>VLOOKUP(Tabla6[[#This Row],['# Vuelo]],'Validacion reclamo de equipaje'!P:Q,2,0)</f>
        <v>MEXICO AEREO</v>
      </c>
      <c r="C1965" s="52">
        <v>0.63541666666666663</v>
      </c>
      <c r="D1965" s="52">
        <v>0.64583333333333337</v>
      </c>
      <c r="E1965" s="53">
        <f>'Reclamo de equipaje rediseñado'!$D1965-'Reclamo de equipaje rediseñado'!$C1965</f>
        <v>1.0416666666666741E-2</v>
      </c>
      <c r="F1965" s="52">
        <v>0.65208333333333335</v>
      </c>
      <c r="G1965" s="53">
        <f t="shared" si="30"/>
        <v>6.2499999999999778E-3</v>
      </c>
      <c r="H1965" s="54">
        <v>41759</v>
      </c>
      <c r="I1965" s="55" t="s">
        <v>536</v>
      </c>
      <c r="J1965" s="55" t="s">
        <v>535</v>
      </c>
      <c r="K1965" s="55">
        <f>VLOOKUP(J1965,'Validacion reclamo de equipaje'!L:M,2,0)</f>
        <v>50</v>
      </c>
      <c r="L1965" s="55" t="str">
        <f>VLOOKUP(I1965,'Validacion reclamo de equipaje'!H:I,2,0)</f>
        <v>Nacional</v>
      </c>
      <c r="M1965" s="55" t="s">
        <v>523</v>
      </c>
    </row>
    <row r="1966" spans="1:13" x14ac:dyDescent="0.25">
      <c r="A1966">
        <v>214</v>
      </c>
      <c r="B1966" s="47" t="str">
        <f>VLOOKUP(Tabla6[[#This Row],['# Vuelo]],'Validacion reclamo de equipaje'!P:Q,2,0)</f>
        <v>MEXICO AEREO</v>
      </c>
      <c r="C1966" s="48">
        <v>0.84791666666666676</v>
      </c>
      <c r="D1966" s="48">
        <v>0.84861111111111109</v>
      </c>
      <c r="E1966" s="49">
        <f>'Reclamo de equipaje rediseñado'!$D1966-'Reclamo de equipaje rediseñado'!$C1966</f>
        <v>6.9444444444433095E-4</v>
      </c>
      <c r="F1966" s="48">
        <v>0.86458333333333337</v>
      </c>
      <c r="G1966" s="49">
        <f t="shared" si="30"/>
        <v>1.5972222222222276E-2</v>
      </c>
      <c r="H1966" s="50">
        <v>41734</v>
      </c>
      <c r="I1966" s="51" t="s">
        <v>536</v>
      </c>
      <c r="J1966" s="51" t="s">
        <v>535</v>
      </c>
      <c r="K1966" s="51">
        <f>VLOOKUP(J1966,'Validacion reclamo de equipaje'!L:M,2,0)</f>
        <v>50</v>
      </c>
      <c r="L1966" s="51" t="str">
        <f>VLOOKUP(I1966,'Validacion reclamo de equipaje'!H:I,2,0)</f>
        <v>Nacional</v>
      </c>
      <c r="M1966" s="51" t="s">
        <v>523</v>
      </c>
    </row>
    <row r="1967" spans="1:13" x14ac:dyDescent="0.25">
      <c r="A1967">
        <v>186</v>
      </c>
      <c r="B1967" s="47" t="str">
        <f>VLOOKUP(Tabla6[[#This Row],['# Vuelo]],'Validacion reclamo de equipaje'!P:Q,2,0)</f>
        <v>MEXICO AEREO</v>
      </c>
      <c r="C1967" s="52">
        <v>0.97222222222222221</v>
      </c>
      <c r="D1967" s="52">
        <v>0.97499999999999998</v>
      </c>
      <c r="E1967" s="53">
        <f>'Reclamo de equipaje rediseñado'!$D1967-'Reclamo de equipaje rediseñado'!$C1967</f>
        <v>2.7777777777777679E-3</v>
      </c>
      <c r="F1967" s="52">
        <v>0.9784722222222223</v>
      </c>
      <c r="G1967" s="53">
        <f t="shared" si="30"/>
        <v>3.4722222222223209E-3</v>
      </c>
      <c r="H1967" s="54">
        <v>41730</v>
      </c>
      <c r="I1967" s="55" t="s">
        <v>536</v>
      </c>
      <c r="J1967" s="55" t="s">
        <v>560</v>
      </c>
      <c r="K1967" s="55">
        <f>VLOOKUP(J1967,'Validacion reclamo de equipaje'!L:M,2,0)</f>
        <v>126</v>
      </c>
      <c r="L1967" s="55" t="str">
        <f>VLOOKUP(I1967,'Validacion reclamo de equipaje'!H:I,2,0)</f>
        <v>Nacional</v>
      </c>
      <c r="M1967" s="55" t="s">
        <v>523</v>
      </c>
    </row>
    <row r="1968" spans="1:13" x14ac:dyDescent="0.25">
      <c r="A1968">
        <v>186</v>
      </c>
      <c r="B1968" s="47" t="str">
        <f>VLOOKUP(Tabla6[[#This Row],['# Vuelo]],'Validacion reclamo de equipaje'!P:Q,2,0)</f>
        <v>MEXICO AEREO</v>
      </c>
      <c r="C1968" s="48">
        <v>0.95416666666666661</v>
      </c>
      <c r="D1968" s="48">
        <v>0.9604166666666667</v>
      </c>
      <c r="E1968" s="49">
        <f>'Reclamo de equipaje rediseñado'!$D1968-'Reclamo de equipaje rediseñado'!$C1968</f>
        <v>6.2500000000000888E-3</v>
      </c>
      <c r="F1968" s="48">
        <v>0.96388888888888891</v>
      </c>
      <c r="G1968" s="49">
        <f t="shared" si="30"/>
        <v>3.4722222222222099E-3</v>
      </c>
      <c r="H1968" s="50">
        <v>41731</v>
      </c>
      <c r="I1968" s="51" t="s">
        <v>536</v>
      </c>
      <c r="J1968" s="51" t="s">
        <v>560</v>
      </c>
      <c r="K1968" s="51">
        <f>VLOOKUP(J1968,'Validacion reclamo de equipaje'!L:M,2,0)</f>
        <v>126</v>
      </c>
      <c r="L1968" s="51" t="str">
        <f>VLOOKUP(I1968,'Validacion reclamo de equipaje'!H:I,2,0)</f>
        <v>Nacional</v>
      </c>
      <c r="M1968" s="51" t="s">
        <v>523</v>
      </c>
    </row>
    <row r="1969" spans="1:13" x14ac:dyDescent="0.25">
      <c r="A1969">
        <v>186</v>
      </c>
      <c r="B1969" s="47" t="str">
        <f>VLOOKUP(Tabla6[[#This Row],['# Vuelo]],'Validacion reclamo de equipaje'!P:Q,2,0)</f>
        <v>MEXICO AEREO</v>
      </c>
      <c r="C1969" s="52">
        <v>4.1666666666666666E-3</v>
      </c>
      <c r="D1969" s="52">
        <v>1.1805555555555555E-2</v>
      </c>
      <c r="E1969" s="53">
        <f>'Reclamo de equipaje rediseñado'!$D1969-'Reclamo de equipaje rediseñado'!$C1969</f>
        <v>7.6388888888888886E-3</v>
      </c>
      <c r="F1969" s="52">
        <v>1.5972222222222224E-2</v>
      </c>
      <c r="G1969" s="53">
        <f t="shared" si="30"/>
        <v>4.1666666666666692E-3</v>
      </c>
      <c r="H1969" s="54">
        <v>41732</v>
      </c>
      <c r="I1969" s="55" t="s">
        <v>536</v>
      </c>
      <c r="J1969" s="55" t="s">
        <v>560</v>
      </c>
      <c r="K1969" s="55">
        <f>VLOOKUP(J1969,'Validacion reclamo de equipaje'!L:M,2,0)</f>
        <v>126</v>
      </c>
      <c r="L1969" s="55" t="str">
        <f>VLOOKUP(I1969,'Validacion reclamo de equipaje'!H:I,2,0)</f>
        <v>Nacional</v>
      </c>
      <c r="M1969" s="55" t="s">
        <v>523</v>
      </c>
    </row>
    <row r="1970" spans="1:13" x14ac:dyDescent="0.25">
      <c r="A1970">
        <v>186</v>
      </c>
      <c r="B1970" s="47" t="str">
        <f>VLOOKUP(Tabla6[[#This Row],['# Vuelo]],'Validacion reclamo de equipaje'!P:Q,2,0)</f>
        <v>MEXICO AEREO</v>
      </c>
      <c r="C1970" s="48">
        <v>0.9916666666666667</v>
      </c>
      <c r="D1970" s="48">
        <v>0.99930555555555556</v>
      </c>
      <c r="E1970" s="49">
        <f>'Reclamo de equipaje rediseñado'!$D1970-'Reclamo de equipaje rediseñado'!$C1970</f>
        <v>7.6388888888888618E-3</v>
      </c>
      <c r="F1970" s="48">
        <v>1.0111111111111111</v>
      </c>
      <c r="G1970" s="49">
        <f t="shared" si="30"/>
        <v>1.1805555555555514E-2</v>
      </c>
      <c r="H1970" s="50">
        <v>41734</v>
      </c>
      <c r="I1970" s="51" t="s">
        <v>536</v>
      </c>
      <c r="J1970" s="51" t="s">
        <v>560</v>
      </c>
      <c r="K1970" s="51">
        <f>VLOOKUP(J1970,'Validacion reclamo de equipaje'!L:M,2,0)</f>
        <v>126</v>
      </c>
      <c r="L1970" s="51" t="str">
        <f>VLOOKUP(I1970,'Validacion reclamo de equipaje'!H:I,2,0)</f>
        <v>Nacional</v>
      </c>
      <c r="M1970" s="51" t="s">
        <v>523</v>
      </c>
    </row>
    <row r="1971" spans="1:13" x14ac:dyDescent="0.25">
      <c r="A1971">
        <v>186</v>
      </c>
      <c r="B1971" s="47" t="str">
        <f>VLOOKUP(Tabla6[[#This Row],['# Vuelo]],'Validacion reclamo de equipaje'!P:Q,2,0)</f>
        <v>MEXICO AEREO</v>
      </c>
      <c r="C1971" s="52">
        <v>1.0104166666666667</v>
      </c>
      <c r="D1971" s="52">
        <v>1.0138888888888888</v>
      </c>
      <c r="E1971" s="53">
        <f>'Reclamo de equipaje rediseñado'!$D1971-'Reclamo de equipaje rediseñado'!$C1971</f>
        <v>3.4722222222220989E-3</v>
      </c>
      <c r="F1971" s="52">
        <v>1.0159722222222223</v>
      </c>
      <c r="G1971" s="53">
        <f t="shared" si="30"/>
        <v>2.083333333333437E-3</v>
      </c>
      <c r="H1971" s="54">
        <v>41734</v>
      </c>
      <c r="I1971" s="55" t="s">
        <v>536</v>
      </c>
      <c r="J1971" s="55" t="s">
        <v>560</v>
      </c>
      <c r="K1971" s="55">
        <f>VLOOKUP(J1971,'Validacion reclamo de equipaje'!L:M,2,0)</f>
        <v>126</v>
      </c>
      <c r="L1971" s="55" t="str">
        <f>VLOOKUP(I1971,'Validacion reclamo de equipaje'!H:I,2,0)</f>
        <v>Nacional</v>
      </c>
      <c r="M1971" s="55" t="s">
        <v>523</v>
      </c>
    </row>
    <row r="1972" spans="1:13" x14ac:dyDescent="0.25">
      <c r="A1972">
        <v>186</v>
      </c>
      <c r="B1972" s="47" t="str">
        <f>VLOOKUP(Tabla6[[#This Row],['# Vuelo]],'Validacion reclamo de equipaje'!P:Q,2,0)</f>
        <v>MEXICO AEREO</v>
      </c>
      <c r="C1972" s="48">
        <v>0.97361111111111109</v>
      </c>
      <c r="D1972" s="48">
        <v>0.97569444444444453</v>
      </c>
      <c r="E1972" s="49">
        <f>'Reclamo de equipaje rediseñado'!$D1972-'Reclamo de equipaje rediseñado'!$C1972</f>
        <v>2.083333333333437E-3</v>
      </c>
      <c r="F1972" s="48">
        <v>0.98263888888888884</v>
      </c>
      <c r="G1972" s="49">
        <f t="shared" si="30"/>
        <v>6.9444444444443088E-3</v>
      </c>
      <c r="H1972" s="50">
        <v>41736</v>
      </c>
      <c r="I1972" s="51" t="s">
        <v>536</v>
      </c>
      <c r="J1972" s="51" t="s">
        <v>560</v>
      </c>
      <c r="K1972" s="51">
        <f>VLOOKUP(J1972,'Validacion reclamo de equipaje'!L:M,2,0)</f>
        <v>126</v>
      </c>
      <c r="L1972" s="51" t="str">
        <f>VLOOKUP(I1972,'Validacion reclamo de equipaje'!H:I,2,0)</f>
        <v>Nacional</v>
      </c>
      <c r="M1972" s="51" t="s">
        <v>523</v>
      </c>
    </row>
    <row r="1973" spans="1:13" x14ac:dyDescent="0.25">
      <c r="A1973">
        <v>186</v>
      </c>
      <c r="B1973" s="47" t="str">
        <f>VLOOKUP(Tabla6[[#This Row],['# Vuelo]],'Validacion reclamo de equipaje'!P:Q,2,0)</f>
        <v>MEXICO AEREO</v>
      </c>
      <c r="C1973" s="52">
        <v>0.98333333333333339</v>
      </c>
      <c r="D1973" s="52">
        <v>0.98819444444444438</v>
      </c>
      <c r="E1973" s="53">
        <f>'Reclamo de equipaje rediseñado'!$D1973-'Reclamo de equipaje rediseñado'!$C1973</f>
        <v>4.8611111111109828E-3</v>
      </c>
      <c r="F1973" s="52">
        <v>0.99652777777777779</v>
      </c>
      <c r="G1973" s="53">
        <f t="shared" si="30"/>
        <v>8.3333333333334147E-3</v>
      </c>
      <c r="H1973" s="54">
        <v>41738</v>
      </c>
      <c r="I1973" s="55" t="s">
        <v>536</v>
      </c>
      <c r="J1973" s="55" t="s">
        <v>560</v>
      </c>
      <c r="K1973" s="55">
        <f>VLOOKUP(J1973,'Validacion reclamo de equipaje'!L:M,2,0)</f>
        <v>126</v>
      </c>
      <c r="L1973" s="55" t="str">
        <f>VLOOKUP(I1973,'Validacion reclamo de equipaje'!H:I,2,0)</f>
        <v>Nacional</v>
      </c>
      <c r="M1973" s="55" t="s">
        <v>523</v>
      </c>
    </row>
    <row r="1974" spans="1:13" x14ac:dyDescent="0.25">
      <c r="A1974">
        <v>186</v>
      </c>
      <c r="B1974" s="47" t="str">
        <f>VLOOKUP(Tabla6[[#This Row],['# Vuelo]],'Validacion reclamo de equipaje'!P:Q,2,0)</f>
        <v>MEXICO AEREO</v>
      </c>
      <c r="C1974" s="48">
        <v>0.96805555555555556</v>
      </c>
      <c r="D1974" s="48">
        <v>0.97013888888888899</v>
      </c>
      <c r="E1974" s="49">
        <f>'Reclamo de equipaje rediseñado'!$D1974-'Reclamo de equipaje rediseñado'!$C1974</f>
        <v>2.083333333333437E-3</v>
      </c>
      <c r="F1974" s="48">
        <v>0.98333333333333339</v>
      </c>
      <c r="G1974" s="49">
        <f t="shared" si="30"/>
        <v>1.3194444444444398E-2</v>
      </c>
      <c r="H1974" s="50">
        <v>41739</v>
      </c>
      <c r="I1974" s="51" t="s">
        <v>536</v>
      </c>
      <c r="J1974" s="51" t="s">
        <v>560</v>
      </c>
      <c r="K1974" s="51">
        <f>VLOOKUP(J1974,'Validacion reclamo de equipaje'!L:M,2,0)</f>
        <v>126</v>
      </c>
      <c r="L1974" s="51" t="str">
        <f>VLOOKUP(I1974,'Validacion reclamo de equipaje'!H:I,2,0)</f>
        <v>Nacional</v>
      </c>
      <c r="M1974" s="51" t="s">
        <v>523</v>
      </c>
    </row>
    <row r="1975" spans="1:13" x14ac:dyDescent="0.25">
      <c r="A1975">
        <v>186</v>
      </c>
      <c r="B1975" s="47" t="str">
        <f>VLOOKUP(Tabla6[[#This Row],['# Vuelo]],'Validacion reclamo de equipaje'!P:Q,2,0)</f>
        <v>MEXICO AEREO</v>
      </c>
      <c r="C1975" s="52">
        <v>0.99652777777777779</v>
      </c>
      <c r="D1975" s="52">
        <v>1.0020833333333334</v>
      </c>
      <c r="E1975" s="53">
        <f>'Reclamo de equipaje rediseñado'!$D1975-'Reclamo de equipaje rediseñado'!$C1975</f>
        <v>5.5555555555556468E-3</v>
      </c>
      <c r="F1975" s="52">
        <v>1.0118055555555556</v>
      </c>
      <c r="G1975" s="53">
        <f t="shared" si="30"/>
        <v>9.7222222222221877E-3</v>
      </c>
      <c r="H1975" s="54">
        <v>41740</v>
      </c>
      <c r="I1975" s="55" t="s">
        <v>536</v>
      </c>
      <c r="J1975" s="55" t="s">
        <v>560</v>
      </c>
      <c r="K1975" s="55">
        <f>VLOOKUP(J1975,'Validacion reclamo de equipaje'!L:M,2,0)</f>
        <v>126</v>
      </c>
      <c r="L1975" s="55" t="str">
        <f>VLOOKUP(I1975,'Validacion reclamo de equipaje'!H:I,2,0)</f>
        <v>Nacional</v>
      </c>
      <c r="M1975" s="55" t="s">
        <v>523</v>
      </c>
    </row>
    <row r="1976" spans="1:13" x14ac:dyDescent="0.25">
      <c r="A1976">
        <v>186</v>
      </c>
      <c r="B1976" s="47" t="str">
        <f>VLOOKUP(Tabla6[[#This Row],['# Vuelo]],'Validacion reclamo de equipaje'!P:Q,2,0)</f>
        <v>MEXICO AEREO</v>
      </c>
      <c r="C1976" s="48">
        <v>0.97222222222222221</v>
      </c>
      <c r="D1976" s="48">
        <v>0.97499999999999998</v>
      </c>
      <c r="E1976" s="49">
        <f>'Reclamo de equipaje rediseñado'!$D1976-'Reclamo de equipaje rediseñado'!$C1976</f>
        <v>2.7777777777777679E-3</v>
      </c>
      <c r="F1976" s="48">
        <v>0.9784722222222223</v>
      </c>
      <c r="G1976" s="49">
        <f t="shared" si="30"/>
        <v>3.4722222222223209E-3</v>
      </c>
      <c r="H1976" s="50">
        <v>41742</v>
      </c>
      <c r="I1976" s="51" t="s">
        <v>536</v>
      </c>
      <c r="J1976" s="51" t="s">
        <v>560</v>
      </c>
      <c r="K1976" s="51">
        <f>VLOOKUP(J1976,'Validacion reclamo de equipaje'!L:M,2,0)</f>
        <v>126</v>
      </c>
      <c r="L1976" s="51" t="str">
        <f>VLOOKUP(I1976,'Validacion reclamo de equipaje'!H:I,2,0)</f>
        <v>Nacional</v>
      </c>
      <c r="M1976" s="51" t="s">
        <v>523</v>
      </c>
    </row>
    <row r="1977" spans="1:13" x14ac:dyDescent="0.25">
      <c r="A1977">
        <v>186</v>
      </c>
      <c r="B1977" s="47" t="str">
        <f>VLOOKUP(Tabla6[[#This Row],['# Vuelo]],'Validacion reclamo de equipaje'!P:Q,2,0)</f>
        <v>MEXICO AEREO</v>
      </c>
      <c r="C1977" s="52">
        <v>0.97013888888888899</v>
      </c>
      <c r="D1977" s="52">
        <v>0.9770833333333333</v>
      </c>
      <c r="E1977" s="53">
        <f>'Reclamo de equipaje rediseñado'!$D1977-'Reclamo de equipaje rediseñado'!$C1977</f>
        <v>6.9444444444443088E-3</v>
      </c>
      <c r="F1977" s="52">
        <v>0.98402777777777783</v>
      </c>
      <c r="G1977" s="53">
        <f t="shared" si="30"/>
        <v>6.9444444444445308E-3</v>
      </c>
      <c r="H1977" s="54">
        <v>41743</v>
      </c>
      <c r="I1977" s="55" t="s">
        <v>536</v>
      </c>
      <c r="J1977" s="55" t="s">
        <v>560</v>
      </c>
      <c r="K1977" s="55">
        <f>VLOOKUP(J1977,'Validacion reclamo de equipaje'!L:M,2,0)</f>
        <v>126</v>
      </c>
      <c r="L1977" s="55" t="str">
        <f>VLOOKUP(I1977,'Validacion reclamo de equipaje'!H:I,2,0)</f>
        <v>Nacional</v>
      </c>
      <c r="M1977" s="55" t="s">
        <v>523</v>
      </c>
    </row>
    <row r="1978" spans="1:13" x14ac:dyDescent="0.25">
      <c r="A1978">
        <v>186</v>
      </c>
      <c r="B1978" s="47" t="str">
        <f>VLOOKUP(Tabla6[[#This Row],['# Vuelo]],'Validacion reclamo de equipaje'!P:Q,2,0)</f>
        <v>MEXICO AEREO</v>
      </c>
      <c r="C1978" s="48">
        <v>0.98472222222222217</v>
      </c>
      <c r="D1978" s="48">
        <v>0.99375000000000002</v>
      </c>
      <c r="E1978" s="49">
        <f>'Reclamo de equipaje rediseñado'!$D1978-'Reclamo de equipaje rediseñado'!$C1978</f>
        <v>9.0277777777778567E-3</v>
      </c>
      <c r="F1978" s="48">
        <v>1.0020833333333334</v>
      </c>
      <c r="G1978" s="49">
        <f t="shared" si="30"/>
        <v>8.3333333333334147E-3</v>
      </c>
      <c r="H1978" s="50">
        <v>41745</v>
      </c>
      <c r="I1978" s="51" t="s">
        <v>536</v>
      </c>
      <c r="J1978" s="51" t="s">
        <v>560</v>
      </c>
      <c r="K1978" s="51">
        <f>VLOOKUP(J1978,'Validacion reclamo de equipaje'!L:M,2,0)</f>
        <v>126</v>
      </c>
      <c r="L1978" s="51" t="str">
        <f>VLOOKUP(I1978,'Validacion reclamo de equipaje'!H:I,2,0)</f>
        <v>Nacional</v>
      </c>
      <c r="M1978" s="51" t="s">
        <v>523</v>
      </c>
    </row>
    <row r="1979" spans="1:13" x14ac:dyDescent="0.25">
      <c r="A1979">
        <v>186</v>
      </c>
      <c r="B1979" s="47" t="str">
        <f>VLOOKUP(Tabla6[[#This Row],['# Vuelo]],'Validacion reclamo de equipaje'!P:Q,2,0)</f>
        <v>MEXICO AEREO</v>
      </c>
      <c r="C1979" s="52">
        <v>0.98611111111111116</v>
      </c>
      <c r="D1979" s="52">
        <v>0.99305555555555547</v>
      </c>
      <c r="E1979" s="53">
        <f>'Reclamo de equipaje rediseñado'!$D1979-'Reclamo de equipaje rediseñado'!$C1979</f>
        <v>6.9444444444443088E-3</v>
      </c>
      <c r="F1979" s="52">
        <v>0.99861111111111101</v>
      </c>
      <c r="G1979" s="53">
        <f t="shared" si="30"/>
        <v>5.5555555555555358E-3</v>
      </c>
      <c r="H1979" s="54">
        <v>41744</v>
      </c>
      <c r="I1979" s="55" t="s">
        <v>536</v>
      </c>
      <c r="J1979" s="55" t="s">
        <v>560</v>
      </c>
      <c r="K1979" s="55">
        <f>VLOOKUP(J1979,'Validacion reclamo de equipaje'!L:M,2,0)</f>
        <v>126</v>
      </c>
      <c r="L1979" s="55" t="str">
        <f>VLOOKUP(I1979,'Validacion reclamo de equipaje'!H:I,2,0)</f>
        <v>Nacional</v>
      </c>
      <c r="M1979" s="55" t="s">
        <v>523</v>
      </c>
    </row>
    <row r="1980" spans="1:13" x14ac:dyDescent="0.25">
      <c r="A1980">
        <v>186</v>
      </c>
      <c r="B1980" s="47" t="str">
        <f>VLOOKUP(Tabla6[[#This Row],['# Vuelo]],'Validacion reclamo de equipaje'!P:Q,2,0)</f>
        <v>MEXICO AEREO</v>
      </c>
      <c r="C1980" s="48">
        <v>0.9784722222222223</v>
      </c>
      <c r="D1980" s="48">
        <v>0.98333333333333339</v>
      </c>
      <c r="E1980" s="49">
        <f>'Reclamo de equipaje rediseñado'!$D1980-'Reclamo de equipaje rediseñado'!$C1980</f>
        <v>4.8611111111110938E-3</v>
      </c>
      <c r="F1980" s="48">
        <v>0.99097222222222225</v>
      </c>
      <c r="G1980" s="49">
        <f t="shared" si="30"/>
        <v>7.6388888888888618E-3</v>
      </c>
      <c r="H1980" s="50">
        <v>41749</v>
      </c>
      <c r="I1980" s="51" t="s">
        <v>536</v>
      </c>
      <c r="J1980" s="51" t="s">
        <v>560</v>
      </c>
      <c r="K1980" s="51">
        <f>VLOOKUP(J1980,'Validacion reclamo de equipaje'!L:M,2,0)</f>
        <v>126</v>
      </c>
      <c r="L1980" s="51" t="str">
        <f>VLOOKUP(I1980,'Validacion reclamo de equipaje'!H:I,2,0)</f>
        <v>Nacional</v>
      </c>
      <c r="M1980" s="51" t="s">
        <v>523</v>
      </c>
    </row>
    <row r="1981" spans="1:13" x14ac:dyDescent="0.25">
      <c r="A1981">
        <v>186</v>
      </c>
      <c r="B1981" s="47" t="str">
        <f>VLOOKUP(Tabla6[[#This Row],['# Vuelo]],'Validacion reclamo de equipaje'!P:Q,2,0)</f>
        <v>MEXICO AEREO</v>
      </c>
      <c r="C1981" s="52">
        <v>0.95694444444444438</v>
      </c>
      <c r="D1981" s="52">
        <v>0.96250000000000002</v>
      </c>
      <c r="E1981" s="53">
        <f>'Reclamo de equipaje rediseñado'!$D1981-'Reclamo de equipaje rediseñado'!$C1981</f>
        <v>5.5555555555556468E-3</v>
      </c>
      <c r="F1981" s="52">
        <v>0.97499999999999998</v>
      </c>
      <c r="G1981" s="53">
        <f t="shared" si="30"/>
        <v>1.2499999999999956E-2</v>
      </c>
      <c r="H1981" s="54">
        <v>41749</v>
      </c>
      <c r="I1981" s="55" t="s">
        <v>536</v>
      </c>
      <c r="J1981" s="55" t="s">
        <v>560</v>
      </c>
      <c r="K1981" s="55">
        <f>VLOOKUP(J1981,'Validacion reclamo de equipaje'!L:M,2,0)</f>
        <v>126</v>
      </c>
      <c r="L1981" s="55" t="str">
        <f>VLOOKUP(I1981,'Validacion reclamo de equipaje'!H:I,2,0)</f>
        <v>Nacional</v>
      </c>
      <c r="M1981" s="55" t="s">
        <v>523</v>
      </c>
    </row>
    <row r="1982" spans="1:13" x14ac:dyDescent="0.25">
      <c r="A1982">
        <v>186</v>
      </c>
      <c r="B1982" s="47" t="str">
        <f>VLOOKUP(Tabla6[[#This Row],['# Vuelo]],'Validacion reclamo de equipaje'!P:Q,2,0)</f>
        <v>MEXICO AEREO</v>
      </c>
      <c r="C1982" s="48">
        <v>0.9784722222222223</v>
      </c>
      <c r="D1982" s="48">
        <v>0.98819444444444438</v>
      </c>
      <c r="E1982" s="49">
        <f>'Reclamo de equipaje rediseñado'!$D1982-'Reclamo de equipaje rediseñado'!$C1982</f>
        <v>9.7222222222220767E-3</v>
      </c>
      <c r="F1982" s="48">
        <v>0.9902777777777777</v>
      </c>
      <c r="G1982" s="49">
        <f t="shared" si="30"/>
        <v>2.0833333333333259E-3</v>
      </c>
      <c r="H1982" s="50">
        <v>41751</v>
      </c>
      <c r="I1982" s="51" t="s">
        <v>536</v>
      </c>
      <c r="J1982" s="51" t="s">
        <v>560</v>
      </c>
      <c r="K1982" s="51">
        <f>VLOOKUP(J1982,'Validacion reclamo de equipaje'!L:M,2,0)</f>
        <v>126</v>
      </c>
      <c r="L1982" s="51" t="str">
        <f>VLOOKUP(I1982,'Validacion reclamo de equipaje'!H:I,2,0)</f>
        <v>Nacional</v>
      </c>
      <c r="M1982" s="51" t="s">
        <v>523</v>
      </c>
    </row>
    <row r="1983" spans="1:13" x14ac:dyDescent="0.25">
      <c r="A1983">
        <v>186</v>
      </c>
      <c r="B1983" s="47" t="str">
        <f>VLOOKUP(Tabla6[[#This Row],['# Vuelo]],'Validacion reclamo de equipaje'!P:Q,2,0)</f>
        <v>MEXICO AEREO</v>
      </c>
      <c r="C1983" s="52">
        <v>0.9604166666666667</v>
      </c>
      <c r="D1983" s="52">
        <v>0.96805555555555556</v>
      </c>
      <c r="E1983" s="53">
        <f>'Reclamo de equipaje rediseñado'!$D1983-'Reclamo de equipaje rediseñado'!$C1983</f>
        <v>7.6388888888888618E-3</v>
      </c>
      <c r="F1983" s="52">
        <v>0.97569444444444453</v>
      </c>
      <c r="G1983" s="53">
        <f t="shared" si="30"/>
        <v>7.6388888888889728E-3</v>
      </c>
      <c r="H1983" s="54">
        <v>41753</v>
      </c>
      <c r="I1983" s="55" t="s">
        <v>536</v>
      </c>
      <c r="J1983" s="55" t="s">
        <v>560</v>
      </c>
      <c r="K1983" s="55">
        <f>VLOOKUP(J1983,'Validacion reclamo de equipaje'!L:M,2,0)</f>
        <v>126</v>
      </c>
      <c r="L1983" s="55" t="str">
        <f>VLOOKUP(I1983,'Validacion reclamo de equipaje'!H:I,2,0)</f>
        <v>Nacional</v>
      </c>
      <c r="M1983" s="55" t="s">
        <v>523</v>
      </c>
    </row>
    <row r="1984" spans="1:13" x14ac:dyDescent="0.25">
      <c r="A1984">
        <v>186</v>
      </c>
      <c r="B1984" s="47" t="str">
        <f>VLOOKUP(Tabla6[[#This Row],['# Vuelo]],'Validacion reclamo de equipaje'!P:Q,2,0)</f>
        <v>MEXICO AEREO</v>
      </c>
      <c r="C1984" s="48">
        <v>0.96666666666666667</v>
      </c>
      <c r="D1984" s="48">
        <v>0.97499999999999998</v>
      </c>
      <c r="E1984" s="49">
        <f>'Reclamo de equipaje rediseñado'!$D1984-'Reclamo de equipaje rediseñado'!$C1984</f>
        <v>8.3333333333333037E-3</v>
      </c>
      <c r="F1984" s="48">
        <v>0.9902777777777777</v>
      </c>
      <c r="G1984" s="49">
        <f t="shared" si="30"/>
        <v>1.5277777777777724E-2</v>
      </c>
      <c r="H1984" s="50">
        <v>41755</v>
      </c>
      <c r="I1984" s="51" t="s">
        <v>536</v>
      </c>
      <c r="J1984" s="51" t="s">
        <v>560</v>
      </c>
      <c r="K1984" s="51">
        <f>VLOOKUP(J1984,'Validacion reclamo de equipaje'!L:M,2,0)</f>
        <v>126</v>
      </c>
      <c r="L1984" s="51" t="str">
        <f>VLOOKUP(I1984,'Validacion reclamo de equipaje'!H:I,2,0)</f>
        <v>Nacional</v>
      </c>
      <c r="M1984" s="51" t="s">
        <v>523</v>
      </c>
    </row>
    <row r="1985" spans="1:13" x14ac:dyDescent="0.25">
      <c r="A1985">
        <v>186</v>
      </c>
      <c r="B1985" s="47" t="str">
        <f>VLOOKUP(Tabla6[[#This Row],['# Vuelo]],'Validacion reclamo de equipaje'!P:Q,2,0)</f>
        <v>MEXICO AEREO</v>
      </c>
      <c r="C1985" s="52">
        <v>0.96805555555555556</v>
      </c>
      <c r="D1985" s="52">
        <v>0.97430555555555554</v>
      </c>
      <c r="E1985" s="53">
        <f>'Reclamo de equipaje rediseñado'!$D1985-'Reclamo de equipaje rediseñado'!$C1985</f>
        <v>6.2499999999999778E-3</v>
      </c>
      <c r="F1985" s="52">
        <v>0.98541666666666661</v>
      </c>
      <c r="G1985" s="53">
        <f t="shared" si="30"/>
        <v>1.1111111111111072E-2</v>
      </c>
      <c r="H1985" s="54">
        <v>41757</v>
      </c>
      <c r="I1985" s="55" t="s">
        <v>536</v>
      </c>
      <c r="J1985" s="55" t="s">
        <v>560</v>
      </c>
      <c r="K1985" s="55">
        <f>VLOOKUP(J1985,'Validacion reclamo de equipaje'!L:M,2,0)</f>
        <v>126</v>
      </c>
      <c r="L1985" s="55" t="str">
        <f>VLOOKUP(I1985,'Validacion reclamo de equipaje'!H:I,2,0)</f>
        <v>Nacional</v>
      </c>
      <c r="M1985" s="55" t="s">
        <v>523</v>
      </c>
    </row>
    <row r="1986" spans="1:13" x14ac:dyDescent="0.25">
      <c r="A1986">
        <v>186</v>
      </c>
      <c r="B1986" s="47" t="str">
        <f>VLOOKUP(Tabla6[[#This Row],['# Vuelo]],'Validacion reclamo de equipaje'!P:Q,2,0)</f>
        <v>MEXICO AEREO</v>
      </c>
      <c r="C1986" s="48">
        <v>0.96875</v>
      </c>
      <c r="D1986" s="48">
        <v>0.97569444444444453</v>
      </c>
      <c r="E1986" s="49">
        <f>'Reclamo de equipaje rediseñado'!$D1986-'Reclamo de equipaje rediseñado'!$C1986</f>
        <v>6.9444444444445308E-3</v>
      </c>
      <c r="F1986" s="48">
        <v>0.98055555555555562</v>
      </c>
      <c r="G1986" s="49">
        <f t="shared" si="30"/>
        <v>4.8611111111110938E-3</v>
      </c>
      <c r="H1986" s="50">
        <v>41759</v>
      </c>
      <c r="I1986" s="51" t="s">
        <v>536</v>
      </c>
      <c r="J1986" s="51" t="s">
        <v>560</v>
      </c>
      <c r="K1986" s="51">
        <f>VLOOKUP(J1986,'Validacion reclamo de equipaje'!L:M,2,0)</f>
        <v>126</v>
      </c>
      <c r="L1986" s="51" t="str">
        <f>VLOOKUP(I1986,'Validacion reclamo de equipaje'!H:I,2,0)</f>
        <v>Nacional</v>
      </c>
      <c r="M1986" s="51" t="s">
        <v>523</v>
      </c>
    </row>
    <row r="1987" spans="1:13" x14ac:dyDescent="0.25">
      <c r="A1987">
        <v>186</v>
      </c>
      <c r="B1987" s="47" t="str">
        <f>VLOOKUP(Tabla6[[#This Row],['# Vuelo]],'Validacion reclamo de equipaje'!P:Q,2,0)</f>
        <v>MEXICO AEREO</v>
      </c>
      <c r="C1987" s="52">
        <v>0.97291666666666676</v>
      </c>
      <c r="D1987" s="52">
        <v>0.98055555555555562</v>
      </c>
      <c r="E1987" s="53">
        <f>'Reclamo de equipaje rediseñado'!$D1987-'Reclamo de equipaje rediseñado'!$C1987</f>
        <v>7.6388888888888618E-3</v>
      </c>
      <c r="F1987" s="52">
        <v>0.98819444444444438</v>
      </c>
      <c r="G1987" s="53">
        <f t="shared" ref="G1987:G2050" si="31">F1987-D1987</f>
        <v>7.6388888888887507E-3</v>
      </c>
      <c r="H1987" s="54">
        <v>41759</v>
      </c>
      <c r="I1987" s="55" t="s">
        <v>536</v>
      </c>
      <c r="J1987" s="55" t="s">
        <v>560</v>
      </c>
      <c r="K1987" s="55">
        <f>VLOOKUP(J1987,'Validacion reclamo de equipaje'!L:M,2,0)</f>
        <v>126</v>
      </c>
      <c r="L1987" s="55" t="str">
        <f>VLOOKUP(I1987,'Validacion reclamo de equipaje'!H:I,2,0)</f>
        <v>Nacional</v>
      </c>
      <c r="M1987" s="55" t="s">
        <v>523</v>
      </c>
    </row>
    <row r="1988" spans="1:13" x14ac:dyDescent="0.25">
      <c r="A1988">
        <v>160</v>
      </c>
      <c r="B1988" s="47" t="str">
        <f>VLOOKUP(Tabla6[[#This Row],['# Vuelo]],'Validacion reclamo de equipaje'!P:Q,2,0)</f>
        <v>MEXICO AEREO</v>
      </c>
      <c r="C1988" s="48">
        <v>0.92708333333333337</v>
      </c>
      <c r="D1988" s="48">
        <v>0.93194444444444446</v>
      </c>
      <c r="E1988" s="49">
        <f>'Reclamo de equipaje rediseñado'!$D1988-'Reclamo de equipaje rediseñado'!$C1988</f>
        <v>4.8611111111110938E-3</v>
      </c>
      <c r="F1988" s="48">
        <v>0.94097222222222221</v>
      </c>
      <c r="G1988" s="49">
        <f t="shared" si="31"/>
        <v>9.0277777777777457E-3</v>
      </c>
      <c r="H1988" s="50">
        <v>41736</v>
      </c>
      <c r="I1988" s="51" t="s">
        <v>536</v>
      </c>
      <c r="J1988" s="51" t="s">
        <v>554</v>
      </c>
      <c r="K1988" s="51">
        <f>VLOOKUP(J1988,'Validacion reclamo de equipaje'!L:M,2,0)</f>
        <v>189</v>
      </c>
      <c r="L1988" s="51" t="str">
        <f>VLOOKUP(I1988,'Validacion reclamo de equipaje'!H:I,2,0)</f>
        <v>Nacional</v>
      </c>
      <c r="M1988" s="51" t="s">
        <v>523</v>
      </c>
    </row>
    <row r="1989" spans="1:13" x14ac:dyDescent="0.25">
      <c r="A1989">
        <v>160</v>
      </c>
      <c r="B1989" s="47" t="str">
        <f>VLOOKUP(Tabla6[[#This Row],['# Vuelo]],'Validacion reclamo de equipaje'!P:Q,2,0)</f>
        <v>MEXICO AEREO</v>
      </c>
      <c r="C1989" s="52">
        <v>0.92847222222222225</v>
      </c>
      <c r="D1989" s="52">
        <v>0.93055555555555547</v>
      </c>
      <c r="E1989" s="53">
        <f>'Reclamo de equipaje rediseñado'!$D1989-'Reclamo de equipaje rediseñado'!$C1989</f>
        <v>2.0833333333332149E-3</v>
      </c>
      <c r="F1989" s="52">
        <v>0.93680555555555556</v>
      </c>
      <c r="G1989" s="53">
        <f t="shared" si="31"/>
        <v>6.2500000000000888E-3</v>
      </c>
      <c r="H1989" s="54">
        <v>41736</v>
      </c>
      <c r="I1989" s="55" t="s">
        <v>536</v>
      </c>
      <c r="J1989" s="55" t="s">
        <v>554</v>
      </c>
      <c r="K1989" s="55">
        <f>VLOOKUP(J1989,'Validacion reclamo de equipaje'!L:M,2,0)</f>
        <v>189</v>
      </c>
      <c r="L1989" s="55" t="str">
        <f>VLOOKUP(I1989,'Validacion reclamo de equipaje'!H:I,2,0)</f>
        <v>Nacional</v>
      </c>
      <c r="M1989" s="55" t="s">
        <v>523</v>
      </c>
    </row>
    <row r="1990" spans="1:13" x14ac:dyDescent="0.25">
      <c r="A1990">
        <v>160</v>
      </c>
      <c r="B1990" s="47" t="str">
        <f>VLOOKUP(Tabla6[[#This Row],['# Vuelo]],'Validacion reclamo de equipaje'!P:Q,2,0)</f>
        <v>MEXICO AEREO</v>
      </c>
      <c r="C1990" s="48">
        <v>0.91388888888888886</v>
      </c>
      <c r="D1990" s="48">
        <v>0.91875000000000007</v>
      </c>
      <c r="E1990" s="49">
        <f>'Reclamo de equipaje rediseñado'!$D1990-'Reclamo de equipaje rediseñado'!$C1990</f>
        <v>4.8611111111112049E-3</v>
      </c>
      <c r="F1990" s="48">
        <v>0.92569444444444438</v>
      </c>
      <c r="G1990" s="49">
        <f t="shared" si="31"/>
        <v>6.9444444444443088E-3</v>
      </c>
      <c r="H1990" s="50">
        <v>41738</v>
      </c>
      <c r="I1990" s="51" t="s">
        <v>536</v>
      </c>
      <c r="J1990" s="51" t="s">
        <v>554</v>
      </c>
      <c r="K1990" s="51">
        <f>VLOOKUP(J1990,'Validacion reclamo de equipaje'!L:M,2,0)</f>
        <v>189</v>
      </c>
      <c r="L1990" s="51" t="str">
        <f>VLOOKUP(I1990,'Validacion reclamo de equipaje'!H:I,2,0)</f>
        <v>Nacional</v>
      </c>
      <c r="M1990" s="51" t="s">
        <v>523</v>
      </c>
    </row>
    <row r="1991" spans="1:13" x14ac:dyDescent="0.25">
      <c r="A1991">
        <v>160</v>
      </c>
      <c r="B1991" s="47" t="str">
        <f>VLOOKUP(Tabla6[[#This Row],['# Vuelo]],'Validacion reclamo de equipaje'!P:Q,2,0)</f>
        <v>MEXICO AEREO</v>
      </c>
      <c r="C1991" s="52">
        <v>0.93055555555555547</v>
      </c>
      <c r="D1991" s="52">
        <v>0.93472222222222223</v>
      </c>
      <c r="E1991" s="53">
        <f>'Reclamo de equipaje rediseñado'!$D1991-'Reclamo de equipaje rediseñado'!$C1991</f>
        <v>4.1666666666667629E-3</v>
      </c>
      <c r="F1991" s="52">
        <v>0.94027777777777777</v>
      </c>
      <c r="G1991" s="53">
        <f t="shared" si="31"/>
        <v>5.5555555555555358E-3</v>
      </c>
      <c r="H1991" s="54">
        <v>41739</v>
      </c>
      <c r="I1991" s="55" t="s">
        <v>536</v>
      </c>
      <c r="J1991" s="55" t="s">
        <v>554</v>
      </c>
      <c r="K1991" s="55">
        <f>VLOOKUP(J1991,'Validacion reclamo de equipaje'!L:M,2,0)</f>
        <v>189</v>
      </c>
      <c r="L1991" s="55" t="str">
        <f>VLOOKUP(I1991,'Validacion reclamo de equipaje'!H:I,2,0)</f>
        <v>Nacional</v>
      </c>
      <c r="M1991" s="55" t="s">
        <v>523</v>
      </c>
    </row>
    <row r="1992" spans="1:13" x14ac:dyDescent="0.25">
      <c r="A1992">
        <v>160</v>
      </c>
      <c r="B1992" s="47" t="str">
        <f>VLOOKUP(Tabla6[[#This Row],['# Vuelo]],'Validacion reclamo de equipaje'!P:Q,2,0)</f>
        <v>MEXICO AEREO</v>
      </c>
      <c r="C1992" s="48">
        <v>0.95277777777777783</v>
      </c>
      <c r="D1992" s="48">
        <v>0.96250000000000002</v>
      </c>
      <c r="E1992" s="49">
        <f>'Reclamo de equipaje rediseñado'!$D1992-'Reclamo de equipaje rediseñado'!$C1992</f>
        <v>9.7222222222221877E-3</v>
      </c>
      <c r="F1992" s="48">
        <v>0.96875</v>
      </c>
      <c r="G1992" s="49">
        <f t="shared" si="31"/>
        <v>6.2499999999999778E-3</v>
      </c>
      <c r="H1992" s="50">
        <v>41740</v>
      </c>
      <c r="I1992" s="51" t="s">
        <v>536</v>
      </c>
      <c r="J1992" s="51" t="s">
        <v>554</v>
      </c>
      <c r="K1992" s="51">
        <f>VLOOKUP(J1992,'Validacion reclamo de equipaje'!L:M,2,0)</f>
        <v>189</v>
      </c>
      <c r="L1992" s="51" t="str">
        <f>VLOOKUP(I1992,'Validacion reclamo de equipaje'!H:I,2,0)</f>
        <v>Nacional</v>
      </c>
      <c r="M1992" s="51" t="s">
        <v>523</v>
      </c>
    </row>
    <row r="1993" spans="1:13" x14ac:dyDescent="0.25">
      <c r="A1993">
        <v>160</v>
      </c>
      <c r="B1993" s="47" t="str">
        <f>VLOOKUP(Tabla6[[#This Row],['# Vuelo]],'Validacion reclamo de equipaje'!P:Q,2,0)</f>
        <v>MEXICO AEREO</v>
      </c>
      <c r="C1993" s="52">
        <v>0.92361111111111116</v>
      </c>
      <c r="D1993" s="52">
        <v>0.9291666666666667</v>
      </c>
      <c r="E1993" s="53">
        <f>'Reclamo de equipaje rediseñado'!$D1993-'Reclamo de equipaje rediseñado'!$C1993</f>
        <v>5.5555555555555358E-3</v>
      </c>
      <c r="F1993" s="52">
        <v>0.93472222222222223</v>
      </c>
      <c r="G1993" s="53">
        <f t="shared" si="31"/>
        <v>5.5555555555555358E-3</v>
      </c>
      <c r="H1993" s="54">
        <v>41743</v>
      </c>
      <c r="I1993" s="55" t="s">
        <v>536</v>
      </c>
      <c r="J1993" s="55" t="s">
        <v>554</v>
      </c>
      <c r="K1993" s="55">
        <f>VLOOKUP(J1993,'Validacion reclamo de equipaje'!L:M,2,0)</f>
        <v>189</v>
      </c>
      <c r="L1993" s="55" t="str">
        <f>VLOOKUP(I1993,'Validacion reclamo de equipaje'!H:I,2,0)</f>
        <v>Nacional</v>
      </c>
      <c r="M1993" s="55" t="s">
        <v>523</v>
      </c>
    </row>
    <row r="1994" spans="1:13" x14ac:dyDescent="0.25">
      <c r="A1994">
        <v>160</v>
      </c>
      <c r="B1994" s="47" t="str">
        <f>VLOOKUP(Tabla6[[#This Row],['# Vuelo]],'Validacion reclamo de equipaje'!P:Q,2,0)</f>
        <v>MEXICO AEREO</v>
      </c>
      <c r="C1994" s="48">
        <v>0.92986111111111114</v>
      </c>
      <c r="D1994" s="48">
        <v>0.94166666666666676</v>
      </c>
      <c r="E1994" s="49">
        <f>'Reclamo de equipaje rediseñado'!$D1994-'Reclamo de equipaje rediseñado'!$C1994</f>
        <v>1.1805555555555625E-2</v>
      </c>
      <c r="F1994" s="48">
        <v>0.98125000000000007</v>
      </c>
      <c r="G1994" s="49">
        <f t="shared" si="31"/>
        <v>3.9583333333333304E-2</v>
      </c>
      <c r="H1994" s="50">
        <v>41745</v>
      </c>
      <c r="I1994" s="51" t="s">
        <v>536</v>
      </c>
      <c r="J1994" s="51" t="s">
        <v>554</v>
      </c>
      <c r="K1994" s="51">
        <f>VLOOKUP(J1994,'Validacion reclamo de equipaje'!L:M,2,0)</f>
        <v>189</v>
      </c>
      <c r="L1994" s="51" t="str">
        <f>VLOOKUP(I1994,'Validacion reclamo de equipaje'!H:I,2,0)</f>
        <v>Nacional</v>
      </c>
      <c r="M1994" s="51" t="s">
        <v>523</v>
      </c>
    </row>
    <row r="1995" spans="1:13" x14ac:dyDescent="0.25">
      <c r="A1995">
        <v>160</v>
      </c>
      <c r="B1995" s="47" t="str">
        <f>VLOOKUP(Tabla6[[#This Row],['# Vuelo]],'Validacion reclamo de equipaje'!P:Q,2,0)</f>
        <v>MEXICO AEREO</v>
      </c>
      <c r="C1995" s="52">
        <v>0.92083333333333339</v>
      </c>
      <c r="D1995" s="52">
        <v>0.92499999999999993</v>
      </c>
      <c r="E1995" s="53">
        <f>'Reclamo de equipaje rediseñado'!$D1995-'Reclamo de equipaje rediseñado'!$C1995</f>
        <v>4.1666666666665408E-3</v>
      </c>
      <c r="F1995" s="52">
        <v>0.9291666666666667</v>
      </c>
      <c r="G1995" s="53">
        <f t="shared" si="31"/>
        <v>4.1666666666667629E-3</v>
      </c>
      <c r="H1995" s="54">
        <v>41744</v>
      </c>
      <c r="I1995" s="55" t="s">
        <v>536</v>
      </c>
      <c r="J1995" s="55" t="s">
        <v>554</v>
      </c>
      <c r="K1995" s="55">
        <f>VLOOKUP(J1995,'Validacion reclamo de equipaje'!L:M,2,0)</f>
        <v>189</v>
      </c>
      <c r="L1995" s="55" t="str">
        <f>VLOOKUP(I1995,'Validacion reclamo de equipaje'!H:I,2,0)</f>
        <v>Nacional</v>
      </c>
      <c r="M1995" s="55" t="s">
        <v>523</v>
      </c>
    </row>
    <row r="1996" spans="1:13" x14ac:dyDescent="0.25">
      <c r="A1996">
        <v>160</v>
      </c>
      <c r="B1996" s="47" t="str">
        <f>VLOOKUP(Tabla6[[#This Row],['# Vuelo]],'Validacion reclamo de equipaje'!P:Q,2,0)</f>
        <v>MEXICO AEREO</v>
      </c>
      <c r="C1996" s="48">
        <v>0.92361111111111116</v>
      </c>
      <c r="D1996" s="48">
        <v>0.93194444444444446</v>
      </c>
      <c r="E1996" s="49">
        <f>'Reclamo de equipaje rediseñado'!$D1996-'Reclamo de equipaje rediseñado'!$C1996</f>
        <v>8.3333333333333037E-3</v>
      </c>
      <c r="F1996" s="48">
        <v>0.93611111111111101</v>
      </c>
      <c r="G1996" s="49">
        <f t="shared" si="31"/>
        <v>4.1666666666665408E-3</v>
      </c>
      <c r="H1996" s="50">
        <v>41746</v>
      </c>
      <c r="I1996" s="51" t="s">
        <v>536</v>
      </c>
      <c r="J1996" s="51" t="s">
        <v>554</v>
      </c>
      <c r="K1996" s="51">
        <f>VLOOKUP(J1996,'Validacion reclamo de equipaje'!L:M,2,0)</f>
        <v>189</v>
      </c>
      <c r="L1996" s="51" t="str">
        <f>VLOOKUP(I1996,'Validacion reclamo de equipaje'!H:I,2,0)</f>
        <v>Nacional</v>
      </c>
      <c r="M1996" s="51" t="s">
        <v>523</v>
      </c>
    </row>
    <row r="1997" spans="1:13" x14ac:dyDescent="0.25">
      <c r="A1997">
        <v>160</v>
      </c>
      <c r="B1997" s="47" t="str">
        <f>VLOOKUP(Tabla6[[#This Row],['# Vuelo]],'Validacion reclamo de equipaje'!P:Q,2,0)</f>
        <v>MEXICO AEREO</v>
      </c>
      <c r="C1997" s="52">
        <v>0.42708333333333331</v>
      </c>
      <c r="D1997" s="52">
        <v>0.4284722222222222</v>
      </c>
      <c r="E1997" s="53">
        <f>'Reclamo de equipaje rediseñado'!$D1997-'Reclamo de equipaje rediseñado'!$C1997</f>
        <v>1.388888888888884E-3</v>
      </c>
      <c r="F1997" s="52">
        <v>0.42986111111111108</v>
      </c>
      <c r="G1997" s="53">
        <f t="shared" si="31"/>
        <v>1.388888888888884E-3</v>
      </c>
      <c r="H1997" s="54">
        <v>41747</v>
      </c>
      <c r="I1997" s="55" t="s">
        <v>536</v>
      </c>
      <c r="J1997" s="55" t="s">
        <v>554</v>
      </c>
      <c r="K1997" s="55">
        <f>VLOOKUP(J1997,'Validacion reclamo de equipaje'!L:M,2,0)</f>
        <v>189</v>
      </c>
      <c r="L1997" s="55" t="str">
        <f>VLOOKUP(I1997,'Validacion reclamo de equipaje'!H:I,2,0)</f>
        <v>Nacional</v>
      </c>
      <c r="M1997" s="55" t="s">
        <v>523</v>
      </c>
    </row>
    <row r="1998" spans="1:13" x14ac:dyDescent="0.25">
      <c r="A1998">
        <v>160</v>
      </c>
      <c r="B1998" s="47" t="str">
        <f>VLOOKUP(Tabla6[[#This Row],['# Vuelo]],'Validacion reclamo de equipaje'!P:Q,2,0)</f>
        <v>MEXICO AEREO</v>
      </c>
      <c r="C1998" s="48">
        <v>0.93819444444444444</v>
      </c>
      <c r="D1998" s="48">
        <v>0.94513888888888886</v>
      </c>
      <c r="E1998" s="49">
        <f>'Reclamo de equipaje rediseñado'!$D1998-'Reclamo de equipaje rediseñado'!$C1998</f>
        <v>6.9444444444444198E-3</v>
      </c>
      <c r="F1998" s="48">
        <v>0.9506944444444444</v>
      </c>
      <c r="G1998" s="49">
        <f t="shared" si="31"/>
        <v>5.5555555555555358E-3</v>
      </c>
      <c r="H1998" s="50">
        <v>41749</v>
      </c>
      <c r="I1998" s="51" t="s">
        <v>536</v>
      </c>
      <c r="J1998" s="51" t="s">
        <v>554</v>
      </c>
      <c r="K1998" s="51">
        <f>VLOOKUP(J1998,'Validacion reclamo de equipaje'!L:M,2,0)</f>
        <v>189</v>
      </c>
      <c r="L1998" s="51" t="str">
        <f>VLOOKUP(I1998,'Validacion reclamo de equipaje'!H:I,2,0)</f>
        <v>Nacional</v>
      </c>
      <c r="M1998" s="51" t="s">
        <v>523</v>
      </c>
    </row>
    <row r="1999" spans="1:13" x14ac:dyDescent="0.25">
      <c r="A1999">
        <v>160</v>
      </c>
      <c r="B1999" s="47" t="str">
        <f>VLOOKUP(Tabla6[[#This Row],['# Vuelo]],'Validacion reclamo de equipaje'!P:Q,2,0)</f>
        <v>MEXICO AEREO</v>
      </c>
      <c r="C1999" s="52">
        <v>0.97638888888888886</v>
      </c>
      <c r="D1999" s="52">
        <v>0.98125000000000007</v>
      </c>
      <c r="E1999" s="53">
        <f>'Reclamo de equipaje rediseñado'!$D1999-'Reclamo de equipaje rediseñado'!$C1999</f>
        <v>4.8611111111112049E-3</v>
      </c>
      <c r="F1999" s="52">
        <v>0.98472222222222217</v>
      </c>
      <c r="G1999" s="53">
        <f t="shared" si="31"/>
        <v>3.4722222222220989E-3</v>
      </c>
      <c r="H1999" s="54">
        <v>41751</v>
      </c>
      <c r="I1999" s="55" t="s">
        <v>536</v>
      </c>
      <c r="J1999" s="55" t="s">
        <v>554</v>
      </c>
      <c r="K1999" s="55">
        <f>VLOOKUP(J1999,'Validacion reclamo de equipaje'!L:M,2,0)</f>
        <v>189</v>
      </c>
      <c r="L1999" s="55" t="str">
        <f>VLOOKUP(I1999,'Validacion reclamo de equipaje'!H:I,2,0)</f>
        <v>Nacional</v>
      </c>
      <c r="M1999" s="55" t="s">
        <v>523</v>
      </c>
    </row>
    <row r="2000" spans="1:13" x14ac:dyDescent="0.25">
      <c r="A2000">
        <v>160</v>
      </c>
      <c r="B2000" s="47" t="str">
        <f>VLOOKUP(Tabla6[[#This Row],['# Vuelo]],'Validacion reclamo de equipaje'!P:Q,2,0)</f>
        <v>MEXICO AEREO</v>
      </c>
      <c r="C2000" s="48">
        <v>0.94236111111111109</v>
      </c>
      <c r="D2000" s="48">
        <v>0.95208333333333339</v>
      </c>
      <c r="E2000" s="49">
        <f>'Reclamo de equipaje rediseñado'!$D2000-'Reclamo de equipaje rediseñado'!$C2000</f>
        <v>9.7222222222222987E-3</v>
      </c>
      <c r="F2000" s="48">
        <v>0.95486111111111116</v>
      </c>
      <c r="G2000" s="49">
        <f t="shared" si="31"/>
        <v>2.7777777777777679E-3</v>
      </c>
      <c r="H2000" s="50">
        <v>41753</v>
      </c>
      <c r="I2000" s="51" t="s">
        <v>536</v>
      </c>
      <c r="J2000" s="51" t="s">
        <v>554</v>
      </c>
      <c r="K2000" s="51">
        <f>VLOOKUP(J2000,'Validacion reclamo de equipaje'!L:M,2,0)</f>
        <v>189</v>
      </c>
      <c r="L2000" s="51" t="str">
        <f>VLOOKUP(I2000,'Validacion reclamo de equipaje'!H:I,2,0)</f>
        <v>Nacional</v>
      </c>
      <c r="M2000" s="51" t="s">
        <v>523</v>
      </c>
    </row>
    <row r="2001" spans="1:13" x14ac:dyDescent="0.25">
      <c r="A2001">
        <v>160</v>
      </c>
      <c r="B2001" s="47" t="str">
        <f>VLOOKUP(Tabla6[[#This Row],['# Vuelo]],'Validacion reclamo de equipaje'!P:Q,2,0)</f>
        <v>MEXICO AEREO</v>
      </c>
      <c r="C2001" s="52">
        <v>0.9277777777777777</v>
      </c>
      <c r="D2001" s="52">
        <v>0.93472222222222223</v>
      </c>
      <c r="E2001" s="53">
        <f>'Reclamo de equipaje rediseñado'!$D2001-'Reclamo de equipaje rediseñado'!$C2001</f>
        <v>6.9444444444445308E-3</v>
      </c>
      <c r="F2001" s="52">
        <v>0.94166666666666676</v>
      </c>
      <c r="G2001" s="53">
        <f t="shared" si="31"/>
        <v>6.9444444444445308E-3</v>
      </c>
      <c r="H2001" s="54">
        <v>41757</v>
      </c>
      <c r="I2001" s="55" t="s">
        <v>536</v>
      </c>
      <c r="J2001" s="55" t="s">
        <v>554</v>
      </c>
      <c r="K2001" s="55">
        <f>VLOOKUP(J2001,'Validacion reclamo de equipaje'!L:M,2,0)</f>
        <v>189</v>
      </c>
      <c r="L2001" s="55" t="str">
        <f>VLOOKUP(I2001,'Validacion reclamo de equipaje'!H:I,2,0)</f>
        <v>Nacional</v>
      </c>
      <c r="M2001" s="55" t="s">
        <v>523</v>
      </c>
    </row>
    <row r="2002" spans="1:13" x14ac:dyDescent="0.25">
      <c r="A2002">
        <v>160</v>
      </c>
      <c r="B2002" s="47" t="str">
        <f>VLOOKUP(Tabla6[[#This Row],['# Vuelo]],'Validacion reclamo de equipaje'!P:Q,2,0)</f>
        <v>MEXICO AEREO</v>
      </c>
      <c r="C2002" s="48">
        <v>0.92638888888888893</v>
      </c>
      <c r="D2002" s="48">
        <v>0.93125000000000002</v>
      </c>
      <c r="E2002" s="49">
        <f>'Reclamo de equipaje rediseñado'!$D2002-'Reclamo de equipaje rediseñado'!$C2002</f>
        <v>4.8611111111110938E-3</v>
      </c>
      <c r="F2002" s="48">
        <v>0.9375</v>
      </c>
      <c r="G2002" s="49">
        <f t="shared" si="31"/>
        <v>6.2499999999999778E-3</v>
      </c>
      <c r="H2002" s="50">
        <v>41759</v>
      </c>
      <c r="I2002" s="51" t="s">
        <v>536</v>
      </c>
      <c r="J2002" s="51" t="s">
        <v>554</v>
      </c>
      <c r="K2002" s="51">
        <f>VLOOKUP(J2002,'Validacion reclamo de equipaje'!L:M,2,0)</f>
        <v>189</v>
      </c>
      <c r="L2002" s="51" t="str">
        <f>VLOOKUP(I2002,'Validacion reclamo de equipaje'!H:I,2,0)</f>
        <v>Nacional</v>
      </c>
      <c r="M2002" s="51" t="s">
        <v>523</v>
      </c>
    </row>
    <row r="2003" spans="1:13" x14ac:dyDescent="0.25">
      <c r="A2003">
        <v>160</v>
      </c>
      <c r="B2003" s="47" t="str">
        <f>VLOOKUP(Tabla6[[#This Row],['# Vuelo]],'Validacion reclamo de equipaje'!P:Q,2,0)</f>
        <v>MEXICO AEREO</v>
      </c>
      <c r="C2003" s="52">
        <v>0.92986111111111114</v>
      </c>
      <c r="D2003" s="52">
        <v>0.9375</v>
      </c>
      <c r="E2003" s="53">
        <f>'Reclamo de equipaje rediseñado'!$D2003-'Reclamo de equipaje rediseñado'!$C2003</f>
        <v>7.6388888888888618E-3</v>
      </c>
      <c r="F2003" s="52">
        <v>0.94166666666666676</v>
      </c>
      <c r="G2003" s="53">
        <f t="shared" si="31"/>
        <v>4.1666666666667629E-3</v>
      </c>
      <c r="H2003" s="54">
        <v>41759</v>
      </c>
      <c r="I2003" s="55" t="s">
        <v>536</v>
      </c>
      <c r="J2003" s="55" t="s">
        <v>554</v>
      </c>
      <c r="K2003" s="55">
        <f>VLOOKUP(J2003,'Validacion reclamo de equipaje'!L:M,2,0)</f>
        <v>189</v>
      </c>
      <c r="L2003" s="55" t="str">
        <f>VLOOKUP(I2003,'Validacion reclamo de equipaje'!H:I,2,0)</f>
        <v>Nacional</v>
      </c>
      <c r="M2003" s="55" t="s">
        <v>523</v>
      </c>
    </row>
    <row r="2004" spans="1:13" x14ac:dyDescent="0.25">
      <c r="A2004">
        <v>156</v>
      </c>
      <c r="B2004" s="47" t="str">
        <f>VLOOKUP(Tabla6[[#This Row],['# Vuelo]],'Validacion reclamo de equipaje'!P:Q,2,0)</f>
        <v>MEXICO AEREO</v>
      </c>
      <c r="C2004" s="48">
        <v>0.57291666666666663</v>
      </c>
      <c r="D2004" s="48">
        <v>0.57916666666666672</v>
      </c>
      <c r="E2004" s="49">
        <f>'Reclamo de equipaje rediseñado'!$D2004-'Reclamo de equipaje rediseñado'!$C2004</f>
        <v>6.2500000000000888E-3</v>
      </c>
      <c r="F2004" s="48">
        <v>0.58333333333333337</v>
      </c>
      <c r="G2004" s="49">
        <f t="shared" si="31"/>
        <v>4.1666666666666519E-3</v>
      </c>
      <c r="H2004" s="50">
        <v>41730</v>
      </c>
      <c r="I2004" s="51" t="s">
        <v>536</v>
      </c>
      <c r="J2004" s="51" t="s">
        <v>560</v>
      </c>
      <c r="K2004" s="51">
        <f>VLOOKUP(J2004,'Validacion reclamo de equipaje'!L:M,2,0)</f>
        <v>126</v>
      </c>
      <c r="L2004" s="51" t="str">
        <f>VLOOKUP(I2004,'Validacion reclamo de equipaje'!H:I,2,0)</f>
        <v>Nacional</v>
      </c>
      <c r="M2004" s="51" t="s">
        <v>523</v>
      </c>
    </row>
    <row r="2005" spans="1:13" x14ac:dyDescent="0.25">
      <c r="A2005">
        <v>156</v>
      </c>
      <c r="B2005" s="47" t="str">
        <f>VLOOKUP(Tabla6[[#This Row],['# Vuelo]],'Validacion reclamo de equipaje'!P:Q,2,0)</f>
        <v>MEXICO AEREO</v>
      </c>
      <c r="C2005" s="52">
        <v>0.55763888888888891</v>
      </c>
      <c r="D2005" s="52">
        <v>0.56458333333333333</v>
      </c>
      <c r="E2005" s="53">
        <f>'Reclamo de equipaje rediseñado'!$D2005-'Reclamo de equipaje rediseñado'!$C2005</f>
        <v>6.9444444444444198E-3</v>
      </c>
      <c r="F2005" s="52">
        <v>0.57638888888888895</v>
      </c>
      <c r="G2005" s="53">
        <f t="shared" si="31"/>
        <v>1.1805555555555625E-2</v>
      </c>
      <c r="H2005" s="54">
        <v>41731</v>
      </c>
      <c r="I2005" s="55" t="s">
        <v>536</v>
      </c>
      <c r="J2005" s="55" t="s">
        <v>560</v>
      </c>
      <c r="K2005" s="55">
        <f>VLOOKUP(J2005,'Validacion reclamo de equipaje'!L:M,2,0)</f>
        <v>126</v>
      </c>
      <c r="L2005" s="55" t="str">
        <f>VLOOKUP(I2005,'Validacion reclamo de equipaje'!H:I,2,0)</f>
        <v>Nacional</v>
      </c>
      <c r="M2005" s="55" t="s">
        <v>523</v>
      </c>
    </row>
    <row r="2006" spans="1:13" x14ac:dyDescent="0.25">
      <c r="A2006">
        <v>156</v>
      </c>
      <c r="B2006" s="47" t="str">
        <f>VLOOKUP(Tabla6[[#This Row],['# Vuelo]],'Validacion reclamo de equipaje'!P:Q,2,0)</f>
        <v>MEXICO AEREO</v>
      </c>
      <c r="C2006" s="48">
        <v>7.0833333333333331E-2</v>
      </c>
      <c r="D2006" s="48">
        <v>7.6388888888888895E-2</v>
      </c>
      <c r="E2006" s="49">
        <f>'Reclamo de equipaje rediseñado'!$D2006-'Reclamo de equipaje rediseñado'!$C2006</f>
        <v>5.5555555555555636E-3</v>
      </c>
      <c r="F2006" s="48">
        <v>8.4027777777777771E-2</v>
      </c>
      <c r="G2006" s="49">
        <f t="shared" si="31"/>
        <v>7.6388888888888756E-3</v>
      </c>
      <c r="H2006" s="50">
        <v>41732</v>
      </c>
      <c r="I2006" s="51" t="s">
        <v>536</v>
      </c>
      <c r="J2006" s="51" t="s">
        <v>560</v>
      </c>
      <c r="K2006" s="51">
        <f>VLOOKUP(J2006,'Validacion reclamo de equipaje'!L:M,2,0)</f>
        <v>126</v>
      </c>
      <c r="L2006" s="51" t="str">
        <f>VLOOKUP(I2006,'Validacion reclamo de equipaje'!H:I,2,0)</f>
        <v>Nacional</v>
      </c>
      <c r="M2006" s="51" t="s">
        <v>523</v>
      </c>
    </row>
    <row r="2007" spans="1:13" x14ac:dyDescent="0.25">
      <c r="A2007">
        <v>156</v>
      </c>
      <c r="B2007" s="47" t="str">
        <f>VLOOKUP(Tabla6[[#This Row],['# Vuelo]],'Validacion reclamo de equipaje'!P:Q,2,0)</f>
        <v>MEXICO AEREO</v>
      </c>
      <c r="C2007" s="52">
        <v>0.56180555555555556</v>
      </c>
      <c r="D2007" s="52">
        <v>0.56805555555555554</v>
      </c>
      <c r="E2007" s="53">
        <f>'Reclamo de equipaje rediseñado'!$D2007-'Reclamo de equipaje rediseñado'!$C2007</f>
        <v>6.2499999999999778E-3</v>
      </c>
      <c r="F2007" s="52">
        <v>0.57638888888888895</v>
      </c>
      <c r="G2007" s="53">
        <f t="shared" si="31"/>
        <v>8.3333333333334147E-3</v>
      </c>
      <c r="H2007" s="54">
        <v>41733</v>
      </c>
      <c r="I2007" s="55" t="s">
        <v>536</v>
      </c>
      <c r="J2007" s="55" t="s">
        <v>560</v>
      </c>
      <c r="K2007" s="55">
        <f>VLOOKUP(J2007,'Validacion reclamo de equipaje'!L:M,2,0)</f>
        <v>126</v>
      </c>
      <c r="L2007" s="55" t="str">
        <f>VLOOKUP(I2007,'Validacion reclamo de equipaje'!H:I,2,0)</f>
        <v>Nacional</v>
      </c>
      <c r="M2007" s="55" t="s">
        <v>523</v>
      </c>
    </row>
    <row r="2008" spans="1:13" x14ac:dyDescent="0.25">
      <c r="A2008">
        <v>156</v>
      </c>
      <c r="B2008" s="47" t="str">
        <f>VLOOKUP(Tabla6[[#This Row],['# Vuelo]],'Validacion reclamo de equipaje'!P:Q,2,0)</f>
        <v>MEXICO AEREO</v>
      </c>
      <c r="C2008" s="48">
        <v>0.5444444444444444</v>
      </c>
      <c r="D2008" s="48">
        <v>0.55972222222222223</v>
      </c>
      <c r="E2008" s="49">
        <f>'Reclamo de equipaje rediseñado'!$D2008-'Reclamo de equipaje rediseñado'!$C2008</f>
        <v>1.5277777777777835E-2</v>
      </c>
      <c r="F2008" s="48">
        <v>0.56944444444444442</v>
      </c>
      <c r="G2008" s="49">
        <f t="shared" si="31"/>
        <v>9.7222222222221877E-3</v>
      </c>
      <c r="H2008" s="50">
        <v>41737</v>
      </c>
      <c r="I2008" s="51" t="s">
        <v>536</v>
      </c>
      <c r="J2008" s="51" t="s">
        <v>560</v>
      </c>
      <c r="K2008" s="51">
        <f>VLOOKUP(J2008,'Validacion reclamo de equipaje'!L:M,2,0)</f>
        <v>126</v>
      </c>
      <c r="L2008" s="51" t="str">
        <f>VLOOKUP(I2008,'Validacion reclamo de equipaje'!H:I,2,0)</f>
        <v>Nacional</v>
      </c>
      <c r="M2008" s="51" t="s">
        <v>523</v>
      </c>
    </row>
    <row r="2009" spans="1:13" x14ac:dyDescent="0.25">
      <c r="A2009">
        <v>156</v>
      </c>
      <c r="B2009" s="47" t="str">
        <f>VLOOKUP(Tabla6[[#This Row],['# Vuelo]],'Validacion reclamo de equipaje'!P:Q,2,0)</f>
        <v>MEXICO AEREO</v>
      </c>
      <c r="C2009" s="52">
        <v>0.58333333333333337</v>
      </c>
      <c r="D2009" s="52">
        <v>0.59375</v>
      </c>
      <c r="E2009" s="53">
        <f>'Reclamo de equipaje rediseñado'!$D2009-'Reclamo de equipaje rediseñado'!$C2009</f>
        <v>1.041666666666663E-2</v>
      </c>
      <c r="F2009" s="52">
        <v>0.59722222222222221</v>
      </c>
      <c r="G2009" s="53">
        <f t="shared" si="31"/>
        <v>3.4722222222222099E-3</v>
      </c>
      <c r="H2009" s="54">
        <v>41738</v>
      </c>
      <c r="I2009" s="55" t="s">
        <v>536</v>
      </c>
      <c r="J2009" s="55" t="s">
        <v>560</v>
      </c>
      <c r="K2009" s="55">
        <f>VLOOKUP(J2009,'Validacion reclamo de equipaje'!L:M,2,0)</f>
        <v>126</v>
      </c>
      <c r="L2009" s="55" t="str">
        <f>VLOOKUP(I2009,'Validacion reclamo de equipaje'!H:I,2,0)</f>
        <v>Nacional</v>
      </c>
      <c r="M2009" s="55" t="s">
        <v>523</v>
      </c>
    </row>
    <row r="2010" spans="1:13" x14ac:dyDescent="0.25">
      <c r="A2010">
        <v>156</v>
      </c>
      <c r="B2010" s="47" t="str">
        <f>VLOOKUP(Tabla6[[#This Row],['# Vuelo]],'Validacion reclamo de equipaje'!P:Q,2,0)</f>
        <v>MEXICO AEREO</v>
      </c>
      <c r="C2010" s="48">
        <v>0.54027777777777775</v>
      </c>
      <c r="D2010" s="48">
        <v>0.54375000000000007</v>
      </c>
      <c r="E2010" s="49">
        <f>'Reclamo de equipaje rediseñado'!$D2010-'Reclamo de equipaje rediseñado'!$C2010</f>
        <v>3.4722222222223209E-3</v>
      </c>
      <c r="F2010" s="48">
        <v>0.55069444444444449</v>
      </c>
      <c r="G2010" s="49">
        <f t="shared" si="31"/>
        <v>6.9444444444444198E-3</v>
      </c>
      <c r="H2010" s="50">
        <v>41739</v>
      </c>
      <c r="I2010" s="51" t="s">
        <v>536</v>
      </c>
      <c r="J2010" s="51" t="s">
        <v>560</v>
      </c>
      <c r="K2010" s="51">
        <f>VLOOKUP(J2010,'Validacion reclamo de equipaje'!L:M,2,0)</f>
        <v>126</v>
      </c>
      <c r="L2010" s="51" t="str">
        <f>VLOOKUP(I2010,'Validacion reclamo de equipaje'!H:I,2,0)</f>
        <v>Nacional</v>
      </c>
      <c r="M2010" s="51" t="s">
        <v>523</v>
      </c>
    </row>
    <row r="2011" spans="1:13" x14ac:dyDescent="0.25">
      <c r="A2011">
        <v>156</v>
      </c>
      <c r="B2011" s="47" t="str">
        <f>VLOOKUP(Tabla6[[#This Row],['# Vuelo]],'Validacion reclamo de equipaje'!P:Q,2,0)</f>
        <v>MEXICO AEREO</v>
      </c>
      <c r="C2011" s="52">
        <v>0.57291666666666663</v>
      </c>
      <c r="D2011" s="52">
        <v>0.57916666666666672</v>
      </c>
      <c r="E2011" s="53">
        <f>'Reclamo de equipaje rediseñado'!$D2011-'Reclamo de equipaje rediseñado'!$C2011</f>
        <v>6.2500000000000888E-3</v>
      </c>
      <c r="F2011" s="52">
        <v>0.58333333333333337</v>
      </c>
      <c r="G2011" s="53">
        <f t="shared" si="31"/>
        <v>4.1666666666666519E-3</v>
      </c>
      <c r="H2011" s="54">
        <v>41742</v>
      </c>
      <c r="I2011" s="55" t="s">
        <v>536</v>
      </c>
      <c r="J2011" s="55" t="s">
        <v>560</v>
      </c>
      <c r="K2011" s="55">
        <f>VLOOKUP(J2011,'Validacion reclamo de equipaje'!L:M,2,0)</f>
        <v>126</v>
      </c>
      <c r="L2011" s="55" t="str">
        <f>VLOOKUP(I2011,'Validacion reclamo de equipaje'!H:I,2,0)</f>
        <v>Nacional</v>
      </c>
      <c r="M2011" s="55" t="s">
        <v>523</v>
      </c>
    </row>
    <row r="2012" spans="1:13" x14ac:dyDescent="0.25">
      <c r="A2012">
        <v>156</v>
      </c>
      <c r="B2012" s="47" t="str">
        <f>VLOOKUP(Tabla6[[#This Row],['# Vuelo]],'Validacion reclamo de equipaje'!P:Q,2,0)</f>
        <v>MEXICO AEREO</v>
      </c>
      <c r="C2012" s="48">
        <v>0.56805555555555554</v>
      </c>
      <c r="D2012" s="48">
        <v>0.57500000000000007</v>
      </c>
      <c r="E2012" s="49">
        <f>'Reclamo de equipaje rediseñado'!$D2012-'Reclamo de equipaje rediseñado'!$C2012</f>
        <v>6.9444444444445308E-3</v>
      </c>
      <c r="F2012" s="48">
        <v>0.57916666666666672</v>
      </c>
      <c r="G2012" s="49">
        <f t="shared" si="31"/>
        <v>4.1666666666666519E-3</v>
      </c>
      <c r="H2012" s="50">
        <v>41743</v>
      </c>
      <c r="I2012" s="51" t="s">
        <v>536</v>
      </c>
      <c r="J2012" s="51" t="s">
        <v>560</v>
      </c>
      <c r="K2012" s="51">
        <f>VLOOKUP(J2012,'Validacion reclamo de equipaje'!L:M,2,0)</f>
        <v>126</v>
      </c>
      <c r="L2012" s="51" t="str">
        <f>VLOOKUP(I2012,'Validacion reclamo de equipaje'!H:I,2,0)</f>
        <v>Nacional</v>
      </c>
      <c r="M2012" s="51" t="s">
        <v>523</v>
      </c>
    </row>
    <row r="2013" spans="1:13" x14ac:dyDescent="0.25">
      <c r="A2013">
        <v>156</v>
      </c>
      <c r="B2013" s="47" t="str">
        <f>VLOOKUP(Tabla6[[#This Row],['# Vuelo]],'Validacion reclamo de equipaje'!P:Q,2,0)</f>
        <v>MEXICO AEREO</v>
      </c>
      <c r="C2013" s="52">
        <v>0.54999999999999993</v>
      </c>
      <c r="D2013" s="52">
        <v>0.55555555555555558</v>
      </c>
      <c r="E2013" s="53">
        <f>'Reclamo de equipaje rediseñado'!$D2013-'Reclamo de equipaje rediseñado'!$C2013</f>
        <v>5.5555555555556468E-3</v>
      </c>
      <c r="F2013" s="52">
        <v>0.56111111111111112</v>
      </c>
      <c r="G2013" s="53">
        <f t="shared" si="31"/>
        <v>5.5555555555555358E-3</v>
      </c>
      <c r="H2013" s="54">
        <v>41744</v>
      </c>
      <c r="I2013" s="55" t="s">
        <v>536</v>
      </c>
      <c r="J2013" s="55" t="s">
        <v>560</v>
      </c>
      <c r="K2013" s="55">
        <f>VLOOKUP(J2013,'Validacion reclamo de equipaje'!L:M,2,0)</f>
        <v>126</v>
      </c>
      <c r="L2013" s="55" t="str">
        <f>VLOOKUP(I2013,'Validacion reclamo de equipaje'!H:I,2,0)</f>
        <v>Nacional</v>
      </c>
      <c r="M2013" s="55" t="s">
        <v>523</v>
      </c>
    </row>
    <row r="2014" spans="1:13" x14ac:dyDescent="0.25">
      <c r="A2014">
        <v>156</v>
      </c>
      <c r="B2014" s="47" t="str">
        <f>VLOOKUP(Tabla6[[#This Row],['# Vuelo]],'Validacion reclamo de equipaje'!P:Q,2,0)</f>
        <v>MEXICO AEREO</v>
      </c>
      <c r="C2014" s="48">
        <v>0.54861111111111105</v>
      </c>
      <c r="D2014" s="48">
        <v>0.56111111111111112</v>
      </c>
      <c r="E2014" s="49">
        <f>'Reclamo de equipaje rediseñado'!$D2014-'Reclamo de equipaje rediseñado'!$C2014</f>
        <v>1.2500000000000067E-2</v>
      </c>
      <c r="F2014" s="48">
        <v>0.56180555555555556</v>
      </c>
      <c r="G2014" s="49">
        <f t="shared" si="31"/>
        <v>6.9444444444444198E-4</v>
      </c>
      <c r="H2014" s="50">
        <v>41747</v>
      </c>
      <c r="I2014" s="51" t="s">
        <v>536</v>
      </c>
      <c r="J2014" s="51" t="s">
        <v>560</v>
      </c>
      <c r="K2014" s="51">
        <f>VLOOKUP(J2014,'Validacion reclamo de equipaje'!L:M,2,0)</f>
        <v>126</v>
      </c>
      <c r="L2014" s="51" t="str">
        <f>VLOOKUP(I2014,'Validacion reclamo de equipaje'!H:I,2,0)</f>
        <v>Nacional</v>
      </c>
      <c r="M2014" s="51" t="s">
        <v>523</v>
      </c>
    </row>
    <row r="2015" spans="1:13" x14ac:dyDescent="0.25">
      <c r="A2015">
        <v>156</v>
      </c>
      <c r="B2015" s="47" t="str">
        <f>VLOOKUP(Tabla6[[#This Row],['# Vuelo]],'Validacion reclamo de equipaje'!P:Q,2,0)</f>
        <v>MEXICO AEREO</v>
      </c>
      <c r="C2015" s="52">
        <v>0.58333333333333337</v>
      </c>
      <c r="D2015" s="52">
        <v>0.59375</v>
      </c>
      <c r="E2015" s="53">
        <f>'Reclamo de equipaje rediseñado'!$D2015-'Reclamo de equipaje rediseñado'!$C2015</f>
        <v>1.041666666666663E-2</v>
      </c>
      <c r="F2015" s="52">
        <v>0.60069444444444442</v>
      </c>
      <c r="G2015" s="53">
        <f t="shared" si="31"/>
        <v>6.9444444444444198E-3</v>
      </c>
      <c r="H2015" s="54">
        <v>41750</v>
      </c>
      <c r="I2015" s="55" t="s">
        <v>536</v>
      </c>
      <c r="J2015" s="55" t="s">
        <v>560</v>
      </c>
      <c r="K2015" s="55">
        <f>VLOOKUP(J2015,'Validacion reclamo de equipaje'!L:M,2,0)</f>
        <v>126</v>
      </c>
      <c r="L2015" s="55" t="str">
        <f>VLOOKUP(I2015,'Validacion reclamo de equipaje'!H:I,2,0)</f>
        <v>Nacional</v>
      </c>
      <c r="M2015" s="55" t="s">
        <v>523</v>
      </c>
    </row>
    <row r="2016" spans="1:13" x14ac:dyDescent="0.25">
      <c r="A2016">
        <v>156</v>
      </c>
      <c r="B2016" s="47" t="str">
        <f>VLOOKUP(Tabla6[[#This Row],['# Vuelo]],'Validacion reclamo de equipaje'!P:Q,2,0)</f>
        <v>MEXICO AEREO</v>
      </c>
      <c r="C2016" s="48">
        <v>0.57847222222222217</v>
      </c>
      <c r="D2016" s="48">
        <v>0.57986111111111105</v>
      </c>
      <c r="E2016" s="49">
        <f>'Reclamo de equipaje rediseñado'!$D2016-'Reclamo de equipaje rediseñado'!$C2016</f>
        <v>1.388888888888884E-3</v>
      </c>
      <c r="F2016" s="48">
        <v>0.58680555555555558</v>
      </c>
      <c r="G2016" s="49">
        <f t="shared" si="31"/>
        <v>6.9444444444445308E-3</v>
      </c>
      <c r="H2016" s="50">
        <v>41753</v>
      </c>
      <c r="I2016" s="51" t="s">
        <v>536</v>
      </c>
      <c r="J2016" s="51" t="s">
        <v>560</v>
      </c>
      <c r="K2016" s="51">
        <f>VLOOKUP(J2016,'Validacion reclamo de equipaje'!L:M,2,0)</f>
        <v>126</v>
      </c>
      <c r="L2016" s="51" t="str">
        <f>VLOOKUP(I2016,'Validacion reclamo de equipaje'!H:I,2,0)</f>
        <v>Nacional</v>
      </c>
      <c r="M2016" s="51" t="s">
        <v>523</v>
      </c>
    </row>
    <row r="2017" spans="1:13" x14ac:dyDescent="0.25">
      <c r="A2017">
        <v>156</v>
      </c>
      <c r="B2017" s="47" t="str">
        <f>VLOOKUP(Tabla6[[#This Row],['# Vuelo]],'Validacion reclamo de equipaje'!P:Q,2,0)</f>
        <v>MEXICO AEREO</v>
      </c>
      <c r="C2017" s="52">
        <v>0.55833333333333335</v>
      </c>
      <c r="D2017" s="52">
        <v>0.56666666666666665</v>
      </c>
      <c r="E2017" s="53">
        <f>'Reclamo de equipaje rediseñado'!$D2017-'Reclamo de equipaje rediseñado'!$C2017</f>
        <v>8.3333333333333037E-3</v>
      </c>
      <c r="F2017" s="52">
        <v>0.57361111111111118</v>
      </c>
      <c r="G2017" s="53">
        <f t="shared" si="31"/>
        <v>6.9444444444445308E-3</v>
      </c>
      <c r="H2017" s="54">
        <v>41754</v>
      </c>
      <c r="I2017" s="55" t="s">
        <v>536</v>
      </c>
      <c r="J2017" s="55" t="s">
        <v>560</v>
      </c>
      <c r="K2017" s="55">
        <f>VLOOKUP(J2017,'Validacion reclamo de equipaje'!L:M,2,0)</f>
        <v>126</v>
      </c>
      <c r="L2017" s="55" t="str">
        <f>VLOOKUP(I2017,'Validacion reclamo de equipaje'!H:I,2,0)</f>
        <v>Nacional</v>
      </c>
      <c r="M2017" s="55" t="s">
        <v>523</v>
      </c>
    </row>
    <row r="2018" spans="1:13" x14ac:dyDescent="0.25">
      <c r="A2018">
        <v>156</v>
      </c>
      <c r="B2018" s="47" t="str">
        <f>VLOOKUP(Tabla6[[#This Row],['# Vuelo]],'Validacion reclamo de equipaje'!P:Q,2,0)</f>
        <v>MEXICO AEREO</v>
      </c>
      <c r="C2018" s="48">
        <v>0.57291666666666663</v>
      </c>
      <c r="D2018" s="48">
        <v>0.57638888888888895</v>
      </c>
      <c r="E2018" s="49">
        <f>'Reclamo de equipaje rediseñado'!$D2018-'Reclamo de equipaje rediseñado'!$C2018</f>
        <v>3.4722222222223209E-3</v>
      </c>
      <c r="F2018" s="48">
        <v>0.58333333333333337</v>
      </c>
      <c r="G2018" s="49">
        <f t="shared" si="31"/>
        <v>6.9444444444444198E-3</v>
      </c>
      <c r="H2018" s="50">
        <v>41758</v>
      </c>
      <c r="I2018" s="51" t="s">
        <v>536</v>
      </c>
      <c r="J2018" s="51" t="s">
        <v>560</v>
      </c>
      <c r="K2018" s="51">
        <f>VLOOKUP(J2018,'Validacion reclamo de equipaje'!L:M,2,0)</f>
        <v>126</v>
      </c>
      <c r="L2018" s="51" t="str">
        <f>VLOOKUP(I2018,'Validacion reclamo de equipaje'!H:I,2,0)</f>
        <v>Nacional</v>
      </c>
      <c r="M2018" s="51" t="s">
        <v>523</v>
      </c>
    </row>
    <row r="2019" spans="1:13" x14ac:dyDescent="0.25">
      <c r="A2019">
        <v>156</v>
      </c>
      <c r="B2019" s="47" t="str">
        <f>VLOOKUP(Tabla6[[#This Row],['# Vuelo]],'Validacion reclamo de equipaje'!P:Q,2,0)</f>
        <v>MEXICO AEREO</v>
      </c>
      <c r="C2019" s="52">
        <v>0.54583333333333328</v>
      </c>
      <c r="D2019" s="52">
        <v>0.55902777777777779</v>
      </c>
      <c r="E2019" s="53">
        <f>'Reclamo de equipaje rediseñado'!$D2019-'Reclamo de equipaje rediseñado'!$C2019</f>
        <v>1.3194444444444509E-2</v>
      </c>
      <c r="F2019" s="52">
        <v>0.56805555555555554</v>
      </c>
      <c r="G2019" s="53">
        <f t="shared" si="31"/>
        <v>9.0277777777777457E-3</v>
      </c>
      <c r="H2019" s="54">
        <v>41759</v>
      </c>
      <c r="I2019" s="55" t="s">
        <v>536</v>
      </c>
      <c r="J2019" s="55" t="s">
        <v>560</v>
      </c>
      <c r="K2019" s="55">
        <f>VLOOKUP(J2019,'Validacion reclamo de equipaje'!L:M,2,0)</f>
        <v>126</v>
      </c>
      <c r="L2019" s="55" t="str">
        <f>VLOOKUP(I2019,'Validacion reclamo de equipaje'!H:I,2,0)</f>
        <v>Nacional</v>
      </c>
      <c r="M2019" s="55" t="s">
        <v>523</v>
      </c>
    </row>
    <row r="2020" spans="1:13" x14ac:dyDescent="0.25">
      <c r="A2020">
        <v>128</v>
      </c>
      <c r="B2020" s="47" t="str">
        <f>VLOOKUP(Tabla6[[#This Row],['# Vuelo]],'Validacion reclamo de equipaje'!P:Q,2,0)</f>
        <v>MEXICO AEREO</v>
      </c>
      <c r="C2020" s="48">
        <v>0.84097222222222223</v>
      </c>
      <c r="D2020" s="48">
        <v>0.85416666666666663</v>
      </c>
      <c r="E2020" s="49">
        <f>'Reclamo de equipaje rediseñado'!$D2020-'Reclamo de equipaje rediseñado'!$C2020</f>
        <v>1.3194444444444398E-2</v>
      </c>
      <c r="F2020" s="48">
        <v>0.85902777777777783</v>
      </c>
      <c r="G2020" s="49">
        <f t="shared" si="31"/>
        <v>4.8611111111112049E-3</v>
      </c>
      <c r="H2020" s="50">
        <v>41730</v>
      </c>
      <c r="I2020" s="51" t="s">
        <v>536</v>
      </c>
      <c r="J2020" s="51" t="s">
        <v>560</v>
      </c>
      <c r="K2020" s="51">
        <f>VLOOKUP(J2020,'Validacion reclamo de equipaje'!L:M,2,0)</f>
        <v>126</v>
      </c>
      <c r="L2020" s="51" t="str">
        <f>VLOOKUP(I2020,'Validacion reclamo de equipaje'!H:I,2,0)</f>
        <v>Nacional</v>
      </c>
      <c r="M2020" s="51" t="s">
        <v>523</v>
      </c>
    </row>
    <row r="2021" spans="1:13" x14ac:dyDescent="0.25">
      <c r="A2021">
        <v>128</v>
      </c>
      <c r="B2021" s="47" t="str">
        <f>VLOOKUP(Tabla6[[#This Row],['# Vuelo]],'Validacion reclamo de equipaje'!P:Q,2,0)</f>
        <v>MEXICO AEREO</v>
      </c>
      <c r="C2021" s="52">
        <v>0.84375</v>
      </c>
      <c r="D2021" s="52">
        <v>0.8534722222222223</v>
      </c>
      <c r="E2021" s="53">
        <f>'Reclamo de equipaje rediseñado'!$D2021-'Reclamo de equipaje rediseñado'!$C2021</f>
        <v>9.7222222222222987E-3</v>
      </c>
      <c r="F2021" s="52">
        <v>0.86597222222222225</v>
      </c>
      <c r="G2021" s="53">
        <f t="shared" si="31"/>
        <v>1.2499999999999956E-2</v>
      </c>
      <c r="H2021" s="54">
        <v>41734</v>
      </c>
      <c r="I2021" s="55" t="s">
        <v>536</v>
      </c>
      <c r="J2021" s="55" t="s">
        <v>560</v>
      </c>
      <c r="K2021" s="55">
        <f>VLOOKUP(J2021,'Validacion reclamo de equipaje'!L:M,2,0)</f>
        <v>126</v>
      </c>
      <c r="L2021" s="55" t="str">
        <f>VLOOKUP(I2021,'Validacion reclamo de equipaje'!H:I,2,0)</f>
        <v>Nacional</v>
      </c>
      <c r="M2021" s="55" t="s">
        <v>523</v>
      </c>
    </row>
    <row r="2022" spans="1:13" x14ac:dyDescent="0.25">
      <c r="A2022">
        <v>128</v>
      </c>
      <c r="B2022" s="47" t="str">
        <f>VLOOKUP(Tabla6[[#This Row],['# Vuelo]],'Validacion reclamo de equipaje'!P:Q,2,0)</f>
        <v>MEXICO AEREO</v>
      </c>
      <c r="C2022" s="48">
        <v>0.84583333333333333</v>
      </c>
      <c r="D2022" s="48">
        <v>0.85277777777777775</v>
      </c>
      <c r="E2022" s="49">
        <f>'Reclamo de equipaje rediseñado'!$D2022-'Reclamo de equipaje rediseñado'!$C2022</f>
        <v>6.9444444444444198E-3</v>
      </c>
      <c r="F2022" s="48">
        <v>0.86111111111111116</v>
      </c>
      <c r="G2022" s="49">
        <f t="shared" si="31"/>
        <v>8.3333333333334147E-3</v>
      </c>
      <c r="H2022" s="50">
        <v>41736</v>
      </c>
      <c r="I2022" s="51" t="s">
        <v>536</v>
      </c>
      <c r="J2022" s="51" t="s">
        <v>560</v>
      </c>
      <c r="K2022" s="51">
        <f>VLOOKUP(J2022,'Validacion reclamo de equipaje'!L:M,2,0)</f>
        <v>126</v>
      </c>
      <c r="L2022" s="51" t="str">
        <f>VLOOKUP(I2022,'Validacion reclamo de equipaje'!H:I,2,0)</f>
        <v>Nacional</v>
      </c>
      <c r="M2022" s="51" t="s">
        <v>523</v>
      </c>
    </row>
    <row r="2023" spans="1:13" x14ac:dyDescent="0.25">
      <c r="A2023">
        <v>128</v>
      </c>
      <c r="B2023" s="47" t="str">
        <f>VLOOKUP(Tabla6[[#This Row],['# Vuelo]],'Validacion reclamo de equipaje'!P:Q,2,0)</f>
        <v>MEXICO AEREO</v>
      </c>
      <c r="C2023" s="52">
        <v>0.84930555555555554</v>
      </c>
      <c r="D2023" s="52">
        <v>0.85277777777777775</v>
      </c>
      <c r="E2023" s="53">
        <f>'Reclamo de equipaje rediseñado'!$D2023-'Reclamo de equipaje rediseñado'!$C2023</f>
        <v>3.4722222222222099E-3</v>
      </c>
      <c r="F2023" s="52">
        <v>0.85902777777777783</v>
      </c>
      <c r="G2023" s="53">
        <f t="shared" si="31"/>
        <v>6.2500000000000888E-3</v>
      </c>
      <c r="H2023" s="54">
        <v>41736</v>
      </c>
      <c r="I2023" s="55" t="s">
        <v>536</v>
      </c>
      <c r="J2023" s="55" t="s">
        <v>560</v>
      </c>
      <c r="K2023" s="55">
        <f>VLOOKUP(J2023,'Validacion reclamo de equipaje'!L:M,2,0)</f>
        <v>126</v>
      </c>
      <c r="L2023" s="55" t="str">
        <f>VLOOKUP(I2023,'Validacion reclamo de equipaje'!H:I,2,0)</f>
        <v>Nacional</v>
      </c>
      <c r="M2023" s="55" t="s">
        <v>523</v>
      </c>
    </row>
    <row r="2024" spans="1:13" x14ac:dyDescent="0.25">
      <c r="A2024">
        <v>128</v>
      </c>
      <c r="B2024" s="47" t="str">
        <f>VLOOKUP(Tabla6[[#This Row],['# Vuelo]],'Validacion reclamo de equipaje'!P:Q,2,0)</f>
        <v>MEXICO AEREO</v>
      </c>
      <c r="C2024" s="48">
        <v>0.84861111111111109</v>
      </c>
      <c r="D2024" s="48">
        <v>0.85416666666666663</v>
      </c>
      <c r="E2024" s="49">
        <f>'Reclamo de equipaje rediseñado'!$D2024-'Reclamo de equipaje rediseñado'!$C2024</f>
        <v>5.5555555555555358E-3</v>
      </c>
      <c r="F2024" s="48">
        <v>0.8618055555555556</v>
      </c>
      <c r="G2024" s="49">
        <f t="shared" si="31"/>
        <v>7.6388888888889728E-3</v>
      </c>
      <c r="H2024" s="50">
        <v>41738</v>
      </c>
      <c r="I2024" s="51" t="s">
        <v>536</v>
      </c>
      <c r="J2024" s="51" t="s">
        <v>560</v>
      </c>
      <c r="K2024" s="51">
        <f>VLOOKUP(J2024,'Validacion reclamo de equipaje'!L:M,2,0)</f>
        <v>126</v>
      </c>
      <c r="L2024" s="51" t="str">
        <f>VLOOKUP(I2024,'Validacion reclamo de equipaje'!H:I,2,0)</f>
        <v>Nacional</v>
      </c>
      <c r="M2024" s="51" t="s">
        <v>523</v>
      </c>
    </row>
    <row r="2025" spans="1:13" x14ac:dyDescent="0.25">
      <c r="A2025">
        <v>128</v>
      </c>
      <c r="B2025" s="47" t="str">
        <f>VLOOKUP(Tabla6[[#This Row],['# Vuelo]],'Validacion reclamo de equipaje'!P:Q,2,0)</f>
        <v>MEXICO AEREO</v>
      </c>
      <c r="C2025" s="52">
        <v>0.83888888888888891</v>
      </c>
      <c r="D2025" s="52">
        <v>0.84305555555555556</v>
      </c>
      <c r="E2025" s="53">
        <f>'Reclamo de equipaje rediseñado'!$D2025-'Reclamo de equipaje rediseñado'!$C2025</f>
        <v>4.1666666666666519E-3</v>
      </c>
      <c r="F2025" s="52">
        <v>0.875</v>
      </c>
      <c r="G2025" s="53">
        <f t="shared" si="31"/>
        <v>3.1944444444444442E-2</v>
      </c>
      <c r="H2025" s="54">
        <v>41740</v>
      </c>
      <c r="I2025" s="55" t="s">
        <v>536</v>
      </c>
      <c r="J2025" s="55" t="s">
        <v>560</v>
      </c>
      <c r="K2025" s="55">
        <f>VLOOKUP(J2025,'Validacion reclamo de equipaje'!L:M,2,0)</f>
        <v>126</v>
      </c>
      <c r="L2025" s="55" t="str">
        <f>VLOOKUP(I2025,'Validacion reclamo de equipaje'!H:I,2,0)</f>
        <v>Nacional</v>
      </c>
      <c r="M2025" s="55" t="s">
        <v>523</v>
      </c>
    </row>
    <row r="2026" spans="1:13" x14ac:dyDescent="0.25">
      <c r="A2026">
        <v>128</v>
      </c>
      <c r="B2026" s="47" t="str">
        <f>VLOOKUP(Tabla6[[#This Row],['# Vuelo]],'Validacion reclamo de equipaje'!P:Q,2,0)</f>
        <v>MEXICO AEREO</v>
      </c>
      <c r="C2026" s="48">
        <v>0.86458333333333337</v>
      </c>
      <c r="D2026" s="48">
        <v>0.87361111111111101</v>
      </c>
      <c r="E2026" s="49">
        <f>'Reclamo de equipaje rediseñado'!$D2026-'Reclamo de equipaje rediseñado'!$C2026</f>
        <v>9.0277777777776347E-3</v>
      </c>
      <c r="F2026" s="48">
        <v>0.87916666666666676</v>
      </c>
      <c r="G2026" s="49">
        <f t="shared" si="31"/>
        <v>5.5555555555557579E-3</v>
      </c>
      <c r="H2026" s="50">
        <v>41741</v>
      </c>
      <c r="I2026" s="51" t="s">
        <v>536</v>
      </c>
      <c r="J2026" s="51" t="s">
        <v>560</v>
      </c>
      <c r="K2026" s="51">
        <f>VLOOKUP(J2026,'Validacion reclamo de equipaje'!L:M,2,0)</f>
        <v>126</v>
      </c>
      <c r="L2026" s="51" t="str">
        <f>VLOOKUP(I2026,'Validacion reclamo de equipaje'!H:I,2,0)</f>
        <v>Nacional</v>
      </c>
      <c r="M2026" s="51" t="s">
        <v>523</v>
      </c>
    </row>
    <row r="2027" spans="1:13" x14ac:dyDescent="0.25">
      <c r="A2027">
        <v>128</v>
      </c>
      <c r="B2027" s="47" t="str">
        <f>VLOOKUP(Tabla6[[#This Row],['# Vuelo]],'Validacion reclamo de equipaje'!P:Q,2,0)</f>
        <v>MEXICO AEREO</v>
      </c>
      <c r="C2027" s="52">
        <v>0.84097222222222223</v>
      </c>
      <c r="D2027" s="52">
        <v>0.85416666666666663</v>
      </c>
      <c r="E2027" s="53">
        <f>'Reclamo de equipaje rediseñado'!$D2027-'Reclamo de equipaje rediseñado'!$C2027</f>
        <v>1.3194444444444398E-2</v>
      </c>
      <c r="F2027" s="52">
        <v>0.85902777777777783</v>
      </c>
      <c r="G2027" s="53">
        <f t="shared" si="31"/>
        <v>4.8611111111112049E-3</v>
      </c>
      <c r="H2027" s="54">
        <v>41742</v>
      </c>
      <c r="I2027" s="55" t="s">
        <v>536</v>
      </c>
      <c r="J2027" s="55" t="s">
        <v>560</v>
      </c>
      <c r="K2027" s="55">
        <f>VLOOKUP(J2027,'Validacion reclamo de equipaje'!L:M,2,0)</f>
        <v>126</v>
      </c>
      <c r="L2027" s="55" t="str">
        <f>VLOOKUP(I2027,'Validacion reclamo de equipaje'!H:I,2,0)</f>
        <v>Nacional</v>
      </c>
      <c r="M2027" s="55" t="s">
        <v>523</v>
      </c>
    </row>
    <row r="2028" spans="1:13" x14ac:dyDescent="0.25">
      <c r="A2028">
        <v>128</v>
      </c>
      <c r="B2028" s="47" t="str">
        <f>VLOOKUP(Tabla6[[#This Row],['# Vuelo]],'Validacion reclamo de equipaje'!P:Q,2,0)</f>
        <v>MEXICO AEREO</v>
      </c>
      <c r="C2028" s="48">
        <v>0.8534722222222223</v>
      </c>
      <c r="D2028" s="48">
        <v>0.86111111111111116</v>
      </c>
      <c r="E2028" s="49">
        <f>'Reclamo de equipaje rediseñado'!$D2028-'Reclamo de equipaje rediseñado'!$C2028</f>
        <v>7.6388888888888618E-3</v>
      </c>
      <c r="F2028" s="48">
        <v>0.8652777777777777</v>
      </c>
      <c r="G2028" s="49">
        <f t="shared" si="31"/>
        <v>4.1666666666665408E-3</v>
      </c>
      <c r="H2028" s="50">
        <v>41743</v>
      </c>
      <c r="I2028" s="51" t="s">
        <v>536</v>
      </c>
      <c r="J2028" s="51" t="s">
        <v>560</v>
      </c>
      <c r="K2028" s="51">
        <f>VLOOKUP(J2028,'Validacion reclamo de equipaje'!L:M,2,0)</f>
        <v>126</v>
      </c>
      <c r="L2028" s="51" t="str">
        <f>VLOOKUP(I2028,'Validacion reclamo de equipaje'!H:I,2,0)</f>
        <v>Nacional</v>
      </c>
      <c r="M2028" s="51" t="s">
        <v>523</v>
      </c>
    </row>
    <row r="2029" spans="1:13" x14ac:dyDescent="0.25">
      <c r="A2029">
        <v>128</v>
      </c>
      <c r="B2029" s="47" t="str">
        <f>VLOOKUP(Tabla6[[#This Row],['# Vuelo]],'Validacion reclamo de equipaje'!P:Q,2,0)</f>
        <v>MEXICO AEREO</v>
      </c>
      <c r="C2029" s="52">
        <v>0.84305555555555556</v>
      </c>
      <c r="D2029" s="52">
        <v>0.86319444444444438</v>
      </c>
      <c r="E2029" s="53">
        <f>'Reclamo de equipaje rediseñado'!$D2029-'Reclamo de equipaje rediseñado'!$C2029</f>
        <v>2.0138888888888817E-2</v>
      </c>
      <c r="F2029" s="52">
        <v>0.86597222222222225</v>
      </c>
      <c r="G2029" s="53">
        <f t="shared" si="31"/>
        <v>2.7777777777778789E-3</v>
      </c>
      <c r="H2029" s="54">
        <v>41745</v>
      </c>
      <c r="I2029" s="55" t="s">
        <v>536</v>
      </c>
      <c r="J2029" s="55" t="s">
        <v>560</v>
      </c>
      <c r="K2029" s="55">
        <f>VLOOKUP(J2029,'Validacion reclamo de equipaje'!L:M,2,0)</f>
        <v>126</v>
      </c>
      <c r="L2029" s="55" t="str">
        <f>VLOOKUP(I2029,'Validacion reclamo de equipaje'!H:I,2,0)</f>
        <v>Nacional</v>
      </c>
      <c r="M2029" s="55" t="s">
        <v>523</v>
      </c>
    </row>
    <row r="2030" spans="1:13" x14ac:dyDescent="0.25">
      <c r="A2030">
        <v>128</v>
      </c>
      <c r="B2030" s="47" t="str">
        <f>VLOOKUP(Tabla6[[#This Row],['# Vuelo]],'Validacion reclamo de equipaje'!P:Q,2,0)</f>
        <v>MEXICO AEREO</v>
      </c>
      <c r="C2030" s="48">
        <v>0.8666666666666667</v>
      </c>
      <c r="D2030" s="48">
        <v>0.87291666666666667</v>
      </c>
      <c r="E2030" s="49">
        <f>'Reclamo de equipaje rediseñado'!$D2030-'Reclamo de equipaje rediseñado'!$C2030</f>
        <v>6.2499999999999778E-3</v>
      </c>
      <c r="F2030" s="48">
        <v>0.87847222222222221</v>
      </c>
      <c r="G2030" s="49">
        <f t="shared" si="31"/>
        <v>5.5555555555555358E-3</v>
      </c>
      <c r="H2030" s="50">
        <v>41744</v>
      </c>
      <c r="I2030" s="51" t="s">
        <v>536</v>
      </c>
      <c r="J2030" s="51" t="s">
        <v>560</v>
      </c>
      <c r="K2030" s="51">
        <f>VLOOKUP(J2030,'Validacion reclamo de equipaje'!L:M,2,0)</f>
        <v>126</v>
      </c>
      <c r="L2030" s="51" t="str">
        <f>VLOOKUP(I2030,'Validacion reclamo de equipaje'!H:I,2,0)</f>
        <v>Nacional</v>
      </c>
      <c r="M2030" s="51" t="s">
        <v>523</v>
      </c>
    </row>
    <row r="2031" spans="1:13" x14ac:dyDescent="0.25">
      <c r="A2031">
        <v>128</v>
      </c>
      <c r="B2031" s="47" t="str">
        <f>VLOOKUP(Tabla6[[#This Row],['# Vuelo]],'Validacion reclamo de equipaje'!P:Q,2,0)</f>
        <v>MEXICO AEREO</v>
      </c>
      <c r="C2031" s="52">
        <v>0.83611111111111114</v>
      </c>
      <c r="D2031" s="52">
        <v>0.84583333333333333</v>
      </c>
      <c r="E2031" s="53">
        <f>'Reclamo de equipaje rediseñado'!$D2031-'Reclamo de equipaje rediseñado'!$C2031</f>
        <v>9.7222222222221877E-3</v>
      </c>
      <c r="F2031" s="52">
        <v>0.85555555555555562</v>
      </c>
      <c r="G2031" s="53">
        <f t="shared" si="31"/>
        <v>9.7222222222222987E-3</v>
      </c>
      <c r="H2031" s="54">
        <v>41749</v>
      </c>
      <c r="I2031" s="55" t="s">
        <v>536</v>
      </c>
      <c r="J2031" s="55" t="s">
        <v>560</v>
      </c>
      <c r="K2031" s="55">
        <f>VLOOKUP(J2031,'Validacion reclamo de equipaje'!L:M,2,0)</f>
        <v>126</v>
      </c>
      <c r="L2031" s="55" t="str">
        <f>VLOOKUP(I2031,'Validacion reclamo de equipaje'!H:I,2,0)</f>
        <v>Nacional</v>
      </c>
      <c r="M2031" s="55" t="s">
        <v>523</v>
      </c>
    </row>
    <row r="2032" spans="1:13" x14ac:dyDescent="0.25">
      <c r="A2032">
        <v>128</v>
      </c>
      <c r="B2032" s="47" t="str">
        <f>VLOOKUP(Tabla6[[#This Row],['# Vuelo]],'Validacion reclamo de equipaje'!P:Q,2,0)</f>
        <v>MEXICO AEREO</v>
      </c>
      <c r="C2032" s="48">
        <v>0.84583333333333333</v>
      </c>
      <c r="D2032" s="48">
        <v>0.85069444444444453</v>
      </c>
      <c r="E2032" s="49">
        <f>'Reclamo de equipaje rediseñado'!$D2032-'Reclamo de equipaje rediseñado'!$C2032</f>
        <v>4.8611111111112049E-3</v>
      </c>
      <c r="F2032" s="48">
        <v>0.85833333333333339</v>
      </c>
      <c r="G2032" s="49">
        <f t="shared" si="31"/>
        <v>7.6388888888888618E-3</v>
      </c>
      <c r="H2032" s="50">
        <v>41749</v>
      </c>
      <c r="I2032" s="51" t="s">
        <v>536</v>
      </c>
      <c r="J2032" s="51" t="s">
        <v>560</v>
      </c>
      <c r="K2032" s="51">
        <f>VLOOKUP(J2032,'Validacion reclamo de equipaje'!L:M,2,0)</f>
        <v>126</v>
      </c>
      <c r="L2032" s="51" t="str">
        <f>VLOOKUP(I2032,'Validacion reclamo de equipaje'!H:I,2,0)</f>
        <v>Nacional</v>
      </c>
      <c r="M2032" s="51" t="s">
        <v>523</v>
      </c>
    </row>
    <row r="2033" spans="1:13" x14ac:dyDescent="0.25">
      <c r="A2033">
        <v>128</v>
      </c>
      <c r="B2033" s="47" t="str">
        <f>VLOOKUP(Tabla6[[#This Row],['# Vuelo]],'Validacion reclamo de equipaje'!P:Q,2,0)</f>
        <v>MEXICO AEREO</v>
      </c>
      <c r="C2033" s="52">
        <v>0.83124999999999993</v>
      </c>
      <c r="D2033" s="52">
        <v>0.84722222222222221</v>
      </c>
      <c r="E2033" s="53">
        <f>'Reclamo de equipaje rediseñado'!$D2033-'Reclamo de equipaje rediseñado'!$C2033</f>
        <v>1.5972222222222276E-2</v>
      </c>
      <c r="F2033" s="52">
        <v>0.85555555555555562</v>
      </c>
      <c r="G2033" s="53">
        <f t="shared" si="31"/>
        <v>8.3333333333334147E-3</v>
      </c>
      <c r="H2033" s="54">
        <v>41751</v>
      </c>
      <c r="I2033" s="55" t="s">
        <v>536</v>
      </c>
      <c r="J2033" s="55" t="s">
        <v>560</v>
      </c>
      <c r="K2033" s="55">
        <f>VLOOKUP(J2033,'Validacion reclamo de equipaje'!L:M,2,0)</f>
        <v>126</v>
      </c>
      <c r="L2033" s="55" t="str">
        <f>VLOOKUP(I2033,'Validacion reclamo de equipaje'!H:I,2,0)</f>
        <v>Nacional</v>
      </c>
      <c r="M2033" s="55" t="s">
        <v>523</v>
      </c>
    </row>
    <row r="2034" spans="1:13" x14ac:dyDescent="0.25">
      <c r="A2034">
        <v>128</v>
      </c>
      <c r="B2034" s="47" t="str">
        <f>VLOOKUP(Tabla6[[#This Row],['# Vuelo]],'Validacion reclamo de equipaje'!P:Q,2,0)</f>
        <v>MEXICO AEREO</v>
      </c>
      <c r="C2034" s="48">
        <v>0.85069444444444453</v>
      </c>
      <c r="D2034" s="48">
        <v>0.85763888888888884</v>
      </c>
      <c r="E2034" s="49">
        <f>'Reclamo de equipaje rediseñado'!$D2034-'Reclamo de equipaje rediseñado'!$C2034</f>
        <v>6.9444444444443088E-3</v>
      </c>
      <c r="F2034" s="48">
        <v>0.86319444444444438</v>
      </c>
      <c r="G2034" s="49">
        <f t="shared" si="31"/>
        <v>5.5555555555555358E-3</v>
      </c>
      <c r="H2034" s="50">
        <v>41753</v>
      </c>
      <c r="I2034" s="51" t="s">
        <v>536</v>
      </c>
      <c r="J2034" s="51" t="s">
        <v>560</v>
      </c>
      <c r="K2034" s="51">
        <f>VLOOKUP(J2034,'Validacion reclamo de equipaje'!L:M,2,0)</f>
        <v>126</v>
      </c>
      <c r="L2034" s="51" t="str">
        <f>VLOOKUP(I2034,'Validacion reclamo de equipaje'!H:I,2,0)</f>
        <v>Nacional</v>
      </c>
      <c r="M2034" s="51" t="s">
        <v>523</v>
      </c>
    </row>
    <row r="2035" spans="1:13" x14ac:dyDescent="0.25">
      <c r="A2035">
        <v>128</v>
      </c>
      <c r="B2035" s="47" t="str">
        <f>VLOOKUP(Tabla6[[#This Row],['# Vuelo]],'Validacion reclamo de equipaje'!P:Q,2,0)</f>
        <v>MEXICO AEREO</v>
      </c>
      <c r="C2035" s="52">
        <v>0.88263888888888886</v>
      </c>
      <c r="D2035" s="52">
        <v>0.89027777777777783</v>
      </c>
      <c r="E2035" s="53">
        <f>'Reclamo de equipaje rediseñado'!$D2035-'Reclamo de equipaje rediseñado'!$C2035</f>
        <v>7.6388888888889728E-3</v>
      </c>
      <c r="F2035" s="52">
        <v>0.8979166666666667</v>
      </c>
      <c r="G2035" s="53">
        <f t="shared" si="31"/>
        <v>7.6388888888888618E-3</v>
      </c>
      <c r="H2035" s="54">
        <v>41755</v>
      </c>
      <c r="I2035" s="55" t="s">
        <v>536</v>
      </c>
      <c r="J2035" s="55" t="s">
        <v>560</v>
      </c>
      <c r="K2035" s="55">
        <f>VLOOKUP(J2035,'Validacion reclamo de equipaje'!L:M,2,0)</f>
        <v>126</v>
      </c>
      <c r="L2035" s="55" t="str">
        <f>VLOOKUP(I2035,'Validacion reclamo de equipaje'!H:I,2,0)</f>
        <v>Nacional</v>
      </c>
      <c r="M2035" s="55" t="s">
        <v>523</v>
      </c>
    </row>
    <row r="2036" spans="1:13" x14ac:dyDescent="0.25">
      <c r="A2036">
        <v>128</v>
      </c>
      <c r="B2036" s="47" t="str">
        <f>VLOOKUP(Tabla6[[#This Row],['# Vuelo]],'Validacion reclamo de equipaje'!P:Q,2,0)</f>
        <v>MEXICO AEREO</v>
      </c>
      <c r="C2036" s="48">
        <v>0.85763888888888884</v>
      </c>
      <c r="D2036" s="48">
        <v>0.86805555555555547</v>
      </c>
      <c r="E2036" s="49">
        <f>'Reclamo de equipaje rediseñado'!$D2036-'Reclamo de equipaje rediseñado'!$C2036</f>
        <v>1.041666666666663E-2</v>
      </c>
      <c r="F2036" s="48">
        <v>0.87361111111111101</v>
      </c>
      <c r="G2036" s="49">
        <f t="shared" si="31"/>
        <v>5.5555555555555358E-3</v>
      </c>
      <c r="H2036" s="50">
        <v>41757</v>
      </c>
      <c r="I2036" s="51" t="s">
        <v>536</v>
      </c>
      <c r="J2036" s="51" t="s">
        <v>560</v>
      </c>
      <c r="K2036" s="51">
        <f>VLOOKUP(J2036,'Validacion reclamo de equipaje'!L:M,2,0)</f>
        <v>126</v>
      </c>
      <c r="L2036" s="51" t="str">
        <f>VLOOKUP(I2036,'Validacion reclamo de equipaje'!H:I,2,0)</f>
        <v>Nacional</v>
      </c>
      <c r="M2036" s="51" t="s">
        <v>523</v>
      </c>
    </row>
    <row r="2037" spans="1:13" x14ac:dyDescent="0.25">
      <c r="A2037">
        <v>128</v>
      </c>
      <c r="B2037" s="47" t="str">
        <f>VLOOKUP(Tabla6[[#This Row],['# Vuelo]],'Validacion reclamo de equipaje'!P:Q,2,0)</f>
        <v>MEXICO AEREO</v>
      </c>
      <c r="C2037" s="52">
        <v>0.84375</v>
      </c>
      <c r="D2037" s="52">
        <v>0.84722222222222221</v>
      </c>
      <c r="E2037" s="53">
        <f>'Reclamo de equipaje rediseñado'!$D2037-'Reclamo de equipaje rediseñado'!$C2037</f>
        <v>3.4722222222222099E-3</v>
      </c>
      <c r="F2037" s="52">
        <v>0.85763888888888884</v>
      </c>
      <c r="G2037" s="53">
        <f t="shared" si="31"/>
        <v>1.041666666666663E-2</v>
      </c>
      <c r="H2037" s="54">
        <v>41759</v>
      </c>
      <c r="I2037" s="55" t="s">
        <v>536</v>
      </c>
      <c r="J2037" s="55" t="s">
        <v>560</v>
      </c>
      <c r="K2037" s="55">
        <f>VLOOKUP(J2037,'Validacion reclamo de equipaje'!L:M,2,0)</f>
        <v>126</v>
      </c>
      <c r="L2037" s="55" t="str">
        <f>VLOOKUP(I2037,'Validacion reclamo de equipaje'!H:I,2,0)</f>
        <v>Nacional</v>
      </c>
      <c r="M2037" s="55" t="s">
        <v>523</v>
      </c>
    </row>
    <row r="2038" spans="1:13" x14ac:dyDescent="0.25">
      <c r="A2038">
        <v>128</v>
      </c>
      <c r="B2038" s="47" t="str">
        <f>VLOOKUP(Tabla6[[#This Row],['# Vuelo]],'Validacion reclamo de equipaje'!P:Q,2,0)</f>
        <v>MEXICO AEREO</v>
      </c>
      <c r="C2038" s="48">
        <v>0.83680555555555547</v>
      </c>
      <c r="D2038" s="48">
        <v>0.84444444444444444</v>
      </c>
      <c r="E2038" s="49">
        <f>'Reclamo de equipaje rediseñado'!$D2038-'Reclamo de equipaje rediseñado'!$C2038</f>
        <v>7.6388888888889728E-3</v>
      </c>
      <c r="F2038" s="48">
        <v>0.85486111111111107</v>
      </c>
      <c r="G2038" s="49">
        <f t="shared" si="31"/>
        <v>1.041666666666663E-2</v>
      </c>
      <c r="H2038" s="50">
        <v>41759</v>
      </c>
      <c r="I2038" s="51" t="s">
        <v>536</v>
      </c>
      <c r="J2038" s="51" t="s">
        <v>560</v>
      </c>
      <c r="K2038" s="51">
        <f>VLOOKUP(J2038,'Validacion reclamo de equipaje'!L:M,2,0)</f>
        <v>126</v>
      </c>
      <c r="L2038" s="51" t="str">
        <f>VLOOKUP(I2038,'Validacion reclamo de equipaje'!H:I,2,0)</f>
        <v>Nacional</v>
      </c>
      <c r="M2038" s="51" t="s">
        <v>523</v>
      </c>
    </row>
    <row r="2039" spans="1:13" x14ac:dyDescent="0.25">
      <c r="A2039">
        <v>126</v>
      </c>
      <c r="B2039" s="47" t="str">
        <f>VLOOKUP(Tabla6[[#This Row],['# Vuelo]],'Validacion reclamo de equipaje'!P:Q,2,0)</f>
        <v>MEXICO AEREO</v>
      </c>
      <c r="C2039" s="52">
        <v>0.8041666666666667</v>
      </c>
      <c r="D2039" s="52">
        <v>0.8125</v>
      </c>
      <c r="E2039" s="53">
        <f>'Reclamo de equipaje rediseñado'!$D2039-'Reclamo de equipaje rediseñado'!$C2039</f>
        <v>8.3333333333333037E-3</v>
      </c>
      <c r="F2039" s="52">
        <v>0.82152777777777775</v>
      </c>
      <c r="G2039" s="53">
        <f t="shared" si="31"/>
        <v>9.0277777777777457E-3</v>
      </c>
      <c r="H2039" s="54">
        <v>41732</v>
      </c>
      <c r="I2039" s="55" t="s">
        <v>536</v>
      </c>
      <c r="J2039" s="55" t="s">
        <v>560</v>
      </c>
      <c r="K2039" s="55">
        <f>VLOOKUP(J2039,'Validacion reclamo de equipaje'!L:M,2,0)</f>
        <v>126</v>
      </c>
      <c r="L2039" s="55" t="str">
        <f>VLOOKUP(I2039,'Validacion reclamo de equipaje'!H:I,2,0)</f>
        <v>Nacional</v>
      </c>
      <c r="M2039" s="55" t="s">
        <v>523</v>
      </c>
    </row>
    <row r="2040" spans="1:13" x14ac:dyDescent="0.25">
      <c r="A2040">
        <v>126</v>
      </c>
      <c r="B2040" s="47" t="str">
        <f>VLOOKUP(Tabla6[[#This Row],['# Vuelo]],'Validacion reclamo de equipaje'!P:Q,2,0)</f>
        <v>MEXICO AEREO</v>
      </c>
      <c r="C2040" s="48">
        <v>0.83333333333333337</v>
      </c>
      <c r="D2040" s="48">
        <v>0.85069444444444453</v>
      </c>
      <c r="E2040" s="49">
        <f>'Reclamo de equipaje rediseñado'!$D2040-'Reclamo de equipaje rediseñado'!$C2040</f>
        <v>1.736111111111116E-2</v>
      </c>
      <c r="F2040" s="48">
        <v>0.8520833333333333</v>
      </c>
      <c r="G2040" s="49">
        <f t="shared" si="31"/>
        <v>1.3888888888887729E-3</v>
      </c>
      <c r="H2040" s="50">
        <v>41734</v>
      </c>
      <c r="I2040" s="51" t="s">
        <v>536</v>
      </c>
      <c r="J2040" s="51" t="s">
        <v>560</v>
      </c>
      <c r="K2040" s="51">
        <f>VLOOKUP(J2040,'Validacion reclamo de equipaje'!L:M,2,0)</f>
        <v>126</v>
      </c>
      <c r="L2040" s="51" t="str">
        <f>VLOOKUP(I2040,'Validacion reclamo de equipaje'!H:I,2,0)</f>
        <v>Nacional</v>
      </c>
      <c r="M2040" s="51" t="s">
        <v>523</v>
      </c>
    </row>
    <row r="2041" spans="1:13" x14ac:dyDescent="0.25">
      <c r="A2041">
        <v>126</v>
      </c>
      <c r="B2041" s="47" t="str">
        <f>VLOOKUP(Tabla6[[#This Row],['# Vuelo]],'Validacion reclamo de equipaje'!P:Q,2,0)</f>
        <v>MEXICO AEREO</v>
      </c>
      <c r="C2041" s="52">
        <v>0.7944444444444444</v>
      </c>
      <c r="D2041" s="52">
        <v>0.79722222222222217</v>
      </c>
      <c r="E2041" s="53">
        <f>'Reclamo de equipaje rediseñado'!$D2041-'Reclamo de equipaje rediseñado'!$C2041</f>
        <v>2.7777777777777679E-3</v>
      </c>
      <c r="F2041" s="52">
        <v>0.80138888888888893</v>
      </c>
      <c r="G2041" s="53">
        <f t="shared" si="31"/>
        <v>4.1666666666667629E-3</v>
      </c>
      <c r="H2041" s="54">
        <v>41738</v>
      </c>
      <c r="I2041" s="55" t="s">
        <v>536</v>
      </c>
      <c r="J2041" s="55" t="s">
        <v>560</v>
      </c>
      <c r="K2041" s="55">
        <f>VLOOKUP(J2041,'Validacion reclamo de equipaje'!L:M,2,0)</f>
        <v>126</v>
      </c>
      <c r="L2041" s="55" t="str">
        <f>VLOOKUP(I2041,'Validacion reclamo de equipaje'!H:I,2,0)</f>
        <v>Nacional</v>
      </c>
      <c r="M2041" s="55" t="s">
        <v>523</v>
      </c>
    </row>
    <row r="2042" spans="1:13" x14ac:dyDescent="0.25">
      <c r="A2042">
        <v>126</v>
      </c>
      <c r="B2042" s="47" t="str">
        <f>VLOOKUP(Tabla6[[#This Row],['# Vuelo]],'Validacion reclamo de equipaje'!P:Q,2,0)</f>
        <v>MEXICO AEREO</v>
      </c>
      <c r="C2042" s="48">
        <v>0.80763888888888891</v>
      </c>
      <c r="D2042" s="48">
        <v>0.8125</v>
      </c>
      <c r="E2042" s="49">
        <f>'Reclamo de equipaje rediseñado'!$D2042-'Reclamo de equipaje rediseñado'!$C2042</f>
        <v>4.8611111111110938E-3</v>
      </c>
      <c r="F2042" s="48">
        <v>0.82291666666666663</v>
      </c>
      <c r="G2042" s="49">
        <f t="shared" si="31"/>
        <v>1.041666666666663E-2</v>
      </c>
      <c r="H2042" s="50">
        <v>41741</v>
      </c>
      <c r="I2042" s="51" t="s">
        <v>536</v>
      </c>
      <c r="J2042" s="51" t="s">
        <v>560</v>
      </c>
      <c r="K2042" s="51">
        <f>VLOOKUP(J2042,'Validacion reclamo de equipaje'!L:M,2,0)</f>
        <v>126</v>
      </c>
      <c r="L2042" s="51" t="str">
        <f>VLOOKUP(I2042,'Validacion reclamo de equipaje'!H:I,2,0)</f>
        <v>Nacional</v>
      </c>
      <c r="M2042" s="51" t="s">
        <v>523</v>
      </c>
    </row>
    <row r="2043" spans="1:13" x14ac:dyDescent="0.25">
      <c r="A2043">
        <v>126</v>
      </c>
      <c r="B2043" s="47" t="str">
        <f>VLOOKUP(Tabla6[[#This Row],['# Vuelo]],'Validacion reclamo de equipaje'!P:Q,2,0)</f>
        <v>MEXICO AEREO</v>
      </c>
      <c r="C2043" s="52">
        <v>0.79513888888888884</v>
      </c>
      <c r="D2043" s="52">
        <v>0.80486111111111114</v>
      </c>
      <c r="E2043" s="53">
        <f>'Reclamo de equipaje rediseñado'!$D2043-'Reclamo de equipaje rediseñado'!$C2043</f>
        <v>9.7222222222222987E-3</v>
      </c>
      <c r="F2043" s="52">
        <v>0.81041666666666667</v>
      </c>
      <c r="G2043" s="53">
        <f t="shared" si="31"/>
        <v>5.5555555555555358E-3</v>
      </c>
      <c r="H2043" s="54">
        <v>41759</v>
      </c>
      <c r="I2043" s="55" t="s">
        <v>536</v>
      </c>
      <c r="J2043" s="55" t="s">
        <v>560</v>
      </c>
      <c r="K2043" s="55">
        <f>VLOOKUP(J2043,'Validacion reclamo de equipaje'!L:M,2,0)</f>
        <v>126</v>
      </c>
      <c r="L2043" s="55" t="str">
        <f>VLOOKUP(I2043,'Validacion reclamo de equipaje'!H:I,2,0)</f>
        <v>Nacional</v>
      </c>
      <c r="M2043" s="55" t="s">
        <v>523</v>
      </c>
    </row>
    <row r="2044" spans="1:13" x14ac:dyDescent="0.25">
      <c r="A2044">
        <v>120</v>
      </c>
      <c r="B2044" s="47" t="str">
        <f>VLOOKUP(Tabla6[[#This Row],['# Vuelo]],'Validacion reclamo de equipaje'!P:Q,2,0)</f>
        <v>MEXICO AEREO</v>
      </c>
      <c r="C2044" s="48">
        <v>0.45277777777777778</v>
      </c>
      <c r="D2044" s="48">
        <v>0.45833333333333331</v>
      </c>
      <c r="E2044" s="49">
        <f>'Reclamo de equipaje rediseñado'!$D2044-'Reclamo de equipaje rediseñado'!$C2044</f>
        <v>5.5555555555555358E-3</v>
      </c>
      <c r="F2044" s="48">
        <v>0.46388888888888885</v>
      </c>
      <c r="G2044" s="49">
        <f t="shared" si="31"/>
        <v>5.5555555555555358E-3</v>
      </c>
      <c r="H2044" s="50">
        <v>41730</v>
      </c>
      <c r="I2044" s="51" t="s">
        <v>558</v>
      </c>
      <c r="J2044" s="51" t="s">
        <v>554</v>
      </c>
      <c r="K2044" s="51">
        <f>VLOOKUP(J2044,'Validacion reclamo de equipaje'!L:M,2,0)</f>
        <v>189</v>
      </c>
      <c r="L2044" s="51" t="str">
        <f>VLOOKUP(I2044,'Validacion reclamo de equipaje'!H:I,2,0)</f>
        <v>Internacional</v>
      </c>
      <c r="M2044" s="51" t="s">
        <v>523</v>
      </c>
    </row>
    <row r="2045" spans="1:13" x14ac:dyDescent="0.25">
      <c r="A2045">
        <v>120</v>
      </c>
      <c r="B2045" s="47" t="str">
        <f>VLOOKUP(Tabla6[[#This Row],['# Vuelo]],'Validacion reclamo de equipaje'!P:Q,2,0)</f>
        <v>MEXICO AEREO</v>
      </c>
      <c r="C2045" s="52">
        <v>0.41666666666666669</v>
      </c>
      <c r="D2045" s="52">
        <v>0.41805555555555557</v>
      </c>
      <c r="E2045" s="53">
        <f>'Reclamo de equipaje rediseñado'!$D2045-'Reclamo de equipaje rediseñado'!$C2045</f>
        <v>1.388888888888884E-3</v>
      </c>
      <c r="F2045" s="52">
        <v>0.42708333333333331</v>
      </c>
      <c r="G2045" s="53">
        <f t="shared" si="31"/>
        <v>9.0277777777777457E-3</v>
      </c>
      <c r="H2045" s="54">
        <v>41731</v>
      </c>
      <c r="I2045" s="55" t="s">
        <v>558</v>
      </c>
      <c r="J2045" s="55" t="s">
        <v>554</v>
      </c>
      <c r="K2045" s="55">
        <f>VLOOKUP(J2045,'Validacion reclamo de equipaje'!L:M,2,0)</f>
        <v>189</v>
      </c>
      <c r="L2045" s="55" t="str">
        <f>VLOOKUP(I2045,'Validacion reclamo de equipaje'!H:I,2,0)</f>
        <v>Internacional</v>
      </c>
      <c r="M2045" s="55" t="s">
        <v>523</v>
      </c>
    </row>
    <row r="2046" spans="1:13" x14ac:dyDescent="0.25">
      <c r="A2046">
        <v>120</v>
      </c>
      <c r="B2046" s="47" t="str">
        <f>VLOOKUP(Tabla6[[#This Row],['# Vuelo]],'Validacion reclamo de equipaje'!P:Q,2,0)</f>
        <v>MEXICO AEREO</v>
      </c>
      <c r="C2046" s="48">
        <v>0.42986111111111108</v>
      </c>
      <c r="D2046" s="48">
        <v>0.44861111111111113</v>
      </c>
      <c r="E2046" s="49">
        <f>'Reclamo de equipaje rediseñado'!$D2046-'Reclamo de equipaje rediseñado'!$C2046</f>
        <v>1.8750000000000044E-2</v>
      </c>
      <c r="F2046" s="48">
        <v>0.45555555555555555</v>
      </c>
      <c r="G2046" s="49">
        <f t="shared" si="31"/>
        <v>6.9444444444444198E-3</v>
      </c>
      <c r="H2046" s="50">
        <v>41732</v>
      </c>
      <c r="I2046" s="51" t="s">
        <v>558</v>
      </c>
      <c r="J2046" s="51" t="s">
        <v>554</v>
      </c>
      <c r="K2046" s="51">
        <f>VLOOKUP(J2046,'Validacion reclamo de equipaje'!L:M,2,0)</f>
        <v>189</v>
      </c>
      <c r="L2046" s="51" t="str">
        <f>VLOOKUP(I2046,'Validacion reclamo de equipaje'!H:I,2,0)</f>
        <v>Internacional</v>
      </c>
      <c r="M2046" s="51" t="s">
        <v>523</v>
      </c>
    </row>
    <row r="2047" spans="1:13" x14ac:dyDescent="0.25">
      <c r="A2047">
        <v>120</v>
      </c>
      <c r="B2047" s="47" t="str">
        <f>VLOOKUP(Tabla6[[#This Row],['# Vuelo]],'Validacion reclamo de equipaje'!P:Q,2,0)</f>
        <v>MEXICO AEREO</v>
      </c>
      <c r="C2047" s="52">
        <v>0.42708333333333331</v>
      </c>
      <c r="D2047" s="52">
        <v>0.43402777777777773</v>
      </c>
      <c r="E2047" s="53">
        <f>'Reclamo de equipaje rediseñado'!$D2047-'Reclamo de equipaje rediseñado'!$C2047</f>
        <v>6.9444444444444198E-3</v>
      </c>
      <c r="F2047" s="52">
        <v>0.43611111111111112</v>
      </c>
      <c r="G2047" s="53">
        <f t="shared" si="31"/>
        <v>2.0833333333333814E-3</v>
      </c>
      <c r="H2047" s="54">
        <v>41733</v>
      </c>
      <c r="I2047" s="55" t="s">
        <v>558</v>
      </c>
      <c r="J2047" s="55" t="s">
        <v>554</v>
      </c>
      <c r="K2047" s="55">
        <f>VLOOKUP(J2047,'Validacion reclamo de equipaje'!L:M,2,0)</f>
        <v>189</v>
      </c>
      <c r="L2047" s="55" t="str">
        <f>VLOOKUP(I2047,'Validacion reclamo de equipaje'!H:I,2,0)</f>
        <v>Internacional</v>
      </c>
      <c r="M2047" s="55" t="s">
        <v>523</v>
      </c>
    </row>
    <row r="2048" spans="1:13" x14ac:dyDescent="0.25">
      <c r="A2048">
        <v>120</v>
      </c>
      <c r="B2048" s="47" t="str">
        <f>VLOOKUP(Tabla6[[#This Row],['# Vuelo]],'Validacion reclamo de equipaje'!P:Q,2,0)</f>
        <v>MEXICO AEREO</v>
      </c>
      <c r="C2048" s="48">
        <v>0.41875000000000001</v>
      </c>
      <c r="D2048" s="48">
        <v>0.4291666666666667</v>
      </c>
      <c r="E2048" s="49">
        <f>'Reclamo de equipaje rediseñado'!$D2048-'Reclamo de equipaje rediseñado'!$C2048</f>
        <v>1.0416666666666685E-2</v>
      </c>
      <c r="F2048" s="48">
        <v>0.43402777777777773</v>
      </c>
      <c r="G2048" s="49">
        <f t="shared" si="31"/>
        <v>4.8611111111110383E-3</v>
      </c>
      <c r="H2048" s="50">
        <v>41735</v>
      </c>
      <c r="I2048" s="51" t="s">
        <v>558</v>
      </c>
      <c r="J2048" s="51" t="s">
        <v>554</v>
      </c>
      <c r="K2048" s="51">
        <f>VLOOKUP(J2048,'Validacion reclamo de equipaje'!L:M,2,0)</f>
        <v>189</v>
      </c>
      <c r="L2048" s="51" t="str">
        <f>VLOOKUP(I2048,'Validacion reclamo de equipaje'!H:I,2,0)</f>
        <v>Internacional</v>
      </c>
      <c r="M2048" s="51" t="s">
        <v>523</v>
      </c>
    </row>
    <row r="2049" spans="1:13" x14ac:dyDescent="0.25">
      <c r="A2049">
        <v>120</v>
      </c>
      <c r="B2049" s="47" t="str">
        <f>VLOOKUP(Tabla6[[#This Row],['# Vuelo]],'Validacion reclamo de equipaje'!P:Q,2,0)</f>
        <v>MEXICO AEREO</v>
      </c>
      <c r="C2049" s="52">
        <v>0.41666666666666669</v>
      </c>
      <c r="D2049" s="52">
        <v>0.42499999999999999</v>
      </c>
      <c r="E2049" s="53">
        <f>'Reclamo de equipaje rediseñado'!$D2049-'Reclamo de equipaje rediseñado'!$C2049</f>
        <v>8.3333333333333037E-3</v>
      </c>
      <c r="F2049" s="52">
        <v>0.43333333333333335</v>
      </c>
      <c r="G2049" s="53">
        <f t="shared" si="31"/>
        <v>8.3333333333333592E-3</v>
      </c>
      <c r="H2049" s="54">
        <v>41737</v>
      </c>
      <c r="I2049" s="55" t="s">
        <v>558</v>
      </c>
      <c r="J2049" s="55" t="s">
        <v>554</v>
      </c>
      <c r="K2049" s="55">
        <f>VLOOKUP(J2049,'Validacion reclamo de equipaje'!L:M,2,0)</f>
        <v>189</v>
      </c>
      <c r="L2049" s="55" t="str">
        <f>VLOOKUP(I2049,'Validacion reclamo de equipaje'!H:I,2,0)</f>
        <v>Internacional</v>
      </c>
      <c r="M2049" s="55" t="s">
        <v>523</v>
      </c>
    </row>
    <row r="2050" spans="1:13" x14ac:dyDescent="0.25">
      <c r="A2050">
        <v>120</v>
      </c>
      <c r="B2050" s="47" t="str">
        <f>VLOOKUP(Tabla6[[#This Row],['# Vuelo]],'Validacion reclamo de equipaje'!P:Q,2,0)</f>
        <v>MEXICO AEREO</v>
      </c>
      <c r="C2050" s="48">
        <v>0.42708333333333331</v>
      </c>
      <c r="D2050" s="48">
        <v>0.42986111111111108</v>
      </c>
      <c r="E2050" s="49">
        <f>'Reclamo de equipaje rediseñado'!$D2050-'Reclamo de equipaje rediseñado'!$C2050</f>
        <v>2.7777777777777679E-3</v>
      </c>
      <c r="F2050" s="48">
        <v>0.43402777777777773</v>
      </c>
      <c r="G2050" s="49">
        <f t="shared" si="31"/>
        <v>4.1666666666666519E-3</v>
      </c>
      <c r="H2050" s="50">
        <v>41738</v>
      </c>
      <c r="I2050" s="51" t="s">
        <v>558</v>
      </c>
      <c r="J2050" s="51" t="s">
        <v>554</v>
      </c>
      <c r="K2050" s="51">
        <f>VLOOKUP(J2050,'Validacion reclamo de equipaje'!L:M,2,0)</f>
        <v>189</v>
      </c>
      <c r="L2050" s="51" t="str">
        <f>VLOOKUP(I2050,'Validacion reclamo de equipaje'!H:I,2,0)</f>
        <v>Internacional</v>
      </c>
      <c r="M2050" s="51" t="s">
        <v>523</v>
      </c>
    </row>
    <row r="2051" spans="1:13" x14ac:dyDescent="0.25">
      <c r="A2051">
        <v>120</v>
      </c>
      <c r="B2051" s="47" t="str">
        <f>VLOOKUP(Tabla6[[#This Row],['# Vuelo]],'Validacion reclamo de equipaje'!P:Q,2,0)</f>
        <v>MEXICO AEREO</v>
      </c>
      <c r="C2051" s="52">
        <v>0.42638888888888887</v>
      </c>
      <c r="D2051" s="52">
        <v>0.4375</v>
      </c>
      <c r="E2051" s="53">
        <f>'Reclamo de equipaje rediseñado'!$D2051-'Reclamo de equipaje rediseñado'!$C2051</f>
        <v>1.1111111111111127E-2</v>
      </c>
      <c r="F2051" s="52">
        <v>0.44444444444444442</v>
      </c>
      <c r="G2051" s="53">
        <f t="shared" ref="G2051:G2114" si="32">F2051-D2051</f>
        <v>6.9444444444444198E-3</v>
      </c>
      <c r="H2051" s="54">
        <v>41739</v>
      </c>
      <c r="I2051" s="55" t="s">
        <v>558</v>
      </c>
      <c r="J2051" s="55" t="s">
        <v>554</v>
      </c>
      <c r="K2051" s="55">
        <f>VLOOKUP(J2051,'Validacion reclamo de equipaje'!L:M,2,0)</f>
        <v>189</v>
      </c>
      <c r="L2051" s="55" t="str">
        <f>VLOOKUP(I2051,'Validacion reclamo de equipaje'!H:I,2,0)</f>
        <v>Internacional</v>
      </c>
      <c r="M2051" s="55" t="s">
        <v>523</v>
      </c>
    </row>
    <row r="2052" spans="1:13" x14ac:dyDescent="0.25">
      <c r="A2052">
        <v>120</v>
      </c>
      <c r="B2052" s="47" t="str">
        <f>VLOOKUP(Tabla6[[#This Row],['# Vuelo]],'Validacion reclamo de equipaje'!P:Q,2,0)</f>
        <v>MEXICO AEREO</v>
      </c>
      <c r="C2052" s="48">
        <v>0.42708333333333331</v>
      </c>
      <c r="D2052" s="48">
        <v>0.43402777777777773</v>
      </c>
      <c r="E2052" s="49">
        <f>'Reclamo de equipaje rediseñado'!$D2052-'Reclamo de equipaje rediseñado'!$C2052</f>
        <v>6.9444444444444198E-3</v>
      </c>
      <c r="F2052" s="48">
        <v>0.44027777777777777</v>
      </c>
      <c r="G2052" s="49">
        <f t="shared" si="32"/>
        <v>6.2500000000000333E-3</v>
      </c>
      <c r="H2052" s="50">
        <v>41741</v>
      </c>
      <c r="I2052" s="51" t="s">
        <v>558</v>
      </c>
      <c r="J2052" s="51" t="s">
        <v>554</v>
      </c>
      <c r="K2052" s="51">
        <f>VLOOKUP(J2052,'Validacion reclamo de equipaje'!L:M,2,0)</f>
        <v>189</v>
      </c>
      <c r="L2052" s="51" t="str">
        <f>VLOOKUP(I2052,'Validacion reclamo de equipaje'!H:I,2,0)</f>
        <v>Internacional</v>
      </c>
      <c r="M2052" s="51" t="s">
        <v>523</v>
      </c>
    </row>
    <row r="2053" spans="1:13" x14ac:dyDescent="0.25">
      <c r="A2053">
        <v>120</v>
      </c>
      <c r="B2053" s="47" t="str">
        <f>VLOOKUP(Tabla6[[#This Row],['# Vuelo]],'Validacion reclamo de equipaje'!P:Q,2,0)</f>
        <v>MEXICO AEREO</v>
      </c>
      <c r="C2053" s="52">
        <v>0.45277777777777778</v>
      </c>
      <c r="D2053" s="52">
        <v>0.45833333333333331</v>
      </c>
      <c r="E2053" s="53">
        <f>'Reclamo de equipaje rediseñado'!$D2053-'Reclamo de equipaje rediseñado'!$C2053</f>
        <v>5.5555555555555358E-3</v>
      </c>
      <c r="F2053" s="52">
        <v>0.46388888888888885</v>
      </c>
      <c r="G2053" s="53">
        <f t="shared" si="32"/>
        <v>5.5555555555555358E-3</v>
      </c>
      <c r="H2053" s="54">
        <v>41742</v>
      </c>
      <c r="I2053" s="55" t="s">
        <v>558</v>
      </c>
      <c r="J2053" s="55" t="s">
        <v>554</v>
      </c>
      <c r="K2053" s="55">
        <f>VLOOKUP(J2053,'Validacion reclamo de equipaje'!L:M,2,0)</f>
        <v>189</v>
      </c>
      <c r="L2053" s="55" t="str">
        <f>VLOOKUP(I2053,'Validacion reclamo de equipaje'!H:I,2,0)</f>
        <v>Internacional</v>
      </c>
      <c r="M2053" s="55" t="s">
        <v>523</v>
      </c>
    </row>
    <row r="2054" spans="1:13" x14ac:dyDescent="0.25">
      <c r="A2054">
        <v>120</v>
      </c>
      <c r="B2054" s="47" t="str">
        <f>VLOOKUP(Tabla6[[#This Row],['# Vuelo]],'Validacion reclamo de equipaje'!P:Q,2,0)</f>
        <v>MEXICO AEREO</v>
      </c>
      <c r="C2054" s="48">
        <v>0.4201388888888889</v>
      </c>
      <c r="D2054" s="48">
        <v>0.42499999999999999</v>
      </c>
      <c r="E2054" s="49">
        <f>'Reclamo de equipaje rediseñado'!$D2054-'Reclamo de equipaje rediseñado'!$C2054</f>
        <v>4.8611111111110938E-3</v>
      </c>
      <c r="F2054" s="48">
        <v>0.43055555555555558</v>
      </c>
      <c r="G2054" s="49">
        <f t="shared" si="32"/>
        <v>5.5555555555555913E-3</v>
      </c>
      <c r="H2054" s="50">
        <v>41743</v>
      </c>
      <c r="I2054" s="51" t="s">
        <v>558</v>
      </c>
      <c r="J2054" s="51" t="s">
        <v>554</v>
      </c>
      <c r="K2054" s="51">
        <f>VLOOKUP(J2054,'Validacion reclamo de equipaje'!L:M,2,0)</f>
        <v>189</v>
      </c>
      <c r="L2054" s="51" t="str">
        <f>VLOOKUP(I2054,'Validacion reclamo de equipaje'!H:I,2,0)</f>
        <v>Internacional</v>
      </c>
      <c r="M2054" s="51" t="s">
        <v>523</v>
      </c>
    </row>
    <row r="2055" spans="1:13" x14ac:dyDescent="0.25">
      <c r="A2055">
        <v>120</v>
      </c>
      <c r="B2055" s="47" t="str">
        <f>VLOOKUP(Tabla6[[#This Row],['# Vuelo]],'Validacion reclamo de equipaje'!P:Q,2,0)</f>
        <v>MEXICO AEREO</v>
      </c>
      <c r="C2055" s="52">
        <v>0.42638888888888887</v>
      </c>
      <c r="D2055" s="52">
        <v>0.43124999999999997</v>
      </c>
      <c r="E2055" s="53">
        <f>'Reclamo de equipaje rediseñado'!$D2055-'Reclamo de equipaje rediseñado'!$C2055</f>
        <v>4.8611111111110938E-3</v>
      </c>
      <c r="F2055" s="52">
        <v>0.44097222222222227</v>
      </c>
      <c r="G2055" s="53">
        <f t="shared" si="32"/>
        <v>9.7222222222222987E-3</v>
      </c>
      <c r="H2055" s="54">
        <v>41745</v>
      </c>
      <c r="I2055" s="55" t="s">
        <v>558</v>
      </c>
      <c r="J2055" s="55" t="s">
        <v>554</v>
      </c>
      <c r="K2055" s="55">
        <f>VLOOKUP(J2055,'Validacion reclamo de equipaje'!L:M,2,0)</f>
        <v>189</v>
      </c>
      <c r="L2055" s="55" t="str">
        <f>VLOOKUP(I2055,'Validacion reclamo de equipaje'!H:I,2,0)</f>
        <v>Internacional</v>
      </c>
      <c r="M2055" s="55" t="s">
        <v>523</v>
      </c>
    </row>
    <row r="2056" spans="1:13" x14ac:dyDescent="0.25">
      <c r="A2056">
        <v>120</v>
      </c>
      <c r="B2056" s="47" t="str">
        <f>VLOOKUP(Tabla6[[#This Row],['# Vuelo]],'Validacion reclamo de equipaje'!P:Q,2,0)</f>
        <v>MEXICO AEREO</v>
      </c>
      <c r="C2056" s="48">
        <v>0.42430555555555555</v>
      </c>
      <c r="D2056" s="48">
        <v>0.43263888888888885</v>
      </c>
      <c r="E2056" s="49">
        <f>'Reclamo de equipaje rediseñado'!$D2056-'Reclamo de equipaje rediseñado'!$C2056</f>
        <v>8.3333333333333037E-3</v>
      </c>
      <c r="F2056" s="48">
        <v>0.44236111111111115</v>
      </c>
      <c r="G2056" s="49">
        <f t="shared" si="32"/>
        <v>9.7222222222222987E-3</v>
      </c>
      <c r="H2056" s="50">
        <v>41746</v>
      </c>
      <c r="I2056" s="51" t="s">
        <v>558</v>
      </c>
      <c r="J2056" s="51" t="s">
        <v>554</v>
      </c>
      <c r="K2056" s="51">
        <f>VLOOKUP(J2056,'Validacion reclamo de equipaje'!L:M,2,0)</f>
        <v>189</v>
      </c>
      <c r="L2056" s="51" t="str">
        <f>VLOOKUP(I2056,'Validacion reclamo de equipaje'!H:I,2,0)</f>
        <v>Internacional</v>
      </c>
      <c r="M2056" s="51" t="s">
        <v>523</v>
      </c>
    </row>
    <row r="2057" spans="1:13" x14ac:dyDescent="0.25">
      <c r="A2057">
        <v>120</v>
      </c>
      <c r="B2057" s="47" t="str">
        <f>VLOOKUP(Tabla6[[#This Row],['# Vuelo]],'Validacion reclamo de equipaje'!P:Q,2,0)</f>
        <v>MEXICO AEREO</v>
      </c>
      <c r="C2057" s="52">
        <v>0.40972222222222227</v>
      </c>
      <c r="D2057" s="52">
        <v>0.41736111111111113</v>
      </c>
      <c r="E2057" s="53">
        <f>'Reclamo de equipaje rediseñado'!$D2057-'Reclamo de equipaje rediseñado'!$C2057</f>
        <v>7.6388888888888618E-3</v>
      </c>
      <c r="F2057" s="52">
        <v>0.42569444444444443</v>
      </c>
      <c r="G2057" s="53">
        <f t="shared" si="32"/>
        <v>8.3333333333333037E-3</v>
      </c>
      <c r="H2057" s="54">
        <v>41747</v>
      </c>
      <c r="I2057" s="55" t="s">
        <v>558</v>
      </c>
      <c r="J2057" s="55" t="s">
        <v>554</v>
      </c>
      <c r="K2057" s="55">
        <f>VLOOKUP(J2057,'Validacion reclamo de equipaje'!L:M,2,0)</f>
        <v>189</v>
      </c>
      <c r="L2057" s="55" t="str">
        <f>VLOOKUP(I2057,'Validacion reclamo de equipaje'!H:I,2,0)</f>
        <v>Internacional</v>
      </c>
      <c r="M2057" s="55" t="s">
        <v>523</v>
      </c>
    </row>
    <row r="2058" spans="1:13" x14ac:dyDescent="0.25">
      <c r="A2058">
        <v>120</v>
      </c>
      <c r="B2058" s="47" t="str">
        <f>VLOOKUP(Tabla6[[#This Row],['# Vuelo]],'Validacion reclamo de equipaje'!P:Q,2,0)</f>
        <v>MEXICO AEREO</v>
      </c>
      <c r="C2058" s="48">
        <v>0.41666666666666669</v>
      </c>
      <c r="D2058" s="48">
        <v>0.42569444444444443</v>
      </c>
      <c r="E2058" s="49">
        <f>'Reclamo de equipaje rediseñado'!$D2058-'Reclamo de equipaje rediseñado'!$C2058</f>
        <v>9.0277777777777457E-3</v>
      </c>
      <c r="F2058" s="48">
        <v>0.43194444444444446</v>
      </c>
      <c r="G2058" s="49">
        <f t="shared" si="32"/>
        <v>6.2500000000000333E-3</v>
      </c>
      <c r="H2058" s="50">
        <v>41748</v>
      </c>
      <c r="I2058" s="51" t="s">
        <v>558</v>
      </c>
      <c r="J2058" s="51" t="s">
        <v>554</v>
      </c>
      <c r="K2058" s="51">
        <f>VLOOKUP(J2058,'Validacion reclamo de equipaje'!L:M,2,0)</f>
        <v>189</v>
      </c>
      <c r="L2058" s="51" t="str">
        <f>VLOOKUP(I2058,'Validacion reclamo de equipaje'!H:I,2,0)</f>
        <v>Internacional</v>
      </c>
      <c r="M2058" s="51" t="s">
        <v>523</v>
      </c>
    </row>
    <row r="2059" spans="1:13" x14ac:dyDescent="0.25">
      <c r="A2059">
        <v>120</v>
      </c>
      <c r="B2059" s="47" t="str">
        <f>VLOOKUP(Tabla6[[#This Row],['# Vuelo]],'Validacion reclamo de equipaje'!P:Q,2,0)</f>
        <v>MEXICO AEREO</v>
      </c>
      <c r="C2059" s="52">
        <v>0.42222222222222222</v>
      </c>
      <c r="D2059" s="52">
        <v>0.42499999999999999</v>
      </c>
      <c r="E2059" s="53">
        <f>'Reclamo de equipaje rediseñado'!$D2059-'Reclamo de equipaje rediseñado'!$C2059</f>
        <v>2.7777777777777679E-3</v>
      </c>
      <c r="F2059" s="52">
        <v>0.43333333333333335</v>
      </c>
      <c r="G2059" s="53">
        <f t="shared" si="32"/>
        <v>8.3333333333333592E-3</v>
      </c>
      <c r="H2059" s="54">
        <v>41749</v>
      </c>
      <c r="I2059" s="55" t="s">
        <v>558</v>
      </c>
      <c r="J2059" s="55" t="s">
        <v>554</v>
      </c>
      <c r="K2059" s="55">
        <f>VLOOKUP(J2059,'Validacion reclamo de equipaje'!L:M,2,0)</f>
        <v>189</v>
      </c>
      <c r="L2059" s="55" t="str">
        <f>VLOOKUP(I2059,'Validacion reclamo de equipaje'!H:I,2,0)</f>
        <v>Internacional</v>
      </c>
      <c r="M2059" s="55" t="s">
        <v>523</v>
      </c>
    </row>
    <row r="2060" spans="1:13" x14ac:dyDescent="0.25">
      <c r="A2060">
        <v>120</v>
      </c>
      <c r="B2060" s="47" t="str">
        <f>VLOOKUP(Tabla6[[#This Row],['# Vuelo]],'Validacion reclamo de equipaje'!P:Q,2,0)</f>
        <v>MEXICO AEREO</v>
      </c>
      <c r="C2060" s="48">
        <v>0.4236111111111111</v>
      </c>
      <c r="D2060" s="48">
        <v>0.43194444444444446</v>
      </c>
      <c r="E2060" s="49">
        <f>'Reclamo de equipaje rediseñado'!$D2060-'Reclamo de equipaje rediseñado'!$C2060</f>
        <v>8.3333333333333592E-3</v>
      </c>
      <c r="F2060" s="48">
        <v>0.4375</v>
      </c>
      <c r="G2060" s="49">
        <f t="shared" si="32"/>
        <v>5.5555555555555358E-3</v>
      </c>
      <c r="H2060" s="50">
        <v>41750</v>
      </c>
      <c r="I2060" s="51" t="s">
        <v>558</v>
      </c>
      <c r="J2060" s="51" t="s">
        <v>554</v>
      </c>
      <c r="K2060" s="51">
        <f>VLOOKUP(J2060,'Validacion reclamo de equipaje'!L:M,2,0)</f>
        <v>189</v>
      </c>
      <c r="L2060" s="51" t="str">
        <f>VLOOKUP(I2060,'Validacion reclamo de equipaje'!H:I,2,0)</f>
        <v>Internacional</v>
      </c>
      <c r="M2060" s="51" t="s">
        <v>523</v>
      </c>
    </row>
    <row r="2061" spans="1:13" x14ac:dyDescent="0.25">
      <c r="A2061">
        <v>120</v>
      </c>
      <c r="B2061" s="47" t="str">
        <f>VLOOKUP(Tabla6[[#This Row],['# Vuelo]],'Validacion reclamo de equipaje'!P:Q,2,0)</f>
        <v>MEXICO AEREO</v>
      </c>
      <c r="C2061" s="52">
        <v>0.4201388888888889</v>
      </c>
      <c r="D2061" s="52">
        <v>0.42777777777777781</v>
      </c>
      <c r="E2061" s="53">
        <f>'Reclamo de equipaje rediseñado'!$D2061-'Reclamo de equipaje rediseñado'!$C2061</f>
        <v>7.6388888888889173E-3</v>
      </c>
      <c r="F2061" s="52">
        <v>0.43611111111111112</v>
      </c>
      <c r="G2061" s="53">
        <f t="shared" si="32"/>
        <v>8.3333333333333037E-3</v>
      </c>
      <c r="H2061" s="54">
        <v>41751</v>
      </c>
      <c r="I2061" s="55" t="s">
        <v>558</v>
      </c>
      <c r="J2061" s="55" t="s">
        <v>554</v>
      </c>
      <c r="K2061" s="55">
        <f>VLOOKUP(J2061,'Validacion reclamo de equipaje'!L:M,2,0)</f>
        <v>189</v>
      </c>
      <c r="L2061" s="55" t="str">
        <f>VLOOKUP(I2061,'Validacion reclamo de equipaje'!H:I,2,0)</f>
        <v>Internacional</v>
      </c>
      <c r="M2061" s="55" t="s">
        <v>523</v>
      </c>
    </row>
    <row r="2062" spans="1:13" x14ac:dyDescent="0.25">
      <c r="A2062">
        <v>120</v>
      </c>
      <c r="B2062" s="47" t="str">
        <f>VLOOKUP(Tabla6[[#This Row],['# Vuelo]],'Validacion reclamo de equipaje'!P:Q,2,0)</f>
        <v>MEXICO AEREO</v>
      </c>
      <c r="C2062" s="48">
        <v>0.41875000000000001</v>
      </c>
      <c r="D2062" s="48">
        <v>0.42708333333333331</v>
      </c>
      <c r="E2062" s="49">
        <f>'Reclamo de equipaje rediseñado'!$D2062-'Reclamo de equipaje rediseñado'!$C2062</f>
        <v>8.3333333333333037E-3</v>
      </c>
      <c r="F2062" s="48">
        <v>0.43194444444444446</v>
      </c>
      <c r="G2062" s="49">
        <f t="shared" si="32"/>
        <v>4.8611111111111494E-3</v>
      </c>
      <c r="H2062" s="50">
        <v>41753</v>
      </c>
      <c r="I2062" s="51" t="s">
        <v>558</v>
      </c>
      <c r="J2062" s="51" t="s">
        <v>554</v>
      </c>
      <c r="K2062" s="51">
        <f>VLOOKUP(J2062,'Validacion reclamo de equipaje'!L:M,2,0)</f>
        <v>189</v>
      </c>
      <c r="L2062" s="51" t="str">
        <f>VLOOKUP(I2062,'Validacion reclamo de equipaje'!H:I,2,0)</f>
        <v>Internacional</v>
      </c>
      <c r="M2062" s="51" t="s">
        <v>523</v>
      </c>
    </row>
    <row r="2063" spans="1:13" x14ac:dyDescent="0.25">
      <c r="A2063">
        <v>120</v>
      </c>
      <c r="B2063" s="47" t="str">
        <f>VLOOKUP(Tabla6[[#This Row],['# Vuelo]],'Validacion reclamo de equipaje'!P:Q,2,0)</f>
        <v>MEXICO AEREO</v>
      </c>
      <c r="C2063" s="52">
        <v>0.4284722222222222</v>
      </c>
      <c r="D2063" s="52">
        <v>0.43194444444444446</v>
      </c>
      <c r="E2063" s="53">
        <f>'Reclamo de equipaje rediseñado'!$D2063-'Reclamo de equipaje rediseñado'!$C2063</f>
        <v>3.4722222222222654E-3</v>
      </c>
      <c r="F2063" s="52">
        <v>0.44166666666666665</v>
      </c>
      <c r="G2063" s="53">
        <f t="shared" si="32"/>
        <v>9.7222222222221877E-3</v>
      </c>
      <c r="H2063" s="54">
        <v>41756</v>
      </c>
      <c r="I2063" s="55" t="s">
        <v>558</v>
      </c>
      <c r="J2063" s="55" t="s">
        <v>554</v>
      </c>
      <c r="K2063" s="55">
        <f>VLOOKUP(J2063,'Validacion reclamo de equipaje'!L:M,2,0)</f>
        <v>189</v>
      </c>
      <c r="L2063" s="55" t="str">
        <f>VLOOKUP(I2063,'Validacion reclamo de equipaje'!H:I,2,0)</f>
        <v>Internacional</v>
      </c>
      <c r="M2063" s="55" t="s">
        <v>523</v>
      </c>
    </row>
    <row r="2064" spans="1:13" x14ac:dyDescent="0.25">
      <c r="A2064">
        <v>120</v>
      </c>
      <c r="B2064" s="47" t="str">
        <f>VLOOKUP(Tabla6[[#This Row],['# Vuelo]],'Validacion reclamo de equipaje'!P:Q,2,0)</f>
        <v>MEXICO AEREO</v>
      </c>
      <c r="C2064" s="48">
        <v>0.42777777777777781</v>
      </c>
      <c r="D2064" s="48">
        <v>0.43263888888888885</v>
      </c>
      <c r="E2064" s="49">
        <f>'Reclamo de equipaje rediseñado'!$D2064-'Reclamo de equipaje rediseñado'!$C2064</f>
        <v>4.8611111111110383E-3</v>
      </c>
      <c r="F2064" s="48">
        <v>0.44375000000000003</v>
      </c>
      <c r="G2064" s="49">
        <f t="shared" si="32"/>
        <v>1.1111111111111183E-2</v>
      </c>
      <c r="H2064" s="50">
        <v>41758</v>
      </c>
      <c r="I2064" s="51" t="s">
        <v>558</v>
      </c>
      <c r="J2064" s="51" t="s">
        <v>554</v>
      </c>
      <c r="K2064" s="51">
        <f>VLOOKUP(J2064,'Validacion reclamo de equipaje'!L:M,2,0)</f>
        <v>189</v>
      </c>
      <c r="L2064" s="51" t="str">
        <f>VLOOKUP(I2064,'Validacion reclamo de equipaje'!H:I,2,0)</f>
        <v>Internacional</v>
      </c>
      <c r="M2064" s="51" t="s">
        <v>523</v>
      </c>
    </row>
    <row r="2065" spans="1:13" x14ac:dyDescent="0.25">
      <c r="A2065">
        <v>120</v>
      </c>
      <c r="B2065" s="47" t="str">
        <f>VLOOKUP(Tabla6[[#This Row],['# Vuelo]],'Validacion reclamo de equipaje'!P:Q,2,0)</f>
        <v>MEXICO AEREO</v>
      </c>
      <c r="C2065" s="52">
        <v>0.42152777777777778</v>
      </c>
      <c r="D2065" s="52">
        <v>0.43055555555555558</v>
      </c>
      <c r="E2065" s="53">
        <f>'Reclamo de equipaje rediseñado'!$D2065-'Reclamo de equipaje rediseñado'!$C2065</f>
        <v>9.0277777777778012E-3</v>
      </c>
      <c r="F2065" s="52">
        <v>0.44097222222222227</v>
      </c>
      <c r="G2065" s="53">
        <f t="shared" si="32"/>
        <v>1.0416666666666685E-2</v>
      </c>
      <c r="H2065" s="54">
        <v>41759</v>
      </c>
      <c r="I2065" s="55" t="s">
        <v>558</v>
      </c>
      <c r="J2065" s="55" t="s">
        <v>554</v>
      </c>
      <c r="K2065" s="55">
        <f>VLOOKUP(J2065,'Validacion reclamo de equipaje'!L:M,2,0)</f>
        <v>189</v>
      </c>
      <c r="L2065" s="55" t="str">
        <f>VLOOKUP(I2065,'Validacion reclamo de equipaje'!H:I,2,0)</f>
        <v>Internacional</v>
      </c>
      <c r="M2065" s="55" t="s">
        <v>523</v>
      </c>
    </row>
    <row r="2066" spans="1:13" x14ac:dyDescent="0.25">
      <c r="A2066">
        <v>108</v>
      </c>
      <c r="B2066" s="47" t="str">
        <f>VLOOKUP(Tabla6[[#This Row],['# Vuelo]],'Validacion reclamo de equipaje'!P:Q,2,0)</f>
        <v>MEXICO AEREO</v>
      </c>
      <c r="C2066" s="48">
        <v>0.50208333333333333</v>
      </c>
      <c r="D2066" s="48">
        <v>0.50763888888888886</v>
      </c>
      <c r="E2066" s="49">
        <f>'Reclamo de equipaje rediseñado'!$D2066-'Reclamo de equipaje rediseñado'!$C2066</f>
        <v>5.5555555555555358E-3</v>
      </c>
      <c r="F2066" s="48">
        <v>0.51111111111111118</v>
      </c>
      <c r="G2066" s="49">
        <f t="shared" si="32"/>
        <v>3.4722222222223209E-3</v>
      </c>
      <c r="H2066" s="50">
        <v>41730</v>
      </c>
      <c r="I2066" s="51" t="s">
        <v>536</v>
      </c>
      <c r="J2066" s="51" t="s">
        <v>560</v>
      </c>
      <c r="K2066" s="51">
        <f>VLOOKUP(J2066,'Validacion reclamo de equipaje'!L:M,2,0)</f>
        <v>126</v>
      </c>
      <c r="L2066" s="51" t="str">
        <f>VLOOKUP(I2066,'Validacion reclamo de equipaje'!H:I,2,0)</f>
        <v>Nacional</v>
      </c>
      <c r="M2066" s="51" t="s">
        <v>523</v>
      </c>
    </row>
    <row r="2067" spans="1:13" x14ac:dyDescent="0.25">
      <c r="A2067">
        <v>108</v>
      </c>
      <c r="B2067" s="47" t="str">
        <f>VLOOKUP(Tabla6[[#This Row],['# Vuelo]],'Validacion reclamo de equipaje'!P:Q,2,0)</f>
        <v>MEXICO AEREO</v>
      </c>
      <c r="C2067" s="52">
        <v>0.52152777777777781</v>
      </c>
      <c r="D2067" s="52">
        <v>0.52916666666666667</v>
      </c>
      <c r="E2067" s="53">
        <f>'Reclamo de equipaje rediseñado'!$D2067-'Reclamo de equipaje rediseñado'!$C2067</f>
        <v>7.6388888888888618E-3</v>
      </c>
      <c r="F2067" s="52">
        <v>0.53472222222222221</v>
      </c>
      <c r="G2067" s="53">
        <f t="shared" si="32"/>
        <v>5.5555555555555358E-3</v>
      </c>
      <c r="H2067" s="54">
        <v>41731</v>
      </c>
      <c r="I2067" s="55" t="s">
        <v>536</v>
      </c>
      <c r="J2067" s="55" t="s">
        <v>560</v>
      </c>
      <c r="K2067" s="55">
        <f>VLOOKUP(J2067,'Validacion reclamo de equipaje'!L:M,2,0)</f>
        <v>126</v>
      </c>
      <c r="L2067" s="55" t="str">
        <f>VLOOKUP(I2067,'Validacion reclamo de equipaje'!H:I,2,0)</f>
        <v>Nacional</v>
      </c>
      <c r="M2067" s="55" t="s">
        <v>523</v>
      </c>
    </row>
    <row r="2068" spans="1:13" x14ac:dyDescent="0.25">
      <c r="A2068">
        <v>108</v>
      </c>
      <c r="B2068" s="47" t="str">
        <f>VLOOKUP(Tabla6[[#This Row],['# Vuelo]],'Validacion reclamo de equipaje'!P:Q,2,0)</f>
        <v>MEXICO AEREO</v>
      </c>
      <c r="C2068" s="48">
        <v>0.51388888888888895</v>
      </c>
      <c r="D2068" s="48">
        <v>0.5180555555555556</v>
      </c>
      <c r="E2068" s="49">
        <f>'Reclamo de equipaje rediseñado'!$D2068-'Reclamo de equipaje rediseñado'!$C2068</f>
        <v>4.1666666666666519E-3</v>
      </c>
      <c r="F2068" s="48">
        <v>0.52430555555555558</v>
      </c>
      <c r="G2068" s="49">
        <f t="shared" si="32"/>
        <v>6.2499999999999778E-3</v>
      </c>
      <c r="H2068" s="50">
        <v>41732</v>
      </c>
      <c r="I2068" s="51" t="s">
        <v>536</v>
      </c>
      <c r="J2068" s="51" t="s">
        <v>560</v>
      </c>
      <c r="K2068" s="51">
        <f>VLOOKUP(J2068,'Validacion reclamo de equipaje'!L:M,2,0)</f>
        <v>126</v>
      </c>
      <c r="L2068" s="51" t="str">
        <f>VLOOKUP(I2068,'Validacion reclamo de equipaje'!H:I,2,0)</f>
        <v>Nacional</v>
      </c>
      <c r="M2068" s="51" t="s">
        <v>523</v>
      </c>
    </row>
    <row r="2069" spans="1:13" x14ac:dyDescent="0.25">
      <c r="A2069">
        <v>108</v>
      </c>
      <c r="B2069" s="47" t="str">
        <f>VLOOKUP(Tabla6[[#This Row],['# Vuelo]],'Validacion reclamo de equipaje'!P:Q,2,0)</f>
        <v>MEXICO AEREO</v>
      </c>
      <c r="C2069" s="52">
        <v>0.50347222222222221</v>
      </c>
      <c r="D2069" s="52">
        <v>0.5083333333333333</v>
      </c>
      <c r="E2069" s="53">
        <f>'Reclamo de equipaje rediseñado'!$D2069-'Reclamo de equipaje rediseñado'!$C2069</f>
        <v>4.8611111111110938E-3</v>
      </c>
      <c r="F2069" s="52">
        <v>0.51527777777777783</v>
      </c>
      <c r="G2069" s="53">
        <f t="shared" si="32"/>
        <v>6.9444444444445308E-3</v>
      </c>
      <c r="H2069" s="54">
        <v>41733</v>
      </c>
      <c r="I2069" s="55" t="s">
        <v>536</v>
      </c>
      <c r="J2069" s="55" t="s">
        <v>560</v>
      </c>
      <c r="K2069" s="55">
        <f>VLOOKUP(J2069,'Validacion reclamo de equipaje'!L:M,2,0)</f>
        <v>126</v>
      </c>
      <c r="L2069" s="55" t="str">
        <f>VLOOKUP(I2069,'Validacion reclamo de equipaje'!H:I,2,0)</f>
        <v>Nacional</v>
      </c>
      <c r="M2069" s="55" t="s">
        <v>523</v>
      </c>
    </row>
    <row r="2070" spans="1:13" x14ac:dyDescent="0.25">
      <c r="A2070">
        <v>108</v>
      </c>
      <c r="B2070" s="47" t="str">
        <f>VLOOKUP(Tabla6[[#This Row],['# Vuelo]],'Validacion reclamo de equipaje'!P:Q,2,0)</f>
        <v>MEXICO AEREO</v>
      </c>
      <c r="C2070" s="48">
        <v>0.51180555555555551</v>
      </c>
      <c r="D2070" s="48">
        <v>0.51666666666666672</v>
      </c>
      <c r="E2070" s="49">
        <f>'Reclamo de equipaje rediseñado'!$D2070-'Reclamo de equipaje rediseñado'!$C2070</f>
        <v>4.8611111111112049E-3</v>
      </c>
      <c r="F2070" s="48">
        <v>0.52222222222222225</v>
      </c>
      <c r="G2070" s="49">
        <f t="shared" si="32"/>
        <v>5.5555555555555358E-3</v>
      </c>
      <c r="H2070" s="50">
        <v>41735</v>
      </c>
      <c r="I2070" s="51" t="s">
        <v>536</v>
      </c>
      <c r="J2070" s="51" t="s">
        <v>560</v>
      </c>
      <c r="K2070" s="51">
        <f>VLOOKUP(J2070,'Validacion reclamo de equipaje'!L:M,2,0)</f>
        <v>126</v>
      </c>
      <c r="L2070" s="51" t="str">
        <f>VLOOKUP(I2070,'Validacion reclamo de equipaje'!H:I,2,0)</f>
        <v>Nacional</v>
      </c>
      <c r="M2070" s="51" t="s">
        <v>523</v>
      </c>
    </row>
    <row r="2071" spans="1:13" x14ac:dyDescent="0.25">
      <c r="A2071">
        <v>108</v>
      </c>
      <c r="B2071" s="47" t="str">
        <f>VLOOKUP(Tabla6[[#This Row],['# Vuelo]],'Validacion reclamo de equipaje'!P:Q,2,0)</f>
        <v>MEXICO AEREO</v>
      </c>
      <c r="C2071" s="52">
        <v>0.50416666666666665</v>
      </c>
      <c r="D2071" s="52">
        <v>0.51041666666666663</v>
      </c>
      <c r="E2071" s="53">
        <f>'Reclamo de equipaje rediseñado'!$D2071-'Reclamo de equipaje rediseñado'!$C2071</f>
        <v>6.2499999999999778E-3</v>
      </c>
      <c r="F2071" s="52">
        <v>0.51458333333333328</v>
      </c>
      <c r="G2071" s="53">
        <f t="shared" si="32"/>
        <v>4.1666666666666519E-3</v>
      </c>
      <c r="H2071" s="54">
        <v>41737</v>
      </c>
      <c r="I2071" s="55" t="s">
        <v>536</v>
      </c>
      <c r="J2071" s="55" t="s">
        <v>560</v>
      </c>
      <c r="K2071" s="55">
        <f>VLOOKUP(J2071,'Validacion reclamo de equipaje'!L:M,2,0)</f>
        <v>126</v>
      </c>
      <c r="L2071" s="55" t="str">
        <f>VLOOKUP(I2071,'Validacion reclamo de equipaje'!H:I,2,0)</f>
        <v>Nacional</v>
      </c>
      <c r="M2071" s="55" t="s">
        <v>523</v>
      </c>
    </row>
    <row r="2072" spans="1:13" x14ac:dyDescent="0.25">
      <c r="A2072">
        <v>108</v>
      </c>
      <c r="B2072" s="47" t="str">
        <f>VLOOKUP(Tabla6[[#This Row],['# Vuelo]],'Validacion reclamo de equipaje'!P:Q,2,0)</f>
        <v>MEXICO AEREO</v>
      </c>
      <c r="C2072" s="48">
        <v>0.5131944444444444</v>
      </c>
      <c r="D2072" s="48">
        <v>0.51874999999999993</v>
      </c>
      <c r="E2072" s="49">
        <f>'Reclamo de equipaje rediseñado'!$D2072-'Reclamo de equipaje rediseñado'!$C2072</f>
        <v>5.5555555555555358E-3</v>
      </c>
      <c r="F2072" s="48">
        <v>0.52222222222222225</v>
      </c>
      <c r="G2072" s="49">
        <f t="shared" si="32"/>
        <v>3.4722222222223209E-3</v>
      </c>
      <c r="H2072" s="50">
        <v>41738</v>
      </c>
      <c r="I2072" s="51" t="s">
        <v>536</v>
      </c>
      <c r="J2072" s="51" t="s">
        <v>560</v>
      </c>
      <c r="K2072" s="51">
        <f>VLOOKUP(J2072,'Validacion reclamo de equipaje'!L:M,2,0)</f>
        <v>126</v>
      </c>
      <c r="L2072" s="51" t="str">
        <f>VLOOKUP(I2072,'Validacion reclamo de equipaje'!H:I,2,0)</f>
        <v>Nacional</v>
      </c>
      <c r="M2072" s="51" t="s">
        <v>523</v>
      </c>
    </row>
    <row r="2073" spans="1:13" x14ac:dyDescent="0.25">
      <c r="A2073">
        <v>108</v>
      </c>
      <c r="B2073" s="47" t="str">
        <f>VLOOKUP(Tabla6[[#This Row],['# Vuelo]],'Validacion reclamo de equipaje'!P:Q,2,0)</f>
        <v>MEXICO AEREO</v>
      </c>
      <c r="C2073" s="52">
        <v>0.51388888888888895</v>
      </c>
      <c r="D2073" s="52">
        <v>0.51874999999999993</v>
      </c>
      <c r="E2073" s="53">
        <f>'Reclamo de equipaje rediseñado'!$D2073-'Reclamo de equipaje rediseñado'!$C2073</f>
        <v>4.8611111111109828E-3</v>
      </c>
      <c r="F2073" s="52">
        <v>0.52638888888888891</v>
      </c>
      <c r="G2073" s="53">
        <f t="shared" si="32"/>
        <v>7.6388888888889728E-3</v>
      </c>
      <c r="H2073" s="54">
        <v>41739</v>
      </c>
      <c r="I2073" s="55" t="s">
        <v>536</v>
      </c>
      <c r="J2073" s="55" t="s">
        <v>560</v>
      </c>
      <c r="K2073" s="55">
        <f>VLOOKUP(J2073,'Validacion reclamo de equipaje'!L:M,2,0)</f>
        <v>126</v>
      </c>
      <c r="L2073" s="55" t="str">
        <f>VLOOKUP(I2073,'Validacion reclamo de equipaje'!H:I,2,0)</f>
        <v>Nacional</v>
      </c>
      <c r="M2073" s="55" t="s">
        <v>523</v>
      </c>
    </row>
    <row r="2074" spans="1:13" x14ac:dyDescent="0.25">
      <c r="A2074">
        <v>108</v>
      </c>
      <c r="B2074" s="47" t="str">
        <f>VLOOKUP(Tabla6[[#This Row],['# Vuelo]],'Validacion reclamo de equipaje'!P:Q,2,0)</f>
        <v>MEXICO AEREO</v>
      </c>
      <c r="C2074" s="48">
        <v>0.50208333333333333</v>
      </c>
      <c r="D2074" s="48">
        <v>0.50763888888888886</v>
      </c>
      <c r="E2074" s="49">
        <f>'Reclamo de equipaje rediseñado'!$D2074-'Reclamo de equipaje rediseñado'!$C2074</f>
        <v>5.5555555555555358E-3</v>
      </c>
      <c r="F2074" s="48">
        <v>0.51111111111111118</v>
      </c>
      <c r="G2074" s="49">
        <f t="shared" si="32"/>
        <v>3.4722222222223209E-3</v>
      </c>
      <c r="H2074" s="50">
        <v>41742</v>
      </c>
      <c r="I2074" s="51" t="s">
        <v>536</v>
      </c>
      <c r="J2074" s="51" t="s">
        <v>560</v>
      </c>
      <c r="K2074" s="51">
        <f>VLOOKUP(J2074,'Validacion reclamo de equipaje'!L:M,2,0)</f>
        <v>126</v>
      </c>
      <c r="L2074" s="51" t="str">
        <f>VLOOKUP(I2074,'Validacion reclamo de equipaje'!H:I,2,0)</f>
        <v>Nacional</v>
      </c>
      <c r="M2074" s="51" t="s">
        <v>523</v>
      </c>
    </row>
    <row r="2075" spans="1:13" x14ac:dyDescent="0.25">
      <c r="A2075">
        <v>108</v>
      </c>
      <c r="B2075" s="47" t="str">
        <f>VLOOKUP(Tabla6[[#This Row],['# Vuelo]],'Validacion reclamo de equipaje'!P:Q,2,0)</f>
        <v>MEXICO AEREO</v>
      </c>
      <c r="C2075" s="52">
        <v>0.50624999999999998</v>
      </c>
      <c r="D2075" s="52">
        <v>0.51180555555555551</v>
      </c>
      <c r="E2075" s="53">
        <f>'Reclamo de equipaje rediseñado'!$D2075-'Reclamo de equipaje rediseñado'!$C2075</f>
        <v>5.5555555555555358E-3</v>
      </c>
      <c r="F2075" s="52">
        <v>0.51527777777777783</v>
      </c>
      <c r="G2075" s="53">
        <f t="shared" si="32"/>
        <v>3.4722222222223209E-3</v>
      </c>
      <c r="H2075" s="54">
        <v>41744</v>
      </c>
      <c r="I2075" s="55" t="s">
        <v>536</v>
      </c>
      <c r="J2075" s="55" t="s">
        <v>560</v>
      </c>
      <c r="K2075" s="55">
        <f>VLOOKUP(J2075,'Validacion reclamo de equipaje'!L:M,2,0)</f>
        <v>126</v>
      </c>
      <c r="L2075" s="55" t="str">
        <f>VLOOKUP(I2075,'Validacion reclamo de equipaje'!H:I,2,0)</f>
        <v>Nacional</v>
      </c>
      <c r="M2075" s="55" t="s">
        <v>523</v>
      </c>
    </row>
    <row r="2076" spans="1:13" x14ac:dyDescent="0.25">
      <c r="A2076">
        <v>108</v>
      </c>
      <c r="B2076" s="47" t="str">
        <f>VLOOKUP(Tabla6[[#This Row],['# Vuelo]],'Validacion reclamo de equipaje'!P:Q,2,0)</f>
        <v>MEXICO AEREO</v>
      </c>
      <c r="C2076" s="48">
        <v>0.51388888888888895</v>
      </c>
      <c r="D2076" s="48">
        <v>0.51944444444444449</v>
      </c>
      <c r="E2076" s="49">
        <f>'Reclamo de equipaje rediseñado'!$D2076-'Reclamo de equipaje rediseñado'!$C2076</f>
        <v>5.5555555555555358E-3</v>
      </c>
      <c r="F2076" s="48">
        <v>0.52222222222222225</v>
      </c>
      <c r="G2076" s="49">
        <f t="shared" si="32"/>
        <v>2.7777777777777679E-3</v>
      </c>
      <c r="H2076" s="50">
        <v>41745</v>
      </c>
      <c r="I2076" s="51" t="s">
        <v>536</v>
      </c>
      <c r="J2076" s="51" t="s">
        <v>560</v>
      </c>
      <c r="K2076" s="51">
        <f>VLOOKUP(J2076,'Validacion reclamo de equipaje'!L:M,2,0)</f>
        <v>126</v>
      </c>
      <c r="L2076" s="51" t="str">
        <f>VLOOKUP(I2076,'Validacion reclamo de equipaje'!H:I,2,0)</f>
        <v>Nacional</v>
      </c>
      <c r="M2076" s="51" t="s">
        <v>523</v>
      </c>
    </row>
    <row r="2077" spans="1:13" x14ac:dyDescent="0.25">
      <c r="A2077">
        <v>108</v>
      </c>
      <c r="B2077" s="47" t="str">
        <f>VLOOKUP(Tabla6[[#This Row],['# Vuelo]],'Validacion reclamo de equipaje'!P:Q,2,0)</f>
        <v>MEXICO AEREO</v>
      </c>
      <c r="C2077" s="52">
        <v>0.51388888888888895</v>
      </c>
      <c r="D2077" s="52">
        <v>0.5180555555555556</v>
      </c>
      <c r="E2077" s="53">
        <f>'Reclamo de equipaje rediseñado'!$D2077-'Reclamo de equipaje rediseñado'!$C2077</f>
        <v>4.1666666666666519E-3</v>
      </c>
      <c r="F2077" s="52">
        <v>0.53194444444444444</v>
      </c>
      <c r="G2077" s="53">
        <f t="shared" si="32"/>
        <v>1.388888888888884E-2</v>
      </c>
      <c r="H2077" s="54">
        <v>41746</v>
      </c>
      <c r="I2077" s="55" t="s">
        <v>536</v>
      </c>
      <c r="J2077" s="55" t="s">
        <v>560</v>
      </c>
      <c r="K2077" s="55">
        <f>VLOOKUP(J2077,'Validacion reclamo de equipaje'!L:M,2,0)</f>
        <v>126</v>
      </c>
      <c r="L2077" s="55" t="str">
        <f>VLOOKUP(I2077,'Validacion reclamo de equipaje'!H:I,2,0)</f>
        <v>Nacional</v>
      </c>
      <c r="M2077" s="55" t="s">
        <v>523</v>
      </c>
    </row>
    <row r="2078" spans="1:13" x14ac:dyDescent="0.25">
      <c r="A2078">
        <v>108</v>
      </c>
      <c r="B2078" s="47" t="str">
        <f>VLOOKUP(Tabla6[[#This Row],['# Vuelo]],'Validacion reclamo de equipaje'!P:Q,2,0)</f>
        <v>MEXICO AEREO</v>
      </c>
      <c r="C2078" s="48">
        <v>0.50347222222222221</v>
      </c>
      <c r="D2078" s="48">
        <v>0.51736111111111105</v>
      </c>
      <c r="E2078" s="49">
        <f>'Reclamo de equipaje rediseñado'!$D2078-'Reclamo de equipaje rediseñado'!$C2078</f>
        <v>1.388888888888884E-2</v>
      </c>
      <c r="F2078" s="48">
        <v>0.52777777777777779</v>
      </c>
      <c r="G2078" s="49">
        <f t="shared" si="32"/>
        <v>1.0416666666666741E-2</v>
      </c>
      <c r="H2078" s="50">
        <v>41750</v>
      </c>
      <c r="I2078" s="51" t="s">
        <v>536</v>
      </c>
      <c r="J2078" s="51" t="s">
        <v>560</v>
      </c>
      <c r="K2078" s="51">
        <f>VLOOKUP(J2078,'Validacion reclamo de equipaje'!L:M,2,0)</f>
        <v>126</v>
      </c>
      <c r="L2078" s="51" t="str">
        <f>VLOOKUP(I2078,'Validacion reclamo de equipaje'!H:I,2,0)</f>
        <v>Nacional</v>
      </c>
      <c r="M2078" s="51" t="s">
        <v>523</v>
      </c>
    </row>
    <row r="2079" spans="1:13" x14ac:dyDescent="0.25">
      <c r="A2079">
        <v>108</v>
      </c>
      <c r="B2079" s="47" t="str">
        <f>VLOOKUP(Tabla6[[#This Row],['# Vuelo]],'Validacion reclamo de equipaje'!P:Q,2,0)</f>
        <v>MEXICO AEREO</v>
      </c>
      <c r="C2079" s="52">
        <v>0.50416666666666665</v>
      </c>
      <c r="D2079" s="52">
        <v>0.50972222222222219</v>
      </c>
      <c r="E2079" s="53">
        <f>'Reclamo de equipaje rediseñado'!$D2079-'Reclamo de equipaje rediseñado'!$C2079</f>
        <v>5.5555555555555358E-3</v>
      </c>
      <c r="F2079" s="52">
        <v>0.5131944444444444</v>
      </c>
      <c r="G2079" s="53">
        <f t="shared" si="32"/>
        <v>3.4722222222222099E-3</v>
      </c>
      <c r="H2079" s="54">
        <v>41758</v>
      </c>
      <c r="I2079" s="55" t="s">
        <v>536</v>
      </c>
      <c r="J2079" s="55" t="s">
        <v>560</v>
      </c>
      <c r="K2079" s="55">
        <f>VLOOKUP(J2079,'Validacion reclamo de equipaje'!L:M,2,0)</f>
        <v>126</v>
      </c>
      <c r="L2079" s="55" t="str">
        <f>VLOOKUP(I2079,'Validacion reclamo de equipaje'!H:I,2,0)</f>
        <v>Nacional</v>
      </c>
      <c r="M2079" s="55" t="s">
        <v>523</v>
      </c>
    </row>
    <row r="2080" spans="1:13" x14ac:dyDescent="0.25">
      <c r="A2080">
        <v>108</v>
      </c>
      <c r="B2080" s="47" t="str">
        <f>VLOOKUP(Tabla6[[#This Row],['# Vuelo]],'Validacion reclamo de equipaje'!P:Q,2,0)</f>
        <v>MEXICO AEREO</v>
      </c>
      <c r="C2080" s="48">
        <v>0.34027777777777773</v>
      </c>
      <c r="D2080" s="48">
        <v>0.35902777777777778</v>
      </c>
      <c r="E2080" s="49">
        <f>'Reclamo de equipaje rediseñado'!$D2080-'Reclamo de equipaje rediseñado'!$C2080</f>
        <v>1.8750000000000044E-2</v>
      </c>
      <c r="F2080" s="48">
        <v>0.36805555555555558</v>
      </c>
      <c r="G2080" s="49">
        <f t="shared" si="32"/>
        <v>9.0277777777778012E-3</v>
      </c>
      <c r="H2080" s="50">
        <v>41737</v>
      </c>
      <c r="I2080" s="51" t="s">
        <v>536</v>
      </c>
      <c r="J2080" s="51" t="s">
        <v>560</v>
      </c>
      <c r="K2080" s="51">
        <f>VLOOKUP(J2080,'Validacion reclamo de equipaje'!L:M,2,0)</f>
        <v>126</v>
      </c>
      <c r="L2080" s="51" t="str">
        <f>VLOOKUP(I2080,'Validacion reclamo de equipaje'!H:I,2,0)</f>
        <v>Nacional</v>
      </c>
      <c r="M2080" s="51" t="s">
        <v>523</v>
      </c>
    </row>
    <row r="2081" spans="1:13" x14ac:dyDescent="0.25">
      <c r="A2081">
        <v>104</v>
      </c>
      <c r="B2081" s="47" t="str">
        <f>VLOOKUP(Tabla6[[#This Row],['# Vuelo]],'Validacion reclamo de equipaje'!P:Q,2,0)</f>
        <v>MEXICO AEREO</v>
      </c>
      <c r="C2081" s="52">
        <v>0.47291666666666665</v>
      </c>
      <c r="D2081" s="52">
        <v>0.47916666666666669</v>
      </c>
      <c r="E2081" s="53">
        <f>'Reclamo de equipaje rediseñado'!$D2081-'Reclamo de equipaje rediseñado'!$C2081</f>
        <v>6.2500000000000333E-3</v>
      </c>
      <c r="F2081" s="52">
        <v>0.48194444444444445</v>
      </c>
      <c r="G2081" s="53">
        <f t="shared" si="32"/>
        <v>2.7777777777777679E-3</v>
      </c>
      <c r="H2081" s="54">
        <v>41730</v>
      </c>
      <c r="I2081" s="55" t="s">
        <v>536</v>
      </c>
      <c r="J2081" s="55" t="s">
        <v>565</v>
      </c>
      <c r="K2081" s="55">
        <f>VLOOKUP(J2081,'Validacion reclamo de equipaje'!L:M,2,0)</f>
        <v>99</v>
      </c>
      <c r="L2081" s="55" t="str">
        <f>VLOOKUP(I2081,'Validacion reclamo de equipaje'!H:I,2,0)</f>
        <v>Nacional</v>
      </c>
      <c r="M2081" s="55" t="s">
        <v>523</v>
      </c>
    </row>
    <row r="2082" spans="1:13" x14ac:dyDescent="0.25">
      <c r="A2082">
        <v>104</v>
      </c>
      <c r="B2082" s="47" t="str">
        <f>VLOOKUP(Tabla6[[#This Row],['# Vuelo]],'Validacion reclamo de equipaje'!P:Q,2,0)</f>
        <v>MEXICO AEREO</v>
      </c>
      <c r="C2082" s="48">
        <v>0.46666666666666662</v>
      </c>
      <c r="D2082" s="48">
        <v>0.47291666666666665</v>
      </c>
      <c r="E2082" s="49">
        <f>'Reclamo de equipaje rediseñado'!$D2082-'Reclamo de equipaje rediseñado'!$C2082</f>
        <v>6.2500000000000333E-3</v>
      </c>
      <c r="F2082" s="48">
        <v>0.47916666666666669</v>
      </c>
      <c r="G2082" s="49">
        <f t="shared" si="32"/>
        <v>6.2500000000000333E-3</v>
      </c>
      <c r="H2082" s="50">
        <v>41731</v>
      </c>
      <c r="I2082" s="51" t="s">
        <v>536</v>
      </c>
      <c r="J2082" s="51" t="s">
        <v>565</v>
      </c>
      <c r="K2082" s="51">
        <f>VLOOKUP(J2082,'Validacion reclamo de equipaje'!L:M,2,0)</f>
        <v>99</v>
      </c>
      <c r="L2082" s="51" t="str">
        <f>VLOOKUP(I2082,'Validacion reclamo de equipaje'!H:I,2,0)</f>
        <v>Nacional</v>
      </c>
      <c r="M2082" s="51" t="s">
        <v>523</v>
      </c>
    </row>
    <row r="2083" spans="1:13" x14ac:dyDescent="0.25">
      <c r="A2083">
        <v>104</v>
      </c>
      <c r="B2083" s="47" t="str">
        <f>VLOOKUP(Tabla6[[#This Row],['# Vuelo]],'Validacion reclamo de equipaje'!P:Q,2,0)</f>
        <v>MEXICO AEREO</v>
      </c>
      <c r="C2083" s="52">
        <v>0.4680555555555555</v>
      </c>
      <c r="D2083" s="52">
        <v>0.47222222222222227</v>
      </c>
      <c r="E2083" s="53">
        <f>'Reclamo de equipaje rediseñado'!$D2083-'Reclamo de equipaje rediseñado'!$C2083</f>
        <v>4.1666666666667629E-3</v>
      </c>
      <c r="F2083" s="52">
        <v>0.47986111111111113</v>
      </c>
      <c r="G2083" s="53">
        <f t="shared" si="32"/>
        <v>7.6388888888888618E-3</v>
      </c>
      <c r="H2083" s="54">
        <v>41733</v>
      </c>
      <c r="I2083" s="55" t="s">
        <v>536</v>
      </c>
      <c r="J2083" s="55" t="s">
        <v>565</v>
      </c>
      <c r="K2083" s="55">
        <f>VLOOKUP(J2083,'Validacion reclamo de equipaje'!L:M,2,0)</f>
        <v>99</v>
      </c>
      <c r="L2083" s="55" t="str">
        <f>VLOOKUP(I2083,'Validacion reclamo de equipaje'!H:I,2,0)</f>
        <v>Nacional</v>
      </c>
      <c r="M2083" s="55" t="s">
        <v>523</v>
      </c>
    </row>
    <row r="2084" spans="1:13" x14ac:dyDescent="0.25">
      <c r="A2084">
        <v>104</v>
      </c>
      <c r="B2084" s="47" t="str">
        <f>VLOOKUP(Tabla6[[#This Row],['# Vuelo]],'Validacion reclamo de equipaje'!P:Q,2,0)</f>
        <v>MEXICO AEREO</v>
      </c>
      <c r="C2084" s="48">
        <v>0.46527777777777773</v>
      </c>
      <c r="D2084" s="48">
        <v>0.47291666666666665</v>
      </c>
      <c r="E2084" s="49">
        <f>'Reclamo de equipaje rediseñado'!$D2084-'Reclamo de equipaje rediseñado'!$C2084</f>
        <v>7.6388888888889173E-3</v>
      </c>
      <c r="F2084" s="48">
        <v>0.4777777777777778</v>
      </c>
      <c r="G2084" s="49">
        <f t="shared" si="32"/>
        <v>4.8611111111111494E-3</v>
      </c>
      <c r="H2084" s="50">
        <v>41735</v>
      </c>
      <c r="I2084" s="51" t="s">
        <v>536</v>
      </c>
      <c r="J2084" s="51" t="s">
        <v>565</v>
      </c>
      <c r="K2084" s="51">
        <f>VLOOKUP(J2084,'Validacion reclamo de equipaje'!L:M,2,0)</f>
        <v>99</v>
      </c>
      <c r="L2084" s="51" t="str">
        <f>VLOOKUP(I2084,'Validacion reclamo de equipaje'!H:I,2,0)</f>
        <v>Nacional</v>
      </c>
      <c r="M2084" s="51" t="s">
        <v>523</v>
      </c>
    </row>
    <row r="2085" spans="1:13" x14ac:dyDescent="0.25">
      <c r="A2085">
        <v>104</v>
      </c>
      <c r="B2085" s="47" t="str">
        <f>VLOOKUP(Tabla6[[#This Row],['# Vuelo]],'Validacion reclamo de equipaje'!P:Q,2,0)</f>
        <v>MEXICO AEREO</v>
      </c>
      <c r="C2085" s="52">
        <v>0.47430555555555554</v>
      </c>
      <c r="D2085" s="52">
        <v>0.47916666666666669</v>
      </c>
      <c r="E2085" s="53">
        <f>'Reclamo de equipaje rediseñado'!$D2085-'Reclamo de equipaje rediseñado'!$C2085</f>
        <v>4.8611111111111494E-3</v>
      </c>
      <c r="F2085" s="52">
        <v>0.4861111111111111</v>
      </c>
      <c r="G2085" s="53">
        <f t="shared" si="32"/>
        <v>6.9444444444444198E-3</v>
      </c>
      <c r="H2085" s="54">
        <v>41737</v>
      </c>
      <c r="I2085" s="55" t="s">
        <v>536</v>
      </c>
      <c r="J2085" s="55" t="s">
        <v>565</v>
      </c>
      <c r="K2085" s="55">
        <f>VLOOKUP(J2085,'Validacion reclamo de equipaje'!L:M,2,0)</f>
        <v>99</v>
      </c>
      <c r="L2085" s="55" t="str">
        <f>VLOOKUP(I2085,'Validacion reclamo de equipaje'!H:I,2,0)</f>
        <v>Nacional</v>
      </c>
      <c r="M2085" s="55" t="s">
        <v>523</v>
      </c>
    </row>
    <row r="2086" spans="1:13" x14ac:dyDescent="0.25">
      <c r="A2086">
        <v>104</v>
      </c>
      <c r="B2086" s="47" t="str">
        <f>VLOOKUP(Tabla6[[#This Row],['# Vuelo]],'Validacion reclamo de equipaje'!P:Q,2,0)</f>
        <v>MEXICO AEREO</v>
      </c>
      <c r="C2086" s="48">
        <v>0.47500000000000003</v>
      </c>
      <c r="D2086" s="48">
        <v>0.47847222222222219</v>
      </c>
      <c r="E2086" s="49">
        <f>'Reclamo de equipaje rediseñado'!$D2086-'Reclamo de equipaje rediseñado'!$C2086</f>
        <v>3.4722222222221544E-3</v>
      </c>
      <c r="F2086" s="48">
        <v>0.4826388888888889</v>
      </c>
      <c r="G2086" s="49">
        <f t="shared" si="32"/>
        <v>4.1666666666667074E-3</v>
      </c>
      <c r="H2086" s="50">
        <v>41738</v>
      </c>
      <c r="I2086" s="51" t="s">
        <v>536</v>
      </c>
      <c r="J2086" s="51" t="s">
        <v>565</v>
      </c>
      <c r="K2086" s="51">
        <f>VLOOKUP(J2086,'Validacion reclamo de equipaje'!L:M,2,0)</f>
        <v>99</v>
      </c>
      <c r="L2086" s="51" t="str">
        <f>VLOOKUP(I2086,'Validacion reclamo de equipaje'!H:I,2,0)</f>
        <v>Nacional</v>
      </c>
      <c r="M2086" s="51" t="s">
        <v>523</v>
      </c>
    </row>
    <row r="2087" spans="1:13" x14ac:dyDescent="0.25">
      <c r="A2087">
        <v>104</v>
      </c>
      <c r="B2087" s="47" t="str">
        <f>VLOOKUP(Tabla6[[#This Row],['# Vuelo]],'Validacion reclamo de equipaje'!P:Q,2,0)</f>
        <v>MEXICO AEREO</v>
      </c>
      <c r="C2087" s="52">
        <v>0.47291666666666665</v>
      </c>
      <c r="D2087" s="52">
        <v>0.47916666666666669</v>
      </c>
      <c r="E2087" s="53">
        <f>'Reclamo de equipaje rediseñado'!$D2087-'Reclamo de equipaje rediseñado'!$C2087</f>
        <v>6.2500000000000333E-3</v>
      </c>
      <c r="F2087" s="52">
        <v>0.48194444444444445</v>
      </c>
      <c r="G2087" s="53">
        <f t="shared" si="32"/>
        <v>2.7777777777777679E-3</v>
      </c>
      <c r="H2087" s="54">
        <v>41742</v>
      </c>
      <c r="I2087" s="55" t="s">
        <v>536</v>
      </c>
      <c r="J2087" s="55" t="s">
        <v>565</v>
      </c>
      <c r="K2087" s="55">
        <f>VLOOKUP(J2087,'Validacion reclamo de equipaje'!L:M,2,0)</f>
        <v>99</v>
      </c>
      <c r="L2087" s="55" t="str">
        <f>VLOOKUP(I2087,'Validacion reclamo de equipaje'!H:I,2,0)</f>
        <v>Nacional</v>
      </c>
      <c r="M2087" s="55" t="s">
        <v>523</v>
      </c>
    </row>
    <row r="2088" spans="1:13" x14ac:dyDescent="0.25">
      <c r="A2088">
        <v>104</v>
      </c>
      <c r="B2088" s="47" t="str">
        <f>VLOOKUP(Tabla6[[#This Row],['# Vuelo]],'Validacion reclamo de equipaje'!P:Q,2,0)</f>
        <v>MEXICO AEREO</v>
      </c>
      <c r="C2088" s="48">
        <v>0.48055555555555557</v>
      </c>
      <c r="D2088" s="48">
        <v>0.48680555555555555</v>
      </c>
      <c r="E2088" s="49">
        <f>'Reclamo de equipaje rediseñado'!$D2088-'Reclamo de equipaje rediseñado'!$C2088</f>
        <v>6.2499999999999778E-3</v>
      </c>
      <c r="F2088" s="48">
        <v>0.49374999999999997</v>
      </c>
      <c r="G2088" s="49">
        <f t="shared" si="32"/>
        <v>6.9444444444444198E-3</v>
      </c>
      <c r="H2088" s="50">
        <v>41743</v>
      </c>
      <c r="I2088" s="51" t="s">
        <v>536</v>
      </c>
      <c r="J2088" s="51" t="s">
        <v>565</v>
      </c>
      <c r="K2088" s="51">
        <f>VLOOKUP(J2088,'Validacion reclamo de equipaje'!L:M,2,0)</f>
        <v>99</v>
      </c>
      <c r="L2088" s="51" t="str">
        <f>VLOOKUP(I2088,'Validacion reclamo de equipaje'!H:I,2,0)</f>
        <v>Nacional</v>
      </c>
      <c r="M2088" s="51" t="s">
        <v>523</v>
      </c>
    </row>
    <row r="2089" spans="1:13" x14ac:dyDescent="0.25">
      <c r="A2089">
        <v>104</v>
      </c>
      <c r="B2089" s="47" t="str">
        <f>VLOOKUP(Tabla6[[#This Row],['# Vuelo]],'Validacion reclamo de equipaje'!P:Q,2,0)</f>
        <v>MEXICO AEREO</v>
      </c>
      <c r="C2089" s="52">
        <v>0.45763888888888887</v>
      </c>
      <c r="D2089" s="52">
        <v>0.46180555555555558</v>
      </c>
      <c r="E2089" s="53">
        <f>'Reclamo de equipaje rediseñado'!$D2089-'Reclamo de equipaje rediseñado'!$C2089</f>
        <v>4.1666666666667074E-3</v>
      </c>
      <c r="F2089" s="52">
        <v>0.4694444444444445</v>
      </c>
      <c r="G2089" s="53">
        <f t="shared" si="32"/>
        <v>7.6388888888889173E-3</v>
      </c>
      <c r="H2089" s="54">
        <v>41744</v>
      </c>
      <c r="I2089" s="55" t="s">
        <v>536</v>
      </c>
      <c r="J2089" s="55" t="s">
        <v>565</v>
      </c>
      <c r="K2089" s="55">
        <f>VLOOKUP(J2089,'Validacion reclamo de equipaje'!L:M,2,0)</f>
        <v>99</v>
      </c>
      <c r="L2089" s="55" t="str">
        <f>VLOOKUP(I2089,'Validacion reclamo de equipaje'!H:I,2,0)</f>
        <v>Nacional</v>
      </c>
      <c r="M2089" s="55" t="s">
        <v>523</v>
      </c>
    </row>
    <row r="2090" spans="1:13" x14ac:dyDescent="0.25">
      <c r="A2090">
        <v>104</v>
      </c>
      <c r="B2090" s="47" t="str">
        <f>VLOOKUP(Tabla6[[#This Row],['# Vuelo]],'Validacion reclamo de equipaje'!P:Q,2,0)</f>
        <v>MEXICO AEREO</v>
      </c>
      <c r="C2090" s="48">
        <v>0.47916666666666669</v>
      </c>
      <c r="D2090" s="48">
        <v>0.48541666666666666</v>
      </c>
      <c r="E2090" s="49">
        <f>'Reclamo de equipaje rediseñado'!$D2090-'Reclamo de equipaje rediseñado'!$C2090</f>
        <v>6.2499999999999778E-3</v>
      </c>
      <c r="F2090" s="48">
        <v>0.48819444444444443</v>
      </c>
      <c r="G2090" s="49">
        <f t="shared" si="32"/>
        <v>2.7777777777777679E-3</v>
      </c>
      <c r="H2090" s="50">
        <v>41745</v>
      </c>
      <c r="I2090" s="51" t="s">
        <v>536</v>
      </c>
      <c r="J2090" s="51" t="s">
        <v>565</v>
      </c>
      <c r="K2090" s="51">
        <f>VLOOKUP(J2090,'Validacion reclamo de equipaje'!L:M,2,0)</f>
        <v>99</v>
      </c>
      <c r="L2090" s="51" t="str">
        <f>VLOOKUP(I2090,'Validacion reclamo de equipaje'!H:I,2,0)</f>
        <v>Nacional</v>
      </c>
      <c r="M2090" s="51" t="s">
        <v>523</v>
      </c>
    </row>
    <row r="2091" spans="1:13" x14ac:dyDescent="0.25">
      <c r="A2091">
        <v>104</v>
      </c>
      <c r="B2091" s="47" t="str">
        <f>VLOOKUP(Tabla6[[#This Row],['# Vuelo]],'Validacion reclamo de equipaje'!P:Q,2,0)</f>
        <v>MEXICO AEREO</v>
      </c>
      <c r="C2091" s="52">
        <v>0.46180555555555558</v>
      </c>
      <c r="D2091" s="52">
        <v>0.46875</v>
      </c>
      <c r="E2091" s="53">
        <f>'Reclamo de equipaje rediseñado'!$D2091-'Reclamo de equipaje rediseñado'!$C2091</f>
        <v>6.9444444444444198E-3</v>
      </c>
      <c r="F2091" s="52">
        <v>0.47222222222222227</v>
      </c>
      <c r="G2091" s="53">
        <f t="shared" si="32"/>
        <v>3.4722222222222654E-3</v>
      </c>
      <c r="H2091" s="54">
        <v>41750</v>
      </c>
      <c r="I2091" s="55" t="s">
        <v>536</v>
      </c>
      <c r="J2091" s="55" t="s">
        <v>565</v>
      </c>
      <c r="K2091" s="55">
        <f>VLOOKUP(J2091,'Validacion reclamo de equipaje'!L:M,2,0)</f>
        <v>99</v>
      </c>
      <c r="L2091" s="55" t="str">
        <f>VLOOKUP(I2091,'Validacion reclamo de equipaje'!H:I,2,0)</f>
        <v>Nacional</v>
      </c>
      <c r="M2091" s="55" t="s">
        <v>523</v>
      </c>
    </row>
    <row r="2092" spans="1:13" x14ac:dyDescent="0.25">
      <c r="A2092">
        <v>104</v>
      </c>
      <c r="B2092" s="47" t="str">
        <f>VLOOKUP(Tabla6[[#This Row],['# Vuelo]],'Validacion reclamo de equipaje'!P:Q,2,0)</f>
        <v>MEXICO AEREO</v>
      </c>
      <c r="C2092" s="48">
        <v>0.46597222222222223</v>
      </c>
      <c r="D2092" s="48">
        <v>0.47291666666666665</v>
      </c>
      <c r="E2092" s="49">
        <f>'Reclamo de equipaje rediseñado'!$D2092-'Reclamo de equipaje rediseñado'!$C2092</f>
        <v>6.9444444444444198E-3</v>
      </c>
      <c r="F2092" s="48">
        <v>0.47916666666666669</v>
      </c>
      <c r="G2092" s="49">
        <f t="shared" si="32"/>
        <v>6.2500000000000333E-3</v>
      </c>
      <c r="H2092" s="50">
        <v>41753</v>
      </c>
      <c r="I2092" s="51" t="s">
        <v>536</v>
      </c>
      <c r="J2092" s="51" t="s">
        <v>565</v>
      </c>
      <c r="K2092" s="51">
        <f>VLOOKUP(J2092,'Validacion reclamo de equipaje'!L:M,2,0)</f>
        <v>99</v>
      </c>
      <c r="L2092" s="51" t="str">
        <f>VLOOKUP(I2092,'Validacion reclamo de equipaje'!H:I,2,0)</f>
        <v>Nacional</v>
      </c>
      <c r="M2092" s="51" t="s">
        <v>523</v>
      </c>
    </row>
    <row r="2093" spans="1:13" x14ac:dyDescent="0.25">
      <c r="A2093">
        <v>104</v>
      </c>
      <c r="B2093" s="47" t="str">
        <f>VLOOKUP(Tabla6[[#This Row],['# Vuelo]],'Validacion reclamo de equipaje'!P:Q,2,0)</f>
        <v>MEXICO AEREO</v>
      </c>
      <c r="C2093" s="52">
        <v>0.48125000000000001</v>
      </c>
      <c r="D2093" s="52">
        <v>0.48958333333333331</v>
      </c>
      <c r="E2093" s="53">
        <f>'Reclamo de equipaje rediseñado'!$D2093-'Reclamo de equipaje rediseñado'!$C2093</f>
        <v>8.3333333333333037E-3</v>
      </c>
      <c r="F2093" s="52">
        <v>0.49305555555555558</v>
      </c>
      <c r="G2093" s="53">
        <f t="shared" si="32"/>
        <v>3.4722222222222654E-3</v>
      </c>
      <c r="H2093" s="54">
        <v>41754</v>
      </c>
      <c r="I2093" s="55" t="s">
        <v>536</v>
      </c>
      <c r="J2093" s="55" t="s">
        <v>565</v>
      </c>
      <c r="K2093" s="55">
        <f>VLOOKUP(J2093,'Validacion reclamo de equipaje'!L:M,2,0)</f>
        <v>99</v>
      </c>
      <c r="L2093" s="55" t="str">
        <f>VLOOKUP(I2093,'Validacion reclamo de equipaje'!H:I,2,0)</f>
        <v>Nacional</v>
      </c>
      <c r="M2093" s="55" t="s">
        <v>523</v>
      </c>
    </row>
    <row r="2094" spans="1:13" x14ac:dyDescent="0.25">
      <c r="A2094">
        <v>104</v>
      </c>
      <c r="B2094" s="47" t="str">
        <f>VLOOKUP(Tabla6[[#This Row],['# Vuelo]],'Validacion reclamo de equipaje'!P:Q,2,0)</f>
        <v>MEXICO AEREO</v>
      </c>
      <c r="C2094" s="48">
        <v>0.46319444444444446</v>
      </c>
      <c r="D2094" s="48">
        <v>0.46875</v>
      </c>
      <c r="E2094" s="49">
        <f>'Reclamo de equipaje rediseñado'!$D2094-'Reclamo de equipaje rediseñado'!$C2094</f>
        <v>5.5555555555555358E-3</v>
      </c>
      <c r="F2094" s="48">
        <v>0.47847222222222219</v>
      </c>
      <c r="G2094" s="49">
        <f t="shared" si="32"/>
        <v>9.7222222222221877E-3</v>
      </c>
      <c r="H2094" s="50">
        <v>41758</v>
      </c>
      <c r="I2094" s="51" t="s">
        <v>536</v>
      </c>
      <c r="J2094" s="51" t="s">
        <v>565</v>
      </c>
      <c r="K2094" s="51">
        <f>VLOOKUP(J2094,'Validacion reclamo de equipaje'!L:M,2,0)</f>
        <v>99</v>
      </c>
      <c r="L2094" s="51" t="str">
        <f>VLOOKUP(I2094,'Validacion reclamo de equipaje'!H:I,2,0)</f>
        <v>Nacional</v>
      </c>
      <c r="M2094" s="51" t="s">
        <v>523</v>
      </c>
    </row>
    <row r="2095" spans="1:13" x14ac:dyDescent="0.25">
      <c r="A2095">
        <v>104</v>
      </c>
      <c r="B2095" s="47" t="str">
        <f>VLOOKUP(Tabla6[[#This Row],['# Vuelo]],'Validacion reclamo de equipaje'!P:Q,2,0)</f>
        <v>MEXICO AEREO</v>
      </c>
      <c r="C2095" s="52">
        <v>0.47222222222222227</v>
      </c>
      <c r="D2095" s="52">
        <v>0.47916666666666669</v>
      </c>
      <c r="E2095" s="53">
        <f>'Reclamo de equipaje rediseñado'!$D2095-'Reclamo de equipaje rediseñado'!$C2095</f>
        <v>6.9444444444444198E-3</v>
      </c>
      <c r="F2095" s="52">
        <v>0.48333333333333334</v>
      </c>
      <c r="G2095" s="53">
        <f t="shared" si="32"/>
        <v>4.1666666666666519E-3</v>
      </c>
      <c r="H2095" s="54">
        <v>41759</v>
      </c>
      <c r="I2095" s="55" t="s">
        <v>536</v>
      </c>
      <c r="J2095" s="55" t="s">
        <v>565</v>
      </c>
      <c r="K2095" s="55">
        <f>VLOOKUP(J2095,'Validacion reclamo de equipaje'!L:M,2,0)</f>
        <v>99</v>
      </c>
      <c r="L2095" s="55" t="str">
        <f>VLOOKUP(I2095,'Validacion reclamo de equipaje'!H:I,2,0)</f>
        <v>Nacional</v>
      </c>
      <c r="M2095" s="55" t="s">
        <v>523</v>
      </c>
    </row>
    <row r="2096" spans="1:13" x14ac:dyDescent="0.25">
      <c r="A2096">
        <v>102</v>
      </c>
      <c r="B2096" s="47" t="str">
        <f>VLOOKUP(Tabla6[[#This Row],['# Vuelo]],'Validacion reclamo de equipaje'!P:Q,2,0)</f>
        <v>MEXICO AEREO</v>
      </c>
      <c r="C2096" s="48">
        <v>0.3298611111111111</v>
      </c>
      <c r="D2096" s="48">
        <v>0.3347222222222222</v>
      </c>
      <c r="E2096" s="49">
        <f>'Reclamo de equipaje rediseñado'!$D2096-'Reclamo de equipaje rediseñado'!$C2096</f>
        <v>4.8611111111110938E-3</v>
      </c>
      <c r="F2096" s="48">
        <v>0.33819444444444446</v>
      </c>
      <c r="G2096" s="49">
        <f t="shared" si="32"/>
        <v>3.4722222222222654E-3</v>
      </c>
      <c r="H2096" s="50">
        <v>41731</v>
      </c>
      <c r="I2096" s="51" t="s">
        <v>536</v>
      </c>
      <c r="J2096" s="51" t="s">
        <v>535</v>
      </c>
      <c r="K2096" s="51">
        <f>VLOOKUP(J2096,'Validacion reclamo de equipaje'!L:M,2,0)</f>
        <v>50</v>
      </c>
      <c r="L2096" s="51" t="str">
        <f>VLOOKUP(I2096,'Validacion reclamo de equipaje'!H:I,2,0)</f>
        <v>Nacional</v>
      </c>
      <c r="M2096" s="51" t="s">
        <v>523</v>
      </c>
    </row>
    <row r="2097" spans="1:13" x14ac:dyDescent="0.25">
      <c r="A2097">
        <v>102</v>
      </c>
      <c r="B2097" s="47" t="str">
        <f>VLOOKUP(Tabla6[[#This Row],['# Vuelo]],'Validacion reclamo de equipaje'!P:Q,2,0)</f>
        <v>MEXICO AEREO</v>
      </c>
      <c r="C2097" s="52">
        <v>0.3666666666666667</v>
      </c>
      <c r="D2097" s="52">
        <v>0.37083333333333335</v>
      </c>
      <c r="E2097" s="53">
        <f>'Reclamo de equipaje rediseñado'!$D2097-'Reclamo de equipaje rediseñado'!$C2097</f>
        <v>4.1666666666666519E-3</v>
      </c>
      <c r="F2097" s="52">
        <v>0.3743055555555555</v>
      </c>
      <c r="G2097" s="53">
        <f t="shared" si="32"/>
        <v>3.4722222222221544E-3</v>
      </c>
      <c r="H2097" s="54">
        <v>41733</v>
      </c>
      <c r="I2097" s="55" t="s">
        <v>536</v>
      </c>
      <c r="J2097" s="55" t="s">
        <v>535</v>
      </c>
      <c r="K2097" s="55">
        <f>VLOOKUP(J2097,'Validacion reclamo de equipaje'!L:M,2,0)</f>
        <v>50</v>
      </c>
      <c r="L2097" s="55" t="str">
        <f>VLOOKUP(I2097,'Validacion reclamo de equipaje'!H:I,2,0)</f>
        <v>Nacional</v>
      </c>
      <c r="M2097" s="55" t="s">
        <v>523</v>
      </c>
    </row>
    <row r="2098" spans="1:13" x14ac:dyDescent="0.25">
      <c r="A2098">
        <v>100</v>
      </c>
      <c r="B2098" s="47" t="str">
        <f>VLOOKUP(Tabla6[[#This Row],['# Vuelo]],'Validacion reclamo de equipaje'!P:Q,2,0)</f>
        <v>MEXICO AEREO</v>
      </c>
      <c r="C2098" s="48">
        <v>0.34375</v>
      </c>
      <c r="D2098" s="48">
        <v>0.34722222222222227</v>
      </c>
      <c r="E2098" s="49">
        <f>'Reclamo de equipaje rediseñado'!$D2098-'Reclamo de equipaje rediseñado'!$C2098</f>
        <v>3.4722222222222654E-3</v>
      </c>
      <c r="F2098" s="48">
        <v>0.35416666666666669</v>
      </c>
      <c r="G2098" s="49">
        <f t="shared" si="32"/>
        <v>6.9444444444444198E-3</v>
      </c>
      <c r="H2098" s="50">
        <v>41730</v>
      </c>
      <c r="I2098" s="51" t="s">
        <v>536</v>
      </c>
      <c r="J2098" s="51" t="s">
        <v>560</v>
      </c>
      <c r="K2098" s="51">
        <f>VLOOKUP(J2098,'Validacion reclamo de equipaje'!L:M,2,0)</f>
        <v>126</v>
      </c>
      <c r="L2098" s="51" t="str">
        <f>VLOOKUP(I2098,'Validacion reclamo de equipaje'!H:I,2,0)</f>
        <v>Nacional</v>
      </c>
      <c r="M2098" s="51" t="s">
        <v>523</v>
      </c>
    </row>
    <row r="2099" spans="1:13" x14ac:dyDescent="0.25">
      <c r="A2099">
        <v>100</v>
      </c>
      <c r="B2099" s="47" t="str">
        <f>VLOOKUP(Tabla6[[#This Row],['# Vuelo]],'Validacion reclamo de equipaje'!P:Q,2,0)</f>
        <v>MEXICO AEREO</v>
      </c>
      <c r="C2099" s="52">
        <v>0.3430555555555555</v>
      </c>
      <c r="D2099" s="52">
        <v>0.35000000000000003</v>
      </c>
      <c r="E2099" s="53">
        <f>'Reclamo de equipaje rediseñado'!$D2099-'Reclamo de equipaje rediseñado'!$C2099</f>
        <v>6.9444444444445308E-3</v>
      </c>
      <c r="F2099" s="52">
        <v>0.35902777777777778</v>
      </c>
      <c r="G2099" s="53">
        <f t="shared" si="32"/>
        <v>9.0277777777777457E-3</v>
      </c>
      <c r="H2099" s="54">
        <v>41731</v>
      </c>
      <c r="I2099" s="55" t="s">
        <v>536</v>
      </c>
      <c r="J2099" s="55" t="s">
        <v>560</v>
      </c>
      <c r="K2099" s="55">
        <f>VLOOKUP(J2099,'Validacion reclamo de equipaje'!L:M,2,0)</f>
        <v>126</v>
      </c>
      <c r="L2099" s="55" t="str">
        <f>VLOOKUP(I2099,'Validacion reclamo de equipaje'!H:I,2,0)</f>
        <v>Nacional</v>
      </c>
      <c r="M2099" s="55" t="s">
        <v>523</v>
      </c>
    </row>
    <row r="2100" spans="1:13" x14ac:dyDescent="0.25">
      <c r="A2100">
        <v>100</v>
      </c>
      <c r="B2100" s="47" t="str">
        <f>VLOOKUP(Tabla6[[#This Row],['# Vuelo]],'Validacion reclamo de equipaje'!P:Q,2,0)</f>
        <v>MEXICO AEREO</v>
      </c>
      <c r="C2100" s="48">
        <v>0.34027777777777773</v>
      </c>
      <c r="D2100" s="48">
        <v>0.34652777777777777</v>
      </c>
      <c r="E2100" s="49">
        <f>'Reclamo de equipaje rediseñado'!$D2100-'Reclamo de equipaje rediseñado'!$C2100</f>
        <v>6.2500000000000333E-3</v>
      </c>
      <c r="F2100" s="48">
        <v>0.3527777777777778</v>
      </c>
      <c r="G2100" s="49">
        <f t="shared" si="32"/>
        <v>6.2500000000000333E-3</v>
      </c>
      <c r="H2100" s="50">
        <v>41732</v>
      </c>
      <c r="I2100" s="51" t="s">
        <v>536</v>
      </c>
      <c r="J2100" s="51" t="s">
        <v>560</v>
      </c>
      <c r="K2100" s="51">
        <f>VLOOKUP(J2100,'Validacion reclamo de equipaje'!L:M,2,0)</f>
        <v>126</v>
      </c>
      <c r="L2100" s="51" t="str">
        <f>VLOOKUP(I2100,'Validacion reclamo de equipaje'!H:I,2,0)</f>
        <v>Nacional</v>
      </c>
      <c r="M2100" s="51" t="s">
        <v>523</v>
      </c>
    </row>
    <row r="2101" spans="1:13" x14ac:dyDescent="0.25">
      <c r="A2101">
        <v>100</v>
      </c>
      <c r="B2101" s="47" t="str">
        <f>VLOOKUP(Tabla6[[#This Row],['# Vuelo]],'Validacion reclamo de equipaje'!P:Q,2,0)</f>
        <v>MEXICO AEREO</v>
      </c>
      <c r="C2101" s="52">
        <v>0.35000000000000003</v>
      </c>
      <c r="D2101" s="52">
        <v>0.35416666666666669</v>
      </c>
      <c r="E2101" s="53">
        <f>'Reclamo de equipaje rediseñado'!$D2101-'Reclamo de equipaje rediseñado'!$C2101</f>
        <v>4.1666666666666519E-3</v>
      </c>
      <c r="F2101" s="52">
        <v>0.36319444444444443</v>
      </c>
      <c r="G2101" s="53">
        <f t="shared" si="32"/>
        <v>9.0277777777777457E-3</v>
      </c>
      <c r="H2101" s="54">
        <v>41733</v>
      </c>
      <c r="I2101" s="55" t="s">
        <v>536</v>
      </c>
      <c r="J2101" s="55" t="s">
        <v>560</v>
      </c>
      <c r="K2101" s="55">
        <f>VLOOKUP(J2101,'Validacion reclamo de equipaje'!L:M,2,0)</f>
        <v>126</v>
      </c>
      <c r="L2101" s="55" t="str">
        <f>VLOOKUP(I2101,'Validacion reclamo de equipaje'!H:I,2,0)</f>
        <v>Nacional</v>
      </c>
      <c r="M2101" s="55" t="s">
        <v>523</v>
      </c>
    </row>
    <row r="2102" spans="1:13" x14ac:dyDescent="0.25">
      <c r="A2102">
        <v>100</v>
      </c>
      <c r="B2102" s="47" t="str">
        <f>VLOOKUP(Tabla6[[#This Row],['# Vuelo]],'Validacion reclamo de equipaje'!P:Q,2,0)</f>
        <v>MEXICO AEREO</v>
      </c>
      <c r="C2102" s="48">
        <v>0.35416666666666669</v>
      </c>
      <c r="D2102" s="48">
        <v>0.35972222222222222</v>
      </c>
      <c r="E2102" s="49">
        <f>'Reclamo de equipaje rediseñado'!$D2102-'Reclamo de equipaje rediseñado'!$C2102</f>
        <v>5.5555555555555358E-3</v>
      </c>
      <c r="F2102" s="48">
        <v>0.36458333333333331</v>
      </c>
      <c r="G2102" s="49">
        <f t="shared" si="32"/>
        <v>4.8611111111110938E-3</v>
      </c>
      <c r="H2102" s="50">
        <v>41738</v>
      </c>
      <c r="I2102" s="51" t="s">
        <v>536</v>
      </c>
      <c r="J2102" s="51" t="s">
        <v>560</v>
      </c>
      <c r="K2102" s="51">
        <f>VLOOKUP(J2102,'Validacion reclamo de equipaje'!L:M,2,0)</f>
        <v>126</v>
      </c>
      <c r="L2102" s="51" t="str">
        <f>VLOOKUP(I2102,'Validacion reclamo de equipaje'!H:I,2,0)</f>
        <v>Nacional</v>
      </c>
      <c r="M2102" s="51" t="s">
        <v>523</v>
      </c>
    </row>
    <row r="2103" spans="1:13" x14ac:dyDescent="0.25">
      <c r="A2103">
        <v>100</v>
      </c>
      <c r="B2103" s="47" t="str">
        <f>VLOOKUP(Tabla6[[#This Row],['# Vuelo]],'Validacion reclamo de equipaje'!P:Q,2,0)</f>
        <v>MEXICO AEREO</v>
      </c>
      <c r="C2103" s="52">
        <v>0.3520833333333333</v>
      </c>
      <c r="D2103" s="52">
        <v>0.35347222222222219</v>
      </c>
      <c r="E2103" s="53">
        <f>'Reclamo de equipaje rediseñado'!$D2103-'Reclamo de equipaje rediseñado'!$C2103</f>
        <v>1.388888888888884E-3</v>
      </c>
      <c r="F2103" s="52">
        <v>0.3611111111111111</v>
      </c>
      <c r="G2103" s="53">
        <f t="shared" si="32"/>
        <v>7.6388888888889173E-3</v>
      </c>
      <c r="H2103" s="54">
        <v>41739</v>
      </c>
      <c r="I2103" s="55" t="s">
        <v>536</v>
      </c>
      <c r="J2103" s="55" t="s">
        <v>560</v>
      </c>
      <c r="K2103" s="55">
        <f>VLOOKUP(J2103,'Validacion reclamo de equipaje'!L:M,2,0)</f>
        <v>126</v>
      </c>
      <c r="L2103" s="55" t="str">
        <f>VLOOKUP(I2103,'Validacion reclamo de equipaje'!H:I,2,0)</f>
        <v>Nacional</v>
      </c>
      <c r="M2103" s="55" t="s">
        <v>523</v>
      </c>
    </row>
    <row r="2104" spans="1:13" x14ac:dyDescent="0.25">
      <c r="A2104">
        <v>100</v>
      </c>
      <c r="B2104" s="47" t="str">
        <f>VLOOKUP(Tabla6[[#This Row],['# Vuelo]],'Validacion reclamo de equipaje'!P:Q,2,0)</f>
        <v>MEXICO AEREO</v>
      </c>
      <c r="C2104" s="48">
        <v>0.3354166666666667</v>
      </c>
      <c r="D2104" s="48">
        <v>0.34097222222222223</v>
      </c>
      <c r="E2104" s="49">
        <f>'Reclamo de equipaje rediseñado'!$D2104-'Reclamo de equipaje rediseñado'!$C2104</f>
        <v>5.5555555555555358E-3</v>
      </c>
      <c r="F2104" s="48">
        <v>0.34722222222222227</v>
      </c>
      <c r="G2104" s="49">
        <f t="shared" si="32"/>
        <v>6.2500000000000333E-3</v>
      </c>
      <c r="H2104" s="50">
        <v>41741</v>
      </c>
      <c r="I2104" s="51" t="s">
        <v>536</v>
      </c>
      <c r="J2104" s="51" t="s">
        <v>560</v>
      </c>
      <c r="K2104" s="51">
        <f>VLOOKUP(J2104,'Validacion reclamo de equipaje'!L:M,2,0)</f>
        <v>126</v>
      </c>
      <c r="L2104" s="51" t="str">
        <f>VLOOKUP(I2104,'Validacion reclamo de equipaje'!H:I,2,0)</f>
        <v>Nacional</v>
      </c>
      <c r="M2104" s="51" t="s">
        <v>523</v>
      </c>
    </row>
    <row r="2105" spans="1:13" x14ac:dyDescent="0.25">
      <c r="A2105">
        <v>100</v>
      </c>
      <c r="B2105" s="47" t="str">
        <f>VLOOKUP(Tabla6[[#This Row],['# Vuelo]],'Validacion reclamo de equipaje'!P:Q,2,0)</f>
        <v>MEXICO AEREO</v>
      </c>
      <c r="C2105" s="52">
        <v>0.34375</v>
      </c>
      <c r="D2105" s="52">
        <v>0.34722222222222227</v>
      </c>
      <c r="E2105" s="53">
        <f>'Reclamo de equipaje rediseñado'!$D2105-'Reclamo de equipaje rediseñado'!$C2105</f>
        <v>3.4722222222222654E-3</v>
      </c>
      <c r="F2105" s="52">
        <v>0.35416666666666669</v>
      </c>
      <c r="G2105" s="53">
        <f t="shared" si="32"/>
        <v>6.9444444444444198E-3</v>
      </c>
      <c r="H2105" s="54">
        <v>41742</v>
      </c>
      <c r="I2105" s="55" t="s">
        <v>536</v>
      </c>
      <c r="J2105" s="55" t="s">
        <v>560</v>
      </c>
      <c r="K2105" s="55">
        <f>VLOOKUP(J2105,'Validacion reclamo de equipaje'!L:M,2,0)</f>
        <v>126</v>
      </c>
      <c r="L2105" s="55" t="str">
        <f>VLOOKUP(I2105,'Validacion reclamo de equipaje'!H:I,2,0)</f>
        <v>Nacional</v>
      </c>
      <c r="M2105" s="55" t="s">
        <v>523</v>
      </c>
    </row>
    <row r="2106" spans="1:13" x14ac:dyDescent="0.25">
      <c r="A2106">
        <v>100</v>
      </c>
      <c r="B2106" s="47" t="str">
        <f>VLOOKUP(Tabla6[[#This Row],['# Vuelo]],'Validacion reclamo de equipaje'!P:Q,2,0)</f>
        <v>MEXICO AEREO</v>
      </c>
      <c r="C2106" s="48">
        <v>0.3576388888888889</v>
      </c>
      <c r="D2106" s="48">
        <v>0.36180555555555555</v>
      </c>
      <c r="E2106" s="49">
        <f>'Reclamo de equipaje rediseñado'!$D2106-'Reclamo de equipaje rediseñado'!$C2106</f>
        <v>4.1666666666666519E-3</v>
      </c>
      <c r="F2106" s="48">
        <v>0.36388888888888887</v>
      </c>
      <c r="G2106" s="49">
        <f t="shared" si="32"/>
        <v>2.0833333333333259E-3</v>
      </c>
      <c r="H2106" s="50">
        <v>41743</v>
      </c>
      <c r="I2106" s="51" t="s">
        <v>536</v>
      </c>
      <c r="J2106" s="51" t="s">
        <v>560</v>
      </c>
      <c r="K2106" s="51">
        <f>VLOOKUP(J2106,'Validacion reclamo de equipaje'!L:M,2,0)</f>
        <v>126</v>
      </c>
      <c r="L2106" s="51" t="str">
        <f>VLOOKUP(I2106,'Validacion reclamo de equipaje'!H:I,2,0)</f>
        <v>Nacional</v>
      </c>
      <c r="M2106" s="51" t="s">
        <v>523</v>
      </c>
    </row>
    <row r="2107" spans="1:13" x14ac:dyDescent="0.25">
      <c r="A2107">
        <v>100</v>
      </c>
      <c r="B2107" s="47" t="str">
        <f>VLOOKUP(Tabla6[[#This Row],['# Vuelo]],'Validacion reclamo de equipaje'!P:Q,2,0)</f>
        <v>MEXICO AEREO</v>
      </c>
      <c r="C2107" s="52">
        <v>0.34861111111111115</v>
      </c>
      <c r="D2107" s="52">
        <v>0.3520833333333333</v>
      </c>
      <c r="E2107" s="53">
        <f>'Reclamo de equipaje rediseñado'!$D2107-'Reclamo de equipaje rediseñado'!$C2107</f>
        <v>3.4722222222221544E-3</v>
      </c>
      <c r="F2107" s="52">
        <v>0.35902777777777778</v>
      </c>
      <c r="G2107" s="53">
        <f t="shared" si="32"/>
        <v>6.9444444444444753E-3</v>
      </c>
      <c r="H2107" s="54">
        <v>41744</v>
      </c>
      <c r="I2107" s="55" t="s">
        <v>536</v>
      </c>
      <c r="J2107" s="55" t="s">
        <v>560</v>
      </c>
      <c r="K2107" s="55">
        <f>VLOOKUP(J2107,'Validacion reclamo de equipaje'!L:M,2,0)</f>
        <v>126</v>
      </c>
      <c r="L2107" s="55" t="str">
        <f>VLOOKUP(I2107,'Validacion reclamo de equipaje'!H:I,2,0)</f>
        <v>Nacional</v>
      </c>
      <c r="M2107" s="55" t="s">
        <v>523</v>
      </c>
    </row>
    <row r="2108" spans="1:13" x14ac:dyDescent="0.25">
      <c r="A2108">
        <v>100</v>
      </c>
      <c r="B2108" s="47" t="str">
        <f>VLOOKUP(Tabla6[[#This Row],['# Vuelo]],'Validacion reclamo de equipaje'!P:Q,2,0)</f>
        <v>MEXICO AEREO</v>
      </c>
      <c r="C2108" s="48">
        <v>0.3527777777777778</v>
      </c>
      <c r="D2108" s="48">
        <v>0.35833333333333334</v>
      </c>
      <c r="E2108" s="49">
        <f>'Reclamo de equipaje rediseñado'!$D2108-'Reclamo de equipaje rediseñado'!$C2108</f>
        <v>5.5555555555555358E-3</v>
      </c>
      <c r="F2108" s="48">
        <v>0.36527777777777781</v>
      </c>
      <c r="G2108" s="49">
        <f t="shared" si="32"/>
        <v>6.9444444444444753E-3</v>
      </c>
      <c r="H2108" s="50">
        <v>41745</v>
      </c>
      <c r="I2108" s="51" t="s">
        <v>536</v>
      </c>
      <c r="J2108" s="51" t="s">
        <v>560</v>
      </c>
      <c r="K2108" s="51">
        <f>VLOOKUP(J2108,'Validacion reclamo de equipaje'!L:M,2,0)</f>
        <v>126</v>
      </c>
      <c r="L2108" s="51" t="str">
        <f>VLOOKUP(I2108,'Validacion reclamo de equipaje'!H:I,2,0)</f>
        <v>Nacional</v>
      </c>
      <c r="M2108" s="51" t="s">
        <v>523</v>
      </c>
    </row>
    <row r="2109" spans="1:13" x14ac:dyDescent="0.25">
      <c r="A2109">
        <v>100</v>
      </c>
      <c r="B2109" s="47" t="str">
        <f>VLOOKUP(Tabla6[[#This Row],['# Vuelo]],'Validacion reclamo de equipaje'!P:Q,2,0)</f>
        <v>MEXICO AEREO</v>
      </c>
      <c r="C2109" s="52">
        <v>0.33333333333333331</v>
      </c>
      <c r="D2109" s="52">
        <v>0.34513888888888888</v>
      </c>
      <c r="E2109" s="53">
        <f>'Reclamo de equipaje rediseñado'!$D2109-'Reclamo de equipaje rediseñado'!$C2109</f>
        <v>1.1805555555555569E-2</v>
      </c>
      <c r="F2109" s="52">
        <v>0.35486111111111113</v>
      </c>
      <c r="G2109" s="53">
        <f t="shared" si="32"/>
        <v>9.7222222222222432E-3</v>
      </c>
      <c r="H2109" s="54">
        <v>41747</v>
      </c>
      <c r="I2109" s="55" t="s">
        <v>536</v>
      </c>
      <c r="J2109" s="55" t="s">
        <v>560</v>
      </c>
      <c r="K2109" s="55">
        <f>VLOOKUP(J2109,'Validacion reclamo de equipaje'!L:M,2,0)</f>
        <v>126</v>
      </c>
      <c r="L2109" s="55" t="str">
        <f>VLOOKUP(I2109,'Validacion reclamo de equipaje'!H:I,2,0)</f>
        <v>Nacional</v>
      </c>
      <c r="M2109" s="55" t="s">
        <v>523</v>
      </c>
    </row>
    <row r="2110" spans="1:13" x14ac:dyDescent="0.25">
      <c r="A2110">
        <v>100</v>
      </c>
      <c r="B2110" s="47" t="str">
        <f>VLOOKUP(Tabla6[[#This Row],['# Vuelo]],'Validacion reclamo de equipaje'!P:Q,2,0)</f>
        <v>MEXICO AEREO</v>
      </c>
      <c r="C2110" s="48">
        <v>0.34513888888888888</v>
      </c>
      <c r="D2110" s="48">
        <v>0.35138888888888892</v>
      </c>
      <c r="E2110" s="49">
        <f>'Reclamo de equipaje rediseñado'!$D2110-'Reclamo de equipaje rediseñado'!$C2110</f>
        <v>6.2500000000000333E-3</v>
      </c>
      <c r="F2110" s="48">
        <v>0.35902777777777778</v>
      </c>
      <c r="G2110" s="49">
        <f t="shared" si="32"/>
        <v>7.6388888888888618E-3</v>
      </c>
      <c r="H2110" s="50">
        <v>41748</v>
      </c>
      <c r="I2110" s="51" t="s">
        <v>536</v>
      </c>
      <c r="J2110" s="51" t="s">
        <v>560</v>
      </c>
      <c r="K2110" s="51">
        <f>VLOOKUP(J2110,'Validacion reclamo de equipaje'!L:M,2,0)</f>
        <v>126</v>
      </c>
      <c r="L2110" s="51" t="str">
        <f>VLOOKUP(I2110,'Validacion reclamo de equipaje'!H:I,2,0)</f>
        <v>Nacional</v>
      </c>
      <c r="M2110" s="51" t="s">
        <v>523</v>
      </c>
    </row>
    <row r="2111" spans="1:13" x14ac:dyDescent="0.25">
      <c r="A2111">
        <v>100</v>
      </c>
      <c r="B2111" s="47" t="str">
        <f>VLOOKUP(Tabla6[[#This Row],['# Vuelo]],'Validacion reclamo de equipaje'!P:Q,2,0)</f>
        <v>MEXICO AEREO</v>
      </c>
      <c r="C2111" s="52">
        <v>0.33680555555555558</v>
      </c>
      <c r="D2111" s="52">
        <v>0.34722222222222227</v>
      </c>
      <c r="E2111" s="53">
        <f>'Reclamo de equipaje rediseñado'!$D2111-'Reclamo de equipaje rediseñado'!$C2111</f>
        <v>1.0416666666666685E-2</v>
      </c>
      <c r="F2111" s="52">
        <v>0.35416666666666669</v>
      </c>
      <c r="G2111" s="53">
        <f t="shared" si="32"/>
        <v>6.9444444444444198E-3</v>
      </c>
      <c r="H2111" s="54">
        <v>41750</v>
      </c>
      <c r="I2111" s="55" t="s">
        <v>536</v>
      </c>
      <c r="J2111" s="55" t="s">
        <v>560</v>
      </c>
      <c r="K2111" s="55">
        <f>VLOOKUP(J2111,'Validacion reclamo de equipaje'!L:M,2,0)</f>
        <v>126</v>
      </c>
      <c r="L2111" s="55" t="str">
        <f>VLOOKUP(I2111,'Validacion reclamo de equipaje'!H:I,2,0)</f>
        <v>Nacional</v>
      </c>
      <c r="M2111" s="55" t="s">
        <v>523</v>
      </c>
    </row>
    <row r="2112" spans="1:13" x14ac:dyDescent="0.25">
      <c r="A2112">
        <v>100</v>
      </c>
      <c r="B2112" s="47" t="str">
        <f>VLOOKUP(Tabla6[[#This Row],['# Vuelo]],'Validacion reclamo de equipaje'!P:Q,2,0)</f>
        <v>MEXICO AEREO</v>
      </c>
      <c r="C2112" s="48">
        <v>0.35416666666666669</v>
      </c>
      <c r="D2112" s="48">
        <v>0.3576388888888889</v>
      </c>
      <c r="E2112" s="49">
        <f>'Reclamo de equipaje rediseñado'!$D2112-'Reclamo de equipaje rediseñado'!$C2112</f>
        <v>3.4722222222222099E-3</v>
      </c>
      <c r="F2112" s="48">
        <v>0.36527777777777781</v>
      </c>
      <c r="G2112" s="49">
        <f t="shared" si="32"/>
        <v>7.6388888888889173E-3</v>
      </c>
      <c r="H2112" s="50">
        <v>41751</v>
      </c>
      <c r="I2112" s="51" t="s">
        <v>536</v>
      </c>
      <c r="J2112" s="51" t="s">
        <v>560</v>
      </c>
      <c r="K2112" s="51">
        <f>VLOOKUP(J2112,'Validacion reclamo de equipaje'!L:M,2,0)</f>
        <v>126</v>
      </c>
      <c r="L2112" s="51" t="str">
        <f>VLOOKUP(I2112,'Validacion reclamo de equipaje'!H:I,2,0)</f>
        <v>Nacional</v>
      </c>
      <c r="M2112" s="51" t="s">
        <v>523</v>
      </c>
    </row>
    <row r="2113" spans="1:13" x14ac:dyDescent="0.25">
      <c r="A2113">
        <v>100</v>
      </c>
      <c r="B2113" s="47" t="str">
        <f>VLOOKUP(Tabla6[[#This Row],['# Vuelo]],'Validacion reclamo de equipaje'!P:Q,2,0)</f>
        <v>MEXICO AEREO</v>
      </c>
      <c r="C2113" s="52">
        <v>0.34652777777777777</v>
      </c>
      <c r="D2113" s="52">
        <v>0.3611111111111111</v>
      </c>
      <c r="E2113" s="53">
        <f>'Reclamo de equipaje rediseñado'!$D2113-'Reclamo de equipaje rediseñado'!$C2113</f>
        <v>1.4583333333333337E-2</v>
      </c>
      <c r="F2113" s="52">
        <v>0.36736111111111108</v>
      </c>
      <c r="G2113" s="53">
        <f t="shared" si="32"/>
        <v>6.2499999999999778E-3</v>
      </c>
      <c r="H2113" s="54">
        <v>41753</v>
      </c>
      <c r="I2113" s="55" t="s">
        <v>536</v>
      </c>
      <c r="J2113" s="55" t="s">
        <v>560</v>
      </c>
      <c r="K2113" s="55">
        <f>VLOOKUP(J2113,'Validacion reclamo de equipaje'!L:M,2,0)</f>
        <v>126</v>
      </c>
      <c r="L2113" s="55" t="str">
        <f>VLOOKUP(I2113,'Validacion reclamo de equipaje'!H:I,2,0)</f>
        <v>Nacional</v>
      </c>
      <c r="M2113" s="55" t="s">
        <v>523</v>
      </c>
    </row>
    <row r="2114" spans="1:13" x14ac:dyDescent="0.25">
      <c r="A2114">
        <v>100</v>
      </c>
      <c r="B2114" s="47" t="str">
        <f>VLOOKUP(Tabla6[[#This Row],['# Vuelo]],'Validacion reclamo de equipaje'!P:Q,2,0)</f>
        <v>MEXICO AEREO</v>
      </c>
      <c r="C2114" s="48">
        <v>0.35694444444444445</v>
      </c>
      <c r="D2114" s="48">
        <v>0.36249999999999999</v>
      </c>
      <c r="E2114" s="49">
        <f>'Reclamo de equipaje rediseñado'!$D2114-'Reclamo de equipaje rediseñado'!$C2114</f>
        <v>5.5555555555555358E-3</v>
      </c>
      <c r="F2114" s="48">
        <v>0.37083333333333335</v>
      </c>
      <c r="G2114" s="49">
        <f t="shared" si="32"/>
        <v>8.3333333333333592E-3</v>
      </c>
      <c r="H2114" s="50">
        <v>41754</v>
      </c>
      <c r="I2114" s="51" t="s">
        <v>536</v>
      </c>
      <c r="J2114" s="51" t="s">
        <v>560</v>
      </c>
      <c r="K2114" s="51">
        <f>VLOOKUP(J2114,'Validacion reclamo de equipaje'!L:M,2,0)</f>
        <v>126</v>
      </c>
      <c r="L2114" s="51" t="str">
        <f>VLOOKUP(I2114,'Validacion reclamo de equipaje'!H:I,2,0)</f>
        <v>Nacional</v>
      </c>
      <c r="M2114" s="51" t="s">
        <v>523</v>
      </c>
    </row>
    <row r="2115" spans="1:13" x14ac:dyDescent="0.25">
      <c r="A2115">
        <v>100</v>
      </c>
      <c r="B2115" s="47" t="str">
        <f>VLOOKUP(Tabla6[[#This Row],['# Vuelo]],'Validacion reclamo de equipaje'!P:Q,2,0)</f>
        <v>MEXICO AEREO</v>
      </c>
      <c r="C2115" s="52">
        <v>0.3527777777777778</v>
      </c>
      <c r="D2115" s="52">
        <v>0.35694444444444445</v>
      </c>
      <c r="E2115" s="53">
        <f>'Reclamo de equipaje rediseñado'!$D2115-'Reclamo de equipaje rediseñado'!$C2115</f>
        <v>4.1666666666666519E-3</v>
      </c>
      <c r="F2115" s="52">
        <v>0.3666666666666667</v>
      </c>
      <c r="G2115" s="53">
        <f t="shared" ref="G2115:G2178" si="33">F2115-D2115</f>
        <v>9.7222222222222432E-3</v>
      </c>
      <c r="H2115" s="54">
        <v>41757</v>
      </c>
      <c r="I2115" s="55" t="s">
        <v>536</v>
      </c>
      <c r="J2115" s="55" t="s">
        <v>560</v>
      </c>
      <c r="K2115" s="55">
        <f>VLOOKUP(J2115,'Validacion reclamo de equipaje'!L:M,2,0)</f>
        <v>126</v>
      </c>
      <c r="L2115" s="55" t="str">
        <f>VLOOKUP(I2115,'Validacion reclamo de equipaje'!H:I,2,0)</f>
        <v>Nacional</v>
      </c>
      <c r="M2115" s="55" t="s">
        <v>523</v>
      </c>
    </row>
    <row r="2116" spans="1:13" x14ac:dyDescent="0.25">
      <c r="A2116">
        <v>100</v>
      </c>
      <c r="B2116" s="47" t="str">
        <f>VLOOKUP(Tabla6[[#This Row],['# Vuelo]],'Validacion reclamo de equipaje'!P:Q,2,0)</f>
        <v>MEXICO AEREO</v>
      </c>
      <c r="C2116" s="48">
        <v>0.36458333333333331</v>
      </c>
      <c r="D2116" s="48">
        <v>0.36805555555555558</v>
      </c>
      <c r="E2116" s="49">
        <f>'Reclamo de equipaje rediseñado'!$D2116-'Reclamo de equipaje rediseñado'!$C2116</f>
        <v>3.4722222222222654E-3</v>
      </c>
      <c r="F2116" s="48">
        <v>0.38055555555555554</v>
      </c>
      <c r="G2116" s="49">
        <f t="shared" si="33"/>
        <v>1.2499999999999956E-2</v>
      </c>
      <c r="H2116" s="50">
        <v>41758</v>
      </c>
      <c r="I2116" s="51" t="s">
        <v>536</v>
      </c>
      <c r="J2116" s="51" t="s">
        <v>560</v>
      </c>
      <c r="K2116" s="51">
        <f>VLOOKUP(J2116,'Validacion reclamo de equipaje'!L:M,2,0)</f>
        <v>126</v>
      </c>
      <c r="L2116" s="51" t="str">
        <f>VLOOKUP(I2116,'Validacion reclamo de equipaje'!H:I,2,0)</f>
        <v>Nacional</v>
      </c>
      <c r="M2116" s="51" t="s">
        <v>523</v>
      </c>
    </row>
    <row r="2117" spans="1:13" x14ac:dyDescent="0.25">
      <c r="A2117">
        <v>100</v>
      </c>
      <c r="B2117" s="47" t="str">
        <f>VLOOKUP(Tabla6[[#This Row],['# Vuelo]],'Validacion reclamo de equipaje'!P:Q,2,0)</f>
        <v>MEXICO AEREO</v>
      </c>
      <c r="C2117" s="52">
        <v>0.35069444444444442</v>
      </c>
      <c r="D2117" s="52">
        <v>0.35555555555555557</v>
      </c>
      <c r="E2117" s="53">
        <f>'Reclamo de equipaje rediseñado'!$D2117-'Reclamo de equipaje rediseñado'!$C2117</f>
        <v>4.8611111111111494E-3</v>
      </c>
      <c r="F2117" s="52">
        <v>0.38194444444444442</v>
      </c>
      <c r="G2117" s="53">
        <f t="shared" si="33"/>
        <v>2.6388888888888851E-2</v>
      </c>
      <c r="H2117" s="54">
        <v>41759</v>
      </c>
      <c r="I2117" s="55" t="s">
        <v>536</v>
      </c>
      <c r="J2117" s="55" t="s">
        <v>560</v>
      </c>
      <c r="K2117" s="55">
        <f>VLOOKUP(J2117,'Validacion reclamo de equipaje'!L:M,2,0)</f>
        <v>126</v>
      </c>
      <c r="L2117" s="55" t="str">
        <f>VLOOKUP(I2117,'Validacion reclamo de equipaje'!H:I,2,0)</f>
        <v>Nacional</v>
      </c>
      <c r="M2117" s="55" t="s">
        <v>523</v>
      </c>
    </row>
    <row r="2118" spans="1:13" x14ac:dyDescent="0.25">
      <c r="A2118">
        <v>280</v>
      </c>
      <c r="B2118" s="47" t="str">
        <f>VLOOKUP(Tabla6[[#This Row],['# Vuelo]],'Validacion reclamo de equipaje'!P:Q,2,0)</f>
        <v>VUELOS AL NORTE AIRLINES</v>
      </c>
      <c r="C2118" s="48">
        <v>0.57152777777777775</v>
      </c>
      <c r="D2118" s="48">
        <v>0.58611111111111114</v>
      </c>
      <c r="E2118" s="49">
        <f>'Reclamo de equipaje rediseñado'!$D2118-'Reclamo de equipaje rediseñado'!$C2118</f>
        <v>1.4583333333333393E-2</v>
      </c>
      <c r="F2118" s="48">
        <v>0.61597222222222225</v>
      </c>
      <c r="G2118" s="49">
        <f t="shared" si="33"/>
        <v>2.9861111111111116E-2</v>
      </c>
      <c r="H2118" s="50">
        <v>41731</v>
      </c>
      <c r="I2118" s="51" t="s">
        <v>588</v>
      </c>
      <c r="J2118" s="51">
        <v>738</v>
      </c>
      <c r="K2118" s="51">
        <f>VLOOKUP(J2118,'Validacion reclamo de equipaje'!L:M,2,0)</f>
        <v>189</v>
      </c>
      <c r="L2118" s="51" t="str">
        <f>VLOOKUP(I2118,'Validacion reclamo de equipaje'!H:I,2,0)</f>
        <v>Internacional</v>
      </c>
      <c r="M2118" s="51" t="s">
        <v>523</v>
      </c>
    </row>
    <row r="2119" spans="1:13" x14ac:dyDescent="0.25">
      <c r="A2119">
        <v>280</v>
      </c>
      <c r="B2119" s="47" t="str">
        <f>VLOOKUP(Tabla6[[#This Row],['# Vuelo]],'Validacion reclamo de equipaje'!P:Q,2,0)</f>
        <v>VUELOS AL NORTE AIRLINES</v>
      </c>
      <c r="C2119" s="52">
        <v>0.57152777777777775</v>
      </c>
      <c r="D2119" s="52">
        <v>0.58611111111111114</v>
      </c>
      <c r="E2119" s="53">
        <f>'Reclamo de equipaje rediseñado'!$D2119-'Reclamo de equipaje rediseñado'!$C2119</f>
        <v>1.4583333333333393E-2</v>
      </c>
      <c r="F2119" s="52">
        <v>0.61597222222222225</v>
      </c>
      <c r="G2119" s="53">
        <f t="shared" si="33"/>
        <v>2.9861111111111116E-2</v>
      </c>
      <c r="H2119" s="54">
        <v>41731</v>
      </c>
      <c r="I2119" s="55" t="s">
        <v>588</v>
      </c>
      <c r="J2119" s="55">
        <v>738</v>
      </c>
      <c r="K2119" s="55">
        <f>VLOOKUP(J2119,'Validacion reclamo de equipaje'!L:M,2,0)</f>
        <v>189</v>
      </c>
      <c r="L2119" s="55" t="str">
        <f>VLOOKUP(I2119,'Validacion reclamo de equipaje'!H:I,2,0)</f>
        <v>Internacional</v>
      </c>
      <c r="M2119" s="55" t="s">
        <v>523</v>
      </c>
    </row>
    <row r="2120" spans="1:13" x14ac:dyDescent="0.25">
      <c r="A2120">
        <v>248</v>
      </c>
      <c r="B2120" s="47" t="str">
        <f>VLOOKUP(Tabla6[[#This Row],['# Vuelo]],'Validacion reclamo de equipaje'!P:Q,2,0)</f>
        <v>VUELOS AL NORTE</v>
      </c>
      <c r="C2120" s="48">
        <v>0.4694444444444445</v>
      </c>
      <c r="D2120" s="48">
        <v>0.4826388888888889</v>
      </c>
      <c r="E2120" s="49">
        <f>'Reclamo de equipaje rediseñado'!$D2120-'Reclamo de equipaje rediseñado'!$C2120</f>
        <v>1.3194444444444398E-2</v>
      </c>
      <c r="F2120" s="48">
        <v>0.50277777777777777</v>
      </c>
      <c r="G2120" s="49">
        <f t="shared" si="33"/>
        <v>2.0138888888888873E-2</v>
      </c>
      <c r="H2120" s="50">
        <v>41731</v>
      </c>
      <c r="I2120" s="51" t="s">
        <v>555</v>
      </c>
      <c r="J2120" s="51" t="s">
        <v>554</v>
      </c>
      <c r="K2120" s="51">
        <f>VLOOKUP(J2120,'Validacion reclamo de equipaje'!L:M,2,0)</f>
        <v>189</v>
      </c>
      <c r="L2120" s="51" t="str">
        <f>VLOOKUP(I2120,'Validacion reclamo de equipaje'!H:I,2,0)</f>
        <v>Internacional</v>
      </c>
      <c r="M2120" s="51" t="s">
        <v>523</v>
      </c>
    </row>
    <row r="2121" spans="1:13" x14ac:dyDescent="0.25">
      <c r="A2121">
        <v>248</v>
      </c>
      <c r="B2121" s="47" t="str">
        <f>VLOOKUP(Tabla6[[#This Row],['# Vuelo]],'Validacion reclamo de equipaje'!P:Q,2,0)</f>
        <v>VUELOS AL NORTE</v>
      </c>
      <c r="C2121" s="52">
        <v>0.4694444444444445</v>
      </c>
      <c r="D2121" s="52">
        <v>0.4826388888888889</v>
      </c>
      <c r="E2121" s="53">
        <f>'Reclamo de equipaje rediseñado'!$D2121-'Reclamo de equipaje rediseñado'!$C2121</f>
        <v>1.3194444444444398E-2</v>
      </c>
      <c r="F2121" s="52">
        <v>0.50277777777777777</v>
      </c>
      <c r="G2121" s="53">
        <f t="shared" si="33"/>
        <v>2.0138888888888873E-2</v>
      </c>
      <c r="H2121" s="54">
        <v>41731</v>
      </c>
      <c r="I2121" s="55" t="s">
        <v>555</v>
      </c>
      <c r="J2121" s="55" t="s">
        <v>554</v>
      </c>
      <c r="K2121" s="55">
        <f>VLOOKUP(J2121,'Validacion reclamo de equipaje'!L:M,2,0)</f>
        <v>189</v>
      </c>
      <c r="L2121" s="55" t="str">
        <f>VLOOKUP(I2121,'Validacion reclamo de equipaje'!H:I,2,0)</f>
        <v>Internacional</v>
      </c>
      <c r="M2121" s="55" t="s">
        <v>523</v>
      </c>
    </row>
    <row r="2122" spans="1:13" x14ac:dyDescent="0.25">
      <c r="A2122">
        <v>248</v>
      </c>
      <c r="B2122" s="47" t="str">
        <f>VLOOKUP(Tabla6[[#This Row],['# Vuelo]],'Validacion reclamo de equipaje'!P:Q,2,0)</f>
        <v>VUELOS AL NORTE</v>
      </c>
      <c r="C2122" s="48">
        <v>0.45902777777777781</v>
      </c>
      <c r="D2122" s="48">
        <v>0.46875</v>
      </c>
      <c r="E2122" s="49">
        <f>'Reclamo de equipaje rediseñado'!$D2122-'Reclamo de equipaje rediseñado'!$C2122</f>
        <v>9.7222222222221877E-3</v>
      </c>
      <c r="F2122" s="48">
        <v>0.49652777777777773</v>
      </c>
      <c r="G2122" s="49">
        <f t="shared" si="33"/>
        <v>2.7777777777777735E-2</v>
      </c>
      <c r="H2122" s="50">
        <v>41732</v>
      </c>
      <c r="I2122" s="51" t="s">
        <v>555</v>
      </c>
      <c r="J2122" s="51" t="s">
        <v>554</v>
      </c>
      <c r="K2122" s="51">
        <f>VLOOKUP(J2122,'Validacion reclamo de equipaje'!L:M,2,0)</f>
        <v>189</v>
      </c>
      <c r="L2122" s="51" t="str">
        <f>VLOOKUP(I2122,'Validacion reclamo de equipaje'!H:I,2,0)</f>
        <v>Internacional</v>
      </c>
      <c r="M2122" s="51" t="s">
        <v>523</v>
      </c>
    </row>
    <row r="2123" spans="1:13" x14ac:dyDescent="0.25">
      <c r="A2123">
        <v>248</v>
      </c>
      <c r="B2123" s="47" t="str">
        <f>VLOOKUP(Tabla6[[#This Row],['# Vuelo]],'Validacion reclamo de equipaje'!P:Q,2,0)</f>
        <v>VUELOS AL NORTE</v>
      </c>
      <c r="C2123" s="52">
        <v>0.4597222222222222</v>
      </c>
      <c r="D2123" s="52">
        <v>0.47569444444444442</v>
      </c>
      <c r="E2123" s="53">
        <f>'Reclamo de equipaje rediseñado'!$D2123-'Reclamo de equipaje rediseñado'!$C2123</f>
        <v>1.5972222222222221E-2</v>
      </c>
      <c r="F2123" s="52">
        <v>0.4861111111111111</v>
      </c>
      <c r="G2123" s="53">
        <f t="shared" si="33"/>
        <v>1.0416666666666685E-2</v>
      </c>
      <c r="H2123" s="54">
        <v>41733</v>
      </c>
      <c r="I2123" s="55" t="s">
        <v>555</v>
      </c>
      <c r="J2123" s="55" t="s">
        <v>554</v>
      </c>
      <c r="K2123" s="55">
        <f>VLOOKUP(J2123,'Validacion reclamo de equipaje'!L:M,2,0)</f>
        <v>189</v>
      </c>
      <c r="L2123" s="55" t="str">
        <f>VLOOKUP(I2123,'Validacion reclamo de equipaje'!H:I,2,0)</f>
        <v>Internacional</v>
      </c>
      <c r="M2123" s="55" t="s">
        <v>523</v>
      </c>
    </row>
    <row r="2124" spans="1:13" x14ac:dyDescent="0.25">
      <c r="A2124">
        <v>248</v>
      </c>
      <c r="B2124" s="47" t="str">
        <f>VLOOKUP(Tabla6[[#This Row],['# Vuelo]],'Validacion reclamo de equipaje'!P:Q,2,0)</f>
        <v>VUELOS AL NORTE</v>
      </c>
      <c r="C2124" s="48">
        <v>0.46111111111111108</v>
      </c>
      <c r="D2124" s="48">
        <v>0.47569444444444442</v>
      </c>
      <c r="E2124" s="49">
        <f>'Reclamo de equipaje rediseñado'!$D2124-'Reclamo de equipaje rediseñado'!$C2124</f>
        <v>1.4583333333333337E-2</v>
      </c>
      <c r="F2124" s="48">
        <v>0.49027777777777781</v>
      </c>
      <c r="G2124" s="49">
        <f t="shared" si="33"/>
        <v>1.4583333333333393E-2</v>
      </c>
      <c r="H2124" s="50">
        <v>41734</v>
      </c>
      <c r="I2124" s="51" t="s">
        <v>555</v>
      </c>
      <c r="J2124" s="51" t="s">
        <v>554</v>
      </c>
      <c r="K2124" s="51">
        <f>VLOOKUP(J2124,'Validacion reclamo de equipaje'!L:M,2,0)</f>
        <v>189</v>
      </c>
      <c r="L2124" s="51" t="str">
        <f>VLOOKUP(I2124,'Validacion reclamo de equipaje'!H:I,2,0)</f>
        <v>Internacional</v>
      </c>
      <c r="M2124" s="51" t="s">
        <v>523</v>
      </c>
    </row>
    <row r="2125" spans="1:13" x14ac:dyDescent="0.25">
      <c r="A2125">
        <v>248</v>
      </c>
      <c r="B2125" s="47" t="str">
        <f>VLOOKUP(Tabla6[[#This Row],['# Vuelo]],'Validacion reclamo de equipaje'!P:Q,2,0)</f>
        <v>VUELOS AL NORTE</v>
      </c>
      <c r="C2125" s="52">
        <v>0.49791666666666662</v>
      </c>
      <c r="D2125" s="52">
        <v>0.50902777777777775</v>
      </c>
      <c r="E2125" s="53">
        <f>'Reclamo de equipaje rediseñado'!$D2125-'Reclamo de equipaje rediseñado'!$C2125</f>
        <v>1.1111111111111127E-2</v>
      </c>
      <c r="F2125" s="52">
        <v>0.53125</v>
      </c>
      <c r="G2125" s="53">
        <f t="shared" si="33"/>
        <v>2.2222222222222254E-2</v>
      </c>
      <c r="H2125" s="54">
        <v>41735</v>
      </c>
      <c r="I2125" s="55" t="s">
        <v>555</v>
      </c>
      <c r="J2125" s="55" t="s">
        <v>554</v>
      </c>
      <c r="K2125" s="55">
        <f>VLOOKUP(J2125,'Validacion reclamo de equipaje'!L:M,2,0)</f>
        <v>189</v>
      </c>
      <c r="L2125" s="55" t="str">
        <f>VLOOKUP(I2125,'Validacion reclamo de equipaje'!H:I,2,0)</f>
        <v>Internacional</v>
      </c>
      <c r="M2125" s="55" t="s">
        <v>523</v>
      </c>
    </row>
    <row r="2126" spans="1:13" x14ac:dyDescent="0.25">
      <c r="A2126">
        <v>248</v>
      </c>
      <c r="B2126" s="47" t="str">
        <f>VLOOKUP(Tabla6[[#This Row],['# Vuelo]],'Validacion reclamo de equipaje'!P:Q,2,0)</f>
        <v>VUELOS AL NORTE</v>
      </c>
      <c r="C2126" s="48">
        <v>0.49861111111111112</v>
      </c>
      <c r="D2126" s="48">
        <v>0.5083333333333333</v>
      </c>
      <c r="E2126" s="49">
        <f>'Reclamo de equipaje rediseñado'!$D2126-'Reclamo de equipaje rediseñado'!$C2126</f>
        <v>9.7222222222221877E-3</v>
      </c>
      <c r="F2126" s="48">
        <v>0.52847222222222223</v>
      </c>
      <c r="G2126" s="49">
        <f t="shared" si="33"/>
        <v>2.0138888888888928E-2</v>
      </c>
      <c r="H2126" s="50">
        <v>41736</v>
      </c>
      <c r="I2126" s="51" t="s">
        <v>555</v>
      </c>
      <c r="J2126" s="51" t="s">
        <v>554</v>
      </c>
      <c r="K2126" s="51">
        <f>VLOOKUP(J2126,'Validacion reclamo de equipaje'!L:M,2,0)</f>
        <v>189</v>
      </c>
      <c r="L2126" s="51" t="str">
        <f>VLOOKUP(I2126,'Validacion reclamo de equipaje'!H:I,2,0)</f>
        <v>Internacional</v>
      </c>
      <c r="M2126" s="51" t="s">
        <v>523</v>
      </c>
    </row>
    <row r="2127" spans="1:13" x14ac:dyDescent="0.25">
      <c r="A2127">
        <v>248</v>
      </c>
      <c r="B2127" s="47" t="str">
        <f>VLOOKUP(Tabla6[[#This Row],['# Vuelo]],'Validacion reclamo de equipaje'!P:Q,2,0)</f>
        <v>VUELOS AL NORTE</v>
      </c>
      <c r="C2127" s="52">
        <v>0.5131944444444444</v>
      </c>
      <c r="D2127" s="52">
        <v>0.52361111111111114</v>
      </c>
      <c r="E2127" s="53">
        <f>'Reclamo de equipaje rediseñado'!$D2127-'Reclamo de equipaje rediseñado'!$C2127</f>
        <v>1.0416666666666741E-2</v>
      </c>
      <c r="F2127" s="52">
        <v>12.56</v>
      </c>
      <c r="G2127" s="53">
        <f t="shared" si="33"/>
        <v>12.03638888888889</v>
      </c>
      <c r="H2127" s="54">
        <v>41739</v>
      </c>
      <c r="I2127" s="55" t="s">
        <v>555</v>
      </c>
      <c r="J2127" s="55" t="s">
        <v>554</v>
      </c>
      <c r="K2127" s="55">
        <f>VLOOKUP(J2127,'Validacion reclamo de equipaje'!L:M,2,0)</f>
        <v>189</v>
      </c>
      <c r="L2127" s="55" t="str">
        <f>VLOOKUP(I2127,'Validacion reclamo de equipaje'!H:I,2,0)</f>
        <v>Internacional</v>
      </c>
      <c r="M2127" s="55" t="s">
        <v>523</v>
      </c>
    </row>
    <row r="2128" spans="1:13" x14ac:dyDescent="0.25">
      <c r="A2128">
        <v>248</v>
      </c>
      <c r="B2128" s="47" t="str">
        <f>VLOOKUP(Tabla6[[#This Row],['# Vuelo]],'Validacion reclamo de equipaje'!P:Q,2,0)</f>
        <v>VUELOS AL NORTE</v>
      </c>
      <c r="C2128" s="48">
        <v>0.50069444444444444</v>
      </c>
      <c r="D2128" s="48">
        <v>0.51527777777777783</v>
      </c>
      <c r="E2128" s="49">
        <f>'Reclamo de equipaje rediseñado'!$D2128-'Reclamo de equipaje rediseñado'!$C2128</f>
        <v>1.4583333333333393E-2</v>
      </c>
      <c r="F2128" s="48">
        <v>0.52986111111111112</v>
      </c>
      <c r="G2128" s="49">
        <f t="shared" si="33"/>
        <v>1.4583333333333282E-2</v>
      </c>
      <c r="H2128" s="50">
        <v>41741</v>
      </c>
      <c r="I2128" s="51" t="s">
        <v>555</v>
      </c>
      <c r="J2128" s="51" t="s">
        <v>554</v>
      </c>
      <c r="K2128" s="51">
        <f>VLOOKUP(J2128,'Validacion reclamo de equipaje'!L:M,2,0)</f>
        <v>189</v>
      </c>
      <c r="L2128" s="51" t="str">
        <f>VLOOKUP(I2128,'Validacion reclamo de equipaje'!H:I,2,0)</f>
        <v>Internacional</v>
      </c>
      <c r="M2128" s="51" t="s">
        <v>523</v>
      </c>
    </row>
    <row r="2129" spans="1:13" x14ac:dyDescent="0.25">
      <c r="A2129">
        <v>248</v>
      </c>
      <c r="B2129" s="47" t="str">
        <f>VLOOKUP(Tabla6[[#This Row],['# Vuelo]],'Validacion reclamo de equipaje'!P:Q,2,0)</f>
        <v>VUELOS AL NORTE</v>
      </c>
      <c r="C2129" s="52">
        <v>0.50208333333333333</v>
      </c>
      <c r="D2129" s="52">
        <v>0.51736111111111105</v>
      </c>
      <c r="E2129" s="53">
        <f>'Reclamo de equipaje rediseñado'!$D2129-'Reclamo de equipaje rediseñado'!$C2129</f>
        <v>1.5277777777777724E-2</v>
      </c>
      <c r="F2129" s="52">
        <v>0.53749999999999998</v>
      </c>
      <c r="G2129" s="53">
        <f t="shared" si="33"/>
        <v>2.0138888888888928E-2</v>
      </c>
      <c r="H2129" s="54">
        <v>41743</v>
      </c>
      <c r="I2129" s="55" t="s">
        <v>555</v>
      </c>
      <c r="J2129" s="55" t="s">
        <v>554</v>
      </c>
      <c r="K2129" s="55">
        <f>VLOOKUP(J2129,'Validacion reclamo de equipaje'!L:M,2,0)</f>
        <v>189</v>
      </c>
      <c r="L2129" s="55" t="str">
        <f>VLOOKUP(I2129,'Validacion reclamo de equipaje'!H:I,2,0)</f>
        <v>Internacional</v>
      </c>
      <c r="M2129" s="55" t="s">
        <v>523</v>
      </c>
    </row>
    <row r="2130" spans="1:13" x14ac:dyDescent="0.25">
      <c r="A2130">
        <v>248</v>
      </c>
      <c r="B2130" s="47" t="str">
        <f>VLOOKUP(Tabla6[[#This Row],['# Vuelo]],'Validacion reclamo de equipaje'!P:Q,2,0)</f>
        <v>VUELOS AL NORTE</v>
      </c>
      <c r="C2130" s="48">
        <v>0.50972222222222219</v>
      </c>
      <c r="D2130" s="48">
        <v>0.52083333333333337</v>
      </c>
      <c r="E2130" s="49">
        <f>'Reclamo de equipaje rediseñado'!$D2130-'Reclamo de equipaje rediseñado'!$C2130</f>
        <v>1.1111111111111183E-2</v>
      </c>
      <c r="F2130" s="48">
        <v>0.53749999999999998</v>
      </c>
      <c r="G2130" s="49">
        <f t="shared" si="33"/>
        <v>1.6666666666666607E-2</v>
      </c>
      <c r="H2130" s="50">
        <v>41744</v>
      </c>
      <c r="I2130" s="51" t="s">
        <v>555</v>
      </c>
      <c r="J2130" s="51" t="s">
        <v>554</v>
      </c>
      <c r="K2130" s="51">
        <f>VLOOKUP(J2130,'Validacion reclamo de equipaje'!L:M,2,0)</f>
        <v>189</v>
      </c>
      <c r="L2130" s="51" t="str">
        <f>VLOOKUP(I2130,'Validacion reclamo de equipaje'!H:I,2,0)</f>
        <v>Internacional</v>
      </c>
      <c r="M2130" s="51" t="s">
        <v>523</v>
      </c>
    </row>
    <row r="2131" spans="1:13" x14ac:dyDescent="0.25">
      <c r="A2131">
        <v>248</v>
      </c>
      <c r="B2131" s="47" t="str">
        <f>VLOOKUP(Tabla6[[#This Row],['# Vuelo]],'Validacion reclamo de equipaje'!P:Q,2,0)</f>
        <v>VUELOS AL NORTE</v>
      </c>
      <c r="C2131" s="52">
        <v>0.49513888888888885</v>
      </c>
      <c r="D2131" s="52">
        <v>0.5083333333333333</v>
      </c>
      <c r="E2131" s="53">
        <f>'Reclamo de equipaje rediseñado'!$D2131-'Reclamo de equipaje rediseñado'!$C2131</f>
        <v>1.3194444444444453E-2</v>
      </c>
      <c r="F2131" s="52">
        <v>0.52500000000000002</v>
      </c>
      <c r="G2131" s="53">
        <f t="shared" si="33"/>
        <v>1.6666666666666718E-2</v>
      </c>
      <c r="H2131" s="54">
        <v>41745</v>
      </c>
      <c r="I2131" s="55" t="s">
        <v>555</v>
      </c>
      <c r="J2131" s="55" t="s">
        <v>554</v>
      </c>
      <c r="K2131" s="55">
        <f>VLOOKUP(J2131,'Validacion reclamo de equipaje'!L:M,2,0)</f>
        <v>189</v>
      </c>
      <c r="L2131" s="55" t="str">
        <f>VLOOKUP(I2131,'Validacion reclamo de equipaje'!H:I,2,0)</f>
        <v>Internacional</v>
      </c>
      <c r="M2131" s="55" t="s">
        <v>523</v>
      </c>
    </row>
    <row r="2132" spans="1:13" x14ac:dyDescent="0.25">
      <c r="A2132">
        <v>248</v>
      </c>
      <c r="B2132" s="47" t="str">
        <f>VLOOKUP(Tabla6[[#This Row],['# Vuelo]],'Validacion reclamo de equipaje'!P:Q,2,0)</f>
        <v>VUELOS AL NORTE</v>
      </c>
      <c r="C2132" s="48">
        <v>0.5</v>
      </c>
      <c r="D2132" s="48">
        <v>0.51458333333333328</v>
      </c>
      <c r="E2132" s="49">
        <f>'Reclamo de equipaje rediseñado'!$D2132-'Reclamo de equipaje rediseñado'!$C2132</f>
        <v>1.4583333333333282E-2</v>
      </c>
      <c r="F2132" s="48">
        <v>0.52777777777777779</v>
      </c>
      <c r="G2132" s="49">
        <f t="shared" si="33"/>
        <v>1.3194444444444509E-2</v>
      </c>
      <c r="H2132" s="50">
        <v>41746</v>
      </c>
      <c r="I2132" s="51" t="s">
        <v>555</v>
      </c>
      <c r="J2132" s="51" t="s">
        <v>554</v>
      </c>
      <c r="K2132" s="51">
        <f>VLOOKUP(J2132,'Validacion reclamo de equipaje'!L:M,2,0)</f>
        <v>189</v>
      </c>
      <c r="L2132" s="51" t="str">
        <f>VLOOKUP(I2132,'Validacion reclamo de equipaje'!H:I,2,0)</f>
        <v>Internacional</v>
      </c>
      <c r="M2132" s="51" t="s">
        <v>523</v>
      </c>
    </row>
    <row r="2133" spans="1:13" x14ac:dyDescent="0.25">
      <c r="A2133">
        <v>248</v>
      </c>
      <c r="B2133" s="47" t="str">
        <f>VLOOKUP(Tabla6[[#This Row],['# Vuelo]],'Validacion reclamo de equipaje'!P:Q,2,0)</f>
        <v>VUELOS AL NORTE</v>
      </c>
      <c r="C2133" s="52">
        <v>0.50624999999999998</v>
      </c>
      <c r="D2133" s="52">
        <v>0.5180555555555556</v>
      </c>
      <c r="E2133" s="53">
        <f>'Reclamo de equipaje rediseñado'!$D2133-'Reclamo de equipaje rediseñado'!$C2133</f>
        <v>1.1805555555555625E-2</v>
      </c>
      <c r="F2133" s="52">
        <v>0.53333333333333333</v>
      </c>
      <c r="G2133" s="53">
        <f t="shared" si="33"/>
        <v>1.5277777777777724E-2</v>
      </c>
      <c r="H2133" s="54">
        <v>41747</v>
      </c>
      <c r="I2133" s="55" t="s">
        <v>555</v>
      </c>
      <c r="J2133" s="55" t="s">
        <v>554</v>
      </c>
      <c r="K2133" s="55">
        <f>VLOOKUP(J2133,'Validacion reclamo de equipaje'!L:M,2,0)</f>
        <v>189</v>
      </c>
      <c r="L2133" s="55" t="str">
        <f>VLOOKUP(I2133,'Validacion reclamo de equipaje'!H:I,2,0)</f>
        <v>Internacional</v>
      </c>
      <c r="M2133" s="55" t="s">
        <v>523</v>
      </c>
    </row>
    <row r="2134" spans="1:13" x14ac:dyDescent="0.25">
      <c r="A2134">
        <v>248</v>
      </c>
      <c r="B2134" s="47" t="str">
        <f>VLOOKUP(Tabla6[[#This Row],['# Vuelo]],'Validacion reclamo de equipaje'!P:Q,2,0)</f>
        <v>VUELOS AL NORTE</v>
      </c>
      <c r="C2134" s="48">
        <v>0.50069444444444444</v>
      </c>
      <c r="D2134" s="48">
        <v>0.51250000000000007</v>
      </c>
      <c r="E2134" s="49">
        <f>'Reclamo de equipaje rediseñado'!$D2134-'Reclamo de equipaje rediseñado'!$C2134</f>
        <v>1.1805555555555625E-2</v>
      </c>
      <c r="F2134" s="48">
        <v>0.52916666666666667</v>
      </c>
      <c r="G2134" s="49">
        <f t="shared" si="33"/>
        <v>1.6666666666666607E-2</v>
      </c>
      <c r="H2134" s="50">
        <v>41748</v>
      </c>
      <c r="I2134" s="51" t="s">
        <v>555</v>
      </c>
      <c r="J2134" s="51" t="s">
        <v>554</v>
      </c>
      <c r="K2134" s="51">
        <f>VLOOKUP(J2134,'Validacion reclamo de equipaje'!L:M,2,0)</f>
        <v>189</v>
      </c>
      <c r="L2134" s="51" t="str">
        <f>VLOOKUP(I2134,'Validacion reclamo de equipaje'!H:I,2,0)</f>
        <v>Internacional</v>
      </c>
      <c r="M2134" s="51" t="s">
        <v>523</v>
      </c>
    </row>
    <row r="2135" spans="1:13" x14ac:dyDescent="0.25">
      <c r="A2135">
        <v>248</v>
      </c>
      <c r="B2135" s="47" t="str">
        <f>VLOOKUP(Tabla6[[#This Row],['# Vuelo]],'Validacion reclamo de equipaje'!P:Q,2,0)</f>
        <v>VUELOS AL NORTE</v>
      </c>
      <c r="C2135" s="52">
        <v>0.50277777777777777</v>
      </c>
      <c r="D2135" s="52">
        <v>0.5131944444444444</v>
      </c>
      <c r="E2135" s="53">
        <f>'Reclamo de equipaje rediseñado'!$D2135-'Reclamo de equipaje rediseñado'!$C2135</f>
        <v>1.041666666666663E-2</v>
      </c>
      <c r="F2135" s="52">
        <v>0.52569444444444446</v>
      </c>
      <c r="G2135" s="53">
        <f t="shared" si="33"/>
        <v>1.2500000000000067E-2</v>
      </c>
      <c r="H2135" s="54">
        <v>41749</v>
      </c>
      <c r="I2135" s="55" t="s">
        <v>555</v>
      </c>
      <c r="J2135" s="55" t="s">
        <v>554</v>
      </c>
      <c r="K2135" s="55">
        <f>VLOOKUP(J2135,'Validacion reclamo de equipaje'!L:M,2,0)</f>
        <v>189</v>
      </c>
      <c r="L2135" s="55" t="str">
        <f>VLOOKUP(I2135,'Validacion reclamo de equipaje'!H:I,2,0)</f>
        <v>Internacional</v>
      </c>
      <c r="M2135" s="55" t="s">
        <v>523</v>
      </c>
    </row>
    <row r="2136" spans="1:13" x14ac:dyDescent="0.25">
      <c r="A2136">
        <v>248</v>
      </c>
      <c r="B2136" s="47" t="str">
        <f>VLOOKUP(Tabla6[[#This Row],['# Vuelo]],'Validacion reclamo de equipaje'!P:Q,2,0)</f>
        <v>VUELOS AL NORTE</v>
      </c>
      <c r="C2136" s="48">
        <v>0.50555555555555554</v>
      </c>
      <c r="D2136" s="48">
        <v>0.52152777777777781</v>
      </c>
      <c r="E2136" s="49">
        <f>'Reclamo de equipaje rediseñado'!$D2136-'Reclamo de equipaje rediseñado'!$C2136</f>
        <v>1.5972222222222276E-2</v>
      </c>
      <c r="F2136" s="48">
        <v>0.53611111111111109</v>
      </c>
      <c r="G2136" s="49">
        <f t="shared" si="33"/>
        <v>1.4583333333333282E-2</v>
      </c>
      <c r="H2136" s="50">
        <v>41750</v>
      </c>
      <c r="I2136" s="51" t="s">
        <v>555</v>
      </c>
      <c r="J2136" s="51" t="s">
        <v>554</v>
      </c>
      <c r="K2136" s="51">
        <f>VLOOKUP(J2136,'Validacion reclamo de equipaje'!L:M,2,0)</f>
        <v>189</v>
      </c>
      <c r="L2136" s="51" t="str">
        <f>VLOOKUP(I2136,'Validacion reclamo de equipaje'!H:I,2,0)</f>
        <v>Internacional</v>
      </c>
      <c r="M2136" s="51" t="s">
        <v>523</v>
      </c>
    </row>
    <row r="2137" spans="1:13" x14ac:dyDescent="0.25">
      <c r="A2137">
        <v>248</v>
      </c>
      <c r="B2137" s="47" t="str">
        <f>VLOOKUP(Tabla6[[#This Row],['# Vuelo]],'Validacion reclamo de equipaje'!P:Q,2,0)</f>
        <v>VUELOS AL NORTE</v>
      </c>
      <c r="C2137" s="52">
        <v>0.50555555555555554</v>
      </c>
      <c r="D2137" s="52">
        <v>0.51388888888888895</v>
      </c>
      <c r="E2137" s="53">
        <f>'Reclamo de equipaje rediseñado'!$D2137-'Reclamo de equipaje rediseñado'!$C2137</f>
        <v>8.3333333333334147E-3</v>
      </c>
      <c r="F2137" s="52">
        <v>0.53402777777777777</v>
      </c>
      <c r="G2137" s="53">
        <f t="shared" si="33"/>
        <v>2.0138888888888817E-2</v>
      </c>
      <c r="H2137" s="54">
        <v>41751</v>
      </c>
      <c r="I2137" s="55" t="s">
        <v>555</v>
      </c>
      <c r="J2137" s="55" t="s">
        <v>554</v>
      </c>
      <c r="K2137" s="55">
        <f>VLOOKUP(J2137,'Validacion reclamo de equipaje'!L:M,2,0)</f>
        <v>189</v>
      </c>
      <c r="L2137" s="55" t="str">
        <f>VLOOKUP(I2137,'Validacion reclamo de equipaje'!H:I,2,0)</f>
        <v>Internacional</v>
      </c>
      <c r="M2137" s="55" t="s">
        <v>523</v>
      </c>
    </row>
    <row r="2138" spans="1:13" x14ac:dyDescent="0.25">
      <c r="A2138">
        <v>248</v>
      </c>
      <c r="B2138" s="47" t="str">
        <f>VLOOKUP(Tabla6[[#This Row],['# Vuelo]],'Validacion reclamo de equipaje'!P:Q,2,0)</f>
        <v>VUELOS AL NORTE</v>
      </c>
      <c r="C2138" s="48">
        <v>0.50555555555555554</v>
      </c>
      <c r="D2138" s="48">
        <v>0.51388888888888895</v>
      </c>
      <c r="E2138" s="49">
        <f>'Reclamo de equipaje rediseñado'!$D2138-'Reclamo de equipaje rediseñado'!$C2138</f>
        <v>8.3333333333334147E-3</v>
      </c>
      <c r="F2138" s="48">
        <v>0.53402777777777777</v>
      </c>
      <c r="G2138" s="49">
        <f t="shared" si="33"/>
        <v>2.0138888888888817E-2</v>
      </c>
      <c r="H2138" s="50">
        <v>41751</v>
      </c>
      <c r="I2138" s="51" t="s">
        <v>555</v>
      </c>
      <c r="J2138" s="51" t="s">
        <v>554</v>
      </c>
      <c r="K2138" s="51">
        <f>VLOOKUP(J2138,'Validacion reclamo de equipaje'!L:M,2,0)</f>
        <v>189</v>
      </c>
      <c r="L2138" s="51" t="str">
        <f>VLOOKUP(I2138,'Validacion reclamo de equipaje'!H:I,2,0)</f>
        <v>Internacional</v>
      </c>
      <c r="M2138" s="51" t="s">
        <v>523</v>
      </c>
    </row>
    <row r="2139" spans="1:13" x14ac:dyDescent="0.25">
      <c r="A2139">
        <v>248</v>
      </c>
      <c r="B2139" s="47" t="str">
        <f>VLOOKUP(Tabla6[[#This Row],['# Vuelo]],'Validacion reclamo de equipaje'!P:Q,2,0)</f>
        <v>VUELOS AL NORTE</v>
      </c>
      <c r="C2139" s="52">
        <v>0.50763888888888886</v>
      </c>
      <c r="D2139" s="52">
        <v>0.52083333333333337</v>
      </c>
      <c r="E2139" s="53">
        <f>'Reclamo de equipaje rediseñado'!$D2139-'Reclamo de equipaje rediseñado'!$C2139</f>
        <v>1.3194444444444509E-2</v>
      </c>
      <c r="F2139" s="52">
        <v>0.53749999999999998</v>
      </c>
      <c r="G2139" s="53">
        <f t="shared" si="33"/>
        <v>1.6666666666666607E-2</v>
      </c>
      <c r="H2139" s="54">
        <v>41753</v>
      </c>
      <c r="I2139" s="55" t="s">
        <v>555</v>
      </c>
      <c r="J2139" s="55" t="s">
        <v>554</v>
      </c>
      <c r="K2139" s="55">
        <f>VLOOKUP(J2139,'Validacion reclamo de equipaje'!L:M,2,0)</f>
        <v>189</v>
      </c>
      <c r="L2139" s="55" t="str">
        <f>VLOOKUP(I2139,'Validacion reclamo de equipaje'!H:I,2,0)</f>
        <v>Internacional</v>
      </c>
      <c r="M2139" s="55" t="s">
        <v>523</v>
      </c>
    </row>
    <row r="2140" spans="1:13" x14ac:dyDescent="0.25">
      <c r="A2140">
        <v>248</v>
      </c>
      <c r="B2140" s="47" t="str">
        <f>VLOOKUP(Tabla6[[#This Row],['# Vuelo]],'Validacion reclamo de equipaje'!P:Q,2,0)</f>
        <v>VUELOS AL NORTE</v>
      </c>
      <c r="C2140" s="48">
        <v>0.49861111111111112</v>
      </c>
      <c r="D2140" s="48">
        <v>0.51111111111111118</v>
      </c>
      <c r="E2140" s="49">
        <f>'Reclamo de equipaje rediseñado'!$D2140-'Reclamo de equipaje rediseñado'!$C2140</f>
        <v>1.2500000000000067E-2</v>
      </c>
      <c r="F2140" s="48">
        <v>0.52986111111111112</v>
      </c>
      <c r="G2140" s="49">
        <f t="shared" si="33"/>
        <v>1.8749999999999933E-2</v>
      </c>
      <c r="H2140" s="50">
        <v>41754</v>
      </c>
      <c r="I2140" s="51" t="s">
        <v>555</v>
      </c>
      <c r="J2140" s="51" t="s">
        <v>554</v>
      </c>
      <c r="K2140" s="51">
        <f>VLOOKUP(J2140,'Validacion reclamo de equipaje'!L:M,2,0)</f>
        <v>189</v>
      </c>
      <c r="L2140" s="51" t="str">
        <f>VLOOKUP(I2140,'Validacion reclamo de equipaje'!H:I,2,0)</f>
        <v>Internacional</v>
      </c>
      <c r="M2140" s="51" t="s">
        <v>523</v>
      </c>
    </row>
    <row r="2141" spans="1:13" x14ac:dyDescent="0.25">
      <c r="A2141">
        <v>248</v>
      </c>
      <c r="B2141" s="47" t="str">
        <f>VLOOKUP(Tabla6[[#This Row],['# Vuelo]],'Validacion reclamo de equipaje'!P:Q,2,0)</f>
        <v>VUELOS AL NORTE</v>
      </c>
      <c r="C2141" s="52">
        <v>0.50277777777777777</v>
      </c>
      <c r="D2141" s="52">
        <v>0.52083333333333337</v>
      </c>
      <c r="E2141" s="53">
        <f>'Reclamo de equipaje rediseñado'!$D2141-'Reclamo de equipaje rediseñado'!$C2141</f>
        <v>1.8055555555555602E-2</v>
      </c>
      <c r="F2141" s="52">
        <v>0.52986111111111112</v>
      </c>
      <c r="G2141" s="53">
        <f t="shared" si="33"/>
        <v>9.0277777777777457E-3</v>
      </c>
      <c r="H2141" s="54">
        <v>41754</v>
      </c>
      <c r="I2141" s="55" t="s">
        <v>555</v>
      </c>
      <c r="J2141" s="55" t="s">
        <v>554</v>
      </c>
      <c r="K2141" s="55">
        <f>VLOOKUP(J2141,'Validacion reclamo de equipaje'!L:M,2,0)</f>
        <v>189</v>
      </c>
      <c r="L2141" s="55" t="str">
        <f>VLOOKUP(I2141,'Validacion reclamo de equipaje'!H:I,2,0)</f>
        <v>Internacional</v>
      </c>
      <c r="M2141" s="55" t="s">
        <v>523</v>
      </c>
    </row>
    <row r="2142" spans="1:13" x14ac:dyDescent="0.25">
      <c r="A2142">
        <v>248</v>
      </c>
      <c r="B2142" s="47" t="str">
        <f>VLOOKUP(Tabla6[[#This Row],['# Vuelo]],'Validacion reclamo de equipaje'!P:Q,2,0)</f>
        <v>VUELOS AL NORTE</v>
      </c>
      <c r="C2142" s="48">
        <v>0.49305555555555558</v>
      </c>
      <c r="D2142" s="48">
        <v>0.50555555555555554</v>
      </c>
      <c r="E2142" s="49">
        <f>'Reclamo de equipaje rediseñado'!$D2142-'Reclamo de equipaje rediseñado'!$C2142</f>
        <v>1.2499999999999956E-2</v>
      </c>
      <c r="F2142" s="48">
        <v>0.52500000000000002</v>
      </c>
      <c r="G2142" s="49">
        <f t="shared" si="33"/>
        <v>1.9444444444444486E-2</v>
      </c>
      <c r="H2142" s="50">
        <v>41756</v>
      </c>
      <c r="I2142" s="51" t="s">
        <v>555</v>
      </c>
      <c r="J2142" s="51" t="s">
        <v>554</v>
      </c>
      <c r="K2142" s="51">
        <f>VLOOKUP(J2142,'Validacion reclamo de equipaje'!L:M,2,0)</f>
        <v>189</v>
      </c>
      <c r="L2142" s="51" t="str">
        <f>VLOOKUP(I2142,'Validacion reclamo de equipaje'!H:I,2,0)</f>
        <v>Internacional</v>
      </c>
      <c r="M2142" s="51" t="s">
        <v>523</v>
      </c>
    </row>
    <row r="2143" spans="1:13" x14ac:dyDescent="0.25">
      <c r="A2143">
        <v>248</v>
      </c>
      <c r="B2143" s="47" t="str">
        <f>VLOOKUP(Tabla6[[#This Row],['# Vuelo]],'Validacion reclamo de equipaje'!P:Q,2,0)</f>
        <v>VUELOS AL NORTE</v>
      </c>
      <c r="C2143" s="52">
        <v>0.49791666666666662</v>
      </c>
      <c r="D2143" s="52">
        <v>0.51180555555555551</v>
      </c>
      <c r="E2143" s="53">
        <f>'Reclamo de equipaje rediseñado'!$D2143-'Reclamo de equipaje rediseñado'!$C2143</f>
        <v>1.3888888888888895E-2</v>
      </c>
      <c r="F2143" s="52">
        <v>0.52638888888888891</v>
      </c>
      <c r="G2143" s="53">
        <f t="shared" si="33"/>
        <v>1.4583333333333393E-2</v>
      </c>
      <c r="H2143" s="54">
        <v>41757</v>
      </c>
      <c r="I2143" s="55" t="s">
        <v>555</v>
      </c>
      <c r="J2143" s="55" t="s">
        <v>554</v>
      </c>
      <c r="K2143" s="55">
        <f>VLOOKUP(J2143,'Validacion reclamo de equipaje'!L:M,2,0)</f>
        <v>189</v>
      </c>
      <c r="L2143" s="55" t="str">
        <f>VLOOKUP(I2143,'Validacion reclamo de equipaje'!H:I,2,0)</f>
        <v>Internacional</v>
      </c>
      <c r="M2143" s="55" t="s">
        <v>523</v>
      </c>
    </row>
    <row r="2144" spans="1:13" x14ac:dyDescent="0.25">
      <c r="A2144">
        <v>248</v>
      </c>
      <c r="B2144" s="47" t="str">
        <f>VLOOKUP(Tabla6[[#This Row],['# Vuelo]],'Validacion reclamo de equipaje'!P:Q,2,0)</f>
        <v>VUELOS AL NORTE</v>
      </c>
      <c r="C2144" s="48">
        <v>0.51250000000000007</v>
      </c>
      <c r="D2144" s="48">
        <v>0.52361111111111114</v>
      </c>
      <c r="E2144" s="49">
        <f>'Reclamo de equipaje rediseñado'!$D2144-'Reclamo de equipaje rediseñado'!$C2144</f>
        <v>1.1111111111111072E-2</v>
      </c>
      <c r="F2144" s="48">
        <v>0.54305555555555551</v>
      </c>
      <c r="G2144" s="49">
        <f t="shared" si="33"/>
        <v>1.9444444444444375E-2</v>
      </c>
      <c r="H2144" s="50">
        <v>41758</v>
      </c>
      <c r="I2144" s="51" t="s">
        <v>555</v>
      </c>
      <c r="J2144" s="51" t="s">
        <v>554</v>
      </c>
      <c r="K2144" s="51">
        <f>VLOOKUP(J2144,'Validacion reclamo de equipaje'!L:M,2,0)</f>
        <v>189</v>
      </c>
      <c r="L2144" s="51" t="str">
        <f>VLOOKUP(I2144,'Validacion reclamo de equipaje'!H:I,2,0)</f>
        <v>Internacional</v>
      </c>
      <c r="M2144" s="51" t="s">
        <v>523</v>
      </c>
    </row>
    <row r="2145" spans="1:13" x14ac:dyDescent="0.25">
      <c r="A2145">
        <v>248</v>
      </c>
      <c r="B2145" s="47" t="str">
        <f>VLOOKUP(Tabla6[[#This Row],['# Vuelo]],'Validacion reclamo de equipaje'!P:Q,2,0)</f>
        <v>VUELOS AL NORTE</v>
      </c>
      <c r="C2145" s="52">
        <v>0.50555555555555554</v>
      </c>
      <c r="D2145" s="52">
        <v>0.52083333333333337</v>
      </c>
      <c r="E2145" s="53">
        <f>'Reclamo de equipaje rediseñado'!$D2145-'Reclamo de equipaje rediseñado'!$C2145</f>
        <v>1.5277777777777835E-2</v>
      </c>
      <c r="F2145" s="52">
        <v>0.53402777777777777</v>
      </c>
      <c r="G2145" s="53">
        <f t="shared" si="33"/>
        <v>1.3194444444444398E-2</v>
      </c>
      <c r="H2145" s="54">
        <v>41759</v>
      </c>
      <c r="I2145" s="55" t="s">
        <v>555</v>
      </c>
      <c r="J2145" s="55" t="s">
        <v>554</v>
      </c>
      <c r="K2145" s="55">
        <f>VLOOKUP(J2145,'Validacion reclamo de equipaje'!L:M,2,0)</f>
        <v>189</v>
      </c>
      <c r="L2145" s="55" t="str">
        <f>VLOOKUP(I2145,'Validacion reclamo de equipaje'!H:I,2,0)</f>
        <v>Internacional</v>
      </c>
      <c r="M2145" s="55" t="s">
        <v>523</v>
      </c>
    </row>
    <row r="2146" spans="1:13" x14ac:dyDescent="0.25">
      <c r="A2146">
        <v>242</v>
      </c>
      <c r="B2146" s="47" t="str">
        <f>VLOOKUP(Tabla6[[#This Row],['# Vuelo]],'Validacion reclamo de equipaje'!P:Q,2,0)</f>
        <v>VUELOS AL NORTE</v>
      </c>
      <c r="C2146" s="48">
        <v>0.17916666666666667</v>
      </c>
      <c r="D2146" s="48">
        <v>0.19583333333333333</v>
      </c>
      <c r="E2146" s="49">
        <f>'Reclamo de equipaje rediseñado'!$D2146-'Reclamo de equipaje rediseñado'!$C2146</f>
        <v>1.6666666666666663E-2</v>
      </c>
      <c r="F2146" s="48">
        <v>0.21388888888888891</v>
      </c>
      <c r="G2146" s="49">
        <f t="shared" si="33"/>
        <v>1.8055555555555575E-2</v>
      </c>
      <c r="H2146" s="50">
        <v>41731</v>
      </c>
      <c r="I2146" s="51" t="s">
        <v>555</v>
      </c>
      <c r="J2146" s="51" t="s">
        <v>554</v>
      </c>
      <c r="K2146" s="51">
        <f>VLOOKUP(J2146,'Validacion reclamo de equipaje'!L:M,2,0)</f>
        <v>189</v>
      </c>
      <c r="L2146" s="51" t="str">
        <f>VLOOKUP(I2146,'Validacion reclamo de equipaje'!H:I,2,0)</f>
        <v>Internacional</v>
      </c>
      <c r="M2146" s="51" t="s">
        <v>523</v>
      </c>
    </row>
    <row r="2147" spans="1:13" x14ac:dyDescent="0.25">
      <c r="A2147">
        <v>242</v>
      </c>
      <c r="B2147" s="47" t="str">
        <f>VLOOKUP(Tabla6[[#This Row],['# Vuelo]],'Validacion reclamo de equipaje'!P:Q,2,0)</f>
        <v>VUELOS AL NORTE</v>
      </c>
      <c r="C2147" s="52">
        <v>0.2076388888888889</v>
      </c>
      <c r="D2147" s="52">
        <v>0.21875</v>
      </c>
      <c r="E2147" s="53">
        <f>'Reclamo de equipaje rediseñado'!$D2147-'Reclamo de equipaje rediseñado'!$C2147</f>
        <v>1.1111111111111099E-2</v>
      </c>
      <c r="F2147" s="52">
        <v>0.25138888888888888</v>
      </c>
      <c r="G2147" s="53">
        <f t="shared" si="33"/>
        <v>3.2638888888888884E-2</v>
      </c>
      <c r="H2147" s="54">
        <v>41733</v>
      </c>
      <c r="I2147" s="55" t="s">
        <v>555</v>
      </c>
      <c r="J2147" s="55" t="s">
        <v>554</v>
      </c>
      <c r="K2147" s="55">
        <f>VLOOKUP(J2147,'Validacion reclamo de equipaje'!L:M,2,0)</f>
        <v>189</v>
      </c>
      <c r="L2147" s="55" t="str">
        <f>VLOOKUP(I2147,'Validacion reclamo de equipaje'!H:I,2,0)</f>
        <v>Internacional</v>
      </c>
      <c r="M2147" s="55" t="s">
        <v>523</v>
      </c>
    </row>
    <row r="2148" spans="1:13" x14ac:dyDescent="0.25">
      <c r="A2148">
        <v>242</v>
      </c>
      <c r="B2148" s="47" t="str">
        <f>VLOOKUP(Tabla6[[#This Row],['# Vuelo]],'Validacion reclamo de equipaje'!P:Q,2,0)</f>
        <v>VUELOS AL NORTE</v>
      </c>
      <c r="C2148" s="48">
        <v>0.22777777777777777</v>
      </c>
      <c r="D2148" s="48">
        <v>0.2638888888888889</v>
      </c>
      <c r="E2148" s="49">
        <f>'Reclamo de equipaje rediseñado'!$D2148-'Reclamo de equipaje rediseñado'!$C2148</f>
        <v>3.6111111111111122E-2</v>
      </c>
      <c r="F2148" s="48">
        <v>0.28125</v>
      </c>
      <c r="G2148" s="49">
        <f t="shared" si="33"/>
        <v>1.7361111111111105E-2</v>
      </c>
      <c r="H2148" s="50">
        <v>41734</v>
      </c>
      <c r="I2148" s="51" t="s">
        <v>555</v>
      </c>
      <c r="J2148" s="51" t="s">
        <v>554</v>
      </c>
      <c r="K2148" s="51">
        <f>VLOOKUP(J2148,'Validacion reclamo de equipaje'!L:M,2,0)</f>
        <v>189</v>
      </c>
      <c r="L2148" s="51" t="str">
        <f>VLOOKUP(I2148,'Validacion reclamo de equipaje'!H:I,2,0)</f>
        <v>Internacional</v>
      </c>
      <c r="M2148" s="51" t="s">
        <v>523</v>
      </c>
    </row>
    <row r="2149" spans="1:13" x14ac:dyDescent="0.25">
      <c r="A2149">
        <v>242</v>
      </c>
      <c r="B2149" s="47" t="str">
        <f>VLOOKUP(Tabla6[[#This Row],['# Vuelo]],'Validacion reclamo de equipaje'!P:Q,2,0)</f>
        <v>VUELOS AL NORTE</v>
      </c>
      <c r="C2149" s="52">
        <v>0.22638888888888889</v>
      </c>
      <c r="D2149" s="52">
        <v>0.24722222222222223</v>
      </c>
      <c r="E2149" s="53">
        <f>'Reclamo de equipaje rediseñado'!$D2149-'Reclamo de equipaje rediseñado'!$C2149</f>
        <v>2.0833333333333343E-2</v>
      </c>
      <c r="F2149" s="52">
        <v>0.26944444444444443</v>
      </c>
      <c r="G2149" s="53">
        <f t="shared" si="33"/>
        <v>2.2222222222222199E-2</v>
      </c>
      <c r="H2149" s="54">
        <v>41736</v>
      </c>
      <c r="I2149" s="55" t="s">
        <v>555</v>
      </c>
      <c r="J2149" s="55" t="s">
        <v>554</v>
      </c>
      <c r="K2149" s="55">
        <f>VLOOKUP(J2149,'Validacion reclamo de equipaje'!L:M,2,0)</f>
        <v>189</v>
      </c>
      <c r="L2149" s="55" t="str">
        <f>VLOOKUP(I2149,'Validacion reclamo de equipaje'!H:I,2,0)</f>
        <v>Internacional</v>
      </c>
      <c r="M2149" s="55" t="s">
        <v>523</v>
      </c>
    </row>
    <row r="2150" spans="1:13" x14ac:dyDescent="0.25">
      <c r="A2150">
        <v>242</v>
      </c>
      <c r="B2150" s="47" t="str">
        <f>VLOOKUP(Tabla6[[#This Row],['# Vuelo]],'Validacion reclamo de equipaje'!P:Q,2,0)</f>
        <v>VUELOS AL NORTE</v>
      </c>
      <c r="C2150" s="48">
        <v>0.22847222222222222</v>
      </c>
      <c r="D2150" s="48">
        <v>0.23611111111111113</v>
      </c>
      <c r="E2150" s="49">
        <f>'Reclamo de equipaje rediseñado'!$D2150-'Reclamo de equipaje rediseñado'!$C2150</f>
        <v>7.6388888888889173E-3</v>
      </c>
      <c r="F2150" s="48">
        <v>0.24722222222222223</v>
      </c>
      <c r="G2150" s="49">
        <f t="shared" si="33"/>
        <v>1.1111111111111099E-2</v>
      </c>
      <c r="H2150" s="50">
        <v>41736</v>
      </c>
      <c r="I2150" s="51" t="s">
        <v>555</v>
      </c>
      <c r="J2150" s="51" t="s">
        <v>554</v>
      </c>
      <c r="K2150" s="51">
        <f>VLOOKUP(J2150,'Validacion reclamo de equipaje'!L:M,2,0)</f>
        <v>189</v>
      </c>
      <c r="L2150" s="51" t="str">
        <f>VLOOKUP(I2150,'Validacion reclamo de equipaje'!H:I,2,0)</f>
        <v>Internacional</v>
      </c>
      <c r="M2150" s="51" t="s">
        <v>523</v>
      </c>
    </row>
    <row r="2151" spans="1:13" x14ac:dyDescent="0.25">
      <c r="A2151">
        <v>242</v>
      </c>
      <c r="B2151" s="47" t="str">
        <f>VLOOKUP(Tabla6[[#This Row],['# Vuelo]],'Validacion reclamo de equipaje'!P:Q,2,0)</f>
        <v>VUELOS AL NORTE</v>
      </c>
      <c r="C2151" s="52">
        <v>0.22569444444444445</v>
      </c>
      <c r="D2151" s="52">
        <v>0.23541666666666669</v>
      </c>
      <c r="E2151" s="53">
        <f>'Reclamo de equipaje rediseñado'!$D2151-'Reclamo de equipaje rediseñado'!$C2151</f>
        <v>9.7222222222222432E-3</v>
      </c>
      <c r="F2151" s="52">
        <v>0.26041666666666669</v>
      </c>
      <c r="G2151" s="53">
        <f t="shared" si="33"/>
        <v>2.4999999999999994E-2</v>
      </c>
      <c r="H2151" s="54">
        <v>41737</v>
      </c>
      <c r="I2151" s="55" t="s">
        <v>555</v>
      </c>
      <c r="J2151" s="55" t="s">
        <v>554</v>
      </c>
      <c r="K2151" s="55">
        <f>VLOOKUP(J2151,'Validacion reclamo de equipaje'!L:M,2,0)</f>
        <v>189</v>
      </c>
      <c r="L2151" s="55" t="str">
        <f>VLOOKUP(I2151,'Validacion reclamo de equipaje'!H:I,2,0)</f>
        <v>Internacional</v>
      </c>
      <c r="M2151" s="55" t="s">
        <v>523</v>
      </c>
    </row>
    <row r="2152" spans="1:13" x14ac:dyDescent="0.25">
      <c r="A2152">
        <v>242</v>
      </c>
      <c r="B2152" s="47" t="str">
        <f>VLOOKUP(Tabla6[[#This Row],['# Vuelo]],'Validacion reclamo de equipaje'!P:Q,2,0)</f>
        <v>VUELOS AL NORTE</v>
      </c>
      <c r="C2152" s="48">
        <v>0.21805555555555556</v>
      </c>
      <c r="D2152" s="48">
        <v>0.2298611111111111</v>
      </c>
      <c r="E2152" s="49">
        <f>'Reclamo de equipaje rediseñado'!$D2152-'Reclamo de equipaje rediseñado'!$C2152</f>
        <v>1.1805555555555541E-2</v>
      </c>
      <c r="F2152" s="48">
        <v>0.24652777777777779</v>
      </c>
      <c r="G2152" s="49">
        <f t="shared" si="33"/>
        <v>1.6666666666666691E-2</v>
      </c>
      <c r="H2152" s="50">
        <v>41738</v>
      </c>
      <c r="I2152" s="51" t="s">
        <v>555</v>
      </c>
      <c r="J2152" s="51" t="s">
        <v>554</v>
      </c>
      <c r="K2152" s="51">
        <f>VLOOKUP(J2152,'Validacion reclamo de equipaje'!L:M,2,0)</f>
        <v>189</v>
      </c>
      <c r="L2152" s="51" t="str">
        <f>VLOOKUP(I2152,'Validacion reclamo de equipaje'!H:I,2,0)</f>
        <v>Internacional</v>
      </c>
      <c r="M2152" s="51" t="s">
        <v>523</v>
      </c>
    </row>
    <row r="2153" spans="1:13" x14ac:dyDescent="0.25">
      <c r="A2153">
        <v>242</v>
      </c>
      <c r="B2153" s="47" t="str">
        <f>VLOOKUP(Tabla6[[#This Row],['# Vuelo]],'Validacion reclamo de equipaje'!P:Q,2,0)</f>
        <v>VUELOS AL NORTE</v>
      </c>
      <c r="C2153" s="52">
        <v>0.22569444444444445</v>
      </c>
      <c r="D2153" s="52">
        <v>0.23263888888888887</v>
      </c>
      <c r="E2153" s="53">
        <f>'Reclamo de equipaje rediseñado'!$D2153-'Reclamo de equipaje rediseñado'!$C2153</f>
        <v>6.9444444444444198E-3</v>
      </c>
      <c r="F2153" s="52">
        <v>0.24930555555555556</v>
      </c>
      <c r="G2153" s="53">
        <f t="shared" si="33"/>
        <v>1.6666666666666691E-2</v>
      </c>
      <c r="H2153" s="54">
        <v>41739</v>
      </c>
      <c r="I2153" s="55" t="s">
        <v>555</v>
      </c>
      <c r="J2153" s="55" t="s">
        <v>554</v>
      </c>
      <c r="K2153" s="55">
        <f>VLOOKUP(J2153,'Validacion reclamo de equipaje'!L:M,2,0)</f>
        <v>189</v>
      </c>
      <c r="L2153" s="55" t="str">
        <f>VLOOKUP(I2153,'Validacion reclamo de equipaje'!H:I,2,0)</f>
        <v>Internacional</v>
      </c>
      <c r="M2153" s="55" t="s">
        <v>523</v>
      </c>
    </row>
    <row r="2154" spans="1:13" x14ac:dyDescent="0.25">
      <c r="A2154">
        <v>242</v>
      </c>
      <c r="B2154" s="47" t="str">
        <f>VLOOKUP(Tabla6[[#This Row],['# Vuelo]],'Validacion reclamo de equipaje'!P:Q,2,0)</f>
        <v>VUELOS AL NORTE</v>
      </c>
      <c r="C2154" s="48">
        <v>0.22430555555555556</v>
      </c>
      <c r="D2154" s="48">
        <v>0.24652777777777779</v>
      </c>
      <c r="E2154" s="49">
        <f>'Reclamo de equipaje rediseñado'!$D2154-'Reclamo de equipaje rediseñado'!$C2154</f>
        <v>2.2222222222222227E-2</v>
      </c>
      <c r="F2154" s="48">
        <v>0.26250000000000001</v>
      </c>
      <c r="G2154" s="49">
        <f t="shared" si="33"/>
        <v>1.5972222222222221E-2</v>
      </c>
      <c r="H2154" s="50">
        <v>41743</v>
      </c>
      <c r="I2154" s="51" t="s">
        <v>555</v>
      </c>
      <c r="J2154" s="51" t="s">
        <v>554</v>
      </c>
      <c r="K2154" s="51">
        <f>VLOOKUP(J2154,'Validacion reclamo de equipaje'!L:M,2,0)</f>
        <v>189</v>
      </c>
      <c r="L2154" s="51" t="str">
        <f>VLOOKUP(I2154,'Validacion reclamo de equipaje'!H:I,2,0)</f>
        <v>Internacional</v>
      </c>
      <c r="M2154" s="51" t="s">
        <v>523</v>
      </c>
    </row>
    <row r="2155" spans="1:13" x14ac:dyDescent="0.25">
      <c r="A2155">
        <v>242</v>
      </c>
      <c r="B2155" s="47" t="str">
        <f>VLOOKUP(Tabla6[[#This Row],['# Vuelo]],'Validacion reclamo de equipaje'!P:Q,2,0)</f>
        <v>VUELOS AL NORTE</v>
      </c>
      <c r="C2155" s="52">
        <v>0.21666666666666667</v>
      </c>
      <c r="D2155" s="52">
        <v>0.23819444444444446</v>
      </c>
      <c r="E2155" s="53">
        <f>'Reclamo de equipaje rediseñado'!$D2155-'Reclamo de equipaje rediseñado'!$C2155</f>
        <v>2.1527777777777785E-2</v>
      </c>
      <c r="F2155" s="52">
        <v>0.25208333333333333</v>
      </c>
      <c r="G2155" s="53">
        <f t="shared" si="33"/>
        <v>1.3888888888888867E-2</v>
      </c>
      <c r="H2155" s="54">
        <v>41745</v>
      </c>
      <c r="I2155" s="55" t="s">
        <v>555</v>
      </c>
      <c r="J2155" s="55" t="s">
        <v>554</v>
      </c>
      <c r="K2155" s="55">
        <f>VLOOKUP(J2155,'Validacion reclamo de equipaje'!L:M,2,0)</f>
        <v>189</v>
      </c>
      <c r="L2155" s="55" t="str">
        <f>VLOOKUP(I2155,'Validacion reclamo de equipaje'!H:I,2,0)</f>
        <v>Internacional</v>
      </c>
      <c r="M2155" s="55" t="s">
        <v>523</v>
      </c>
    </row>
    <row r="2156" spans="1:13" x14ac:dyDescent="0.25">
      <c r="A2156">
        <v>242</v>
      </c>
      <c r="B2156" s="47" t="str">
        <f>VLOOKUP(Tabla6[[#This Row],['# Vuelo]],'Validacion reclamo de equipaje'!P:Q,2,0)</f>
        <v>VUELOS AL NORTE</v>
      </c>
      <c r="C2156" s="48">
        <v>0.21944444444444444</v>
      </c>
      <c r="D2156" s="48">
        <v>0.23472222222222219</v>
      </c>
      <c r="E2156" s="49">
        <f>'Reclamo de equipaje rediseñado'!$D2156-'Reclamo de equipaje rediseñado'!$C2156</f>
        <v>1.5277777777777751E-2</v>
      </c>
      <c r="F2156" s="48">
        <v>0.26041666666666669</v>
      </c>
      <c r="G2156" s="49">
        <f t="shared" si="33"/>
        <v>2.5694444444444492E-2</v>
      </c>
      <c r="H2156" s="50">
        <v>41745</v>
      </c>
      <c r="I2156" s="51" t="s">
        <v>555</v>
      </c>
      <c r="J2156" s="51" t="s">
        <v>554</v>
      </c>
      <c r="K2156" s="51">
        <f>VLOOKUP(J2156,'Validacion reclamo de equipaje'!L:M,2,0)</f>
        <v>189</v>
      </c>
      <c r="L2156" s="51" t="str">
        <f>VLOOKUP(I2156,'Validacion reclamo de equipaje'!H:I,2,0)</f>
        <v>Internacional</v>
      </c>
      <c r="M2156" s="51" t="s">
        <v>523</v>
      </c>
    </row>
    <row r="2157" spans="1:13" x14ac:dyDescent="0.25">
      <c r="A2157">
        <v>242</v>
      </c>
      <c r="B2157" s="47" t="str">
        <f>VLOOKUP(Tabla6[[#This Row],['# Vuelo]],'Validacion reclamo de equipaje'!P:Q,2,0)</f>
        <v>VUELOS AL NORTE</v>
      </c>
      <c r="C2157" s="52">
        <v>0.23611111111111113</v>
      </c>
      <c r="D2157" s="52">
        <v>0.25347222222222221</v>
      </c>
      <c r="E2157" s="53">
        <f>'Reclamo de equipaje rediseñado'!$D2157-'Reclamo de equipaje rediseñado'!$C2157</f>
        <v>1.7361111111111077E-2</v>
      </c>
      <c r="F2157" s="52">
        <v>0.27986111111111112</v>
      </c>
      <c r="G2157" s="53">
        <f t="shared" si="33"/>
        <v>2.6388888888888906E-2</v>
      </c>
      <c r="H2157" s="54">
        <v>41746</v>
      </c>
      <c r="I2157" s="55" t="s">
        <v>555</v>
      </c>
      <c r="J2157" s="55" t="s">
        <v>554</v>
      </c>
      <c r="K2157" s="55">
        <f>VLOOKUP(J2157,'Validacion reclamo de equipaje'!L:M,2,0)</f>
        <v>189</v>
      </c>
      <c r="L2157" s="55" t="str">
        <f>VLOOKUP(I2157,'Validacion reclamo de equipaje'!H:I,2,0)</f>
        <v>Internacional</v>
      </c>
      <c r="M2157" s="55" t="s">
        <v>523</v>
      </c>
    </row>
    <row r="2158" spans="1:13" x14ac:dyDescent="0.25">
      <c r="A2158">
        <v>242</v>
      </c>
      <c r="B2158" s="47" t="str">
        <f>VLOOKUP(Tabla6[[#This Row],['# Vuelo]],'Validacion reclamo de equipaje'!P:Q,2,0)</f>
        <v>VUELOS AL NORTE</v>
      </c>
      <c r="C2158" s="48">
        <v>0.24027777777777778</v>
      </c>
      <c r="D2158" s="48">
        <v>0.26874999999999999</v>
      </c>
      <c r="E2158" s="49">
        <f>'Reclamo de equipaje rediseñado'!$D2158-'Reclamo de equipaje rediseñado'!$C2158</f>
        <v>2.8472222222222204E-2</v>
      </c>
      <c r="F2158" s="48">
        <v>0.28888888888888892</v>
      </c>
      <c r="G2158" s="49">
        <f t="shared" si="33"/>
        <v>2.0138888888888928E-2</v>
      </c>
      <c r="H2158" s="50">
        <v>41747</v>
      </c>
      <c r="I2158" s="51" t="s">
        <v>555</v>
      </c>
      <c r="J2158" s="51" t="s">
        <v>554</v>
      </c>
      <c r="K2158" s="51">
        <f>VLOOKUP(J2158,'Validacion reclamo de equipaje'!L:M,2,0)</f>
        <v>189</v>
      </c>
      <c r="L2158" s="51" t="str">
        <f>VLOOKUP(I2158,'Validacion reclamo de equipaje'!H:I,2,0)</f>
        <v>Internacional</v>
      </c>
      <c r="M2158" s="51" t="s">
        <v>523</v>
      </c>
    </row>
    <row r="2159" spans="1:13" x14ac:dyDescent="0.25">
      <c r="A2159">
        <v>242</v>
      </c>
      <c r="B2159" s="47" t="str">
        <f>VLOOKUP(Tabla6[[#This Row],['# Vuelo]],'Validacion reclamo de equipaje'!P:Q,2,0)</f>
        <v>VUELOS AL NORTE</v>
      </c>
      <c r="C2159" s="52">
        <v>0.23263888888888887</v>
      </c>
      <c r="D2159" s="52">
        <v>0.25069444444444444</v>
      </c>
      <c r="E2159" s="53">
        <f>'Reclamo de equipaje rediseñado'!$D2159-'Reclamo de equipaje rediseñado'!$C2159</f>
        <v>1.8055555555555575E-2</v>
      </c>
      <c r="F2159" s="52">
        <v>0.27499999999999997</v>
      </c>
      <c r="G2159" s="53">
        <f t="shared" si="33"/>
        <v>2.4305555555555525E-2</v>
      </c>
      <c r="H2159" s="54">
        <v>41749</v>
      </c>
      <c r="I2159" s="55" t="s">
        <v>555</v>
      </c>
      <c r="J2159" s="55" t="s">
        <v>554</v>
      </c>
      <c r="K2159" s="55">
        <f>VLOOKUP(J2159,'Validacion reclamo de equipaje'!L:M,2,0)</f>
        <v>189</v>
      </c>
      <c r="L2159" s="55" t="str">
        <f>VLOOKUP(I2159,'Validacion reclamo de equipaje'!H:I,2,0)</f>
        <v>Internacional</v>
      </c>
      <c r="M2159" s="55" t="s">
        <v>523</v>
      </c>
    </row>
    <row r="2160" spans="1:13" x14ac:dyDescent="0.25">
      <c r="A2160">
        <v>242</v>
      </c>
      <c r="B2160" s="47" t="str">
        <f>VLOOKUP(Tabla6[[#This Row],['# Vuelo]],'Validacion reclamo de equipaje'!P:Q,2,0)</f>
        <v>VUELOS AL NORTE</v>
      </c>
      <c r="C2160" s="48">
        <v>0.22777777777777777</v>
      </c>
      <c r="D2160" s="48">
        <v>0.2388888888888889</v>
      </c>
      <c r="E2160" s="49">
        <f>'Reclamo de equipaje rediseñado'!$D2160-'Reclamo de equipaje rediseñado'!$C2160</f>
        <v>1.1111111111111127E-2</v>
      </c>
      <c r="F2160" s="48">
        <v>0.26527777777777778</v>
      </c>
      <c r="G2160" s="49">
        <f t="shared" si="33"/>
        <v>2.6388888888888878E-2</v>
      </c>
      <c r="H2160" s="50">
        <v>41749</v>
      </c>
      <c r="I2160" s="51" t="s">
        <v>555</v>
      </c>
      <c r="J2160" s="51" t="s">
        <v>554</v>
      </c>
      <c r="K2160" s="51">
        <f>VLOOKUP(J2160,'Validacion reclamo de equipaje'!L:M,2,0)</f>
        <v>189</v>
      </c>
      <c r="L2160" s="51" t="str">
        <f>VLOOKUP(I2160,'Validacion reclamo de equipaje'!H:I,2,0)</f>
        <v>Internacional</v>
      </c>
      <c r="M2160" s="51" t="s">
        <v>523</v>
      </c>
    </row>
    <row r="2161" spans="1:13" x14ac:dyDescent="0.25">
      <c r="A2161">
        <v>242</v>
      </c>
      <c r="B2161" s="47" t="str">
        <f>VLOOKUP(Tabla6[[#This Row],['# Vuelo]],'Validacion reclamo de equipaje'!P:Q,2,0)</f>
        <v>VUELOS AL NORTE</v>
      </c>
      <c r="C2161" s="52">
        <v>0.23402777777777781</v>
      </c>
      <c r="D2161" s="52">
        <v>0.24861111111111112</v>
      </c>
      <c r="E2161" s="53">
        <f>'Reclamo de equipaje rediseñado'!$D2161-'Reclamo de equipaje rediseñado'!$C2161</f>
        <v>1.4583333333333309E-2</v>
      </c>
      <c r="F2161" s="52">
        <v>0.27638888888888885</v>
      </c>
      <c r="G2161" s="53">
        <f t="shared" si="33"/>
        <v>2.7777777777777735E-2</v>
      </c>
      <c r="H2161" s="54">
        <v>41751</v>
      </c>
      <c r="I2161" s="55" t="s">
        <v>555</v>
      </c>
      <c r="J2161" s="55" t="s">
        <v>554</v>
      </c>
      <c r="K2161" s="55">
        <f>VLOOKUP(J2161,'Validacion reclamo de equipaje'!L:M,2,0)</f>
        <v>189</v>
      </c>
      <c r="L2161" s="55" t="str">
        <f>VLOOKUP(I2161,'Validacion reclamo de equipaje'!H:I,2,0)</f>
        <v>Internacional</v>
      </c>
      <c r="M2161" s="55" t="s">
        <v>523</v>
      </c>
    </row>
    <row r="2162" spans="1:13" x14ac:dyDescent="0.25">
      <c r="A2162">
        <v>242</v>
      </c>
      <c r="B2162" s="47" t="str">
        <f>VLOOKUP(Tabla6[[#This Row],['# Vuelo]],'Validacion reclamo de equipaje'!P:Q,2,0)</f>
        <v>VUELOS AL NORTE</v>
      </c>
      <c r="C2162" s="48">
        <v>0.22847222222222222</v>
      </c>
      <c r="D2162" s="48">
        <v>0.24166666666666667</v>
      </c>
      <c r="E2162" s="49">
        <f>'Reclamo de equipaje rediseñado'!$D2162-'Reclamo de equipaje rediseñado'!$C2162</f>
        <v>1.3194444444444453E-2</v>
      </c>
      <c r="F2162" s="48">
        <v>0.26944444444444443</v>
      </c>
      <c r="G2162" s="49">
        <f t="shared" si="33"/>
        <v>2.7777777777777762E-2</v>
      </c>
      <c r="H2162" s="50">
        <v>41752</v>
      </c>
      <c r="I2162" s="51" t="s">
        <v>555</v>
      </c>
      <c r="J2162" s="51" t="s">
        <v>554</v>
      </c>
      <c r="K2162" s="51">
        <f>VLOOKUP(J2162,'Validacion reclamo de equipaje'!L:M,2,0)</f>
        <v>189</v>
      </c>
      <c r="L2162" s="51" t="str">
        <f>VLOOKUP(I2162,'Validacion reclamo de equipaje'!H:I,2,0)</f>
        <v>Internacional</v>
      </c>
      <c r="M2162" s="51" t="s">
        <v>523</v>
      </c>
    </row>
    <row r="2163" spans="1:13" x14ac:dyDescent="0.25">
      <c r="A2163">
        <v>242</v>
      </c>
      <c r="B2163" s="47" t="str">
        <f>VLOOKUP(Tabla6[[#This Row],['# Vuelo]],'Validacion reclamo de equipaje'!P:Q,2,0)</f>
        <v>VUELOS AL NORTE</v>
      </c>
      <c r="C2163" s="52">
        <v>0.22222222222222221</v>
      </c>
      <c r="D2163" s="52">
        <v>0.22361111111111109</v>
      </c>
      <c r="E2163" s="53">
        <f>'Reclamo de equipaje rediseñado'!$D2163-'Reclamo de equipaje rediseñado'!$C2163</f>
        <v>1.388888888888884E-3</v>
      </c>
      <c r="F2163" s="52">
        <v>0.24305555555555555</v>
      </c>
      <c r="G2163" s="53">
        <f t="shared" si="33"/>
        <v>1.9444444444444459E-2</v>
      </c>
      <c r="H2163" s="54">
        <v>41752</v>
      </c>
      <c r="I2163" s="55" t="s">
        <v>555</v>
      </c>
      <c r="J2163" s="55" t="s">
        <v>554</v>
      </c>
      <c r="K2163" s="55">
        <f>VLOOKUP(J2163,'Validacion reclamo de equipaje'!L:M,2,0)</f>
        <v>189</v>
      </c>
      <c r="L2163" s="55" t="str">
        <f>VLOOKUP(I2163,'Validacion reclamo de equipaje'!H:I,2,0)</f>
        <v>Internacional</v>
      </c>
      <c r="M2163" s="55" t="s">
        <v>523</v>
      </c>
    </row>
    <row r="2164" spans="1:13" x14ac:dyDescent="0.25">
      <c r="A2164">
        <v>242</v>
      </c>
      <c r="B2164" s="47" t="str">
        <f>VLOOKUP(Tabla6[[#This Row],['# Vuelo]],'Validacion reclamo de equipaje'!P:Q,2,0)</f>
        <v>VUELOS AL NORTE</v>
      </c>
      <c r="C2164" s="48">
        <v>0.23402777777777781</v>
      </c>
      <c r="D2164" s="48">
        <v>0.2388888888888889</v>
      </c>
      <c r="E2164" s="49">
        <f>'Reclamo de equipaje rediseñado'!$D2164-'Reclamo de equipaje rediseñado'!$C2164</f>
        <v>4.8611111111110938E-3</v>
      </c>
      <c r="F2164" s="48">
        <v>0.25</v>
      </c>
      <c r="G2164" s="49">
        <f t="shared" si="33"/>
        <v>1.1111111111111099E-2</v>
      </c>
      <c r="H2164" s="50">
        <v>41754</v>
      </c>
      <c r="I2164" s="51" t="s">
        <v>555</v>
      </c>
      <c r="J2164" s="51" t="s">
        <v>554</v>
      </c>
      <c r="K2164" s="51">
        <f>VLOOKUP(J2164,'Validacion reclamo de equipaje'!L:M,2,0)</f>
        <v>189</v>
      </c>
      <c r="L2164" s="51" t="str">
        <f>VLOOKUP(I2164,'Validacion reclamo de equipaje'!H:I,2,0)</f>
        <v>Internacional</v>
      </c>
      <c r="M2164" s="51" t="s">
        <v>523</v>
      </c>
    </row>
    <row r="2165" spans="1:13" x14ac:dyDescent="0.25">
      <c r="A2165">
        <v>242</v>
      </c>
      <c r="B2165" s="47" t="str">
        <f>VLOOKUP(Tabla6[[#This Row],['# Vuelo]],'Validacion reclamo de equipaje'!P:Q,2,0)</f>
        <v>VUELOS AL NORTE</v>
      </c>
      <c r="C2165" s="52">
        <v>0.22777777777777777</v>
      </c>
      <c r="D2165" s="52">
        <v>0.24166666666666667</v>
      </c>
      <c r="E2165" s="53">
        <f>'Reclamo de equipaje rediseñado'!$D2165-'Reclamo de equipaje rediseñado'!$C2165</f>
        <v>1.3888888888888895E-2</v>
      </c>
      <c r="F2165" s="52">
        <v>0.26458333333333334</v>
      </c>
      <c r="G2165" s="53">
        <f t="shared" si="33"/>
        <v>2.2916666666666669E-2</v>
      </c>
      <c r="H2165" s="54">
        <v>41755</v>
      </c>
      <c r="I2165" s="55" t="s">
        <v>555</v>
      </c>
      <c r="J2165" s="55" t="s">
        <v>554</v>
      </c>
      <c r="K2165" s="55">
        <f>VLOOKUP(J2165,'Validacion reclamo de equipaje'!L:M,2,0)</f>
        <v>189</v>
      </c>
      <c r="L2165" s="55" t="str">
        <f>VLOOKUP(I2165,'Validacion reclamo de equipaje'!H:I,2,0)</f>
        <v>Internacional</v>
      </c>
      <c r="M2165" s="55" t="s">
        <v>523</v>
      </c>
    </row>
    <row r="2166" spans="1:13" x14ac:dyDescent="0.25">
      <c r="A2166">
        <v>242</v>
      </c>
      <c r="B2166" s="47" t="str">
        <f>VLOOKUP(Tabla6[[#This Row],['# Vuelo]],'Validacion reclamo de equipaje'!P:Q,2,0)</f>
        <v>VUELOS AL NORTE</v>
      </c>
      <c r="C2166" s="48">
        <v>0.22013888888888888</v>
      </c>
      <c r="D2166" s="48">
        <v>0.24166666666666667</v>
      </c>
      <c r="E2166" s="49">
        <f>'Reclamo de equipaje rediseñado'!$D2166-'Reclamo de equipaje rediseñado'!$C2166</f>
        <v>2.1527777777777785E-2</v>
      </c>
      <c r="F2166" s="48">
        <v>0.26597222222222222</v>
      </c>
      <c r="G2166" s="49">
        <f t="shared" si="33"/>
        <v>2.4305555555555552E-2</v>
      </c>
      <c r="H2166" s="50">
        <v>41756</v>
      </c>
      <c r="I2166" s="51" t="s">
        <v>555</v>
      </c>
      <c r="J2166" s="51" t="s">
        <v>554</v>
      </c>
      <c r="K2166" s="51">
        <f>VLOOKUP(J2166,'Validacion reclamo de equipaje'!L:M,2,0)</f>
        <v>189</v>
      </c>
      <c r="L2166" s="51" t="str">
        <f>VLOOKUP(I2166,'Validacion reclamo de equipaje'!H:I,2,0)</f>
        <v>Internacional</v>
      </c>
      <c r="M2166" s="51" t="s">
        <v>523</v>
      </c>
    </row>
    <row r="2167" spans="1:13" x14ac:dyDescent="0.25">
      <c r="A2167">
        <v>242</v>
      </c>
      <c r="B2167" s="47" t="str">
        <f>VLOOKUP(Tabla6[[#This Row],['# Vuelo]],'Validacion reclamo de equipaje'!P:Q,2,0)</f>
        <v>VUELOS AL NORTE</v>
      </c>
      <c r="C2167" s="52">
        <v>0.2298611111111111</v>
      </c>
      <c r="D2167" s="52">
        <v>0.24305555555555555</v>
      </c>
      <c r="E2167" s="53">
        <f>'Reclamo de equipaje rediseñado'!$D2167-'Reclamo de equipaje rediseñado'!$C2167</f>
        <v>1.3194444444444453E-2</v>
      </c>
      <c r="F2167" s="52">
        <v>0.27708333333333335</v>
      </c>
      <c r="G2167" s="53">
        <f t="shared" si="33"/>
        <v>3.4027777777777796E-2</v>
      </c>
      <c r="H2167" s="54">
        <v>41758</v>
      </c>
      <c r="I2167" s="55" t="s">
        <v>555</v>
      </c>
      <c r="J2167" s="55" t="s">
        <v>554</v>
      </c>
      <c r="K2167" s="55">
        <f>VLOOKUP(J2167,'Validacion reclamo de equipaje'!L:M,2,0)</f>
        <v>189</v>
      </c>
      <c r="L2167" s="55" t="str">
        <f>VLOOKUP(I2167,'Validacion reclamo de equipaje'!H:I,2,0)</f>
        <v>Internacional</v>
      </c>
      <c r="M2167" s="55" t="s">
        <v>523</v>
      </c>
    </row>
    <row r="2168" spans="1:13" x14ac:dyDescent="0.25">
      <c r="A2168">
        <v>242</v>
      </c>
      <c r="B2168" s="47" t="str">
        <f>VLOOKUP(Tabla6[[#This Row],['# Vuelo]],'Validacion reclamo de equipaje'!P:Q,2,0)</f>
        <v>VUELOS AL NORTE</v>
      </c>
      <c r="C2168" s="48">
        <v>0.23958333333333334</v>
      </c>
      <c r="D2168" s="48">
        <v>0.25625000000000003</v>
      </c>
      <c r="E2168" s="49">
        <f>'Reclamo de equipaje rediseñado'!$D2168-'Reclamo de equipaje rediseñado'!$C2168</f>
        <v>1.6666666666666691E-2</v>
      </c>
      <c r="F2168" s="48">
        <v>0.27638888888888885</v>
      </c>
      <c r="G2168" s="49">
        <f t="shared" si="33"/>
        <v>2.0138888888888817E-2</v>
      </c>
      <c r="H2168" s="50">
        <v>41759</v>
      </c>
      <c r="I2168" s="51" t="s">
        <v>555</v>
      </c>
      <c r="J2168" s="51" t="s">
        <v>554</v>
      </c>
      <c r="K2168" s="51">
        <f>VLOOKUP(J2168,'Validacion reclamo de equipaje'!L:M,2,0)</f>
        <v>189</v>
      </c>
      <c r="L2168" s="51" t="str">
        <f>VLOOKUP(I2168,'Validacion reclamo de equipaje'!H:I,2,0)</f>
        <v>Internacional</v>
      </c>
      <c r="M2168" s="51" t="s">
        <v>523</v>
      </c>
    </row>
    <row r="2169" spans="1:13" x14ac:dyDescent="0.25">
      <c r="A2169">
        <v>226</v>
      </c>
      <c r="B2169" s="47" t="str">
        <f>VLOOKUP(Tabla6[[#This Row],['# Vuelo]],'Validacion reclamo de equipaje'!P:Q,2,0)</f>
        <v>VUELOS AL NORTE</v>
      </c>
      <c r="C2169" s="52">
        <v>0.15277777777777776</v>
      </c>
      <c r="D2169" s="52">
        <v>0.16666666666666666</v>
      </c>
      <c r="E2169" s="53">
        <f>'Reclamo de equipaje rediseñado'!$D2169-'Reclamo de equipaje rediseñado'!$C2169</f>
        <v>1.3888888888888895E-2</v>
      </c>
      <c r="F2169" s="52">
        <v>0.18958333333333333</v>
      </c>
      <c r="G2169" s="53">
        <f t="shared" si="33"/>
        <v>2.2916666666666669E-2</v>
      </c>
      <c r="H2169" s="54">
        <v>41731</v>
      </c>
      <c r="I2169" s="55" t="s">
        <v>567</v>
      </c>
      <c r="J2169" s="55" t="s">
        <v>554</v>
      </c>
      <c r="K2169" s="55">
        <f>VLOOKUP(J2169,'Validacion reclamo de equipaje'!L:M,2,0)</f>
        <v>189</v>
      </c>
      <c r="L2169" s="55" t="str">
        <f>VLOOKUP(I2169,'Validacion reclamo de equipaje'!H:I,2,0)</f>
        <v>Internacional</v>
      </c>
      <c r="M2169" s="55" t="s">
        <v>523</v>
      </c>
    </row>
    <row r="2170" spans="1:13" x14ac:dyDescent="0.25">
      <c r="A2170">
        <v>226</v>
      </c>
      <c r="B2170" s="47" t="str">
        <f>VLOOKUP(Tabla6[[#This Row],['# Vuelo]],'Validacion reclamo de equipaje'!P:Q,2,0)</f>
        <v>VUELOS AL NORTE</v>
      </c>
      <c r="C2170" s="48">
        <v>0.20555555555555557</v>
      </c>
      <c r="D2170" s="48">
        <v>0.21944444444444444</v>
      </c>
      <c r="E2170" s="49">
        <f>'Reclamo de equipaje rediseñado'!$D2170-'Reclamo de equipaje rediseñado'!$C2170</f>
        <v>1.3888888888888867E-2</v>
      </c>
      <c r="F2170" s="48">
        <v>0.24652777777777779</v>
      </c>
      <c r="G2170" s="49">
        <f t="shared" si="33"/>
        <v>2.7083333333333348E-2</v>
      </c>
      <c r="H2170" s="50">
        <v>41736</v>
      </c>
      <c r="I2170" s="51" t="s">
        <v>567</v>
      </c>
      <c r="J2170" s="51" t="s">
        <v>554</v>
      </c>
      <c r="K2170" s="51">
        <f>VLOOKUP(J2170,'Validacion reclamo de equipaje'!L:M,2,0)</f>
        <v>189</v>
      </c>
      <c r="L2170" s="51" t="str">
        <f>VLOOKUP(I2170,'Validacion reclamo de equipaje'!H:I,2,0)</f>
        <v>Internacional</v>
      </c>
      <c r="M2170" s="51" t="s">
        <v>523</v>
      </c>
    </row>
    <row r="2171" spans="1:13" x14ac:dyDescent="0.25">
      <c r="A2171">
        <v>226</v>
      </c>
      <c r="B2171" s="47" t="str">
        <f>VLOOKUP(Tabla6[[#This Row],['# Vuelo]],'Validacion reclamo de equipaje'!P:Q,2,0)</f>
        <v>VUELOS AL NORTE</v>
      </c>
      <c r="C2171" s="52">
        <v>0.20277777777777781</v>
      </c>
      <c r="D2171" s="52">
        <v>0.2076388888888889</v>
      </c>
      <c r="E2171" s="53">
        <f>'Reclamo de equipaje rediseñado'!$D2171-'Reclamo de equipaje rediseñado'!$C2171</f>
        <v>4.8611111111110938E-3</v>
      </c>
      <c r="F2171" s="52">
        <v>0.21527777777777779</v>
      </c>
      <c r="G2171" s="53">
        <f t="shared" si="33"/>
        <v>7.6388888888888895E-3</v>
      </c>
      <c r="H2171" s="54">
        <v>41736</v>
      </c>
      <c r="I2171" s="55" t="s">
        <v>567</v>
      </c>
      <c r="J2171" s="55" t="s">
        <v>554</v>
      </c>
      <c r="K2171" s="55">
        <f>VLOOKUP(J2171,'Validacion reclamo de equipaje'!L:M,2,0)</f>
        <v>189</v>
      </c>
      <c r="L2171" s="55" t="str">
        <f>VLOOKUP(I2171,'Validacion reclamo de equipaje'!H:I,2,0)</f>
        <v>Internacional</v>
      </c>
      <c r="M2171" s="55" t="s">
        <v>523</v>
      </c>
    </row>
    <row r="2172" spans="1:13" x14ac:dyDescent="0.25">
      <c r="A2172">
        <v>226</v>
      </c>
      <c r="B2172" s="47" t="str">
        <f>VLOOKUP(Tabla6[[#This Row],['# Vuelo]],'Validacion reclamo de equipaje'!P:Q,2,0)</f>
        <v>VUELOS AL NORTE</v>
      </c>
      <c r="C2172" s="48">
        <v>0.20277777777777781</v>
      </c>
      <c r="D2172" s="48">
        <v>0.21249999999999999</v>
      </c>
      <c r="E2172" s="49">
        <f>'Reclamo de equipaje rediseñado'!$D2172-'Reclamo de equipaje rediseñado'!$C2172</f>
        <v>9.7222222222221877E-3</v>
      </c>
      <c r="F2172" s="48">
        <v>0.23055555555555554</v>
      </c>
      <c r="G2172" s="49">
        <f t="shared" si="33"/>
        <v>1.8055555555555547E-2</v>
      </c>
      <c r="H2172" s="50">
        <v>41736</v>
      </c>
      <c r="I2172" s="51" t="s">
        <v>567</v>
      </c>
      <c r="J2172" s="51" t="s">
        <v>554</v>
      </c>
      <c r="K2172" s="51">
        <f>VLOOKUP(J2172,'Validacion reclamo de equipaje'!L:M,2,0)</f>
        <v>189</v>
      </c>
      <c r="L2172" s="51" t="str">
        <f>VLOOKUP(I2172,'Validacion reclamo de equipaje'!H:I,2,0)</f>
        <v>Internacional</v>
      </c>
      <c r="M2172" s="51" t="s">
        <v>523</v>
      </c>
    </row>
    <row r="2173" spans="1:13" x14ac:dyDescent="0.25">
      <c r="A2173">
        <v>226</v>
      </c>
      <c r="B2173" s="47" t="str">
        <f>VLOOKUP(Tabla6[[#This Row],['# Vuelo]],'Validacion reclamo de equipaje'!P:Q,2,0)</f>
        <v>VUELOS AL NORTE</v>
      </c>
      <c r="C2173" s="52">
        <v>0.20138888888888887</v>
      </c>
      <c r="D2173" s="52">
        <v>0.21388888888888891</v>
      </c>
      <c r="E2173" s="53">
        <f>'Reclamo de equipaje rediseñado'!$D2173-'Reclamo de equipaje rediseñado'!$C2173</f>
        <v>1.2500000000000039E-2</v>
      </c>
      <c r="F2173" s="52">
        <v>0.23194444444444443</v>
      </c>
      <c r="G2173" s="53">
        <f t="shared" si="33"/>
        <v>1.8055555555555519E-2</v>
      </c>
      <c r="H2173" s="54">
        <v>41737</v>
      </c>
      <c r="I2173" s="55" t="s">
        <v>567</v>
      </c>
      <c r="J2173" s="55" t="s">
        <v>554</v>
      </c>
      <c r="K2173" s="55">
        <f>VLOOKUP(J2173,'Validacion reclamo de equipaje'!L:M,2,0)</f>
        <v>189</v>
      </c>
      <c r="L2173" s="55" t="str">
        <f>VLOOKUP(I2173,'Validacion reclamo de equipaje'!H:I,2,0)</f>
        <v>Internacional</v>
      </c>
      <c r="M2173" s="55" t="s">
        <v>523</v>
      </c>
    </row>
    <row r="2174" spans="1:13" x14ac:dyDescent="0.25">
      <c r="A2174">
        <v>226</v>
      </c>
      <c r="B2174" s="47" t="str">
        <f>VLOOKUP(Tabla6[[#This Row],['# Vuelo]],'Validacion reclamo de equipaje'!P:Q,2,0)</f>
        <v>VUELOS AL NORTE</v>
      </c>
      <c r="C2174" s="48">
        <v>0.19097222222222221</v>
      </c>
      <c r="D2174" s="48">
        <v>0.2076388888888889</v>
      </c>
      <c r="E2174" s="49">
        <f>'Reclamo de equipaje rediseñado'!$D2174-'Reclamo de equipaje rediseñado'!$C2174</f>
        <v>1.6666666666666691E-2</v>
      </c>
      <c r="F2174" s="48">
        <v>0.22013888888888888</v>
      </c>
      <c r="G2174" s="49">
        <f t="shared" si="33"/>
        <v>1.2499999999999983E-2</v>
      </c>
      <c r="H2174" s="50">
        <v>41738</v>
      </c>
      <c r="I2174" s="51" t="s">
        <v>567</v>
      </c>
      <c r="J2174" s="51" t="s">
        <v>554</v>
      </c>
      <c r="K2174" s="51">
        <f>VLOOKUP(J2174,'Validacion reclamo de equipaje'!L:M,2,0)</f>
        <v>189</v>
      </c>
      <c r="L2174" s="51" t="str">
        <f>VLOOKUP(I2174,'Validacion reclamo de equipaje'!H:I,2,0)</f>
        <v>Internacional</v>
      </c>
      <c r="M2174" s="51" t="s">
        <v>523</v>
      </c>
    </row>
    <row r="2175" spans="1:13" x14ac:dyDescent="0.25">
      <c r="A2175">
        <v>226</v>
      </c>
      <c r="B2175" s="47" t="str">
        <f>VLOOKUP(Tabla6[[#This Row],['# Vuelo]],'Validacion reclamo de equipaje'!P:Q,2,0)</f>
        <v>VUELOS AL NORTE</v>
      </c>
      <c r="C2175" s="52">
        <v>0.19791666666666666</v>
      </c>
      <c r="D2175" s="52">
        <v>0.20972222222222223</v>
      </c>
      <c r="E2175" s="53">
        <f>'Reclamo de equipaje rediseñado'!$D2175-'Reclamo de equipaje rediseñado'!$C2175</f>
        <v>1.1805555555555569E-2</v>
      </c>
      <c r="F2175" s="52">
        <v>0.22708333333333333</v>
      </c>
      <c r="G2175" s="53">
        <f t="shared" si="33"/>
        <v>1.7361111111111105E-2</v>
      </c>
      <c r="H2175" s="54">
        <v>41739</v>
      </c>
      <c r="I2175" s="55" t="s">
        <v>567</v>
      </c>
      <c r="J2175" s="55" t="s">
        <v>554</v>
      </c>
      <c r="K2175" s="55">
        <f>VLOOKUP(J2175,'Validacion reclamo de equipaje'!L:M,2,0)</f>
        <v>189</v>
      </c>
      <c r="L2175" s="55" t="str">
        <f>VLOOKUP(I2175,'Validacion reclamo de equipaje'!H:I,2,0)</f>
        <v>Internacional</v>
      </c>
      <c r="M2175" s="55" t="s">
        <v>523</v>
      </c>
    </row>
    <row r="2176" spans="1:13" x14ac:dyDescent="0.25">
      <c r="A2176">
        <v>226</v>
      </c>
      <c r="B2176" s="47" t="str">
        <f>VLOOKUP(Tabla6[[#This Row],['# Vuelo]],'Validacion reclamo de equipaje'!P:Q,2,0)</f>
        <v>VUELOS AL NORTE</v>
      </c>
      <c r="C2176" s="48">
        <v>0.20069444444444443</v>
      </c>
      <c r="D2176" s="48">
        <v>0.22291666666666665</v>
      </c>
      <c r="E2176" s="49">
        <f>'Reclamo de equipaje rediseñado'!$D2176-'Reclamo de equipaje rediseñado'!$C2176</f>
        <v>2.2222222222222227E-2</v>
      </c>
      <c r="F2176" s="48">
        <v>0.23611111111111113</v>
      </c>
      <c r="G2176" s="49">
        <f t="shared" si="33"/>
        <v>1.3194444444444481E-2</v>
      </c>
      <c r="H2176" s="50">
        <v>41740</v>
      </c>
      <c r="I2176" s="51" t="s">
        <v>567</v>
      </c>
      <c r="J2176" s="51" t="s">
        <v>554</v>
      </c>
      <c r="K2176" s="51">
        <f>VLOOKUP(J2176,'Validacion reclamo de equipaje'!L:M,2,0)</f>
        <v>189</v>
      </c>
      <c r="L2176" s="51" t="str">
        <f>VLOOKUP(I2176,'Validacion reclamo de equipaje'!H:I,2,0)</f>
        <v>Internacional</v>
      </c>
      <c r="M2176" s="51" t="s">
        <v>523</v>
      </c>
    </row>
    <row r="2177" spans="1:13" x14ac:dyDescent="0.25">
      <c r="A2177">
        <v>226</v>
      </c>
      <c r="B2177" s="47" t="str">
        <f>VLOOKUP(Tabla6[[#This Row],['# Vuelo]],'Validacion reclamo de equipaje'!P:Q,2,0)</f>
        <v>VUELOS AL NORTE</v>
      </c>
      <c r="C2177" s="52">
        <v>0.18194444444444444</v>
      </c>
      <c r="D2177" s="52">
        <v>0.19097222222222221</v>
      </c>
      <c r="E2177" s="53">
        <f>'Reclamo de equipaje rediseñado'!$D2177-'Reclamo de equipaje rediseñado'!$C2177</f>
        <v>9.0277777777777735E-3</v>
      </c>
      <c r="F2177" s="52">
        <v>0.21597222222222223</v>
      </c>
      <c r="G2177" s="53">
        <f t="shared" si="33"/>
        <v>2.5000000000000022E-2</v>
      </c>
      <c r="H2177" s="54">
        <v>41743</v>
      </c>
      <c r="I2177" s="55" t="s">
        <v>567</v>
      </c>
      <c r="J2177" s="55" t="s">
        <v>554</v>
      </c>
      <c r="K2177" s="55">
        <f>VLOOKUP(J2177,'Validacion reclamo de equipaje'!L:M,2,0)</f>
        <v>189</v>
      </c>
      <c r="L2177" s="55" t="str">
        <f>VLOOKUP(I2177,'Validacion reclamo de equipaje'!H:I,2,0)</f>
        <v>Internacional</v>
      </c>
      <c r="M2177" s="55" t="s">
        <v>523</v>
      </c>
    </row>
    <row r="2178" spans="1:13" x14ac:dyDescent="0.25">
      <c r="A2178">
        <v>226</v>
      </c>
      <c r="B2178" s="47" t="str">
        <f>VLOOKUP(Tabla6[[#This Row],['# Vuelo]],'Validacion reclamo de equipaje'!P:Q,2,0)</f>
        <v>VUELOS AL NORTE</v>
      </c>
      <c r="C2178" s="48">
        <v>0.19513888888888889</v>
      </c>
      <c r="D2178" s="48">
        <v>0.21388888888888891</v>
      </c>
      <c r="E2178" s="49">
        <f>'Reclamo de equipaje rediseñado'!$D2178-'Reclamo de equipaje rediseñado'!$C2178</f>
        <v>1.8750000000000017E-2</v>
      </c>
      <c r="F2178" s="48">
        <v>0.2298611111111111</v>
      </c>
      <c r="G2178" s="49">
        <f t="shared" si="33"/>
        <v>1.5972222222222193E-2</v>
      </c>
      <c r="H2178" s="50">
        <v>41745</v>
      </c>
      <c r="I2178" s="51" t="s">
        <v>567</v>
      </c>
      <c r="J2178" s="51" t="s">
        <v>554</v>
      </c>
      <c r="K2178" s="51">
        <f>VLOOKUP(J2178,'Validacion reclamo de equipaje'!L:M,2,0)</f>
        <v>189</v>
      </c>
      <c r="L2178" s="51" t="str">
        <f>VLOOKUP(I2178,'Validacion reclamo de equipaje'!H:I,2,0)</f>
        <v>Internacional</v>
      </c>
      <c r="M2178" s="51" t="s">
        <v>523</v>
      </c>
    </row>
    <row r="2179" spans="1:13" x14ac:dyDescent="0.25">
      <c r="A2179">
        <v>226</v>
      </c>
      <c r="B2179" s="47" t="str">
        <f>VLOOKUP(Tabla6[[#This Row],['# Vuelo]],'Validacion reclamo de equipaje'!P:Q,2,0)</f>
        <v>VUELOS AL NORTE</v>
      </c>
      <c r="C2179" s="52">
        <v>0.17500000000000002</v>
      </c>
      <c r="D2179" s="52">
        <v>0.19097222222222221</v>
      </c>
      <c r="E2179" s="53">
        <f>'Reclamo de equipaje rediseñado'!$D2179-'Reclamo de equipaje rediseñado'!$C2179</f>
        <v>1.5972222222222193E-2</v>
      </c>
      <c r="F2179" s="52">
        <v>0.20833333333333334</v>
      </c>
      <c r="G2179" s="53">
        <f t="shared" ref="G2179:G2242" si="34">F2179-D2179</f>
        <v>1.7361111111111133E-2</v>
      </c>
      <c r="H2179" s="54">
        <v>41745</v>
      </c>
      <c r="I2179" s="55" t="s">
        <v>567</v>
      </c>
      <c r="J2179" s="55" t="s">
        <v>554</v>
      </c>
      <c r="K2179" s="55">
        <f>VLOOKUP(J2179,'Validacion reclamo de equipaje'!L:M,2,0)</f>
        <v>189</v>
      </c>
      <c r="L2179" s="55" t="str">
        <f>VLOOKUP(I2179,'Validacion reclamo de equipaje'!H:I,2,0)</f>
        <v>Internacional</v>
      </c>
      <c r="M2179" s="55" t="s">
        <v>523</v>
      </c>
    </row>
    <row r="2180" spans="1:13" x14ac:dyDescent="0.25">
      <c r="A2180">
        <v>226</v>
      </c>
      <c r="B2180" s="47" t="str">
        <f>VLOOKUP(Tabla6[[#This Row],['# Vuelo]],'Validacion reclamo de equipaje'!P:Q,2,0)</f>
        <v>VUELOS AL NORTE</v>
      </c>
      <c r="C2180" s="48">
        <v>0.19583333333333333</v>
      </c>
      <c r="D2180" s="48">
        <v>0.20625000000000002</v>
      </c>
      <c r="E2180" s="49">
        <f>'Reclamo de equipaje rediseñado'!$D2180-'Reclamo de equipaje rediseñado'!$C2180</f>
        <v>1.0416666666666685E-2</v>
      </c>
      <c r="F2180" s="48">
        <v>0.22361111111111109</v>
      </c>
      <c r="G2180" s="49">
        <f t="shared" si="34"/>
        <v>1.7361111111111077E-2</v>
      </c>
      <c r="H2180" s="50">
        <v>41746</v>
      </c>
      <c r="I2180" s="51" t="s">
        <v>567</v>
      </c>
      <c r="J2180" s="51" t="s">
        <v>554</v>
      </c>
      <c r="K2180" s="51">
        <f>VLOOKUP(J2180,'Validacion reclamo de equipaje'!L:M,2,0)</f>
        <v>189</v>
      </c>
      <c r="L2180" s="51" t="str">
        <f>VLOOKUP(I2180,'Validacion reclamo de equipaje'!H:I,2,0)</f>
        <v>Internacional</v>
      </c>
      <c r="M2180" s="51" t="s">
        <v>523</v>
      </c>
    </row>
    <row r="2181" spans="1:13" x14ac:dyDescent="0.25">
      <c r="A2181">
        <v>226</v>
      </c>
      <c r="B2181" s="47" t="str">
        <f>VLOOKUP(Tabla6[[#This Row],['# Vuelo]],'Validacion reclamo de equipaje'!P:Q,2,0)</f>
        <v>VUELOS AL NORTE</v>
      </c>
      <c r="C2181" s="52">
        <v>0.18888888888888888</v>
      </c>
      <c r="D2181" s="52">
        <v>0.20902777777777778</v>
      </c>
      <c r="E2181" s="53">
        <f>'Reclamo de equipaje rediseñado'!$D2181-'Reclamo de equipaje rediseñado'!$C2181</f>
        <v>2.0138888888888901E-2</v>
      </c>
      <c r="F2181" s="52">
        <v>0.22569444444444445</v>
      </c>
      <c r="G2181" s="53">
        <f t="shared" si="34"/>
        <v>1.6666666666666663E-2</v>
      </c>
      <c r="H2181" s="54">
        <v>41747</v>
      </c>
      <c r="I2181" s="55" t="s">
        <v>567</v>
      </c>
      <c r="J2181" s="55" t="s">
        <v>554</v>
      </c>
      <c r="K2181" s="55">
        <f>VLOOKUP(J2181,'Validacion reclamo de equipaje'!L:M,2,0)</f>
        <v>189</v>
      </c>
      <c r="L2181" s="55" t="str">
        <f>VLOOKUP(I2181,'Validacion reclamo de equipaje'!H:I,2,0)</f>
        <v>Internacional</v>
      </c>
      <c r="M2181" s="55" t="s">
        <v>523</v>
      </c>
    </row>
    <row r="2182" spans="1:13" x14ac:dyDescent="0.25">
      <c r="A2182">
        <v>226</v>
      </c>
      <c r="B2182" s="47" t="str">
        <f>VLOOKUP(Tabla6[[#This Row],['# Vuelo]],'Validacion reclamo de equipaje'!P:Q,2,0)</f>
        <v>VUELOS AL NORTE</v>
      </c>
      <c r="C2182" s="48">
        <v>0.19305555555555554</v>
      </c>
      <c r="D2182" s="48">
        <v>0.20833333333333334</v>
      </c>
      <c r="E2182" s="49">
        <f>'Reclamo de equipaje rediseñado'!$D2182-'Reclamo de equipaje rediseñado'!$C2182</f>
        <v>1.5277777777777807E-2</v>
      </c>
      <c r="F2182" s="48">
        <v>0.21875</v>
      </c>
      <c r="G2182" s="49">
        <f t="shared" si="34"/>
        <v>1.0416666666666657E-2</v>
      </c>
      <c r="H2182" s="50">
        <v>41749</v>
      </c>
      <c r="I2182" s="51" t="s">
        <v>567</v>
      </c>
      <c r="J2182" s="51" t="s">
        <v>554</v>
      </c>
      <c r="K2182" s="51">
        <f>VLOOKUP(J2182,'Validacion reclamo de equipaje'!L:M,2,0)</f>
        <v>189</v>
      </c>
      <c r="L2182" s="51" t="str">
        <f>VLOOKUP(I2182,'Validacion reclamo de equipaje'!H:I,2,0)</f>
        <v>Internacional</v>
      </c>
      <c r="M2182" s="51" t="s">
        <v>523</v>
      </c>
    </row>
    <row r="2183" spans="1:13" x14ac:dyDescent="0.25">
      <c r="A2183">
        <v>226</v>
      </c>
      <c r="B2183" s="47" t="str">
        <f>VLOOKUP(Tabla6[[#This Row],['# Vuelo]],'Validacion reclamo de equipaje'!P:Q,2,0)</f>
        <v>VUELOS AL NORTE</v>
      </c>
      <c r="C2183" s="52">
        <v>0.17777777777777778</v>
      </c>
      <c r="D2183" s="52">
        <v>0.19375000000000001</v>
      </c>
      <c r="E2183" s="53">
        <f>'Reclamo de equipaje rediseñado'!$D2183-'Reclamo de equipaje rediseñado'!$C2183</f>
        <v>1.5972222222222221E-2</v>
      </c>
      <c r="F2183" s="52">
        <v>0.21111111111111111</v>
      </c>
      <c r="G2183" s="53">
        <f t="shared" si="34"/>
        <v>1.7361111111111105E-2</v>
      </c>
      <c r="H2183" s="54">
        <v>41749</v>
      </c>
      <c r="I2183" s="55" t="s">
        <v>567</v>
      </c>
      <c r="J2183" s="55" t="s">
        <v>554</v>
      </c>
      <c r="K2183" s="55">
        <f>VLOOKUP(J2183,'Validacion reclamo de equipaje'!L:M,2,0)</f>
        <v>189</v>
      </c>
      <c r="L2183" s="55" t="str">
        <f>VLOOKUP(I2183,'Validacion reclamo de equipaje'!H:I,2,0)</f>
        <v>Internacional</v>
      </c>
      <c r="M2183" s="55" t="s">
        <v>523</v>
      </c>
    </row>
    <row r="2184" spans="1:13" x14ac:dyDescent="0.25">
      <c r="A2184">
        <v>226</v>
      </c>
      <c r="B2184" s="47" t="str">
        <f>VLOOKUP(Tabla6[[#This Row],['# Vuelo]],'Validacion reclamo de equipaje'!P:Q,2,0)</f>
        <v>VUELOS AL NORTE</v>
      </c>
      <c r="C2184" s="48">
        <v>0.20138888888888887</v>
      </c>
      <c r="D2184" s="48">
        <v>0.22083333333333333</v>
      </c>
      <c r="E2184" s="49">
        <f>'Reclamo de equipaje rediseñado'!$D2184-'Reclamo de equipaje rediseñado'!$C2184</f>
        <v>1.9444444444444459E-2</v>
      </c>
      <c r="F2184" s="48">
        <v>0.23750000000000002</v>
      </c>
      <c r="G2184" s="49">
        <f t="shared" si="34"/>
        <v>1.6666666666666691E-2</v>
      </c>
      <c r="H2184" s="50">
        <v>41751</v>
      </c>
      <c r="I2184" s="51" t="s">
        <v>567</v>
      </c>
      <c r="J2184" s="51" t="s">
        <v>554</v>
      </c>
      <c r="K2184" s="51">
        <f>VLOOKUP(J2184,'Validacion reclamo de equipaje'!L:M,2,0)</f>
        <v>189</v>
      </c>
      <c r="L2184" s="51" t="str">
        <f>VLOOKUP(I2184,'Validacion reclamo de equipaje'!H:I,2,0)</f>
        <v>Internacional</v>
      </c>
      <c r="M2184" s="51" t="s">
        <v>523</v>
      </c>
    </row>
    <row r="2185" spans="1:13" x14ac:dyDescent="0.25">
      <c r="A2185">
        <v>226</v>
      </c>
      <c r="B2185" s="47" t="str">
        <f>VLOOKUP(Tabla6[[#This Row],['# Vuelo]],'Validacion reclamo de equipaje'!P:Q,2,0)</f>
        <v>VUELOS AL NORTE</v>
      </c>
      <c r="C2185" s="52">
        <v>0.20555555555555557</v>
      </c>
      <c r="D2185" s="52">
        <v>0.21736111111111112</v>
      </c>
      <c r="E2185" s="53">
        <f>'Reclamo de equipaje rediseñado'!$D2185-'Reclamo de equipaje rediseñado'!$C2185</f>
        <v>1.1805555555555541E-2</v>
      </c>
      <c r="F2185" s="52">
        <v>0.23472222222222219</v>
      </c>
      <c r="G2185" s="53">
        <f t="shared" si="34"/>
        <v>1.7361111111111077E-2</v>
      </c>
      <c r="H2185" s="54">
        <v>41752</v>
      </c>
      <c r="I2185" s="55" t="s">
        <v>567</v>
      </c>
      <c r="J2185" s="55" t="s">
        <v>554</v>
      </c>
      <c r="K2185" s="55">
        <f>VLOOKUP(J2185,'Validacion reclamo de equipaje'!L:M,2,0)</f>
        <v>189</v>
      </c>
      <c r="L2185" s="55" t="str">
        <f>VLOOKUP(I2185,'Validacion reclamo de equipaje'!H:I,2,0)</f>
        <v>Internacional</v>
      </c>
      <c r="M2185" s="55" t="s">
        <v>523</v>
      </c>
    </row>
    <row r="2186" spans="1:13" x14ac:dyDescent="0.25">
      <c r="A2186">
        <v>226</v>
      </c>
      <c r="B2186" s="47" t="str">
        <f>VLOOKUP(Tabla6[[#This Row],['# Vuelo]],'Validacion reclamo de equipaje'!P:Q,2,0)</f>
        <v>VUELOS AL NORTE</v>
      </c>
      <c r="C2186" s="48">
        <v>0.1875</v>
      </c>
      <c r="D2186" s="48">
        <v>0.20138888888888887</v>
      </c>
      <c r="E2186" s="49">
        <f>'Reclamo de equipaje rediseñado'!$D2186-'Reclamo de equipaje rediseñado'!$C2186</f>
        <v>1.3888888888888867E-2</v>
      </c>
      <c r="F2186" s="48">
        <v>0.21875</v>
      </c>
      <c r="G2186" s="49">
        <f t="shared" si="34"/>
        <v>1.7361111111111133E-2</v>
      </c>
      <c r="H2186" s="50">
        <v>41752</v>
      </c>
      <c r="I2186" s="51" t="s">
        <v>567</v>
      </c>
      <c r="J2186" s="51" t="s">
        <v>554</v>
      </c>
      <c r="K2186" s="51">
        <f>VLOOKUP(J2186,'Validacion reclamo de equipaje'!L:M,2,0)</f>
        <v>189</v>
      </c>
      <c r="L2186" s="51" t="str">
        <f>VLOOKUP(I2186,'Validacion reclamo de equipaje'!H:I,2,0)</f>
        <v>Internacional</v>
      </c>
      <c r="M2186" s="51" t="s">
        <v>523</v>
      </c>
    </row>
    <row r="2187" spans="1:13" x14ac:dyDescent="0.25">
      <c r="A2187">
        <v>226</v>
      </c>
      <c r="B2187" s="47" t="str">
        <f>VLOOKUP(Tabla6[[#This Row],['# Vuelo]],'Validacion reclamo de equipaje'!P:Q,2,0)</f>
        <v>VUELOS AL NORTE</v>
      </c>
      <c r="C2187" s="52">
        <v>0.20625000000000002</v>
      </c>
      <c r="D2187" s="52">
        <v>0.22569444444444445</v>
      </c>
      <c r="E2187" s="53">
        <f>'Reclamo de equipaje rediseñado'!$D2187-'Reclamo de equipaje rediseñado'!$C2187</f>
        <v>1.9444444444444431E-2</v>
      </c>
      <c r="F2187" s="52">
        <v>0.23055555555555554</v>
      </c>
      <c r="G2187" s="53">
        <f t="shared" si="34"/>
        <v>4.8611111111110938E-3</v>
      </c>
      <c r="H2187" s="54">
        <v>41754</v>
      </c>
      <c r="I2187" s="55" t="s">
        <v>567</v>
      </c>
      <c r="J2187" s="55" t="s">
        <v>554</v>
      </c>
      <c r="K2187" s="55">
        <f>VLOOKUP(J2187,'Validacion reclamo de equipaje'!L:M,2,0)</f>
        <v>189</v>
      </c>
      <c r="L2187" s="55" t="str">
        <f>VLOOKUP(I2187,'Validacion reclamo de equipaje'!H:I,2,0)</f>
        <v>Internacional</v>
      </c>
      <c r="M2187" s="55" t="s">
        <v>523</v>
      </c>
    </row>
    <row r="2188" spans="1:13" x14ac:dyDescent="0.25">
      <c r="A2188">
        <v>226</v>
      </c>
      <c r="B2188" s="47" t="str">
        <f>VLOOKUP(Tabla6[[#This Row],['# Vuelo]],'Validacion reclamo de equipaje'!P:Q,2,0)</f>
        <v>VUELOS AL NORTE</v>
      </c>
      <c r="C2188" s="48">
        <v>0.18333333333333335</v>
      </c>
      <c r="D2188" s="48">
        <v>0.19930555555555554</v>
      </c>
      <c r="E2188" s="49">
        <f>'Reclamo de equipaje rediseñado'!$D2188-'Reclamo de equipaje rediseñado'!$C2188</f>
        <v>1.5972222222222193E-2</v>
      </c>
      <c r="F2188" s="48">
        <v>0.21180555555555555</v>
      </c>
      <c r="G2188" s="49">
        <f t="shared" si="34"/>
        <v>1.2500000000000011E-2</v>
      </c>
      <c r="H2188" s="50">
        <v>41755</v>
      </c>
      <c r="I2188" s="51" t="s">
        <v>567</v>
      </c>
      <c r="J2188" s="51" t="s">
        <v>554</v>
      </c>
      <c r="K2188" s="51">
        <f>VLOOKUP(J2188,'Validacion reclamo de equipaje'!L:M,2,0)</f>
        <v>189</v>
      </c>
      <c r="L2188" s="51" t="str">
        <f>VLOOKUP(I2188,'Validacion reclamo de equipaje'!H:I,2,0)</f>
        <v>Internacional</v>
      </c>
      <c r="M2188" s="51" t="s">
        <v>523</v>
      </c>
    </row>
    <row r="2189" spans="1:13" x14ac:dyDescent="0.25">
      <c r="A2189">
        <v>226</v>
      </c>
      <c r="B2189" s="47" t="str">
        <f>VLOOKUP(Tabla6[[#This Row],['# Vuelo]],'Validacion reclamo de equipaje'!P:Q,2,0)</f>
        <v>VUELOS AL NORTE</v>
      </c>
      <c r="C2189" s="52">
        <v>0.20347222222222219</v>
      </c>
      <c r="D2189" s="52">
        <v>0.21597222222222223</v>
      </c>
      <c r="E2189" s="53">
        <f>'Reclamo de equipaje rediseñado'!$D2189-'Reclamo de equipaje rediseñado'!$C2189</f>
        <v>1.2500000000000039E-2</v>
      </c>
      <c r="F2189" s="52">
        <v>0.23680555555555557</v>
      </c>
      <c r="G2189" s="53">
        <f t="shared" si="34"/>
        <v>2.0833333333333343E-2</v>
      </c>
      <c r="H2189" s="54">
        <v>41756</v>
      </c>
      <c r="I2189" s="55" t="s">
        <v>567</v>
      </c>
      <c r="J2189" s="55" t="s">
        <v>554</v>
      </c>
      <c r="K2189" s="55">
        <f>VLOOKUP(J2189,'Validacion reclamo de equipaje'!L:M,2,0)</f>
        <v>189</v>
      </c>
      <c r="L2189" s="55" t="str">
        <f>VLOOKUP(I2189,'Validacion reclamo de equipaje'!H:I,2,0)</f>
        <v>Internacional</v>
      </c>
      <c r="M2189" s="55" t="s">
        <v>523</v>
      </c>
    </row>
    <row r="2190" spans="1:13" x14ac:dyDescent="0.25">
      <c r="A2190">
        <v>226</v>
      </c>
      <c r="B2190" s="47" t="str">
        <f>VLOOKUP(Tabla6[[#This Row],['# Vuelo]],'Validacion reclamo de equipaje'!P:Q,2,0)</f>
        <v>VUELOS AL NORTE</v>
      </c>
      <c r="C2190" s="48">
        <v>0.19999999999999998</v>
      </c>
      <c r="D2190" s="48">
        <v>0.21388888888888891</v>
      </c>
      <c r="E2190" s="49">
        <f>'Reclamo de equipaje rediseñado'!$D2190-'Reclamo de equipaje rediseñado'!$C2190</f>
        <v>1.3888888888888923E-2</v>
      </c>
      <c r="F2190" s="48">
        <v>0.22916666666666666</v>
      </c>
      <c r="G2190" s="49">
        <f t="shared" si="34"/>
        <v>1.5277777777777751E-2</v>
      </c>
      <c r="H2190" s="50">
        <v>41757</v>
      </c>
      <c r="I2190" s="51" t="s">
        <v>567</v>
      </c>
      <c r="J2190" s="51" t="s">
        <v>554</v>
      </c>
      <c r="K2190" s="51">
        <f>VLOOKUP(J2190,'Validacion reclamo de equipaje'!L:M,2,0)</f>
        <v>189</v>
      </c>
      <c r="L2190" s="51" t="str">
        <f>VLOOKUP(I2190,'Validacion reclamo de equipaje'!H:I,2,0)</f>
        <v>Internacional</v>
      </c>
      <c r="M2190" s="51" t="s">
        <v>523</v>
      </c>
    </row>
    <row r="2191" spans="1:13" x14ac:dyDescent="0.25">
      <c r="A2191">
        <v>3275</v>
      </c>
      <c r="B2191" s="47" t="str">
        <f>VLOOKUP(Tabla6[[#This Row],['# Vuelo]],'Validacion reclamo de equipaje'!P:Q,2,0)</f>
        <v>AEROLINEAS DE AMERICA</v>
      </c>
      <c r="C2191" s="52">
        <v>0.54652777777777783</v>
      </c>
      <c r="D2191" s="52">
        <v>0.55972222222222223</v>
      </c>
      <c r="E2191" s="53">
        <f>'Reclamo de equipaje rediseñado'!$D2191-'Reclamo de equipaje rediseñado'!$C2191</f>
        <v>1.3194444444444398E-2</v>
      </c>
      <c r="F2191" s="52">
        <v>0.57152777777777775</v>
      </c>
      <c r="G2191" s="53">
        <f t="shared" si="34"/>
        <v>1.1805555555555514E-2</v>
      </c>
      <c r="H2191" s="54">
        <v>41730</v>
      </c>
      <c r="I2191" s="55" t="s">
        <v>538</v>
      </c>
      <c r="J2191" s="55" t="s">
        <v>535</v>
      </c>
      <c r="K2191" s="55">
        <f>VLOOKUP(J2191,'Validacion reclamo de equipaje'!L:M,2,0)</f>
        <v>50</v>
      </c>
      <c r="L2191" s="55" t="str">
        <f>VLOOKUP(I2191,'Validacion reclamo de equipaje'!H:I,2,0)</f>
        <v>Internacional</v>
      </c>
      <c r="M2191" s="55" t="s">
        <v>523</v>
      </c>
    </row>
    <row r="2192" spans="1:13" x14ac:dyDescent="0.25">
      <c r="A2192">
        <v>3275</v>
      </c>
      <c r="B2192" s="47" t="str">
        <f>VLOOKUP(Tabla6[[#This Row],['# Vuelo]],'Validacion reclamo de equipaje'!P:Q,2,0)</f>
        <v>AEROLINEAS DE AMERICA</v>
      </c>
      <c r="C2192" s="48">
        <v>0.4513888888888889</v>
      </c>
      <c r="D2192" s="48">
        <v>0.46111111111111108</v>
      </c>
      <c r="E2192" s="49">
        <f>'Reclamo de equipaje rediseñado'!$D2192-'Reclamo de equipaje rediseñado'!$C2192</f>
        <v>9.7222222222221877E-3</v>
      </c>
      <c r="F2192" s="48">
        <v>0.4680555555555555</v>
      </c>
      <c r="G2192" s="49">
        <f t="shared" si="34"/>
        <v>6.9444444444444198E-3</v>
      </c>
      <c r="H2192" s="50">
        <v>41730</v>
      </c>
      <c r="I2192" s="51" t="s">
        <v>538</v>
      </c>
      <c r="J2192" s="51" t="s">
        <v>535</v>
      </c>
      <c r="K2192" s="51">
        <f>VLOOKUP(J2192,'Validacion reclamo de equipaje'!L:M,2,0)</f>
        <v>50</v>
      </c>
      <c r="L2192" s="51" t="str">
        <f>VLOOKUP(I2192,'Validacion reclamo de equipaje'!H:I,2,0)</f>
        <v>Internacional</v>
      </c>
      <c r="M2192" s="51" t="s">
        <v>523</v>
      </c>
    </row>
    <row r="2193" spans="1:13" x14ac:dyDescent="0.25">
      <c r="A2193">
        <v>3275</v>
      </c>
      <c r="B2193" s="47" t="str">
        <f>VLOOKUP(Tabla6[[#This Row],['# Vuelo]],'Validacion reclamo de equipaje'!P:Q,2,0)</f>
        <v>AEROLINEAS DE AMERICA</v>
      </c>
      <c r="C2193" s="52">
        <v>0.44861111111111113</v>
      </c>
      <c r="D2193" s="52">
        <v>0.45763888888888887</v>
      </c>
      <c r="E2193" s="53">
        <f>'Reclamo de equipaje rediseñado'!$D2193-'Reclamo de equipaje rediseñado'!$C2193</f>
        <v>9.0277777777777457E-3</v>
      </c>
      <c r="F2193" s="52">
        <v>0.46666666666666662</v>
      </c>
      <c r="G2193" s="53">
        <f t="shared" si="34"/>
        <v>9.0277777777777457E-3</v>
      </c>
      <c r="H2193" s="54">
        <v>41731</v>
      </c>
      <c r="I2193" s="55" t="s">
        <v>538</v>
      </c>
      <c r="J2193" s="55" t="s">
        <v>535</v>
      </c>
      <c r="K2193" s="55">
        <f>VLOOKUP(J2193,'Validacion reclamo de equipaje'!L:M,2,0)</f>
        <v>50</v>
      </c>
      <c r="L2193" s="55" t="str">
        <f>VLOOKUP(I2193,'Validacion reclamo de equipaje'!H:I,2,0)</f>
        <v>Internacional</v>
      </c>
      <c r="M2193" s="55" t="s">
        <v>523</v>
      </c>
    </row>
    <row r="2194" spans="1:13" x14ac:dyDescent="0.25">
      <c r="A2194">
        <v>3275</v>
      </c>
      <c r="B2194" s="47" t="str">
        <f>VLOOKUP(Tabla6[[#This Row],['# Vuelo]],'Validacion reclamo de equipaje'!P:Q,2,0)</f>
        <v>AEROLINEAS DE AMERICA</v>
      </c>
      <c r="C2194" s="48">
        <v>0.44861111111111113</v>
      </c>
      <c r="D2194" s="48">
        <v>0.45763888888888887</v>
      </c>
      <c r="E2194" s="49">
        <f>'Reclamo de equipaje rediseñado'!$D2194-'Reclamo de equipaje rediseñado'!$C2194</f>
        <v>9.0277777777777457E-3</v>
      </c>
      <c r="F2194" s="48">
        <v>0.46666666666666662</v>
      </c>
      <c r="G2194" s="49">
        <f t="shared" si="34"/>
        <v>9.0277777777777457E-3</v>
      </c>
      <c r="H2194" s="50">
        <v>41731</v>
      </c>
      <c r="I2194" s="51" t="s">
        <v>538</v>
      </c>
      <c r="J2194" s="51" t="s">
        <v>535</v>
      </c>
      <c r="K2194" s="51">
        <f>VLOOKUP(J2194,'Validacion reclamo de equipaje'!L:M,2,0)</f>
        <v>50</v>
      </c>
      <c r="L2194" s="51" t="str">
        <f>VLOOKUP(I2194,'Validacion reclamo de equipaje'!H:I,2,0)</f>
        <v>Internacional</v>
      </c>
      <c r="M2194" s="51" t="s">
        <v>523</v>
      </c>
    </row>
    <row r="2195" spans="1:13" x14ac:dyDescent="0.25">
      <c r="A2195">
        <v>3275</v>
      </c>
      <c r="B2195" s="47" t="str">
        <f>VLOOKUP(Tabla6[[#This Row],['# Vuelo]],'Validacion reclamo de equipaje'!P:Q,2,0)</f>
        <v>AEROLINEAS DE AMERICA</v>
      </c>
      <c r="C2195" s="52">
        <v>0.46111111111111108</v>
      </c>
      <c r="D2195" s="52">
        <v>0.47013888888888888</v>
      </c>
      <c r="E2195" s="53">
        <f>'Reclamo de equipaje rediseñado'!$D2195-'Reclamo de equipaje rediseñado'!$C2195</f>
        <v>9.0277777777778012E-3</v>
      </c>
      <c r="F2195" s="52">
        <v>0.47916666666666669</v>
      </c>
      <c r="G2195" s="53">
        <f t="shared" si="34"/>
        <v>9.0277777777778012E-3</v>
      </c>
      <c r="H2195" s="54">
        <v>41732</v>
      </c>
      <c r="I2195" s="55" t="s">
        <v>538</v>
      </c>
      <c r="J2195" s="55" t="s">
        <v>535</v>
      </c>
      <c r="K2195" s="55">
        <f>VLOOKUP(J2195,'Validacion reclamo de equipaje'!L:M,2,0)</f>
        <v>50</v>
      </c>
      <c r="L2195" s="55" t="str">
        <f>VLOOKUP(I2195,'Validacion reclamo de equipaje'!H:I,2,0)</f>
        <v>Internacional</v>
      </c>
      <c r="M2195" s="55" t="s">
        <v>523</v>
      </c>
    </row>
    <row r="2196" spans="1:13" x14ac:dyDescent="0.25">
      <c r="A2196">
        <v>3275</v>
      </c>
      <c r="B2196" s="47" t="str">
        <f>VLOOKUP(Tabla6[[#This Row],['# Vuelo]],'Validacion reclamo de equipaje'!P:Q,2,0)</f>
        <v>AEROLINEAS DE AMERICA</v>
      </c>
      <c r="C2196" s="48">
        <v>0.45763888888888887</v>
      </c>
      <c r="D2196" s="48">
        <v>0.46736111111111112</v>
      </c>
      <c r="E2196" s="49">
        <f>'Reclamo de equipaje rediseñado'!$D2196-'Reclamo de equipaje rediseñado'!$C2196</f>
        <v>9.7222222222222432E-3</v>
      </c>
      <c r="F2196" s="48">
        <v>0.47013888888888888</v>
      </c>
      <c r="G2196" s="49">
        <f t="shared" si="34"/>
        <v>2.7777777777777679E-3</v>
      </c>
      <c r="H2196" s="50">
        <v>41734</v>
      </c>
      <c r="I2196" s="51" t="s">
        <v>538</v>
      </c>
      <c r="J2196" s="51" t="s">
        <v>535</v>
      </c>
      <c r="K2196" s="51">
        <f>VLOOKUP(J2196,'Validacion reclamo de equipaje'!L:M,2,0)</f>
        <v>50</v>
      </c>
      <c r="L2196" s="51" t="str">
        <f>VLOOKUP(I2196,'Validacion reclamo de equipaje'!H:I,2,0)</f>
        <v>Internacional</v>
      </c>
      <c r="M2196" s="51" t="s">
        <v>523</v>
      </c>
    </row>
    <row r="2197" spans="1:13" x14ac:dyDescent="0.25">
      <c r="A2197">
        <v>3275</v>
      </c>
      <c r="B2197" s="47" t="str">
        <f>VLOOKUP(Tabla6[[#This Row],['# Vuelo]],'Validacion reclamo de equipaje'!P:Q,2,0)</f>
        <v>AEROLINEAS DE AMERICA</v>
      </c>
      <c r="C2197" s="52">
        <v>0.50277777777777777</v>
      </c>
      <c r="D2197" s="52">
        <v>0.51388888888888895</v>
      </c>
      <c r="E2197" s="53">
        <f>'Reclamo de equipaje rediseñado'!$D2197-'Reclamo de equipaje rediseñado'!$C2197</f>
        <v>1.1111111111111183E-2</v>
      </c>
      <c r="F2197" s="52">
        <v>0.52430555555555558</v>
      </c>
      <c r="G2197" s="53">
        <f t="shared" si="34"/>
        <v>1.041666666666663E-2</v>
      </c>
      <c r="H2197" s="54">
        <v>41735</v>
      </c>
      <c r="I2197" s="55" t="s">
        <v>538</v>
      </c>
      <c r="J2197" s="55" t="s">
        <v>535</v>
      </c>
      <c r="K2197" s="55">
        <f>VLOOKUP(J2197,'Validacion reclamo de equipaje'!L:M,2,0)</f>
        <v>50</v>
      </c>
      <c r="L2197" s="55" t="str">
        <f>VLOOKUP(I2197,'Validacion reclamo de equipaje'!H:I,2,0)</f>
        <v>Internacional</v>
      </c>
      <c r="M2197" s="55" t="s">
        <v>523</v>
      </c>
    </row>
    <row r="2198" spans="1:13" x14ac:dyDescent="0.25">
      <c r="A2198">
        <v>3275</v>
      </c>
      <c r="B2198" s="47" t="str">
        <f>VLOOKUP(Tabla6[[#This Row],['# Vuelo]],'Validacion reclamo de equipaje'!P:Q,2,0)</f>
        <v>AEROLINEAS DE AMERICA</v>
      </c>
      <c r="C2198" s="48">
        <v>0.50347222222222221</v>
      </c>
      <c r="D2198" s="48">
        <v>0.51666666666666672</v>
      </c>
      <c r="E2198" s="49">
        <f>'Reclamo de equipaje rediseñado'!$D2198-'Reclamo de equipaje rediseñado'!$C2198</f>
        <v>1.3194444444444509E-2</v>
      </c>
      <c r="F2198" s="48">
        <v>0.53611111111111109</v>
      </c>
      <c r="G2198" s="49">
        <f t="shared" si="34"/>
        <v>1.9444444444444375E-2</v>
      </c>
      <c r="H2198" s="50">
        <v>41736</v>
      </c>
      <c r="I2198" s="51" t="s">
        <v>538</v>
      </c>
      <c r="J2198" s="51" t="s">
        <v>535</v>
      </c>
      <c r="K2198" s="51">
        <f>VLOOKUP(J2198,'Validacion reclamo de equipaje'!L:M,2,0)</f>
        <v>50</v>
      </c>
      <c r="L2198" s="51" t="str">
        <f>VLOOKUP(I2198,'Validacion reclamo de equipaje'!H:I,2,0)</f>
        <v>Internacional</v>
      </c>
      <c r="M2198" s="51" t="s">
        <v>523</v>
      </c>
    </row>
    <row r="2199" spans="1:13" x14ac:dyDescent="0.25">
      <c r="A2199">
        <v>3275</v>
      </c>
      <c r="B2199" s="47" t="str">
        <f>VLOOKUP(Tabla6[[#This Row],['# Vuelo]],'Validacion reclamo de equipaje'!P:Q,2,0)</f>
        <v>AEROLINEAS DE AMERICA</v>
      </c>
      <c r="C2199" s="52">
        <v>0.5395833333333333</v>
      </c>
      <c r="D2199" s="52">
        <v>0.54791666666666672</v>
      </c>
      <c r="E2199" s="53">
        <f>'Reclamo de equipaje rediseñado'!$D2199-'Reclamo de equipaje rediseñado'!$C2199</f>
        <v>8.3333333333334147E-3</v>
      </c>
      <c r="F2199" s="52">
        <v>0.55486111111111114</v>
      </c>
      <c r="G2199" s="53">
        <f t="shared" si="34"/>
        <v>6.9444444444444198E-3</v>
      </c>
      <c r="H2199" s="54">
        <v>41739</v>
      </c>
      <c r="I2199" s="55" t="s">
        <v>538</v>
      </c>
      <c r="J2199" s="55" t="s">
        <v>535</v>
      </c>
      <c r="K2199" s="55">
        <f>VLOOKUP(J2199,'Validacion reclamo de equipaje'!L:M,2,0)</f>
        <v>50</v>
      </c>
      <c r="L2199" s="55" t="str">
        <f>VLOOKUP(I2199,'Validacion reclamo de equipaje'!H:I,2,0)</f>
        <v>Internacional</v>
      </c>
      <c r="M2199" s="55" t="s">
        <v>523</v>
      </c>
    </row>
    <row r="2200" spans="1:13" x14ac:dyDescent="0.25">
      <c r="A2200">
        <v>3275</v>
      </c>
      <c r="B2200" s="47" t="str">
        <f>VLOOKUP(Tabla6[[#This Row],['# Vuelo]],'Validacion reclamo de equipaje'!P:Q,2,0)</f>
        <v>AEROLINEAS DE AMERICA</v>
      </c>
      <c r="C2200" s="48">
        <v>0.49583333333333335</v>
      </c>
      <c r="D2200" s="48">
        <v>0.50763888888888886</v>
      </c>
      <c r="E2200" s="49">
        <f>'Reclamo de equipaje rediseñado'!$D2200-'Reclamo de equipaje rediseñado'!$C2200</f>
        <v>1.1805555555555514E-2</v>
      </c>
      <c r="F2200" s="48">
        <v>0.5131944444444444</v>
      </c>
      <c r="G2200" s="49">
        <f t="shared" si="34"/>
        <v>5.5555555555555358E-3</v>
      </c>
      <c r="H2200" s="50">
        <v>41741</v>
      </c>
      <c r="I2200" s="51" t="s">
        <v>538</v>
      </c>
      <c r="J2200" s="51" t="s">
        <v>535</v>
      </c>
      <c r="K2200" s="51">
        <f>VLOOKUP(J2200,'Validacion reclamo de equipaje'!L:M,2,0)</f>
        <v>50</v>
      </c>
      <c r="L2200" s="51" t="str">
        <f>VLOOKUP(I2200,'Validacion reclamo de equipaje'!H:I,2,0)</f>
        <v>Internacional</v>
      </c>
      <c r="M2200" s="51" t="s">
        <v>523</v>
      </c>
    </row>
    <row r="2201" spans="1:13" x14ac:dyDescent="0.25">
      <c r="A2201">
        <v>3275</v>
      </c>
      <c r="B2201" s="47" t="str">
        <f>VLOOKUP(Tabla6[[#This Row],['# Vuelo]],'Validacion reclamo de equipaje'!P:Q,2,0)</f>
        <v>AEROLINEAS DE AMERICA</v>
      </c>
      <c r="C2201" s="52">
        <v>0.5</v>
      </c>
      <c r="D2201" s="52">
        <v>0.50902777777777775</v>
      </c>
      <c r="E2201" s="53">
        <f>'Reclamo de equipaje rediseñado'!$D2201-'Reclamo de equipaje rediseñado'!$C2201</f>
        <v>9.0277777777777457E-3</v>
      </c>
      <c r="F2201" s="52">
        <v>0.5131944444444444</v>
      </c>
      <c r="G2201" s="53">
        <f t="shared" si="34"/>
        <v>4.1666666666666519E-3</v>
      </c>
      <c r="H2201" s="54">
        <v>41743</v>
      </c>
      <c r="I2201" s="55" t="s">
        <v>538</v>
      </c>
      <c r="J2201" s="55" t="s">
        <v>535</v>
      </c>
      <c r="K2201" s="55">
        <f>VLOOKUP(J2201,'Validacion reclamo de equipaje'!L:M,2,0)</f>
        <v>50</v>
      </c>
      <c r="L2201" s="55" t="str">
        <f>VLOOKUP(I2201,'Validacion reclamo de equipaje'!H:I,2,0)</f>
        <v>Internacional</v>
      </c>
      <c r="M2201" s="55" t="s">
        <v>523</v>
      </c>
    </row>
    <row r="2202" spans="1:13" x14ac:dyDescent="0.25">
      <c r="A2202">
        <v>3275</v>
      </c>
      <c r="B2202" s="47" t="str">
        <f>VLOOKUP(Tabla6[[#This Row],['# Vuelo]],'Validacion reclamo de equipaje'!P:Q,2,0)</f>
        <v>AEROLINEAS DE AMERICA</v>
      </c>
      <c r="C2202" s="48">
        <v>0.4826388888888889</v>
      </c>
      <c r="D2202" s="48">
        <v>0.49374999999999997</v>
      </c>
      <c r="E2202" s="49">
        <f>'Reclamo de equipaje rediseñado'!$D2202-'Reclamo de equipaje rediseñado'!$C2202</f>
        <v>1.1111111111111072E-2</v>
      </c>
      <c r="F2202" s="48">
        <v>0.50277777777777777</v>
      </c>
      <c r="G2202" s="49">
        <f t="shared" si="34"/>
        <v>9.0277777777778012E-3</v>
      </c>
      <c r="H2202" s="50">
        <v>41744</v>
      </c>
      <c r="I2202" s="51" t="s">
        <v>538</v>
      </c>
      <c r="J2202" s="51" t="s">
        <v>535</v>
      </c>
      <c r="K2202" s="51">
        <f>VLOOKUP(J2202,'Validacion reclamo de equipaje'!L:M,2,0)</f>
        <v>50</v>
      </c>
      <c r="L2202" s="51" t="str">
        <f>VLOOKUP(I2202,'Validacion reclamo de equipaje'!H:I,2,0)</f>
        <v>Internacional</v>
      </c>
      <c r="M2202" s="51" t="s">
        <v>523</v>
      </c>
    </row>
    <row r="2203" spans="1:13" x14ac:dyDescent="0.25">
      <c r="A2203">
        <v>3275</v>
      </c>
      <c r="B2203" s="47" t="str">
        <f>VLOOKUP(Tabla6[[#This Row],['# Vuelo]],'Validacion reclamo de equipaje'!P:Q,2,0)</f>
        <v>AEROLINEAS DE AMERICA</v>
      </c>
      <c r="C2203" s="52">
        <v>0.48194444444444445</v>
      </c>
      <c r="D2203" s="52">
        <v>0.49236111111111108</v>
      </c>
      <c r="E2203" s="53">
        <f>'Reclamo de equipaje rediseñado'!$D2203-'Reclamo de equipaje rediseñado'!$C2203</f>
        <v>1.041666666666663E-2</v>
      </c>
      <c r="F2203" s="52">
        <v>0.49444444444444446</v>
      </c>
      <c r="G2203" s="53">
        <f t="shared" si="34"/>
        <v>2.0833333333333814E-3</v>
      </c>
      <c r="H2203" s="54">
        <v>41745</v>
      </c>
      <c r="I2203" s="55" t="s">
        <v>538</v>
      </c>
      <c r="J2203" s="55" t="s">
        <v>535</v>
      </c>
      <c r="K2203" s="55">
        <f>VLOOKUP(J2203,'Validacion reclamo de equipaje'!L:M,2,0)</f>
        <v>50</v>
      </c>
      <c r="L2203" s="55" t="str">
        <f>VLOOKUP(I2203,'Validacion reclamo de equipaje'!H:I,2,0)</f>
        <v>Internacional</v>
      </c>
      <c r="M2203" s="55" t="s">
        <v>523</v>
      </c>
    </row>
    <row r="2204" spans="1:13" x14ac:dyDescent="0.25">
      <c r="A2204">
        <v>3275</v>
      </c>
      <c r="B2204" s="47" t="str">
        <f>VLOOKUP(Tabla6[[#This Row],['# Vuelo]],'Validacion reclamo de equipaje'!P:Q,2,0)</f>
        <v>AEROLINEAS DE AMERICA</v>
      </c>
      <c r="C2204" s="48">
        <v>0.49513888888888885</v>
      </c>
      <c r="D2204" s="48">
        <v>0.50486111111111109</v>
      </c>
      <c r="E2204" s="49">
        <f>'Reclamo de equipaje rediseñado'!$D2204-'Reclamo de equipaje rediseñado'!$C2204</f>
        <v>9.7222222222222432E-3</v>
      </c>
      <c r="F2204" s="48">
        <v>0.51388888888888895</v>
      </c>
      <c r="G2204" s="49">
        <f t="shared" si="34"/>
        <v>9.0277777777778567E-3</v>
      </c>
      <c r="H2204" s="50">
        <v>41746</v>
      </c>
      <c r="I2204" s="51" t="s">
        <v>538</v>
      </c>
      <c r="J2204" s="51" t="s">
        <v>535</v>
      </c>
      <c r="K2204" s="51">
        <f>VLOOKUP(J2204,'Validacion reclamo de equipaje'!L:M,2,0)</f>
        <v>50</v>
      </c>
      <c r="L2204" s="51" t="str">
        <f>VLOOKUP(I2204,'Validacion reclamo de equipaje'!H:I,2,0)</f>
        <v>Internacional</v>
      </c>
      <c r="M2204" s="51" t="s">
        <v>523</v>
      </c>
    </row>
    <row r="2205" spans="1:13" x14ac:dyDescent="0.25">
      <c r="A2205">
        <v>3275</v>
      </c>
      <c r="B2205" s="47" t="str">
        <f>VLOOKUP(Tabla6[[#This Row],['# Vuelo]],'Validacion reclamo de equipaje'!P:Q,2,0)</f>
        <v>AEROLINEAS DE AMERICA</v>
      </c>
      <c r="C2205" s="52">
        <v>0.48541666666666666</v>
      </c>
      <c r="D2205" s="52">
        <v>0.49722222222222223</v>
      </c>
      <c r="E2205" s="53">
        <f>'Reclamo de equipaje rediseñado'!$D2205-'Reclamo de equipaje rediseñado'!$C2205</f>
        <v>1.1805555555555569E-2</v>
      </c>
      <c r="F2205" s="52">
        <v>0.50069444444444444</v>
      </c>
      <c r="G2205" s="53">
        <f t="shared" si="34"/>
        <v>3.4722222222222099E-3</v>
      </c>
      <c r="H2205" s="54">
        <v>41747</v>
      </c>
      <c r="I2205" s="55" t="s">
        <v>538</v>
      </c>
      <c r="J2205" s="55" t="s">
        <v>535</v>
      </c>
      <c r="K2205" s="55">
        <f>VLOOKUP(J2205,'Validacion reclamo de equipaje'!L:M,2,0)</f>
        <v>50</v>
      </c>
      <c r="L2205" s="55" t="str">
        <f>VLOOKUP(I2205,'Validacion reclamo de equipaje'!H:I,2,0)</f>
        <v>Internacional</v>
      </c>
      <c r="M2205" s="55" t="s">
        <v>523</v>
      </c>
    </row>
    <row r="2206" spans="1:13" x14ac:dyDescent="0.25">
      <c r="A2206">
        <v>3275</v>
      </c>
      <c r="B2206" s="47" t="str">
        <f>VLOOKUP(Tabla6[[#This Row],['# Vuelo]],'Validacion reclamo de equipaje'!P:Q,2,0)</f>
        <v>AEROLINEAS DE AMERICA</v>
      </c>
      <c r="C2206" s="48">
        <v>0.48888888888888887</v>
      </c>
      <c r="D2206" s="48">
        <v>0.50138888888888888</v>
      </c>
      <c r="E2206" s="49">
        <f>'Reclamo de equipaje rediseñado'!$D2206-'Reclamo de equipaje rediseñado'!$C2206</f>
        <v>1.2500000000000011E-2</v>
      </c>
      <c r="F2206" s="48">
        <v>0.50555555555555554</v>
      </c>
      <c r="G2206" s="49">
        <f t="shared" si="34"/>
        <v>4.1666666666666519E-3</v>
      </c>
      <c r="H2206" s="50">
        <v>41748</v>
      </c>
      <c r="I2206" s="51" t="s">
        <v>538</v>
      </c>
      <c r="J2206" s="51" t="s">
        <v>535</v>
      </c>
      <c r="K2206" s="51">
        <f>VLOOKUP(J2206,'Validacion reclamo de equipaje'!L:M,2,0)</f>
        <v>50</v>
      </c>
      <c r="L2206" s="51" t="str">
        <f>VLOOKUP(I2206,'Validacion reclamo de equipaje'!H:I,2,0)</f>
        <v>Internacional</v>
      </c>
      <c r="M2206" s="51" t="s">
        <v>523</v>
      </c>
    </row>
    <row r="2207" spans="1:13" x14ac:dyDescent="0.25">
      <c r="A2207">
        <v>3275</v>
      </c>
      <c r="B2207" s="47" t="str">
        <f>VLOOKUP(Tabla6[[#This Row],['# Vuelo]],'Validacion reclamo de equipaje'!P:Q,2,0)</f>
        <v>AEROLINEAS DE AMERICA</v>
      </c>
      <c r="C2207" s="52">
        <v>0.48749999999999999</v>
      </c>
      <c r="D2207" s="52">
        <v>0.50208333333333333</v>
      </c>
      <c r="E2207" s="53">
        <f>'Reclamo de equipaje rediseñado'!$D2207-'Reclamo de equipaje rediseñado'!$C2207</f>
        <v>1.4583333333333337E-2</v>
      </c>
      <c r="F2207" s="52">
        <v>0.50694444444444442</v>
      </c>
      <c r="G2207" s="53">
        <f t="shared" si="34"/>
        <v>4.8611111111110938E-3</v>
      </c>
      <c r="H2207" s="54">
        <v>41749</v>
      </c>
      <c r="I2207" s="55" t="s">
        <v>538</v>
      </c>
      <c r="J2207" s="55" t="s">
        <v>535</v>
      </c>
      <c r="K2207" s="55">
        <f>VLOOKUP(J2207,'Validacion reclamo de equipaje'!L:M,2,0)</f>
        <v>50</v>
      </c>
      <c r="L2207" s="55" t="str">
        <f>VLOOKUP(I2207,'Validacion reclamo de equipaje'!H:I,2,0)</f>
        <v>Internacional</v>
      </c>
      <c r="M2207" s="55" t="s">
        <v>523</v>
      </c>
    </row>
    <row r="2208" spans="1:13" x14ac:dyDescent="0.25">
      <c r="A2208">
        <v>3275</v>
      </c>
      <c r="B2208" s="47" t="str">
        <f>VLOOKUP(Tabla6[[#This Row],['# Vuelo]],'Validacion reclamo de equipaje'!P:Q,2,0)</f>
        <v>AEROLINEAS DE AMERICA</v>
      </c>
      <c r="C2208" s="48">
        <v>0.49513888888888885</v>
      </c>
      <c r="D2208" s="48">
        <v>0.50763888888888886</v>
      </c>
      <c r="E2208" s="49">
        <f>'Reclamo de equipaje rediseñado'!$D2208-'Reclamo de equipaje rediseñado'!$C2208</f>
        <v>1.2500000000000011E-2</v>
      </c>
      <c r="F2208" s="48">
        <v>0.51180555555555551</v>
      </c>
      <c r="G2208" s="49">
        <f t="shared" si="34"/>
        <v>4.1666666666666519E-3</v>
      </c>
      <c r="H2208" s="50">
        <v>41750</v>
      </c>
      <c r="I2208" s="51" t="s">
        <v>538</v>
      </c>
      <c r="J2208" s="51" t="s">
        <v>535</v>
      </c>
      <c r="K2208" s="51">
        <f>VLOOKUP(J2208,'Validacion reclamo de equipaje'!L:M,2,0)</f>
        <v>50</v>
      </c>
      <c r="L2208" s="51" t="str">
        <f>VLOOKUP(I2208,'Validacion reclamo de equipaje'!H:I,2,0)</f>
        <v>Internacional</v>
      </c>
      <c r="M2208" s="51" t="s">
        <v>523</v>
      </c>
    </row>
    <row r="2209" spans="1:13" x14ac:dyDescent="0.25">
      <c r="A2209">
        <v>3275</v>
      </c>
      <c r="B2209" s="47" t="str">
        <f>VLOOKUP(Tabla6[[#This Row],['# Vuelo]],'Validacion reclamo de equipaje'!P:Q,2,0)</f>
        <v>AEROLINEAS DE AMERICA</v>
      </c>
      <c r="C2209" s="52">
        <v>0.49861111111111112</v>
      </c>
      <c r="D2209" s="52">
        <v>0.5083333333333333</v>
      </c>
      <c r="E2209" s="53">
        <f>'Reclamo de equipaje rediseñado'!$D2209-'Reclamo de equipaje rediseñado'!$C2209</f>
        <v>9.7222222222221877E-3</v>
      </c>
      <c r="F2209" s="52">
        <v>0.51666666666666672</v>
      </c>
      <c r="G2209" s="53">
        <f t="shared" si="34"/>
        <v>8.3333333333334147E-3</v>
      </c>
      <c r="H2209" s="54">
        <v>41751</v>
      </c>
      <c r="I2209" s="55" t="s">
        <v>538</v>
      </c>
      <c r="J2209" s="55" t="s">
        <v>535</v>
      </c>
      <c r="K2209" s="55">
        <f>VLOOKUP(J2209,'Validacion reclamo de equipaje'!L:M,2,0)</f>
        <v>50</v>
      </c>
      <c r="L2209" s="55" t="str">
        <f>VLOOKUP(I2209,'Validacion reclamo de equipaje'!H:I,2,0)</f>
        <v>Internacional</v>
      </c>
      <c r="M2209" s="55" t="s">
        <v>523</v>
      </c>
    </row>
    <row r="2210" spans="1:13" x14ac:dyDescent="0.25">
      <c r="A2210">
        <v>3275</v>
      </c>
      <c r="B2210" s="47" t="str">
        <f>VLOOKUP(Tabla6[[#This Row],['# Vuelo]],'Validacion reclamo de equipaje'!P:Q,2,0)</f>
        <v>AEROLINEAS DE AMERICA</v>
      </c>
      <c r="C2210" s="48">
        <v>0.49861111111111112</v>
      </c>
      <c r="D2210" s="48">
        <v>0.5083333333333333</v>
      </c>
      <c r="E2210" s="49">
        <f>'Reclamo de equipaje rediseñado'!$D2210-'Reclamo de equipaje rediseñado'!$C2210</f>
        <v>9.7222222222221877E-3</v>
      </c>
      <c r="F2210" s="48">
        <v>0.51666666666666672</v>
      </c>
      <c r="G2210" s="49">
        <f t="shared" si="34"/>
        <v>8.3333333333334147E-3</v>
      </c>
      <c r="H2210" s="50">
        <v>41751</v>
      </c>
      <c r="I2210" s="51" t="s">
        <v>538</v>
      </c>
      <c r="J2210" s="51" t="s">
        <v>535</v>
      </c>
      <c r="K2210" s="51">
        <f>VLOOKUP(J2210,'Validacion reclamo de equipaje'!L:M,2,0)</f>
        <v>50</v>
      </c>
      <c r="L2210" s="51" t="str">
        <f>VLOOKUP(I2210,'Validacion reclamo de equipaje'!H:I,2,0)</f>
        <v>Internacional</v>
      </c>
      <c r="M2210" s="51" t="s">
        <v>523</v>
      </c>
    </row>
    <row r="2211" spans="1:13" x14ac:dyDescent="0.25">
      <c r="A2211">
        <v>3275</v>
      </c>
      <c r="B2211" s="47" t="str">
        <f>VLOOKUP(Tabla6[[#This Row],['# Vuelo]],'Validacion reclamo de equipaje'!P:Q,2,0)</f>
        <v>AEROLINEAS DE AMERICA</v>
      </c>
      <c r="C2211" s="52">
        <v>0.49305555555555558</v>
      </c>
      <c r="D2211" s="52">
        <v>0.50624999999999998</v>
      </c>
      <c r="E2211" s="53">
        <f>'Reclamo de equipaje rediseñado'!$D2211-'Reclamo de equipaje rediseñado'!$C2211</f>
        <v>1.3194444444444398E-2</v>
      </c>
      <c r="F2211" s="52">
        <v>0.51388888888888895</v>
      </c>
      <c r="G2211" s="53">
        <f t="shared" si="34"/>
        <v>7.6388888888889728E-3</v>
      </c>
      <c r="H2211" s="54">
        <v>41754</v>
      </c>
      <c r="I2211" s="55" t="s">
        <v>538</v>
      </c>
      <c r="J2211" s="55" t="s">
        <v>535</v>
      </c>
      <c r="K2211" s="55">
        <f>VLOOKUP(J2211,'Validacion reclamo de equipaje'!L:M,2,0)</f>
        <v>50</v>
      </c>
      <c r="L2211" s="55" t="str">
        <f>VLOOKUP(I2211,'Validacion reclamo de equipaje'!H:I,2,0)</f>
        <v>Internacional</v>
      </c>
      <c r="M2211" s="55" t="s">
        <v>523</v>
      </c>
    </row>
    <row r="2212" spans="1:13" x14ac:dyDescent="0.25">
      <c r="A2212">
        <v>3275</v>
      </c>
      <c r="B2212" s="47" t="str">
        <f>VLOOKUP(Tabla6[[#This Row],['# Vuelo]],'Validacion reclamo de equipaje'!P:Q,2,0)</f>
        <v>AEROLINEAS DE AMERICA</v>
      </c>
      <c r="C2212" s="48">
        <v>0.74583333333333324</v>
      </c>
      <c r="D2212" s="48">
        <v>0.76180555555555562</v>
      </c>
      <c r="E2212" s="49">
        <f>'Reclamo de equipaje rediseñado'!$D2212-'Reclamo de equipaje rediseñado'!$C2212</f>
        <v>1.5972222222222388E-2</v>
      </c>
      <c r="F2212" s="48">
        <v>0.76874999999999993</v>
      </c>
      <c r="G2212" s="49">
        <f t="shared" si="34"/>
        <v>6.9444444444443088E-3</v>
      </c>
      <c r="H2212" s="50">
        <v>41754</v>
      </c>
      <c r="I2212" s="51" t="s">
        <v>538</v>
      </c>
      <c r="J2212" s="51" t="s">
        <v>535</v>
      </c>
      <c r="K2212" s="51">
        <f>VLOOKUP(J2212,'Validacion reclamo de equipaje'!L:M,2,0)</f>
        <v>50</v>
      </c>
      <c r="L2212" s="51" t="str">
        <f>VLOOKUP(I2212,'Validacion reclamo de equipaje'!H:I,2,0)</f>
        <v>Internacional</v>
      </c>
      <c r="M2212" s="51" t="s">
        <v>523</v>
      </c>
    </row>
    <row r="2213" spans="1:13" x14ac:dyDescent="0.25">
      <c r="A2213">
        <v>3275</v>
      </c>
      <c r="B2213" s="47" t="str">
        <f>VLOOKUP(Tabla6[[#This Row],['# Vuelo]],'Validacion reclamo de equipaje'!P:Q,2,0)</f>
        <v>AEROLINEAS DE AMERICA</v>
      </c>
      <c r="C2213" s="52">
        <v>0.49513888888888885</v>
      </c>
      <c r="D2213" s="52">
        <v>0.50694444444444442</v>
      </c>
      <c r="E2213" s="53">
        <f>'Reclamo de equipaje rediseñado'!$D2213-'Reclamo de equipaje rediseñado'!$C2213</f>
        <v>1.1805555555555569E-2</v>
      </c>
      <c r="F2213" s="52">
        <v>0.51736111111111105</v>
      </c>
      <c r="G2213" s="53">
        <f t="shared" si="34"/>
        <v>1.041666666666663E-2</v>
      </c>
      <c r="H2213" s="54">
        <v>41756</v>
      </c>
      <c r="I2213" s="55" t="s">
        <v>538</v>
      </c>
      <c r="J2213" s="55" t="s">
        <v>535</v>
      </c>
      <c r="K2213" s="55">
        <f>VLOOKUP(J2213,'Validacion reclamo de equipaje'!L:M,2,0)</f>
        <v>50</v>
      </c>
      <c r="L2213" s="55" t="str">
        <f>VLOOKUP(I2213,'Validacion reclamo de equipaje'!H:I,2,0)</f>
        <v>Internacional</v>
      </c>
      <c r="M2213" s="55" t="s">
        <v>523</v>
      </c>
    </row>
    <row r="2214" spans="1:13" x14ac:dyDescent="0.25">
      <c r="A2214">
        <v>3275</v>
      </c>
      <c r="B2214" s="47" t="str">
        <f>VLOOKUP(Tabla6[[#This Row],['# Vuelo]],'Validacion reclamo de equipaje'!P:Q,2,0)</f>
        <v>AEROLINEAS DE AMERICA</v>
      </c>
      <c r="C2214" s="48">
        <v>0.50347222222222221</v>
      </c>
      <c r="D2214" s="48">
        <v>0.5180555555555556</v>
      </c>
      <c r="E2214" s="49">
        <f>'Reclamo de equipaje rediseñado'!$D2214-'Reclamo de equipaje rediseñado'!$C2214</f>
        <v>1.4583333333333393E-2</v>
      </c>
      <c r="F2214" s="48">
        <v>0.52986111111111112</v>
      </c>
      <c r="G2214" s="49">
        <f t="shared" si="34"/>
        <v>1.1805555555555514E-2</v>
      </c>
      <c r="H2214" s="50">
        <v>41757</v>
      </c>
      <c r="I2214" s="51" t="s">
        <v>538</v>
      </c>
      <c r="J2214" s="51" t="s">
        <v>535</v>
      </c>
      <c r="K2214" s="51">
        <f>VLOOKUP(J2214,'Validacion reclamo de equipaje'!L:M,2,0)</f>
        <v>50</v>
      </c>
      <c r="L2214" s="51" t="str">
        <f>VLOOKUP(I2214,'Validacion reclamo de equipaje'!H:I,2,0)</f>
        <v>Internacional</v>
      </c>
      <c r="M2214" s="51" t="s">
        <v>523</v>
      </c>
    </row>
    <row r="2215" spans="1:13" x14ac:dyDescent="0.25">
      <c r="A2215">
        <v>3275</v>
      </c>
      <c r="B2215" s="47" t="str">
        <f>VLOOKUP(Tabla6[[#This Row],['# Vuelo]],'Validacion reclamo de equipaje'!P:Q,2,0)</f>
        <v>AEROLINEAS DE AMERICA</v>
      </c>
      <c r="C2215" s="52">
        <v>0.50138888888888888</v>
      </c>
      <c r="D2215" s="52">
        <v>0.51180555555555551</v>
      </c>
      <c r="E2215" s="53">
        <f>'Reclamo de equipaje rediseñado'!$D2215-'Reclamo de equipaje rediseñado'!$C2215</f>
        <v>1.041666666666663E-2</v>
      </c>
      <c r="F2215" s="52">
        <v>0.54166666666666663</v>
      </c>
      <c r="G2215" s="53">
        <f t="shared" si="34"/>
        <v>2.9861111111111116E-2</v>
      </c>
      <c r="H2215" s="54">
        <v>41759</v>
      </c>
      <c r="I2215" s="55" t="s">
        <v>538</v>
      </c>
      <c r="J2215" s="55" t="s">
        <v>535</v>
      </c>
      <c r="K2215" s="55">
        <f>VLOOKUP(J2215,'Validacion reclamo de equipaje'!L:M,2,0)</f>
        <v>50</v>
      </c>
      <c r="L2215" s="55" t="str">
        <f>VLOOKUP(I2215,'Validacion reclamo de equipaje'!H:I,2,0)</f>
        <v>Internacional</v>
      </c>
      <c r="M2215" s="55" t="s">
        <v>523</v>
      </c>
    </row>
    <row r="2216" spans="1:13" x14ac:dyDescent="0.25">
      <c r="A2216">
        <v>2313</v>
      </c>
      <c r="B2216" s="47" t="str">
        <f>VLOOKUP(Tabla6[[#This Row],['# Vuelo]],'Validacion reclamo de equipaje'!P:Q,2,0)</f>
        <v>AEROLINEAS DE AMERICA</v>
      </c>
      <c r="C2216" s="48">
        <v>0.85138888888888886</v>
      </c>
      <c r="D2216" s="48">
        <v>0.86041666666666661</v>
      </c>
      <c r="E2216" s="49">
        <f>'Reclamo de equipaje rediseñado'!$D2216-'Reclamo de equipaje rediseñado'!$C2216</f>
        <v>9.0277777777777457E-3</v>
      </c>
      <c r="F2216" s="48">
        <v>0.88541666666666663</v>
      </c>
      <c r="G2216" s="49">
        <f t="shared" si="34"/>
        <v>2.5000000000000022E-2</v>
      </c>
      <c r="H2216" s="50">
        <v>41737</v>
      </c>
      <c r="I2216" s="51" t="s">
        <v>538</v>
      </c>
      <c r="J2216" s="51" t="s">
        <v>571</v>
      </c>
      <c r="K2216" s="51">
        <f>VLOOKUP(J2216,'Validacion reclamo de equipaje'!L:M,2,0)</f>
        <v>182</v>
      </c>
      <c r="L2216" s="51" t="str">
        <f>VLOOKUP(I2216,'Validacion reclamo de equipaje'!H:I,2,0)</f>
        <v>Internacional</v>
      </c>
      <c r="M2216" s="51" t="s">
        <v>523</v>
      </c>
    </row>
    <row r="2217" spans="1:13" x14ac:dyDescent="0.25">
      <c r="A2217">
        <v>2313</v>
      </c>
      <c r="B2217" s="47" t="str">
        <f>VLOOKUP(Tabla6[[#This Row],['# Vuelo]],'Validacion reclamo de equipaje'!P:Q,2,0)</f>
        <v>AEROLINEAS DE AMERICA</v>
      </c>
      <c r="C2217" s="52">
        <v>0.85625000000000007</v>
      </c>
      <c r="D2217" s="52">
        <v>0.87222222222222223</v>
      </c>
      <c r="E2217" s="53">
        <f>'Reclamo de equipaje rediseñado'!$D2217-'Reclamo de equipaje rediseñado'!$C2217</f>
        <v>1.5972222222222165E-2</v>
      </c>
      <c r="F2217" s="52">
        <v>0.89097222222222217</v>
      </c>
      <c r="G2217" s="53">
        <f t="shared" si="34"/>
        <v>1.8749999999999933E-2</v>
      </c>
      <c r="H2217" s="54">
        <v>41758</v>
      </c>
      <c r="I2217" s="55" t="s">
        <v>538</v>
      </c>
      <c r="J2217" s="55" t="s">
        <v>571</v>
      </c>
      <c r="K2217" s="55">
        <f>VLOOKUP(J2217,'Validacion reclamo de equipaje'!L:M,2,0)</f>
        <v>182</v>
      </c>
      <c r="L2217" s="55" t="str">
        <f>VLOOKUP(I2217,'Validacion reclamo de equipaje'!H:I,2,0)</f>
        <v>Internacional</v>
      </c>
      <c r="M2217" s="55" t="s">
        <v>523</v>
      </c>
    </row>
    <row r="2218" spans="1:13" x14ac:dyDescent="0.25">
      <c r="A2218">
        <v>2313</v>
      </c>
      <c r="B2218" s="47" t="str">
        <f>VLOOKUP(Tabla6[[#This Row],['# Vuelo]],'Validacion reclamo de equipaje'!P:Q,2,0)</f>
        <v>AEROLINEAS DE AMERICA</v>
      </c>
      <c r="C2218" s="48">
        <v>0.8354166666666667</v>
      </c>
      <c r="D2218" s="48">
        <v>0.85486111111111107</v>
      </c>
      <c r="E2218" s="49">
        <f>'Reclamo de equipaje rediseñado'!$D2218-'Reclamo de equipaje rediseñado'!$C2218</f>
        <v>1.9444444444444375E-2</v>
      </c>
      <c r="F2218" s="48">
        <v>0.86111111111111116</v>
      </c>
      <c r="G2218" s="49">
        <f t="shared" si="34"/>
        <v>6.2500000000000888E-3</v>
      </c>
      <c r="H2218" s="50">
        <v>41731</v>
      </c>
      <c r="I2218" s="51" t="s">
        <v>538</v>
      </c>
      <c r="J2218" s="51" t="s">
        <v>571</v>
      </c>
      <c r="K2218" s="51">
        <f>VLOOKUP(J2218,'Validacion reclamo de equipaje'!L:M,2,0)</f>
        <v>182</v>
      </c>
      <c r="L2218" s="51" t="str">
        <f>VLOOKUP(I2218,'Validacion reclamo de equipaje'!H:I,2,0)</f>
        <v>Internacional</v>
      </c>
      <c r="M2218" s="51" t="s">
        <v>523</v>
      </c>
    </row>
    <row r="2219" spans="1:13" x14ac:dyDescent="0.25">
      <c r="A2219">
        <v>2313</v>
      </c>
      <c r="B2219" s="47" t="str">
        <f>VLOOKUP(Tabla6[[#This Row],['# Vuelo]],'Validacion reclamo de equipaje'!P:Q,2,0)</f>
        <v>AEROLINEAS DE AMERICA</v>
      </c>
      <c r="C2219" s="52">
        <v>0.8305555555555556</v>
      </c>
      <c r="D2219" s="52">
        <v>0.84583333333333333</v>
      </c>
      <c r="E2219" s="53">
        <f>'Reclamo de equipaje rediseñado'!$D2219-'Reclamo de equipaje rediseñado'!$C2219</f>
        <v>1.5277777777777724E-2</v>
      </c>
      <c r="F2219" s="52">
        <v>0.85486111111111107</v>
      </c>
      <c r="G2219" s="53">
        <f t="shared" si="34"/>
        <v>9.0277777777777457E-3</v>
      </c>
      <c r="H2219" s="54">
        <v>41732</v>
      </c>
      <c r="I2219" s="55" t="s">
        <v>538</v>
      </c>
      <c r="J2219" s="55" t="s">
        <v>571</v>
      </c>
      <c r="K2219" s="55">
        <f>VLOOKUP(J2219,'Validacion reclamo de equipaje'!L:M,2,0)</f>
        <v>182</v>
      </c>
      <c r="L2219" s="55" t="str">
        <f>VLOOKUP(I2219,'Validacion reclamo de equipaje'!H:I,2,0)</f>
        <v>Internacional</v>
      </c>
      <c r="M2219" s="55" t="s">
        <v>523</v>
      </c>
    </row>
    <row r="2220" spans="1:13" x14ac:dyDescent="0.25">
      <c r="A2220">
        <v>2313</v>
      </c>
      <c r="B2220" s="47" t="str">
        <f>VLOOKUP(Tabla6[[#This Row],['# Vuelo]],'Validacion reclamo de equipaje'!P:Q,2,0)</f>
        <v>AEROLINEAS DE AMERICA</v>
      </c>
      <c r="C2220" s="48">
        <v>0.83958333333333324</v>
      </c>
      <c r="D2220" s="48">
        <v>0.84791666666666676</v>
      </c>
      <c r="E2220" s="49">
        <f>'Reclamo de equipaje rediseñado'!$D2220-'Reclamo de equipaje rediseñado'!$C2220</f>
        <v>8.3333333333335258E-3</v>
      </c>
      <c r="F2220" s="48">
        <v>0.86458333333333337</v>
      </c>
      <c r="G2220" s="49">
        <f t="shared" si="34"/>
        <v>1.6666666666666607E-2</v>
      </c>
      <c r="H2220" s="50">
        <v>41733</v>
      </c>
      <c r="I2220" s="51" t="s">
        <v>538</v>
      </c>
      <c r="J2220" s="51" t="s">
        <v>571</v>
      </c>
      <c r="K2220" s="51">
        <f>VLOOKUP(J2220,'Validacion reclamo de equipaje'!L:M,2,0)</f>
        <v>182</v>
      </c>
      <c r="L2220" s="51" t="str">
        <f>VLOOKUP(I2220,'Validacion reclamo de equipaje'!H:I,2,0)</f>
        <v>Internacional</v>
      </c>
      <c r="M2220" s="51" t="s">
        <v>523</v>
      </c>
    </row>
    <row r="2221" spans="1:13" x14ac:dyDescent="0.25">
      <c r="A2221">
        <v>2313</v>
      </c>
      <c r="B2221" s="47" t="str">
        <f>VLOOKUP(Tabla6[[#This Row],['# Vuelo]],'Validacion reclamo de equipaje'!P:Q,2,0)</f>
        <v>AEROLINEAS DE AMERICA</v>
      </c>
      <c r="C2221" s="52">
        <v>0.9902777777777777</v>
      </c>
      <c r="D2221" s="52">
        <v>1.0034722222222221</v>
      </c>
      <c r="E2221" s="53">
        <f>'Reclamo de equipaje rediseñado'!$D2221-'Reclamo de equipaje rediseñado'!$C2221</f>
        <v>1.3194444444444398E-2</v>
      </c>
      <c r="F2221" s="52">
        <v>1.0104166666666667</v>
      </c>
      <c r="G2221" s="53">
        <f t="shared" si="34"/>
        <v>6.9444444444446418E-3</v>
      </c>
      <c r="H2221" s="54">
        <v>41735</v>
      </c>
      <c r="I2221" s="55" t="s">
        <v>538</v>
      </c>
      <c r="J2221" s="55" t="s">
        <v>571</v>
      </c>
      <c r="K2221" s="55">
        <f>VLOOKUP(J2221,'Validacion reclamo de equipaje'!L:M,2,0)</f>
        <v>182</v>
      </c>
      <c r="L2221" s="55" t="str">
        <f>VLOOKUP(I2221,'Validacion reclamo de equipaje'!H:I,2,0)</f>
        <v>Internacional</v>
      </c>
      <c r="M2221" s="55" t="s">
        <v>523</v>
      </c>
    </row>
    <row r="2222" spans="1:13" x14ac:dyDescent="0.25">
      <c r="A2222">
        <v>2313</v>
      </c>
      <c r="B2222" s="47" t="str">
        <f>VLOOKUP(Tabla6[[#This Row],['# Vuelo]],'Validacion reclamo de equipaje'!P:Q,2,0)</f>
        <v>AEROLINEAS DE AMERICA</v>
      </c>
      <c r="C2222" s="48">
        <v>0.87013888888888891</v>
      </c>
      <c r="D2222" s="48">
        <v>0.88194444444444453</v>
      </c>
      <c r="E2222" s="49">
        <f>'Reclamo de equipaje rediseñado'!$D2222-'Reclamo de equipaje rediseñado'!$C2222</f>
        <v>1.1805555555555625E-2</v>
      </c>
      <c r="F2222" s="48">
        <v>0.88750000000000007</v>
      </c>
      <c r="G2222" s="49">
        <f t="shared" si="34"/>
        <v>5.5555555555555358E-3</v>
      </c>
      <c r="H2222" s="50">
        <v>41736</v>
      </c>
      <c r="I2222" s="51" t="s">
        <v>538</v>
      </c>
      <c r="J2222" s="51" t="s">
        <v>571</v>
      </c>
      <c r="K2222" s="51">
        <f>VLOOKUP(J2222,'Validacion reclamo de equipaje'!L:M,2,0)</f>
        <v>182</v>
      </c>
      <c r="L2222" s="51" t="str">
        <f>VLOOKUP(I2222,'Validacion reclamo de equipaje'!H:I,2,0)</f>
        <v>Internacional</v>
      </c>
      <c r="M2222" s="51" t="s">
        <v>523</v>
      </c>
    </row>
    <row r="2223" spans="1:13" x14ac:dyDescent="0.25">
      <c r="A2223">
        <v>2313</v>
      </c>
      <c r="B2223" s="47" t="str">
        <f>VLOOKUP(Tabla6[[#This Row],['# Vuelo]],'Validacion reclamo de equipaje'!P:Q,2,0)</f>
        <v>AEROLINEAS DE AMERICA</v>
      </c>
      <c r="C2223" s="52">
        <v>0.84722222222222221</v>
      </c>
      <c r="D2223" s="52">
        <v>0.8569444444444444</v>
      </c>
      <c r="E2223" s="53">
        <f>'Reclamo de equipaje rediseñado'!$D2223-'Reclamo de equipaje rediseñado'!$C2223</f>
        <v>9.7222222222221877E-3</v>
      </c>
      <c r="F2223" s="52">
        <v>0.87083333333333324</v>
      </c>
      <c r="G2223" s="53">
        <f t="shared" si="34"/>
        <v>1.388888888888884E-2</v>
      </c>
      <c r="H2223" s="54">
        <v>41738</v>
      </c>
      <c r="I2223" s="55" t="s">
        <v>538</v>
      </c>
      <c r="J2223" s="55" t="s">
        <v>571</v>
      </c>
      <c r="K2223" s="55">
        <f>VLOOKUP(J2223,'Validacion reclamo de equipaje'!L:M,2,0)</f>
        <v>182</v>
      </c>
      <c r="L2223" s="55" t="str">
        <f>VLOOKUP(I2223,'Validacion reclamo de equipaje'!H:I,2,0)</f>
        <v>Internacional</v>
      </c>
      <c r="M2223" s="55" t="s">
        <v>523</v>
      </c>
    </row>
    <row r="2224" spans="1:13" x14ac:dyDescent="0.25">
      <c r="A2224">
        <v>2313</v>
      </c>
      <c r="B2224" s="47" t="str">
        <f>VLOOKUP(Tabla6[[#This Row],['# Vuelo]],'Validacion reclamo de equipaje'!P:Q,2,0)</f>
        <v>AEROLINEAS DE AMERICA</v>
      </c>
      <c r="C2224" s="48">
        <v>0.87083333333333324</v>
      </c>
      <c r="D2224" s="48">
        <v>0.8833333333333333</v>
      </c>
      <c r="E2224" s="49">
        <f>'Reclamo de equipaje rediseñado'!$D2224-'Reclamo de equipaje rediseñado'!$C2224</f>
        <v>1.2500000000000067E-2</v>
      </c>
      <c r="F2224" s="48">
        <v>0.89374999999999993</v>
      </c>
      <c r="G2224" s="49">
        <f t="shared" si="34"/>
        <v>1.041666666666663E-2</v>
      </c>
      <c r="H2224" s="50">
        <v>41739</v>
      </c>
      <c r="I2224" s="51" t="s">
        <v>538</v>
      </c>
      <c r="J2224" s="51" t="s">
        <v>571</v>
      </c>
      <c r="K2224" s="51">
        <f>VLOOKUP(J2224,'Validacion reclamo de equipaje'!L:M,2,0)</f>
        <v>182</v>
      </c>
      <c r="L2224" s="51" t="str">
        <f>VLOOKUP(I2224,'Validacion reclamo de equipaje'!H:I,2,0)</f>
        <v>Internacional</v>
      </c>
      <c r="M2224" s="51" t="s">
        <v>523</v>
      </c>
    </row>
    <row r="2225" spans="1:13" x14ac:dyDescent="0.25">
      <c r="A2225">
        <v>2313</v>
      </c>
      <c r="B2225" s="47" t="str">
        <f>VLOOKUP(Tabla6[[#This Row],['# Vuelo]],'Validacion reclamo de equipaje'!P:Q,2,0)</f>
        <v>AEROLINEAS DE AMERICA</v>
      </c>
      <c r="C2225" s="52">
        <v>0.85069444444444453</v>
      </c>
      <c r="D2225" s="52">
        <v>0.86875000000000002</v>
      </c>
      <c r="E2225" s="53">
        <f>'Reclamo de equipaje rediseñado'!$D2225-'Reclamo de equipaje rediseñado'!$C2225</f>
        <v>1.8055555555555491E-2</v>
      </c>
      <c r="F2225" s="52">
        <v>0.88402777777777775</v>
      </c>
      <c r="G2225" s="53">
        <f t="shared" si="34"/>
        <v>1.5277777777777724E-2</v>
      </c>
      <c r="H2225" s="54">
        <v>41740</v>
      </c>
      <c r="I2225" s="55" t="s">
        <v>538</v>
      </c>
      <c r="J2225" s="55" t="s">
        <v>571</v>
      </c>
      <c r="K2225" s="55">
        <f>VLOOKUP(J2225,'Validacion reclamo de equipaje'!L:M,2,0)</f>
        <v>182</v>
      </c>
      <c r="L2225" s="55" t="str">
        <f>VLOOKUP(I2225,'Validacion reclamo de equipaje'!H:I,2,0)</f>
        <v>Internacional</v>
      </c>
      <c r="M2225" s="55" t="s">
        <v>523</v>
      </c>
    </row>
    <row r="2226" spans="1:13" x14ac:dyDescent="0.25">
      <c r="A2226">
        <v>2313</v>
      </c>
      <c r="B2226" s="47" t="str">
        <f>VLOOKUP(Tabla6[[#This Row],['# Vuelo]],'Validacion reclamo de equipaje'!P:Q,2,0)</f>
        <v>AEROLINEAS DE AMERICA</v>
      </c>
      <c r="C2226" s="48">
        <v>0.85069444444444453</v>
      </c>
      <c r="D2226" s="48">
        <v>0.86249999999999993</v>
      </c>
      <c r="E2226" s="49">
        <f>'Reclamo de equipaje rediseñado'!$D2226-'Reclamo de equipaje rediseñado'!$C2226</f>
        <v>1.1805555555555403E-2</v>
      </c>
      <c r="F2226" s="48">
        <v>0.87083333333333324</v>
      </c>
      <c r="G2226" s="49">
        <f t="shared" si="34"/>
        <v>8.3333333333333037E-3</v>
      </c>
      <c r="H2226" s="50">
        <v>41743</v>
      </c>
      <c r="I2226" s="51" t="s">
        <v>538</v>
      </c>
      <c r="J2226" s="51" t="s">
        <v>571</v>
      </c>
      <c r="K2226" s="51">
        <f>VLOOKUP(J2226,'Validacion reclamo de equipaje'!L:M,2,0)</f>
        <v>182</v>
      </c>
      <c r="L2226" s="51" t="str">
        <f>VLOOKUP(I2226,'Validacion reclamo de equipaje'!H:I,2,0)</f>
        <v>Internacional</v>
      </c>
      <c r="M2226" s="51" t="s">
        <v>523</v>
      </c>
    </row>
    <row r="2227" spans="1:13" x14ac:dyDescent="0.25">
      <c r="A2227">
        <v>2313</v>
      </c>
      <c r="B2227" s="47" t="str">
        <f>VLOOKUP(Tabla6[[#This Row],['# Vuelo]],'Validacion reclamo de equipaje'!P:Q,2,0)</f>
        <v>AEROLINEAS DE AMERICA</v>
      </c>
      <c r="C2227" s="52">
        <v>0.8652777777777777</v>
      </c>
      <c r="D2227" s="52">
        <v>0.87847222222222221</v>
      </c>
      <c r="E2227" s="53">
        <f>'Reclamo de equipaje rediseñado'!$D2227-'Reclamo de equipaje rediseñado'!$C2227</f>
        <v>1.3194444444444509E-2</v>
      </c>
      <c r="F2227" s="52">
        <v>0.88958333333333339</v>
      </c>
      <c r="G2227" s="53">
        <f t="shared" si="34"/>
        <v>1.1111111111111183E-2</v>
      </c>
      <c r="H2227" s="54">
        <v>41745</v>
      </c>
      <c r="I2227" s="55" t="s">
        <v>538</v>
      </c>
      <c r="J2227" s="55" t="s">
        <v>571</v>
      </c>
      <c r="K2227" s="55">
        <f>VLOOKUP(J2227,'Validacion reclamo de equipaje'!L:M,2,0)</f>
        <v>182</v>
      </c>
      <c r="L2227" s="55" t="str">
        <f>VLOOKUP(I2227,'Validacion reclamo de equipaje'!H:I,2,0)</f>
        <v>Internacional</v>
      </c>
      <c r="M2227" s="55" t="s">
        <v>523</v>
      </c>
    </row>
    <row r="2228" spans="1:13" x14ac:dyDescent="0.25">
      <c r="A2228">
        <v>2313</v>
      </c>
      <c r="B2228" s="47" t="str">
        <f>VLOOKUP(Tabla6[[#This Row],['# Vuelo]],'Validacion reclamo de equipaje'!P:Q,2,0)</f>
        <v>AEROLINEAS DE AMERICA</v>
      </c>
      <c r="C2228" s="48">
        <v>0.84583333333333333</v>
      </c>
      <c r="D2228" s="48">
        <v>0.85763888888888884</v>
      </c>
      <c r="E2228" s="49">
        <f>'Reclamo de equipaje rediseñado'!$D2228-'Reclamo de equipaje rediseñado'!$C2228</f>
        <v>1.1805555555555514E-2</v>
      </c>
      <c r="F2228" s="48">
        <v>0.87152777777777779</v>
      </c>
      <c r="G2228" s="49">
        <f t="shared" si="34"/>
        <v>1.3888888888888951E-2</v>
      </c>
      <c r="H2228" s="50">
        <v>41744</v>
      </c>
      <c r="I2228" s="51" t="s">
        <v>538</v>
      </c>
      <c r="J2228" s="51" t="s">
        <v>571</v>
      </c>
      <c r="K2228" s="51">
        <f>VLOOKUP(J2228,'Validacion reclamo de equipaje'!L:M,2,0)</f>
        <v>182</v>
      </c>
      <c r="L2228" s="51" t="str">
        <f>VLOOKUP(I2228,'Validacion reclamo de equipaje'!H:I,2,0)</f>
        <v>Internacional</v>
      </c>
      <c r="M2228" s="51" t="s">
        <v>523</v>
      </c>
    </row>
    <row r="2229" spans="1:13" x14ac:dyDescent="0.25">
      <c r="A2229">
        <v>2313</v>
      </c>
      <c r="B2229" s="47" t="str">
        <f>VLOOKUP(Tabla6[[#This Row],['# Vuelo]],'Validacion reclamo de equipaje'!P:Q,2,0)</f>
        <v>AEROLINEAS DE AMERICA</v>
      </c>
      <c r="C2229" s="52">
        <v>0.87291666666666667</v>
      </c>
      <c r="D2229" s="52">
        <v>0.88680555555555562</v>
      </c>
      <c r="E2229" s="53">
        <f>'Reclamo de equipaje rediseñado'!$D2229-'Reclamo de equipaje rediseñado'!$C2229</f>
        <v>1.3888888888888951E-2</v>
      </c>
      <c r="F2229" s="52">
        <v>0.90833333333333333</v>
      </c>
      <c r="G2229" s="53">
        <f t="shared" si="34"/>
        <v>2.1527777777777701E-2</v>
      </c>
      <c r="H2229" s="54">
        <v>41746</v>
      </c>
      <c r="I2229" s="55" t="s">
        <v>538</v>
      </c>
      <c r="J2229" s="55" t="s">
        <v>571</v>
      </c>
      <c r="K2229" s="55">
        <f>VLOOKUP(J2229,'Validacion reclamo de equipaje'!L:M,2,0)</f>
        <v>182</v>
      </c>
      <c r="L2229" s="55" t="str">
        <f>VLOOKUP(I2229,'Validacion reclamo de equipaje'!H:I,2,0)</f>
        <v>Internacional</v>
      </c>
      <c r="M2229" s="55" t="s">
        <v>523</v>
      </c>
    </row>
    <row r="2230" spans="1:13" x14ac:dyDescent="0.25">
      <c r="A2230">
        <v>2313</v>
      </c>
      <c r="B2230" s="47" t="str">
        <f>VLOOKUP(Tabla6[[#This Row],['# Vuelo]],'Validacion reclamo de equipaje'!P:Q,2,0)</f>
        <v>AEROLINEAS DE AMERICA</v>
      </c>
      <c r="C2230" s="48">
        <v>0.84861111111111109</v>
      </c>
      <c r="D2230" s="48">
        <v>0.86249999999999993</v>
      </c>
      <c r="E2230" s="49">
        <f>'Reclamo de equipaje rediseñado'!$D2230-'Reclamo de equipaje rediseñado'!$C2230</f>
        <v>1.388888888888884E-2</v>
      </c>
      <c r="F2230" s="48">
        <v>0.88055555555555554</v>
      </c>
      <c r="G2230" s="49">
        <f t="shared" si="34"/>
        <v>1.8055555555555602E-2</v>
      </c>
      <c r="H2230" s="50">
        <v>41747</v>
      </c>
      <c r="I2230" s="51" t="s">
        <v>538</v>
      </c>
      <c r="J2230" s="51" t="s">
        <v>571</v>
      </c>
      <c r="K2230" s="51">
        <f>VLOOKUP(J2230,'Validacion reclamo de equipaje'!L:M,2,0)</f>
        <v>182</v>
      </c>
      <c r="L2230" s="51" t="str">
        <f>VLOOKUP(I2230,'Validacion reclamo de equipaje'!H:I,2,0)</f>
        <v>Internacional</v>
      </c>
      <c r="M2230" s="51" t="s">
        <v>523</v>
      </c>
    </row>
    <row r="2231" spans="1:13" x14ac:dyDescent="0.25">
      <c r="A2231">
        <v>2313</v>
      </c>
      <c r="B2231" s="47" t="str">
        <f>VLOOKUP(Tabla6[[#This Row],['# Vuelo]],'Validacion reclamo de equipaje'!P:Q,2,0)</f>
        <v>AEROLINEAS DE AMERICA</v>
      </c>
      <c r="C2231" s="52">
        <v>0.85138888888888886</v>
      </c>
      <c r="D2231" s="52">
        <v>0.87777777777777777</v>
      </c>
      <c r="E2231" s="53">
        <f>'Reclamo de equipaje rediseñado'!$D2231-'Reclamo de equipaje rediseñado'!$C2231</f>
        <v>2.6388888888888906E-2</v>
      </c>
      <c r="F2231" s="52">
        <v>0.88750000000000007</v>
      </c>
      <c r="G2231" s="53">
        <f t="shared" si="34"/>
        <v>9.7222222222222987E-3</v>
      </c>
      <c r="H2231" s="54">
        <v>41749</v>
      </c>
      <c r="I2231" s="55" t="s">
        <v>538</v>
      </c>
      <c r="J2231" s="55" t="s">
        <v>571</v>
      </c>
      <c r="K2231" s="55">
        <f>VLOOKUP(J2231,'Validacion reclamo de equipaje'!L:M,2,0)</f>
        <v>182</v>
      </c>
      <c r="L2231" s="55" t="str">
        <f>VLOOKUP(I2231,'Validacion reclamo de equipaje'!H:I,2,0)</f>
        <v>Internacional</v>
      </c>
      <c r="M2231" s="55" t="s">
        <v>523</v>
      </c>
    </row>
    <row r="2232" spans="1:13" x14ac:dyDescent="0.25">
      <c r="A2232">
        <v>2313</v>
      </c>
      <c r="B2232" s="47" t="str">
        <f>VLOOKUP(Tabla6[[#This Row],['# Vuelo]],'Validacion reclamo de equipaje'!P:Q,2,0)</f>
        <v>AEROLINEAS DE AMERICA</v>
      </c>
      <c r="C2232" s="48">
        <v>0.84930555555555554</v>
      </c>
      <c r="D2232" s="48">
        <v>0.8666666666666667</v>
      </c>
      <c r="E2232" s="49">
        <f>'Reclamo de equipaje rediseñado'!$D2232-'Reclamo de equipaje rediseñado'!$C2232</f>
        <v>1.736111111111116E-2</v>
      </c>
      <c r="F2232" s="48">
        <v>0.875</v>
      </c>
      <c r="G2232" s="49">
        <f t="shared" si="34"/>
        <v>8.3333333333333037E-3</v>
      </c>
      <c r="H2232" s="50">
        <v>41751</v>
      </c>
      <c r="I2232" s="51" t="s">
        <v>538</v>
      </c>
      <c r="J2232" s="51" t="s">
        <v>571</v>
      </c>
      <c r="K2232" s="51">
        <f>VLOOKUP(J2232,'Validacion reclamo de equipaje'!L:M,2,0)</f>
        <v>182</v>
      </c>
      <c r="L2232" s="51" t="str">
        <f>VLOOKUP(I2232,'Validacion reclamo de equipaje'!H:I,2,0)</f>
        <v>Internacional</v>
      </c>
      <c r="M2232" s="51" t="s">
        <v>523</v>
      </c>
    </row>
    <row r="2233" spans="1:13" x14ac:dyDescent="0.25">
      <c r="A2233">
        <v>2313</v>
      </c>
      <c r="B2233" s="47" t="str">
        <f>VLOOKUP(Tabla6[[#This Row],['# Vuelo]],'Validacion reclamo de equipaje'!P:Q,2,0)</f>
        <v>AEROLINEAS DE AMERICA</v>
      </c>
      <c r="C2233" s="52">
        <v>0.8666666666666667</v>
      </c>
      <c r="D2233" s="52">
        <v>0.88750000000000007</v>
      </c>
      <c r="E2233" s="53">
        <f>'Reclamo de equipaje rediseñado'!$D2233-'Reclamo de equipaje rediseñado'!$C2233</f>
        <v>2.083333333333337E-2</v>
      </c>
      <c r="F2233" s="52">
        <v>0.90902777777777777</v>
      </c>
      <c r="G2233" s="53">
        <f t="shared" si="34"/>
        <v>2.1527777777777701E-2</v>
      </c>
      <c r="H2233" s="54">
        <v>41752</v>
      </c>
      <c r="I2233" s="55" t="s">
        <v>538</v>
      </c>
      <c r="J2233" s="55" t="s">
        <v>571</v>
      </c>
      <c r="K2233" s="55">
        <f>VLOOKUP(J2233,'Validacion reclamo de equipaje'!L:M,2,0)</f>
        <v>182</v>
      </c>
      <c r="L2233" s="55" t="str">
        <f>VLOOKUP(I2233,'Validacion reclamo de equipaje'!H:I,2,0)</f>
        <v>Internacional</v>
      </c>
      <c r="M2233" s="55" t="s">
        <v>523</v>
      </c>
    </row>
    <row r="2234" spans="1:13" x14ac:dyDescent="0.25">
      <c r="A2234">
        <v>2313</v>
      </c>
      <c r="B2234" s="47" t="str">
        <f>VLOOKUP(Tabla6[[#This Row],['# Vuelo]],'Validacion reclamo de equipaje'!P:Q,2,0)</f>
        <v>AEROLINEAS DE AMERICA</v>
      </c>
      <c r="C2234" s="48">
        <v>0.85763888888888884</v>
      </c>
      <c r="D2234" s="48">
        <v>0.88194444444444453</v>
      </c>
      <c r="E2234" s="49">
        <f>'Reclamo de equipaje rediseñado'!$D2234-'Reclamo de equipaje rediseñado'!$C2234</f>
        <v>2.4305555555555691E-2</v>
      </c>
      <c r="F2234" s="48">
        <v>0.88888888888888884</v>
      </c>
      <c r="G2234" s="49">
        <f t="shared" si="34"/>
        <v>6.9444444444443088E-3</v>
      </c>
      <c r="H2234" s="50">
        <v>41752</v>
      </c>
      <c r="I2234" s="51" t="s">
        <v>538</v>
      </c>
      <c r="J2234" s="51" t="s">
        <v>571</v>
      </c>
      <c r="K2234" s="51">
        <f>VLOOKUP(J2234,'Validacion reclamo de equipaje'!L:M,2,0)</f>
        <v>182</v>
      </c>
      <c r="L2234" s="51" t="str">
        <f>VLOOKUP(I2234,'Validacion reclamo de equipaje'!H:I,2,0)</f>
        <v>Internacional</v>
      </c>
      <c r="M2234" s="51" t="s">
        <v>523</v>
      </c>
    </row>
    <row r="2235" spans="1:13" x14ac:dyDescent="0.25">
      <c r="A2235">
        <v>2313</v>
      </c>
      <c r="B2235" s="47" t="str">
        <f>VLOOKUP(Tabla6[[#This Row],['# Vuelo]],'Validacion reclamo de equipaje'!P:Q,2,0)</f>
        <v>AEROLINEAS DE AMERICA</v>
      </c>
      <c r="C2235" s="52">
        <v>0.875</v>
      </c>
      <c r="D2235" s="52">
        <v>0.87986111111111109</v>
      </c>
      <c r="E2235" s="53">
        <f>'Reclamo de equipaje rediseñado'!$D2235-'Reclamo de equipaje rediseñado'!$C2235</f>
        <v>4.8611111111110938E-3</v>
      </c>
      <c r="F2235" s="52">
        <v>0.88263888888888886</v>
      </c>
      <c r="G2235" s="53">
        <f t="shared" si="34"/>
        <v>2.7777777777777679E-3</v>
      </c>
      <c r="H2235" s="54">
        <v>41754</v>
      </c>
      <c r="I2235" s="55" t="s">
        <v>538</v>
      </c>
      <c r="J2235" s="55" t="s">
        <v>571</v>
      </c>
      <c r="K2235" s="55">
        <f>VLOOKUP(J2235,'Validacion reclamo de equipaje'!L:M,2,0)</f>
        <v>182</v>
      </c>
      <c r="L2235" s="55" t="str">
        <f>VLOOKUP(I2235,'Validacion reclamo de equipaje'!H:I,2,0)</f>
        <v>Internacional</v>
      </c>
      <c r="M2235" s="55" t="s">
        <v>523</v>
      </c>
    </row>
    <row r="2236" spans="1:13" x14ac:dyDescent="0.25">
      <c r="A2236">
        <v>2313</v>
      </c>
      <c r="B2236" s="47" t="str">
        <f>VLOOKUP(Tabla6[[#This Row],['# Vuelo]],'Validacion reclamo de equipaje'!P:Q,2,0)</f>
        <v>AEROLINEAS DE AMERICA</v>
      </c>
      <c r="C2236" s="48">
        <v>0.85555555555555562</v>
      </c>
      <c r="D2236" s="48">
        <v>0.87638888888888899</v>
      </c>
      <c r="E2236" s="49">
        <f>'Reclamo de equipaje rediseñado'!$D2236-'Reclamo de equipaje rediseñado'!$C2236</f>
        <v>2.083333333333337E-2</v>
      </c>
      <c r="F2236" s="48">
        <v>0.88680555555555562</v>
      </c>
      <c r="G2236" s="49">
        <f t="shared" si="34"/>
        <v>1.041666666666663E-2</v>
      </c>
      <c r="H2236" s="50">
        <v>41755</v>
      </c>
      <c r="I2236" s="51" t="s">
        <v>538</v>
      </c>
      <c r="J2236" s="51" t="s">
        <v>571</v>
      </c>
      <c r="K2236" s="51">
        <f>VLOOKUP(J2236,'Validacion reclamo de equipaje'!L:M,2,0)</f>
        <v>182</v>
      </c>
      <c r="L2236" s="51" t="str">
        <f>VLOOKUP(I2236,'Validacion reclamo de equipaje'!H:I,2,0)</f>
        <v>Internacional</v>
      </c>
      <c r="M2236" s="51" t="s">
        <v>523</v>
      </c>
    </row>
    <row r="2237" spans="1:13" x14ac:dyDescent="0.25">
      <c r="A2237">
        <v>2313</v>
      </c>
      <c r="B2237" s="47" t="str">
        <f>VLOOKUP(Tabla6[[#This Row],['# Vuelo]],'Validacion reclamo de equipaje'!P:Q,2,0)</f>
        <v>AEROLINEAS DE AMERICA</v>
      </c>
      <c r="C2237" s="52">
        <v>0.90555555555555556</v>
      </c>
      <c r="D2237" s="52">
        <v>0.92291666666666661</v>
      </c>
      <c r="E2237" s="53">
        <f>'Reclamo de equipaje rediseñado'!$D2237-'Reclamo de equipaje rediseñado'!$C2237</f>
        <v>1.7361111111111049E-2</v>
      </c>
      <c r="F2237" s="52">
        <v>0.93472222222222223</v>
      </c>
      <c r="G2237" s="53">
        <f t="shared" si="34"/>
        <v>1.1805555555555625E-2</v>
      </c>
      <c r="H2237" s="54">
        <v>41756</v>
      </c>
      <c r="I2237" s="55" t="s">
        <v>538</v>
      </c>
      <c r="J2237" s="55" t="s">
        <v>571</v>
      </c>
      <c r="K2237" s="55">
        <f>VLOOKUP(J2237,'Validacion reclamo de equipaje'!L:M,2,0)</f>
        <v>182</v>
      </c>
      <c r="L2237" s="55" t="str">
        <f>VLOOKUP(I2237,'Validacion reclamo de equipaje'!H:I,2,0)</f>
        <v>Internacional</v>
      </c>
      <c r="M2237" s="55" t="s">
        <v>523</v>
      </c>
    </row>
    <row r="2238" spans="1:13" x14ac:dyDescent="0.25">
      <c r="A2238">
        <v>2313</v>
      </c>
      <c r="B2238" s="47" t="str">
        <f>VLOOKUP(Tabla6[[#This Row],['# Vuelo]],'Validacion reclamo de equipaje'!P:Q,2,0)</f>
        <v>AEROLINEAS DE AMERICA</v>
      </c>
      <c r="C2238" s="48">
        <v>0.8569444444444444</v>
      </c>
      <c r="D2238" s="48">
        <v>0.87083333333333324</v>
      </c>
      <c r="E2238" s="49">
        <f>'Reclamo de equipaje rediseñado'!$D2238-'Reclamo de equipaje rediseñado'!$C2238</f>
        <v>1.388888888888884E-2</v>
      </c>
      <c r="F2238" s="48">
        <v>0.88888888888888884</v>
      </c>
      <c r="G2238" s="49">
        <f t="shared" si="34"/>
        <v>1.8055555555555602E-2</v>
      </c>
      <c r="H2238" s="50">
        <v>41757</v>
      </c>
      <c r="I2238" s="51" t="s">
        <v>538</v>
      </c>
      <c r="J2238" s="51" t="s">
        <v>571</v>
      </c>
      <c r="K2238" s="51">
        <f>VLOOKUP(J2238,'Validacion reclamo de equipaje'!L:M,2,0)</f>
        <v>182</v>
      </c>
      <c r="L2238" s="51" t="str">
        <f>VLOOKUP(I2238,'Validacion reclamo de equipaje'!H:I,2,0)</f>
        <v>Internacional</v>
      </c>
      <c r="M2238" s="51" t="s">
        <v>523</v>
      </c>
    </row>
    <row r="2239" spans="1:13" x14ac:dyDescent="0.25">
      <c r="A2239">
        <v>2313</v>
      </c>
      <c r="B2239" s="47" t="str">
        <f>VLOOKUP(Tabla6[[#This Row],['# Vuelo]],'Validacion reclamo de equipaje'!P:Q,2,0)</f>
        <v>AEROLINEAS DE AMERICA</v>
      </c>
      <c r="C2239" s="52">
        <v>0.84791666666666676</v>
      </c>
      <c r="D2239" s="52">
        <v>0.86597222222222225</v>
      </c>
      <c r="E2239" s="53">
        <f>'Reclamo de equipaje rediseñado'!$D2239-'Reclamo de equipaje rediseñado'!$C2239</f>
        <v>1.8055555555555491E-2</v>
      </c>
      <c r="F2239" s="52">
        <v>0.87152777777777779</v>
      </c>
      <c r="G2239" s="53">
        <f t="shared" si="34"/>
        <v>5.5555555555555358E-3</v>
      </c>
      <c r="H2239" s="54">
        <v>41759</v>
      </c>
      <c r="I2239" s="55" t="s">
        <v>538</v>
      </c>
      <c r="J2239" s="55" t="s">
        <v>571</v>
      </c>
      <c r="K2239" s="55">
        <f>VLOOKUP(J2239,'Validacion reclamo de equipaje'!L:M,2,0)</f>
        <v>182</v>
      </c>
      <c r="L2239" s="55" t="str">
        <f>VLOOKUP(I2239,'Validacion reclamo de equipaje'!H:I,2,0)</f>
        <v>Internacional</v>
      </c>
      <c r="M2239" s="55" t="s">
        <v>523</v>
      </c>
    </row>
    <row r="2240" spans="1:13" x14ac:dyDescent="0.25">
      <c r="A2240">
        <v>2313</v>
      </c>
      <c r="B2240" s="47" t="str">
        <f>VLOOKUP(Tabla6[[#This Row],['# Vuelo]],'Validacion reclamo de equipaje'!P:Q,2,0)</f>
        <v>AEROLINEAS DE AMERICA</v>
      </c>
      <c r="C2240" s="48">
        <v>0.875</v>
      </c>
      <c r="D2240" s="48">
        <v>0.89097222222222217</v>
      </c>
      <c r="E2240" s="49">
        <f>'Reclamo de equipaje rediseñado'!$D2240-'Reclamo de equipaje rediseñado'!$C2240</f>
        <v>1.5972222222222165E-2</v>
      </c>
      <c r="F2240" s="48">
        <v>0.89861111111111114</v>
      </c>
      <c r="G2240" s="49">
        <f t="shared" si="34"/>
        <v>7.6388888888889728E-3</v>
      </c>
      <c r="H2240" s="50">
        <v>41748</v>
      </c>
      <c r="I2240" s="51" t="s">
        <v>538</v>
      </c>
      <c r="J2240" s="51" t="s">
        <v>571</v>
      </c>
      <c r="K2240" s="51">
        <f>VLOOKUP(J2240,'Validacion reclamo de equipaje'!L:M,2,0)</f>
        <v>182</v>
      </c>
      <c r="L2240" s="51" t="str">
        <f>VLOOKUP(I2240,'Validacion reclamo de equipaje'!H:I,2,0)</f>
        <v>Internacional</v>
      </c>
      <c r="M2240" s="51" t="s">
        <v>523</v>
      </c>
    </row>
    <row r="2241" spans="1:13" x14ac:dyDescent="0.25">
      <c r="A2241">
        <v>387</v>
      </c>
      <c r="B2241" s="47" t="str">
        <f>VLOOKUP(Tabla6[[#This Row],['# Vuelo]],'Validacion reclamo de equipaje'!P:Q,2,0)</f>
        <v>AEROLINEAS DE AMERICA</v>
      </c>
      <c r="C2241" s="52">
        <v>0.54861111111111105</v>
      </c>
      <c r="D2241" s="52">
        <v>0.56319444444444444</v>
      </c>
      <c r="E2241" s="53">
        <f>'Reclamo de equipaje rediseñado'!$D2241-'Reclamo de equipaje rediseñado'!$C2241</f>
        <v>1.4583333333333393E-2</v>
      </c>
      <c r="F2241" s="52">
        <v>0.57638888888888895</v>
      </c>
      <c r="G2241" s="53">
        <f t="shared" si="34"/>
        <v>1.3194444444444509E-2</v>
      </c>
      <c r="H2241" s="54">
        <v>41731</v>
      </c>
      <c r="I2241" s="55" t="s">
        <v>538</v>
      </c>
      <c r="J2241" s="55" t="s">
        <v>571</v>
      </c>
      <c r="K2241" s="55">
        <f>VLOOKUP(J2241,'Validacion reclamo de equipaje'!L:M,2,0)</f>
        <v>182</v>
      </c>
      <c r="L2241" s="55" t="str">
        <f>VLOOKUP(I2241,'Validacion reclamo de equipaje'!H:I,2,0)</f>
        <v>Internacional</v>
      </c>
      <c r="M2241" s="55" t="s">
        <v>523</v>
      </c>
    </row>
    <row r="2242" spans="1:13" x14ac:dyDescent="0.25">
      <c r="A2242">
        <v>387</v>
      </c>
      <c r="B2242" s="47" t="str">
        <f>VLOOKUP(Tabla6[[#This Row],['# Vuelo]],'Validacion reclamo de equipaje'!P:Q,2,0)</f>
        <v>AEROLINEAS DE AMERICA</v>
      </c>
      <c r="C2242" s="48">
        <v>0.54861111111111105</v>
      </c>
      <c r="D2242" s="48">
        <v>0.56319444444444444</v>
      </c>
      <c r="E2242" s="49">
        <f>'Reclamo de equipaje rediseñado'!$D2242-'Reclamo de equipaje rediseñado'!$C2242</f>
        <v>1.4583333333333393E-2</v>
      </c>
      <c r="F2242" s="48">
        <v>0.57638888888888895</v>
      </c>
      <c r="G2242" s="49">
        <f t="shared" si="34"/>
        <v>1.3194444444444509E-2</v>
      </c>
      <c r="H2242" s="50">
        <v>41731</v>
      </c>
      <c r="I2242" s="51" t="s">
        <v>538</v>
      </c>
      <c r="J2242" s="51" t="s">
        <v>571</v>
      </c>
      <c r="K2242" s="51">
        <f>VLOOKUP(J2242,'Validacion reclamo de equipaje'!L:M,2,0)</f>
        <v>182</v>
      </c>
      <c r="L2242" s="51" t="str">
        <f>VLOOKUP(I2242,'Validacion reclamo de equipaje'!H:I,2,0)</f>
        <v>Internacional</v>
      </c>
      <c r="M2242" s="51" t="s">
        <v>523</v>
      </c>
    </row>
    <row r="2243" spans="1:13" x14ac:dyDescent="0.25">
      <c r="A2243">
        <v>387</v>
      </c>
      <c r="B2243" s="47" t="str">
        <f>VLOOKUP(Tabla6[[#This Row],['# Vuelo]],'Validacion reclamo de equipaje'!P:Q,2,0)</f>
        <v>AEROLINEAS DE AMERICA</v>
      </c>
      <c r="C2243" s="52">
        <v>0.5493055555555556</v>
      </c>
      <c r="D2243" s="52">
        <v>0.56111111111111112</v>
      </c>
      <c r="E2243" s="53">
        <f>'Reclamo de equipaje rediseñado'!$D2243-'Reclamo de equipaje rediseñado'!$C2243</f>
        <v>1.1805555555555514E-2</v>
      </c>
      <c r="F2243" s="52">
        <v>0.59166666666666667</v>
      </c>
      <c r="G2243" s="53">
        <f t="shared" ref="G2243:G2306" si="35">F2243-D2243</f>
        <v>3.0555555555555558E-2</v>
      </c>
      <c r="H2243" s="54">
        <v>41732</v>
      </c>
      <c r="I2243" s="55" t="s">
        <v>538</v>
      </c>
      <c r="J2243" s="55" t="s">
        <v>571</v>
      </c>
      <c r="K2243" s="55">
        <f>VLOOKUP(J2243,'Validacion reclamo de equipaje'!L:M,2,0)</f>
        <v>182</v>
      </c>
      <c r="L2243" s="55" t="str">
        <f>VLOOKUP(I2243,'Validacion reclamo de equipaje'!H:I,2,0)</f>
        <v>Internacional</v>
      </c>
      <c r="M2243" s="55" t="s">
        <v>523</v>
      </c>
    </row>
    <row r="2244" spans="1:13" x14ac:dyDescent="0.25">
      <c r="A2244">
        <v>387</v>
      </c>
      <c r="B2244" s="47" t="str">
        <f>VLOOKUP(Tabla6[[#This Row],['# Vuelo]],'Validacion reclamo de equipaje'!P:Q,2,0)</f>
        <v>AEROLINEAS DE AMERICA</v>
      </c>
      <c r="C2244" s="48">
        <v>0.55138888888888882</v>
      </c>
      <c r="D2244" s="48">
        <v>0.56944444444444442</v>
      </c>
      <c r="E2244" s="49">
        <f>'Reclamo de equipaje rediseñado'!$D2244-'Reclamo de equipaje rediseñado'!$C2244</f>
        <v>1.8055555555555602E-2</v>
      </c>
      <c r="F2244" s="48">
        <v>0.5756944444444444</v>
      </c>
      <c r="G2244" s="49">
        <f t="shared" si="35"/>
        <v>6.2499999999999778E-3</v>
      </c>
      <c r="H2244" s="50">
        <v>41733</v>
      </c>
      <c r="I2244" s="51" t="s">
        <v>538</v>
      </c>
      <c r="J2244" s="51" t="s">
        <v>571</v>
      </c>
      <c r="K2244" s="51">
        <f>VLOOKUP(J2244,'Validacion reclamo de equipaje'!L:M,2,0)</f>
        <v>182</v>
      </c>
      <c r="L2244" s="51" t="str">
        <f>VLOOKUP(I2244,'Validacion reclamo de equipaje'!H:I,2,0)</f>
        <v>Internacional</v>
      </c>
      <c r="M2244" s="51" t="s">
        <v>523</v>
      </c>
    </row>
    <row r="2245" spans="1:13" x14ac:dyDescent="0.25">
      <c r="A2245">
        <v>387</v>
      </c>
      <c r="B2245" s="47" t="str">
        <f>VLOOKUP(Tabla6[[#This Row],['# Vuelo]],'Validacion reclamo de equipaje'!P:Q,2,0)</f>
        <v>AEROLINEAS DE AMERICA</v>
      </c>
      <c r="C2245" s="52">
        <v>0.55138888888888882</v>
      </c>
      <c r="D2245" s="52">
        <v>0.56319444444444444</v>
      </c>
      <c r="E2245" s="53">
        <f>'Reclamo de equipaje rediseñado'!$D2245-'Reclamo de equipaje rediseñado'!$C2245</f>
        <v>1.1805555555555625E-2</v>
      </c>
      <c r="F2245" s="52">
        <v>0.56944444444444442</v>
      </c>
      <c r="G2245" s="53">
        <f t="shared" si="35"/>
        <v>6.2499999999999778E-3</v>
      </c>
      <c r="H2245" s="54">
        <v>41734</v>
      </c>
      <c r="I2245" s="55" t="s">
        <v>538</v>
      </c>
      <c r="J2245" s="55" t="s">
        <v>571</v>
      </c>
      <c r="K2245" s="55">
        <f>VLOOKUP(J2245,'Validacion reclamo de equipaje'!L:M,2,0)</f>
        <v>182</v>
      </c>
      <c r="L2245" s="55" t="str">
        <f>VLOOKUP(I2245,'Validacion reclamo de equipaje'!H:I,2,0)</f>
        <v>Internacional</v>
      </c>
      <c r="M2245" s="55" t="s">
        <v>523</v>
      </c>
    </row>
    <row r="2246" spans="1:13" x14ac:dyDescent="0.25">
      <c r="A2246">
        <v>387</v>
      </c>
      <c r="B2246" s="47" t="str">
        <f>VLOOKUP(Tabla6[[#This Row],['# Vuelo]],'Validacion reclamo de equipaje'!P:Q,2,0)</f>
        <v>AEROLINEAS DE AMERICA</v>
      </c>
      <c r="C2246" s="48">
        <v>0.625</v>
      </c>
      <c r="D2246" s="48">
        <v>0.63541666666666663</v>
      </c>
      <c r="E2246" s="49">
        <f>'Reclamo de equipaje rediseñado'!$D2246-'Reclamo de equipaje rediseñado'!$C2246</f>
        <v>1.041666666666663E-2</v>
      </c>
      <c r="F2246" s="48">
        <v>0.64722222222222225</v>
      </c>
      <c r="G2246" s="49">
        <f t="shared" si="35"/>
        <v>1.1805555555555625E-2</v>
      </c>
      <c r="H2246" s="50">
        <v>41735</v>
      </c>
      <c r="I2246" s="51" t="s">
        <v>538</v>
      </c>
      <c r="J2246" s="51" t="s">
        <v>571</v>
      </c>
      <c r="K2246" s="51">
        <f>VLOOKUP(J2246,'Validacion reclamo de equipaje'!L:M,2,0)</f>
        <v>182</v>
      </c>
      <c r="L2246" s="51" t="str">
        <f>VLOOKUP(I2246,'Validacion reclamo de equipaje'!H:I,2,0)</f>
        <v>Internacional</v>
      </c>
      <c r="M2246" s="51" t="s">
        <v>523</v>
      </c>
    </row>
    <row r="2247" spans="1:13" x14ac:dyDescent="0.25">
      <c r="A2247">
        <v>387</v>
      </c>
      <c r="B2247" s="47" t="str">
        <f>VLOOKUP(Tabla6[[#This Row],['# Vuelo]],'Validacion reclamo de equipaje'!P:Q,2,0)</f>
        <v>AEROLINEAS DE AMERICA</v>
      </c>
      <c r="C2247" s="52">
        <v>0.60277777777777775</v>
      </c>
      <c r="D2247" s="52">
        <v>0.61805555555555558</v>
      </c>
      <c r="E2247" s="53">
        <f>'Reclamo de equipaje rediseñado'!$D2247-'Reclamo de equipaje rediseñado'!$C2247</f>
        <v>1.5277777777777835E-2</v>
      </c>
      <c r="F2247" s="52">
        <v>0.625</v>
      </c>
      <c r="G2247" s="53">
        <f t="shared" si="35"/>
        <v>6.9444444444444198E-3</v>
      </c>
      <c r="H2247" s="54">
        <v>41736</v>
      </c>
      <c r="I2247" s="55" t="s">
        <v>538</v>
      </c>
      <c r="J2247" s="55" t="s">
        <v>571</v>
      </c>
      <c r="K2247" s="55">
        <f>VLOOKUP(J2247,'Validacion reclamo de equipaje'!L:M,2,0)</f>
        <v>182</v>
      </c>
      <c r="L2247" s="55" t="str">
        <f>VLOOKUP(I2247,'Validacion reclamo de equipaje'!H:I,2,0)</f>
        <v>Internacional</v>
      </c>
      <c r="M2247" s="55" t="s">
        <v>523</v>
      </c>
    </row>
    <row r="2248" spans="1:13" x14ac:dyDescent="0.25">
      <c r="A2248">
        <v>387</v>
      </c>
      <c r="B2248" s="47" t="str">
        <f>VLOOKUP(Tabla6[[#This Row],['# Vuelo]],'Validacion reclamo de equipaje'!P:Q,2,0)</f>
        <v>AEROLINEAS DE AMERICA</v>
      </c>
      <c r="C2248" s="48">
        <v>0.58263888888888882</v>
      </c>
      <c r="D2248" s="48">
        <v>0.6</v>
      </c>
      <c r="E2248" s="49">
        <f>'Reclamo de equipaje rediseñado'!$D2248-'Reclamo de equipaje rediseñado'!$C2248</f>
        <v>1.736111111111116E-2</v>
      </c>
      <c r="F2248" s="48">
        <v>0.61249999999999993</v>
      </c>
      <c r="G2248" s="49">
        <f t="shared" si="35"/>
        <v>1.2499999999999956E-2</v>
      </c>
      <c r="H2248" s="50">
        <v>41739</v>
      </c>
      <c r="I2248" s="51" t="s">
        <v>538</v>
      </c>
      <c r="J2248" s="51" t="s">
        <v>571</v>
      </c>
      <c r="K2248" s="51">
        <f>VLOOKUP(J2248,'Validacion reclamo de equipaje'!L:M,2,0)</f>
        <v>182</v>
      </c>
      <c r="L2248" s="51" t="str">
        <f>VLOOKUP(I2248,'Validacion reclamo de equipaje'!H:I,2,0)</f>
        <v>Internacional</v>
      </c>
      <c r="M2248" s="51" t="s">
        <v>523</v>
      </c>
    </row>
    <row r="2249" spans="1:13" x14ac:dyDescent="0.25">
      <c r="A2249">
        <v>387</v>
      </c>
      <c r="B2249" s="47" t="str">
        <f>VLOOKUP(Tabla6[[#This Row],['# Vuelo]],'Validacion reclamo de equipaje'!P:Q,2,0)</f>
        <v>AEROLINEAS DE AMERICA</v>
      </c>
      <c r="C2249" s="52">
        <v>0.59027777777777779</v>
      </c>
      <c r="D2249" s="52">
        <v>0.60277777777777775</v>
      </c>
      <c r="E2249" s="53">
        <f>'Reclamo de equipaje rediseñado'!$D2249-'Reclamo de equipaje rediseñado'!$C2249</f>
        <v>1.2499999999999956E-2</v>
      </c>
      <c r="F2249" s="52">
        <v>0.62013888888888891</v>
      </c>
      <c r="G2249" s="53">
        <f t="shared" si="35"/>
        <v>1.736111111111116E-2</v>
      </c>
      <c r="H2249" s="54">
        <v>41741</v>
      </c>
      <c r="I2249" s="55" t="s">
        <v>538</v>
      </c>
      <c r="J2249" s="55" t="s">
        <v>571</v>
      </c>
      <c r="K2249" s="55">
        <f>VLOOKUP(J2249,'Validacion reclamo de equipaje'!L:M,2,0)</f>
        <v>182</v>
      </c>
      <c r="L2249" s="55" t="str">
        <f>VLOOKUP(I2249,'Validacion reclamo de equipaje'!H:I,2,0)</f>
        <v>Internacional</v>
      </c>
      <c r="M2249" s="55" t="s">
        <v>523</v>
      </c>
    </row>
    <row r="2250" spans="1:13" x14ac:dyDescent="0.25">
      <c r="A2250">
        <v>387</v>
      </c>
      <c r="B2250" s="47" t="str">
        <f>VLOOKUP(Tabla6[[#This Row],['# Vuelo]],'Validacion reclamo de equipaje'!P:Q,2,0)</f>
        <v>AEROLINEAS DE AMERICA</v>
      </c>
      <c r="C2250" s="48">
        <v>0.59930555555555554</v>
      </c>
      <c r="D2250" s="48">
        <v>0.61527777777777781</v>
      </c>
      <c r="E2250" s="49">
        <f>'Reclamo de equipaje rediseñado'!$D2250-'Reclamo de equipaje rediseñado'!$C2250</f>
        <v>1.5972222222222276E-2</v>
      </c>
      <c r="F2250" s="48">
        <v>0.62013888888888891</v>
      </c>
      <c r="G2250" s="49">
        <f t="shared" si="35"/>
        <v>4.8611111111110938E-3</v>
      </c>
      <c r="H2250" s="50">
        <v>41743</v>
      </c>
      <c r="I2250" s="51" t="s">
        <v>538</v>
      </c>
      <c r="J2250" s="51" t="s">
        <v>571</v>
      </c>
      <c r="K2250" s="51">
        <f>VLOOKUP(J2250,'Validacion reclamo de equipaje'!L:M,2,0)</f>
        <v>182</v>
      </c>
      <c r="L2250" s="51" t="str">
        <f>VLOOKUP(I2250,'Validacion reclamo de equipaje'!H:I,2,0)</f>
        <v>Internacional</v>
      </c>
      <c r="M2250" s="51" t="s">
        <v>523</v>
      </c>
    </row>
    <row r="2251" spans="1:13" x14ac:dyDescent="0.25">
      <c r="A2251">
        <v>387</v>
      </c>
      <c r="B2251" s="47" t="str">
        <f>VLOOKUP(Tabla6[[#This Row],['# Vuelo]],'Validacion reclamo de equipaje'!P:Q,2,0)</f>
        <v>AEROLINEAS DE AMERICA</v>
      </c>
      <c r="C2251" s="52">
        <v>0.6020833333333333</v>
      </c>
      <c r="D2251" s="52">
        <v>0.61875000000000002</v>
      </c>
      <c r="E2251" s="53">
        <f>'Reclamo de equipaje rediseñado'!$D2251-'Reclamo de equipaje rediseñado'!$C2251</f>
        <v>1.6666666666666718E-2</v>
      </c>
      <c r="F2251" s="52">
        <v>0.625</v>
      </c>
      <c r="G2251" s="53">
        <f t="shared" si="35"/>
        <v>6.2499999999999778E-3</v>
      </c>
      <c r="H2251" s="54">
        <v>41744</v>
      </c>
      <c r="I2251" s="55" t="s">
        <v>538</v>
      </c>
      <c r="J2251" s="55" t="s">
        <v>571</v>
      </c>
      <c r="K2251" s="55">
        <f>VLOOKUP(J2251,'Validacion reclamo de equipaje'!L:M,2,0)</f>
        <v>182</v>
      </c>
      <c r="L2251" s="55" t="str">
        <f>VLOOKUP(I2251,'Validacion reclamo de equipaje'!H:I,2,0)</f>
        <v>Internacional</v>
      </c>
      <c r="M2251" s="55" t="s">
        <v>523</v>
      </c>
    </row>
    <row r="2252" spans="1:13" x14ac:dyDescent="0.25">
      <c r="A2252">
        <v>387</v>
      </c>
      <c r="B2252" s="47" t="str">
        <f>VLOOKUP(Tabla6[[#This Row],['# Vuelo]],'Validacion reclamo de equipaje'!P:Q,2,0)</f>
        <v>AEROLINEAS DE AMERICA</v>
      </c>
      <c r="C2252" s="48">
        <v>0.58124999999999993</v>
      </c>
      <c r="D2252" s="48">
        <v>0.59236111111111112</v>
      </c>
      <c r="E2252" s="49">
        <f>'Reclamo de equipaje rediseñado'!$D2252-'Reclamo de equipaje rediseñado'!$C2252</f>
        <v>1.1111111111111183E-2</v>
      </c>
      <c r="F2252" s="48">
        <v>0.6</v>
      </c>
      <c r="G2252" s="49">
        <f t="shared" si="35"/>
        <v>7.6388888888888618E-3</v>
      </c>
      <c r="H2252" s="50">
        <v>41745</v>
      </c>
      <c r="I2252" s="51" t="s">
        <v>538</v>
      </c>
      <c r="J2252" s="51" t="s">
        <v>571</v>
      </c>
      <c r="K2252" s="51">
        <f>VLOOKUP(J2252,'Validacion reclamo de equipaje'!L:M,2,0)</f>
        <v>182</v>
      </c>
      <c r="L2252" s="51" t="str">
        <f>VLOOKUP(I2252,'Validacion reclamo de equipaje'!H:I,2,0)</f>
        <v>Internacional</v>
      </c>
      <c r="M2252" s="51" t="s">
        <v>523</v>
      </c>
    </row>
    <row r="2253" spans="1:13" x14ac:dyDescent="0.25">
      <c r="A2253">
        <v>387</v>
      </c>
      <c r="B2253" s="47" t="str">
        <f>VLOOKUP(Tabla6[[#This Row],['# Vuelo]],'Validacion reclamo de equipaje'!P:Q,2,0)</f>
        <v>AEROLINEAS DE AMERICA</v>
      </c>
      <c r="C2253" s="52">
        <v>0.58819444444444446</v>
      </c>
      <c r="D2253" s="52">
        <v>0.60763888888888895</v>
      </c>
      <c r="E2253" s="53">
        <f>'Reclamo de equipaje rediseñado'!$D2253-'Reclamo de equipaje rediseñado'!$C2253</f>
        <v>1.9444444444444486E-2</v>
      </c>
      <c r="F2253" s="52">
        <v>0.61805555555555558</v>
      </c>
      <c r="G2253" s="53">
        <f t="shared" si="35"/>
        <v>1.041666666666663E-2</v>
      </c>
      <c r="H2253" s="54">
        <v>41746</v>
      </c>
      <c r="I2253" s="55" t="s">
        <v>538</v>
      </c>
      <c r="J2253" s="55" t="s">
        <v>571</v>
      </c>
      <c r="K2253" s="55">
        <f>VLOOKUP(J2253,'Validacion reclamo de equipaje'!L:M,2,0)</f>
        <v>182</v>
      </c>
      <c r="L2253" s="55" t="str">
        <f>VLOOKUP(I2253,'Validacion reclamo de equipaje'!H:I,2,0)</f>
        <v>Internacional</v>
      </c>
      <c r="M2253" s="55" t="s">
        <v>523</v>
      </c>
    </row>
    <row r="2254" spans="1:13" x14ac:dyDescent="0.25">
      <c r="A2254">
        <v>387</v>
      </c>
      <c r="B2254" s="47" t="str">
        <f>VLOOKUP(Tabla6[[#This Row],['# Vuelo]],'Validacion reclamo de equipaje'!P:Q,2,0)</f>
        <v>AEROLINEAS DE AMERICA</v>
      </c>
      <c r="C2254" s="48">
        <v>0.58263888888888882</v>
      </c>
      <c r="D2254" s="48">
        <v>0.59861111111111109</v>
      </c>
      <c r="E2254" s="49">
        <f>'Reclamo de equipaje rediseñado'!$D2254-'Reclamo de equipaje rediseñado'!$C2254</f>
        <v>1.5972222222222276E-2</v>
      </c>
      <c r="F2254" s="48">
        <v>0.6069444444444444</v>
      </c>
      <c r="G2254" s="49">
        <f t="shared" si="35"/>
        <v>8.3333333333333037E-3</v>
      </c>
      <c r="H2254" s="50">
        <v>41747</v>
      </c>
      <c r="I2254" s="51" t="s">
        <v>538</v>
      </c>
      <c r="J2254" s="51" t="s">
        <v>571</v>
      </c>
      <c r="K2254" s="51">
        <f>VLOOKUP(J2254,'Validacion reclamo de equipaje'!L:M,2,0)</f>
        <v>182</v>
      </c>
      <c r="L2254" s="51" t="str">
        <f>VLOOKUP(I2254,'Validacion reclamo de equipaje'!H:I,2,0)</f>
        <v>Internacional</v>
      </c>
      <c r="M2254" s="51" t="s">
        <v>523</v>
      </c>
    </row>
    <row r="2255" spans="1:13" x14ac:dyDescent="0.25">
      <c r="A2255">
        <v>387</v>
      </c>
      <c r="B2255" s="47" t="str">
        <f>VLOOKUP(Tabla6[[#This Row],['# Vuelo]],'Validacion reclamo de equipaje'!P:Q,2,0)</f>
        <v>AEROLINEAS DE AMERICA</v>
      </c>
      <c r="C2255" s="52">
        <v>0.56597222222222221</v>
      </c>
      <c r="D2255" s="52">
        <v>0.59444444444444444</v>
      </c>
      <c r="E2255" s="53">
        <f>'Reclamo de equipaje rediseñado'!$D2255-'Reclamo de equipaje rediseñado'!$C2255</f>
        <v>2.8472222222222232E-2</v>
      </c>
      <c r="F2255" s="52">
        <v>0.62291666666666667</v>
      </c>
      <c r="G2255" s="53">
        <f t="shared" si="35"/>
        <v>2.8472222222222232E-2</v>
      </c>
      <c r="H2255" s="54">
        <v>41748</v>
      </c>
      <c r="I2255" s="55" t="s">
        <v>538</v>
      </c>
      <c r="J2255" s="55" t="s">
        <v>571</v>
      </c>
      <c r="K2255" s="55">
        <f>VLOOKUP(J2255,'Validacion reclamo de equipaje'!L:M,2,0)</f>
        <v>182</v>
      </c>
      <c r="L2255" s="55" t="str">
        <f>VLOOKUP(I2255,'Validacion reclamo de equipaje'!H:I,2,0)</f>
        <v>Internacional</v>
      </c>
      <c r="M2255" s="55" t="s">
        <v>523</v>
      </c>
    </row>
    <row r="2256" spans="1:13" x14ac:dyDescent="0.25">
      <c r="A2256">
        <v>387</v>
      </c>
      <c r="B2256" s="47" t="str">
        <f>VLOOKUP(Tabla6[[#This Row],['# Vuelo]],'Validacion reclamo de equipaje'!P:Q,2,0)</f>
        <v>AEROLINEAS DE AMERICA</v>
      </c>
      <c r="C2256" s="48">
        <v>0.58819444444444446</v>
      </c>
      <c r="D2256" s="48">
        <v>0.60625000000000007</v>
      </c>
      <c r="E2256" s="49">
        <f>'Reclamo de equipaje rediseñado'!$D2256-'Reclamo de equipaje rediseñado'!$C2256</f>
        <v>1.8055555555555602E-2</v>
      </c>
      <c r="F2256" s="48">
        <v>0.62083333333333335</v>
      </c>
      <c r="G2256" s="49">
        <f t="shared" si="35"/>
        <v>1.4583333333333282E-2</v>
      </c>
      <c r="H2256" s="50">
        <v>41749</v>
      </c>
      <c r="I2256" s="51" t="s">
        <v>538</v>
      </c>
      <c r="J2256" s="51" t="s">
        <v>571</v>
      </c>
      <c r="K2256" s="51">
        <f>VLOOKUP(J2256,'Validacion reclamo de equipaje'!L:M,2,0)</f>
        <v>182</v>
      </c>
      <c r="L2256" s="51" t="str">
        <f>VLOOKUP(I2256,'Validacion reclamo de equipaje'!H:I,2,0)</f>
        <v>Internacional</v>
      </c>
      <c r="M2256" s="51" t="s">
        <v>523</v>
      </c>
    </row>
    <row r="2257" spans="1:13" x14ac:dyDescent="0.25">
      <c r="A2257">
        <v>387</v>
      </c>
      <c r="B2257" s="47" t="str">
        <f>VLOOKUP(Tabla6[[#This Row],['# Vuelo]],'Validacion reclamo de equipaje'!P:Q,2,0)</f>
        <v>AEROLINEAS DE AMERICA</v>
      </c>
      <c r="C2257" s="52">
        <v>0.59513888888888888</v>
      </c>
      <c r="D2257" s="52">
        <v>0.60763888888888895</v>
      </c>
      <c r="E2257" s="53">
        <f>'Reclamo de equipaje rediseñado'!$D2257-'Reclamo de equipaje rediseñado'!$C2257</f>
        <v>1.2500000000000067E-2</v>
      </c>
      <c r="F2257" s="52">
        <v>0.61736111111111114</v>
      </c>
      <c r="G2257" s="53">
        <f t="shared" si="35"/>
        <v>9.7222222222221877E-3</v>
      </c>
      <c r="H2257" s="54">
        <v>41750</v>
      </c>
      <c r="I2257" s="55" t="s">
        <v>538</v>
      </c>
      <c r="J2257" s="55" t="s">
        <v>571</v>
      </c>
      <c r="K2257" s="55">
        <f>VLOOKUP(J2257,'Validacion reclamo de equipaje'!L:M,2,0)</f>
        <v>182</v>
      </c>
      <c r="L2257" s="55" t="str">
        <f>VLOOKUP(I2257,'Validacion reclamo de equipaje'!H:I,2,0)</f>
        <v>Internacional</v>
      </c>
      <c r="M2257" s="55" t="s">
        <v>523</v>
      </c>
    </row>
    <row r="2258" spans="1:13" x14ac:dyDescent="0.25">
      <c r="A2258">
        <v>387</v>
      </c>
      <c r="B2258" s="47" t="str">
        <f>VLOOKUP(Tabla6[[#This Row],['# Vuelo]],'Validacion reclamo de equipaje'!P:Q,2,0)</f>
        <v>AEROLINEAS DE AMERICA</v>
      </c>
      <c r="C2258" s="48">
        <v>0.59027777777777779</v>
      </c>
      <c r="D2258" s="48">
        <v>0.60069444444444442</v>
      </c>
      <c r="E2258" s="49">
        <f>'Reclamo de equipaje rediseñado'!$D2258-'Reclamo de equipaje rediseñado'!$C2258</f>
        <v>1.041666666666663E-2</v>
      </c>
      <c r="F2258" s="48">
        <v>0.625</v>
      </c>
      <c r="G2258" s="49">
        <f t="shared" si="35"/>
        <v>2.430555555555558E-2</v>
      </c>
      <c r="H2258" s="50">
        <v>41751</v>
      </c>
      <c r="I2258" s="51" t="s">
        <v>538</v>
      </c>
      <c r="J2258" s="51" t="s">
        <v>571</v>
      </c>
      <c r="K2258" s="51">
        <f>VLOOKUP(J2258,'Validacion reclamo de equipaje'!L:M,2,0)</f>
        <v>182</v>
      </c>
      <c r="L2258" s="51" t="str">
        <f>VLOOKUP(I2258,'Validacion reclamo de equipaje'!H:I,2,0)</f>
        <v>Internacional</v>
      </c>
      <c r="M2258" s="51" t="s">
        <v>523</v>
      </c>
    </row>
    <row r="2259" spans="1:13" x14ac:dyDescent="0.25">
      <c r="A2259">
        <v>387</v>
      </c>
      <c r="B2259" s="47" t="str">
        <f>VLOOKUP(Tabla6[[#This Row],['# Vuelo]],'Validacion reclamo de equipaje'!P:Q,2,0)</f>
        <v>AEROLINEAS DE AMERICA</v>
      </c>
      <c r="C2259" s="52">
        <v>0.59027777777777779</v>
      </c>
      <c r="D2259" s="52">
        <v>0.60069444444444442</v>
      </c>
      <c r="E2259" s="53">
        <f>'Reclamo de equipaje rediseñado'!$D2259-'Reclamo de equipaje rediseñado'!$C2259</f>
        <v>1.041666666666663E-2</v>
      </c>
      <c r="F2259" s="52">
        <v>0.625</v>
      </c>
      <c r="G2259" s="53">
        <f t="shared" si="35"/>
        <v>2.430555555555558E-2</v>
      </c>
      <c r="H2259" s="54">
        <v>41751</v>
      </c>
      <c r="I2259" s="55" t="s">
        <v>538</v>
      </c>
      <c r="J2259" s="55" t="s">
        <v>571</v>
      </c>
      <c r="K2259" s="55">
        <f>VLOOKUP(J2259,'Validacion reclamo de equipaje'!L:M,2,0)</f>
        <v>182</v>
      </c>
      <c r="L2259" s="55" t="str">
        <f>VLOOKUP(I2259,'Validacion reclamo de equipaje'!H:I,2,0)</f>
        <v>Internacional</v>
      </c>
      <c r="M2259" s="55" t="s">
        <v>523</v>
      </c>
    </row>
    <row r="2260" spans="1:13" x14ac:dyDescent="0.25">
      <c r="A2260">
        <v>387</v>
      </c>
      <c r="B2260" s="47" t="str">
        <f>VLOOKUP(Tabla6[[#This Row],['# Vuelo]],'Validacion reclamo de equipaje'!P:Q,2,0)</f>
        <v>AEROLINEAS DE AMERICA</v>
      </c>
      <c r="C2260" s="48">
        <v>0.59166666666666667</v>
      </c>
      <c r="D2260" s="48">
        <v>0.60833333333333328</v>
      </c>
      <c r="E2260" s="49">
        <f>'Reclamo de equipaje rediseñado'!$D2260-'Reclamo de equipaje rediseñado'!$C2260</f>
        <v>1.6666666666666607E-2</v>
      </c>
      <c r="F2260" s="48">
        <v>0.62222222222222223</v>
      </c>
      <c r="G2260" s="49">
        <f t="shared" si="35"/>
        <v>1.3888888888888951E-2</v>
      </c>
      <c r="H2260" s="50">
        <v>41754</v>
      </c>
      <c r="I2260" s="51" t="s">
        <v>538</v>
      </c>
      <c r="J2260" s="51" t="s">
        <v>571</v>
      </c>
      <c r="K2260" s="51">
        <f>VLOOKUP(J2260,'Validacion reclamo de equipaje'!L:M,2,0)</f>
        <v>182</v>
      </c>
      <c r="L2260" s="51" t="str">
        <f>VLOOKUP(I2260,'Validacion reclamo de equipaje'!H:I,2,0)</f>
        <v>Internacional</v>
      </c>
      <c r="M2260" s="51" t="s">
        <v>523</v>
      </c>
    </row>
    <row r="2261" spans="1:13" x14ac:dyDescent="0.25">
      <c r="A2261">
        <v>387</v>
      </c>
      <c r="B2261" s="47" t="str">
        <f>VLOOKUP(Tabla6[[#This Row],['# Vuelo]],'Validacion reclamo de equipaje'!P:Q,2,0)</f>
        <v>AEROLINEAS DE AMERICA</v>
      </c>
      <c r="C2261" s="52">
        <v>0.6020833333333333</v>
      </c>
      <c r="D2261" s="52">
        <v>0.61805555555555558</v>
      </c>
      <c r="E2261" s="53">
        <f>'Reclamo de equipaje rediseñado'!$D2261-'Reclamo de equipaje rediseñado'!$C2261</f>
        <v>1.5972222222222276E-2</v>
      </c>
      <c r="F2261" s="52">
        <v>0.63124999999999998</v>
      </c>
      <c r="G2261" s="53">
        <f t="shared" si="35"/>
        <v>1.3194444444444398E-2</v>
      </c>
      <c r="H2261" s="54">
        <v>41754</v>
      </c>
      <c r="I2261" s="55" t="s">
        <v>538</v>
      </c>
      <c r="J2261" s="55" t="s">
        <v>571</v>
      </c>
      <c r="K2261" s="55">
        <f>VLOOKUP(J2261,'Validacion reclamo de equipaje'!L:M,2,0)</f>
        <v>182</v>
      </c>
      <c r="L2261" s="55" t="str">
        <f>VLOOKUP(I2261,'Validacion reclamo de equipaje'!H:I,2,0)</f>
        <v>Internacional</v>
      </c>
      <c r="M2261" s="55" t="s">
        <v>523</v>
      </c>
    </row>
    <row r="2262" spans="1:13" x14ac:dyDescent="0.25">
      <c r="A2262">
        <v>387</v>
      </c>
      <c r="B2262" s="47" t="str">
        <f>VLOOKUP(Tabla6[[#This Row],['# Vuelo]],'Validacion reclamo de equipaje'!P:Q,2,0)</f>
        <v>AEROLINEAS DE AMERICA</v>
      </c>
      <c r="C2262" s="48">
        <v>0.66319444444444442</v>
      </c>
      <c r="D2262" s="48">
        <v>0.67638888888888893</v>
      </c>
      <c r="E2262" s="49">
        <f>'Reclamo de equipaje rediseñado'!$D2262-'Reclamo de equipaje rediseñado'!$C2262</f>
        <v>1.3194444444444509E-2</v>
      </c>
      <c r="F2262" s="48">
        <v>0.69305555555555554</v>
      </c>
      <c r="G2262" s="49">
        <f t="shared" si="35"/>
        <v>1.6666666666666607E-2</v>
      </c>
      <c r="H2262" s="50">
        <v>41756</v>
      </c>
      <c r="I2262" s="51" t="s">
        <v>538</v>
      </c>
      <c r="J2262" s="51" t="s">
        <v>571</v>
      </c>
      <c r="K2262" s="51">
        <f>VLOOKUP(J2262,'Validacion reclamo de equipaje'!L:M,2,0)</f>
        <v>182</v>
      </c>
      <c r="L2262" s="51" t="str">
        <f>VLOOKUP(I2262,'Validacion reclamo de equipaje'!H:I,2,0)</f>
        <v>Internacional</v>
      </c>
      <c r="M2262" s="51" t="s">
        <v>523</v>
      </c>
    </row>
    <row r="2263" spans="1:13" x14ac:dyDescent="0.25">
      <c r="A2263">
        <v>387</v>
      </c>
      <c r="B2263" s="47" t="str">
        <f>VLOOKUP(Tabla6[[#This Row],['# Vuelo]],'Validacion reclamo de equipaje'!P:Q,2,0)</f>
        <v>AEROLINEAS DE AMERICA</v>
      </c>
      <c r="C2263" s="52">
        <v>0.59236111111111112</v>
      </c>
      <c r="D2263" s="52">
        <v>0.61249999999999993</v>
      </c>
      <c r="E2263" s="53">
        <f>'Reclamo de equipaje rediseñado'!$D2263-'Reclamo de equipaje rediseñado'!$C2263</f>
        <v>2.0138888888888817E-2</v>
      </c>
      <c r="F2263" s="52">
        <v>0.61944444444444446</v>
      </c>
      <c r="G2263" s="53">
        <f t="shared" si="35"/>
        <v>6.9444444444445308E-3</v>
      </c>
      <c r="H2263" s="54">
        <v>41757</v>
      </c>
      <c r="I2263" s="55" t="s">
        <v>538</v>
      </c>
      <c r="J2263" s="55" t="s">
        <v>571</v>
      </c>
      <c r="K2263" s="55">
        <f>VLOOKUP(J2263,'Validacion reclamo de equipaje'!L:M,2,0)</f>
        <v>182</v>
      </c>
      <c r="L2263" s="55" t="str">
        <f>VLOOKUP(I2263,'Validacion reclamo de equipaje'!H:I,2,0)</f>
        <v>Internacional</v>
      </c>
      <c r="M2263" s="55" t="s">
        <v>523</v>
      </c>
    </row>
    <row r="2264" spans="1:13" x14ac:dyDescent="0.25">
      <c r="A2264">
        <v>387</v>
      </c>
      <c r="B2264" s="47" t="str">
        <f>VLOOKUP(Tabla6[[#This Row],['# Vuelo]],'Validacion reclamo de equipaje'!P:Q,2,0)</f>
        <v>AEROLINEAS DE AMERICA</v>
      </c>
      <c r="C2264" s="48">
        <v>0.59583333333333333</v>
      </c>
      <c r="D2264" s="48">
        <v>0.61736111111111114</v>
      </c>
      <c r="E2264" s="49">
        <f>'Reclamo de equipaje rediseñado'!$D2264-'Reclamo de equipaje rediseñado'!$C2264</f>
        <v>2.1527777777777812E-2</v>
      </c>
      <c r="F2264" s="48">
        <v>0.62083333333333335</v>
      </c>
      <c r="G2264" s="49">
        <f t="shared" si="35"/>
        <v>3.4722222222222099E-3</v>
      </c>
      <c r="H2264" s="50">
        <v>41758</v>
      </c>
      <c r="I2264" s="51" t="s">
        <v>538</v>
      </c>
      <c r="J2264" s="51" t="s">
        <v>571</v>
      </c>
      <c r="K2264" s="51">
        <f>VLOOKUP(J2264,'Validacion reclamo de equipaje'!L:M,2,0)</f>
        <v>182</v>
      </c>
      <c r="L2264" s="51" t="str">
        <f>VLOOKUP(I2264,'Validacion reclamo de equipaje'!H:I,2,0)</f>
        <v>Internacional</v>
      </c>
      <c r="M2264" s="51" t="s">
        <v>523</v>
      </c>
    </row>
    <row r="2265" spans="1:13" x14ac:dyDescent="0.25">
      <c r="A2265">
        <v>387</v>
      </c>
      <c r="B2265" s="47" t="str">
        <f>VLOOKUP(Tabla6[[#This Row],['# Vuelo]],'Validacion reclamo de equipaje'!P:Q,2,0)</f>
        <v>AEROLINEAS DE AMERICA</v>
      </c>
      <c r="C2265" s="52">
        <v>0.60833333333333328</v>
      </c>
      <c r="D2265" s="52">
        <v>0.62708333333333333</v>
      </c>
      <c r="E2265" s="53">
        <f>'Reclamo de equipaje rediseñado'!$D2265-'Reclamo de equipaje rediseñado'!$C2265</f>
        <v>1.8750000000000044E-2</v>
      </c>
      <c r="F2265" s="52">
        <v>0.64097222222222217</v>
      </c>
      <c r="G2265" s="53">
        <f t="shared" si="35"/>
        <v>1.388888888888884E-2</v>
      </c>
      <c r="H2265" s="54">
        <v>41759</v>
      </c>
      <c r="I2265" s="55" t="s">
        <v>538</v>
      </c>
      <c r="J2265" s="55" t="s">
        <v>571</v>
      </c>
      <c r="K2265" s="55">
        <f>VLOOKUP(J2265,'Validacion reclamo de equipaje'!L:M,2,0)</f>
        <v>182</v>
      </c>
      <c r="L2265" s="55" t="str">
        <f>VLOOKUP(I2265,'Validacion reclamo de equipaje'!H:I,2,0)</f>
        <v>Internacional</v>
      </c>
      <c r="M2265" s="55" t="s">
        <v>523</v>
      </c>
    </row>
    <row r="2266" spans="1:13" x14ac:dyDescent="0.25">
      <c r="A2266">
        <v>722</v>
      </c>
      <c r="B2266" s="47" t="str">
        <f>VLOOKUP(Tabla6[[#This Row],['# Vuelo]],'Validacion reclamo de equipaje'!P:Q,2,0)</f>
        <v>COPA</v>
      </c>
      <c r="C2266" s="48">
        <v>0.94513888888888886</v>
      </c>
      <c r="D2266" s="48">
        <v>0.96111111111111114</v>
      </c>
      <c r="E2266" s="49">
        <f>'Reclamo de equipaje rediseñado'!$D2266-'Reclamo de equipaje rediseñado'!$C2266</f>
        <v>1.5972222222222276E-2</v>
      </c>
      <c r="F2266" s="48">
        <v>0.97222222222222221</v>
      </c>
      <c r="G2266" s="49">
        <f t="shared" si="35"/>
        <v>1.1111111111111072E-2</v>
      </c>
      <c r="H2266" s="50">
        <v>41730</v>
      </c>
      <c r="I2266" s="51" t="s">
        <v>575</v>
      </c>
      <c r="J2266" s="51" t="s">
        <v>554</v>
      </c>
      <c r="K2266" s="51">
        <f>VLOOKUP(J2266,'Validacion reclamo de equipaje'!L:M,2,0)</f>
        <v>189</v>
      </c>
      <c r="L2266" s="51" t="str">
        <f>VLOOKUP(I2266,'Validacion reclamo de equipaje'!H:I,2,0)</f>
        <v>Internacional</v>
      </c>
      <c r="M2266" s="51" t="s">
        <v>523</v>
      </c>
    </row>
    <row r="2267" spans="1:13" x14ac:dyDescent="0.25">
      <c r="A2267">
        <v>722</v>
      </c>
      <c r="B2267" s="47" t="str">
        <f>VLOOKUP(Tabla6[[#This Row],['# Vuelo]],'Validacion reclamo de equipaje'!P:Q,2,0)</f>
        <v>COPA</v>
      </c>
      <c r="C2267" s="52">
        <v>0.9590277777777777</v>
      </c>
      <c r="D2267" s="52">
        <v>0.97986111111111107</v>
      </c>
      <c r="E2267" s="53">
        <f>'Reclamo de equipaje rediseñado'!$D2267-'Reclamo de equipaje rediseñado'!$C2267</f>
        <v>2.083333333333337E-2</v>
      </c>
      <c r="F2267" s="52">
        <v>0.98472222222222217</v>
      </c>
      <c r="G2267" s="53">
        <f t="shared" si="35"/>
        <v>4.8611111111110938E-3</v>
      </c>
      <c r="H2267" s="54">
        <v>41731</v>
      </c>
      <c r="I2267" s="55" t="s">
        <v>575</v>
      </c>
      <c r="J2267" s="55" t="s">
        <v>554</v>
      </c>
      <c r="K2267" s="55">
        <f>VLOOKUP(J2267,'Validacion reclamo de equipaje'!L:M,2,0)</f>
        <v>189</v>
      </c>
      <c r="L2267" s="55" t="str">
        <f>VLOOKUP(I2267,'Validacion reclamo de equipaje'!H:I,2,0)</f>
        <v>Internacional</v>
      </c>
      <c r="M2267" s="55" t="s">
        <v>523</v>
      </c>
    </row>
    <row r="2268" spans="1:13" x14ac:dyDescent="0.25">
      <c r="A2268">
        <v>722</v>
      </c>
      <c r="B2268" s="47" t="str">
        <f>VLOOKUP(Tabla6[[#This Row],['# Vuelo]],'Validacion reclamo de equipaje'!P:Q,2,0)</f>
        <v>COPA</v>
      </c>
      <c r="C2268" s="48">
        <v>0.97083333333333333</v>
      </c>
      <c r="D2268" s="48">
        <v>0.98541666666666661</v>
      </c>
      <c r="E2268" s="49">
        <f>'Reclamo de equipaje rediseñado'!$D2268-'Reclamo de equipaje rediseñado'!$C2268</f>
        <v>1.4583333333333282E-2</v>
      </c>
      <c r="F2268" s="48">
        <v>0.99305555555555547</v>
      </c>
      <c r="G2268" s="49">
        <f t="shared" si="35"/>
        <v>7.6388888888888618E-3</v>
      </c>
      <c r="H2268" s="50">
        <v>41732</v>
      </c>
      <c r="I2268" s="51" t="s">
        <v>575</v>
      </c>
      <c r="J2268" s="51" t="s">
        <v>554</v>
      </c>
      <c r="K2268" s="51">
        <f>VLOOKUP(J2268,'Validacion reclamo de equipaje'!L:M,2,0)</f>
        <v>189</v>
      </c>
      <c r="L2268" s="51" t="str">
        <f>VLOOKUP(I2268,'Validacion reclamo de equipaje'!H:I,2,0)</f>
        <v>Internacional</v>
      </c>
      <c r="M2268" s="51" t="s">
        <v>523</v>
      </c>
    </row>
    <row r="2269" spans="1:13" x14ac:dyDescent="0.25">
      <c r="A2269">
        <v>722</v>
      </c>
      <c r="B2269" s="47" t="str">
        <f>VLOOKUP(Tabla6[[#This Row],['# Vuelo]],'Validacion reclamo de equipaje'!P:Q,2,0)</f>
        <v>COPA</v>
      </c>
      <c r="C2269" s="52">
        <v>0.94305555555555554</v>
      </c>
      <c r="D2269" s="52">
        <v>0.95833333333333337</v>
      </c>
      <c r="E2269" s="53">
        <f>'Reclamo de equipaje rediseñado'!$D2269-'Reclamo de equipaje rediseñado'!$C2269</f>
        <v>1.5277777777777835E-2</v>
      </c>
      <c r="F2269" s="52">
        <v>0.96736111111111101</v>
      </c>
      <c r="G2269" s="53">
        <f t="shared" si="35"/>
        <v>9.0277777777776347E-3</v>
      </c>
      <c r="H2269" s="54">
        <v>41734</v>
      </c>
      <c r="I2269" s="55" t="s">
        <v>575</v>
      </c>
      <c r="J2269" s="55" t="s">
        <v>554</v>
      </c>
      <c r="K2269" s="55">
        <f>VLOOKUP(J2269,'Validacion reclamo de equipaje'!L:M,2,0)</f>
        <v>189</v>
      </c>
      <c r="L2269" s="55" t="str">
        <f>VLOOKUP(I2269,'Validacion reclamo de equipaje'!H:I,2,0)</f>
        <v>Internacional</v>
      </c>
      <c r="M2269" s="55" t="s">
        <v>523</v>
      </c>
    </row>
    <row r="2270" spans="1:13" x14ac:dyDescent="0.25">
      <c r="A2270">
        <v>722</v>
      </c>
      <c r="B2270" s="47" t="str">
        <f>VLOOKUP(Tabla6[[#This Row],['# Vuelo]],'Validacion reclamo de equipaje'!P:Q,2,0)</f>
        <v>COPA</v>
      </c>
      <c r="C2270" s="48">
        <v>0.94166666666666676</v>
      </c>
      <c r="D2270" s="48">
        <v>0.95138888888888884</v>
      </c>
      <c r="E2270" s="49">
        <f>'Reclamo de equipaje rediseñado'!$D2270-'Reclamo de equipaje rediseñado'!$C2270</f>
        <v>9.7222222222220767E-3</v>
      </c>
      <c r="F2270" s="48">
        <v>0.9604166666666667</v>
      </c>
      <c r="G2270" s="49">
        <f t="shared" si="35"/>
        <v>9.0277777777778567E-3</v>
      </c>
      <c r="H2270" s="50">
        <v>41733</v>
      </c>
      <c r="I2270" s="51" t="s">
        <v>575</v>
      </c>
      <c r="J2270" s="51" t="s">
        <v>554</v>
      </c>
      <c r="K2270" s="51">
        <f>VLOOKUP(J2270,'Validacion reclamo de equipaje'!L:M,2,0)</f>
        <v>189</v>
      </c>
      <c r="L2270" s="51" t="str">
        <f>VLOOKUP(I2270,'Validacion reclamo de equipaje'!H:I,2,0)</f>
        <v>Internacional</v>
      </c>
      <c r="M2270" s="51" t="s">
        <v>523</v>
      </c>
    </row>
    <row r="2271" spans="1:13" x14ac:dyDescent="0.25">
      <c r="A2271">
        <v>722</v>
      </c>
      <c r="B2271" s="47" t="str">
        <f>VLOOKUP(Tabla6[[#This Row],['# Vuelo]],'Validacion reclamo de equipaje'!P:Q,2,0)</f>
        <v>COPA</v>
      </c>
      <c r="C2271" s="52">
        <v>1.0006944444444443</v>
      </c>
      <c r="D2271" s="52">
        <v>1.01875</v>
      </c>
      <c r="E2271" s="53">
        <f>'Reclamo de equipaje rediseñado'!$D2271-'Reclamo de equipaje rediseñado'!$C2271</f>
        <v>1.8055555555555713E-2</v>
      </c>
      <c r="F2271" s="52">
        <v>1.0250000000000001</v>
      </c>
      <c r="G2271" s="53">
        <f t="shared" si="35"/>
        <v>6.2500000000000888E-3</v>
      </c>
      <c r="H2271" s="54">
        <v>41735</v>
      </c>
      <c r="I2271" s="55" t="s">
        <v>575</v>
      </c>
      <c r="J2271" s="55" t="s">
        <v>554</v>
      </c>
      <c r="K2271" s="55">
        <f>VLOOKUP(J2271,'Validacion reclamo de equipaje'!L:M,2,0)</f>
        <v>189</v>
      </c>
      <c r="L2271" s="55" t="str">
        <f>VLOOKUP(I2271,'Validacion reclamo de equipaje'!H:I,2,0)</f>
        <v>Internacional</v>
      </c>
      <c r="M2271" s="55" t="s">
        <v>523</v>
      </c>
    </row>
    <row r="2272" spans="1:13" x14ac:dyDescent="0.25">
      <c r="A2272">
        <v>722</v>
      </c>
      <c r="B2272" s="47" t="str">
        <f>VLOOKUP(Tabla6[[#This Row],['# Vuelo]],'Validacion reclamo de equipaje'!P:Q,2,0)</f>
        <v>COPA</v>
      </c>
      <c r="C2272" s="48">
        <v>0.97638888888888886</v>
      </c>
      <c r="D2272" s="48">
        <v>0.99583333333333324</v>
      </c>
      <c r="E2272" s="49">
        <f>'Reclamo de equipaje rediseñado'!$D2272-'Reclamo de equipaje rediseñado'!$C2272</f>
        <v>1.9444444444444375E-2</v>
      </c>
      <c r="F2272" s="48">
        <v>1.0097222222222222</v>
      </c>
      <c r="G2272" s="49">
        <f t="shared" si="35"/>
        <v>1.3888888888888951E-2</v>
      </c>
      <c r="H2272" s="50">
        <v>41736</v>
      </c>
      <c r="I2272" s="51" t="s">
        <v>575</v>
      </c>
      <c r="J2272" s="51" t="s">
        <v>554</v>
      </c>
      <c r="K2272" s="51">
        <f>VLOOKUP(J2272,'Validacion reclamo de equipaje'!L:M,2,0)</f>
        <v>189</v>
      </c>
      <c r="L2272" s="51" t="str">
        <f>VLOOKUP(I2272,'Validacion reclamo de equipaje'!H:I,2,0)</f>
        <v>Internacional</v>
      </c>
      <c r="M2272" s="51" t="s">
        <v>523</v>
      </c>
    </row>
    <row r="2273" spans="1:13" x14ac:dyDescent="0.25">
      <c r="A2273">
        <v>722</v>
      </c>
      <c r="B2273" s="47" t="str">
        <f>VLOOKUP(Tabla6[[#This Row],['# Vuelo]],'Validacion reclamo de equipaje'!P:Q,2,0)</f>
        <v>COPA</v>
      </c>
      <c r="C2273" s="52">
        <v>1.0048611111111112</v>
      </c>
      <c r="D2273" s="52">
        <v>1.0222222222222224</v>
      </c>
      <c r="E2273" s="53">
        <f>'Reclamo de equipaje rediseñado'!$D2273-'Reclamo de equipaje rediseñado'!$C2273</f>
        <v>1.736111111111116E-2</v>
      </c>
      <c r="F2273" s="52">
        <v>1.0354166666666667</v>
      </c>
      <c r="G2273" s="53">
        <f t="shared" si="35"/>
        <v>1.3194444444444287E-2</v>
      </c>
      <c r="H2273" s="54">
        <v>41738</v>
      </c>
      <c r="I2273" s="55" t="s">
        <v>575</v>
      </c>
      <c r="J2273" s="55" t="s">
        <v>554</v>
      </c>
      <c r="K2273" s="55">
        <f>VLOOKUP(J2273,'Validacion reclamo de equipaje'!L:M,2,0)</f>
        <v>189</v>
      </c>
      <c r="L2273" s="55" t="str">
        <f>VLOOKUP(I2273,'Validacion reclamo de equipaje'!H:I,2,0)</f>
        <v>Internacional</v>
      </c>
      <c r="M2273" s="55" t="s">
        <v>523</v>
      </c>
    </row>
    <row r="2274" spans="1:13" x14ac:dyDescent="0.25">
      <c r="A2274">
        <v>722</v>
      </c>
      <c r="B2274" s="47" t="str">
        <f>VLOOKUP(Tabla6[[#This Row],['# Vuelo]],'Validacion reclamo de equipaje'!P:Q,2,0)</f>
        <v>COPA</v>
      </c>
      <c r="C2274" s="48">
        <v>1.0013888888888889</v>
      </c>
      <c r="D2274" s="48">
        <v>1.0104166666666667</v>
      </c>
      <c r="E2274" s="49">
        <f>'Reclamo de equipaje rediseñado'!$D2274-'Reclamo de equipaje rediseñado'!$C2274</f>
        <v>9.0277777777778567E-3</v>
      </c>
      <c r="F2274" s="48">
        <v>1.0263888888888888</v>
      </c>
      <c r="G2274" s="49">
        <f t="shared" si="35"/>
        <v>1.5972222222222054E-2</v>
      </c>
      <c r="H2274" s="50">
        <v>41739</v>
      </c>
      <c r="I2274" s="51" t="s">
        <v>575</v>
      </c>
      <c r="J2274" s="51" t="s">
        <v>554</v>
      </c>
      <c r="K2274" s="51">
        <f>VLOOKUP(J2274,'Validacion reclamo de equipaje'!L:M,2,0)</f>
        <v>189</v>
      </c>
      <c r="L2274" s="51" t="str">
        <f>VLOOKUP(I2274,'Validacion reclamo de equipaje'!H:I,2,0)</f>
        <v>Internacional</v>
      </c>
      <c r="M2274" s="51" t="s">
        <v>523</v>
      </c>
    </row>
    <row r="2275" spans="1:13" x14ac:dyDescent="0.25">
      <c r="A2275">
        <v>722</v>
      </c>
      <c r="B2275" s="47" t="str">
        <f>VLOOKUP(Tabla6[[#This Row],['# Vuelo]],'Validacion reclamo de equipaje'!P:Q,2,0)</f>
        <v>COPA</v>
      </c>
      <c r="C2275" s="52">
        <v>0.99305555555555547</v>
      </c>
      <c r="D2275" s="52">
        <v>1.0131944444444445</v>
      </c>
      <c r="E2275" s="53">
        <f>'Reclamo de equipaje rediseñado'!$D2275-'Reclamo de equipaje rediseñado'!$C2275</f>
        <v>2.0138888888889039E-2</v>
      </c>
      <c r="F2275" s="52">
        <v>1.0402777777777776</v>
      </c>
      <c r="G2275" s="53">
        <f t="shared" si="35"/>
        <v>2.7083333333333126E-2</v>
      </c>
      <c r="H2275" s="54">
        <v>41740</v>
      </c>
      <c r="I2275" s="55" t="s">
        <v>575</v>
      </c>
      <c r="J2275" s="55" t="s">
        <v>554</v>
      </c>
      <c r="K2275" s="55">
        <f>VLOOKUP(J2275,'Validacion reclamo de equipaje'!L:M,2,0)</f>
        <v>189</v>
      </c>
      <c r="L2275" s="55" t="str">
        <f>VLOOKUP(I2275,'Validacion reclamo de equipaje'!H:I,2,0)</f>
        <v>Internacional</v>
      </c>
      <c r="M2275" s="55" t="s">
        <v>523</v>
      </c>
    </row>
    <row r="2276" spans="1:13" x14ac:dyDescent="0.25">
      <c r="A2276">
        <v>722</v>
      </c>
      <c r="B2276" s="47" t="str">
        <f>VLOOKUP(Tabla6[[#This Row],['# Vuelo]],'Validacion reclamo de equipaje'!P:Q,2,0)</f>
        <v>COPA</v>
      </c>
      <c r="C2276" s="48">
        <v>0.94513888888888886</v>
      </c>
      <c r="D2276" s="48">
        <v>0.96111111111111114</v>
      </c>
      <c r="E2276" s="49">
        <f>'Reclamo de equipaje rediseñado'!$D2276-'Reclamo de equipaje rediseñado'!$C2276</f>
        <v>1.5972222222222276E-2</v>
      </c>
      <c r="F2276" s="48">
        <v>0.97222222222222221</v>
      </c>
      <c r="G2276" s="49">
        <f t="shared" si="35"/>
        <v>1.1111111111111072E-2</v>
      </c>
      <c r="H2276" s="50">
        <v>41742</v>
      </c>
      <c r="I2276" s="51" t="s">
        <v>575</v>
      </c>
      <c r="J2276" s="51" t="s">
        <v>554</v>
      </c>
      <c r="K2276" s="51">
        <f>VLOOKUP(J2276,'Validacion reclamo de equipaje'!L:M,2,0)</f>
        <v>189</v>
      </c>
      <c r="L2276" s="51" t="str">
        <f>VLOOKUP(I2276,'Validacion reclamo de equipaje'!H:I,2,0)</f>
        <v>Internacional</v>
      </c>
      <c r="M2276" s="51" t="s">
        <v>523</v>
      </c>
    </row>
    <row r="2277" spans="1:13" x14ac:dyDescent="0.25">
      <c r="A2277">
        <v>722</v>
      </c>
      <c r="B2277" s="47" t="str">
        <f>VLOOKUP(Tabla6[[#This Row],['# Vuelo]],'Validacion reclamo de equipaje'!P:Q,2,0)</f>
        <v>COPA</v>
      </c>
      <c r="C2277" s="52">
        <v>0.99722222222222223</v>
      </c>
      <c r="D2277" s="52">
        <v>1.0145833333333334</v>
      </c>
      <c r="E2277" s="53">
        <f>'Reclamo de equipaje rediseñado'!$D2277-'Reclamo de equipaje rediseñado'!$C2277</f>
        <v>1.736111111111116E-2</v>
      </c>
      <c r="F2277" s="52">
        <v>1.0222222222222224</v>
      </c>
      <c r="G2277" s="53">
        <f t="shared" si="35"/>
        <v>7.6388888888889728E-3</v>
      </c>
      <c r="H2277" s="54">
        <v>41743</v>
      </c>
      <c r="I2277" s="55" t="s">
        <v>575</v>
      </c>
      <c r="J2277" s="55" t="s">
        <v>554</v>
      </c>
      <c r="K2277" s="55">
        <f>VLOOKUP(J2277,'Validacion reclamo de equipaje'!L:M,2,0)</f>
        <v>189</v>
      </c>
      <c r="L2277" s="55" t="str">
        <f>VLOOKUP(I2277,'Validacion reclamo de equipaje'!H:I,2,0)</f>
        <v>Internacional</v>
      </c>
      <c r="M2277" s="55" t="s">
        <v>523</v>
      </c>
    </row>
    <row r="2278" spans="1:13" x14ac:dyDescent="0.25">
      <c r="A2278">
        <v>722</v>
      </c>
      <c r="B2278" s="47" t="str">
        <f>VLOOKUP(Tabla6[[#This Row],['# Vuelo]],'Validacion reclamo de equipaje'!P:Q,2,0)</f>
        <v>COPA</v>
      </c>
      <c r="C2278" s="48">
        <v>0.98819444444444438</v>
      </c>
      <c r="D2278" s="48">
        <v>1.0083333333333333</v>
      </c>
      <c r="E2278" s="49">
        <f>'Reclamo de equipaje rediseñado'!$D2278-'Reclamo de equipaje rediseñado'!$C2278</f>
        <v>2.0138888888888928E-2</v>
      </c>
      <c r="F2278" s="48">
        <v>1.0173611111111112</v>
      </c>
      <c r="G2278" s="49">
        <f t="shared" si="35"/>
        <v>9.0277777777778567E-3</v>
      </c>
      <c r="H2278" s="50">
        <v>41754</v>
      </c>
      <c r="I2278" s="51" t="s">
        <v>575</v>
      </c>
      <c r="J2278" s="51" t="s">
        <v>554</v>
      </c>
      <c r="K2278" s="51">
        <f>VLOOKUP(J2278,'Validacion reclamo de equipaje'!L:M,2,0)</f>
        <v>189</v>
      </c>
      <c r="L2278" s="51" t="str">
        <f>VLOOKUP(I2278,'Validacion reclamo de equipaje'!H:I,2,0)</f>
        <v>Internacional</v>
      </c>
      <c r="M2278" s="51" t="s">
        <v>523</v>
      </c>
    </row>
    <row r="2279" spans="1:13" x14ac:dyDescent="0.25">
      <c r="A2279">
        <v>722</v>
      </c>
      <c r="B2279" s="47" t="str">
        <f>VLOOKUP(Tabla6[[#This Row],['# Vuelo]],'Validacion reclamo de equipaje'!P:Q,2,0)</f>
        <v>COPA</v>
      </c>
      <c r="C2279" s="52">
        <v>0.99791666666666667</v>
      </c>
      <c r="D2279" s="52">
        <v>1.0152777777777777</v>
      </c>
      <c r="E2279" s="53">
        <f>'Reclamo de equipaje rediseñado'!$D2279-'Reclamo de equipaje rediseñado'!$C2279</f>
        <v>1.7361111111111049E-2</v>
      </c>
      <c r="F2279" s="52">
        <v>1.0263888888888888</v>
      </c>
      <c r="G2279" s="53">
        <f t="shared" si="35"/>
        <v>1.1111111111111072E-2</v>
      </c>
      <c r="H2279" s="54">
        <v>41755</v>
      </c>
      <c r="I2279" s="55" t="s">
        <v>575</v>
      </c>
      <c r="J2279" s="55" t="s">
        <v>554</v>
      </c>
      <c r="K2279" s="55">
        <f>VLOOKUP(J2279,'Validacion reclamo de equipaje'!L:M,2,0)</f>
        <v>189</v>
      </c>
      <c r="L2279" s="55" t="str">
        <f>VLOOKUP(I2279,'Validacion reclamo de equipaje'!H:I,2,0)</f>
        <v>Internacional</v>
      </c>
      <c r="M2279" s="55" t="s">
        <v>523</v>
      </c>
    </row>
    <row r="2280" spans="1:13" x14ac:dyDescent="0.25">
      <c r="A2280">
        <v>722</v>
      </c>
      <c r="B2280" s="47" t="str">
        <f>VLOOKUP(Tabla6[[#This Row],['# Vuelo]],'Validacion reclamo de equipaje'!P:Q,2,0)</f>
        <v>COPA</v>
      </c>
      <c r="C2280" s="48">
        <v>0.99305555555555547</v>
      </c>
      <c r="D2280" s="48">
        <v>1.0145833333333334</v>
      </c>
      <c r="E2280" s="49">
        <f>'Reclamo de equipaje rediseñado'!$D2280-'Reclamo de equipaje rediseñado'!$C2280</f>
        <v>2.1527777777777923E-2</v>
      </c>
      <c r="F2280" s="48">
        <v>1.023611111111111</v>
      </c>
      <c r="G2280" s="49">
        <f t="shared" si="35"/>
        <v>9.0277777777776347E-3</v>
      </c>
      <c r="H2280" s="50">
        <v>41756</v>
      </c>
      <c r="I2280" s="51" t="s">
        <v>575</v>
      </c>
      <c r="J2280" s="51" t="s">
        <v>554</v>
      </c>
      <c r="K2280" s="51">
        <f>VLOOKUP(J2280,'Validacion reclamo de equipaje'!L:M,2,0)</f>
        <v>189</v>
      </c>
      <c r="L2280" s="51" t="str">
        <f>VLOOKUP(I2280,'Validacion reclamo de equipaje'!H:I,2,0)</f>
        <v>Internacional</v>
      </c>
      <c r="M2280" s="51" t="s">
        <v>523</v>
      </c>
    </row>
    <row r="2281" spans="1:13" x14ac:dyDescent="0.25">
      <c r="A2281">
        <v>722</v>
      </c>
      <c r="B2281" s="47" t="str">
        <f>VLOOKUP(Tabla6[[#This Row],['# Vuelo]],'Validacion reclamo de equipaje'!P:Q,2,0)</f>
        <v>COPA</v>
      </c>
      <c r="C2281" s="52">
        <v>0.9916666666666667</v>
      </c>
      <c r="D2281" s="52">
        <v>1</v>
      </c>
      <c r="E2281" s="53">
        <f>'Reclamo de equipaje rediseñado'!$D2281-'Reclamo de equipaje rediseñado'!$C2281</f>
        <v>8.3333333333333037E-3</v>
      </c>
      <c r="F2281" s="52">
        <v>1.0347222222222221</v>
      </c>
      <c r="G2281" s="53">
        <f t="shared" si="35"/>
        <v>3.4722222222222099E-2</v>
      </c>
      <c r="H2281" s="54">
        <v>41757</v>
      </c>
      <c r="I2281" s="55" t="s">
        <v>575</v>
      </c>
      <c r="J2281" s="55" t="s">
        <v>554</v>
      </c>
      <c r="K2281" s="55">
        <f>VLOOKUP(J2281,'Validacion reclamo de equipaje'!L:M,2,0)</f>
        <v>189</v>
      </c>
      <c r="L2281" s="55" t="str">
        <f>VLOOKUP(I2281,'Validacion reclamo de equipaje'!H:I,2,0)</f>
        <v>Internacional</v>
      </c>
      <c r="M2281" s="55" t="s">
        <v>523</v>
      </c>
    </row>
    <row r="2282" spans="1:13" x14ac:dyDescent="0.25">
      <c r="A2282">
        <v>722</v>
      </c>
      <c r="B2282" s="47" t="str">
        <f>VLOOKUP(Tabla6[[#This Row],['# Vuelo]],'Validacion reclamo de equipaje'!P:Q,2,0)</f>
        <v>COPA</v>
      </c>
      <c r="C2282" s="48">
        <v>0.99305555555555547</v>
      </c>
      <c r="D2282" s="48">
        <v>1.0208333333333333</v>
      </c>
      <c r="E2282" s="49">
        <f>'Reclamo de equipaje rediseñado'!$D2282-'Reclamo de equipaje rediseñado'!$C2282</f>
        <v>2.777777777777779E-2</v>
      </c>
      <c r="F2282" s="48">
        <v>1.0347222222222221</v>
      </c>
      <c r="G2282" s="49">
        <f t="shared" si="35"/>
        <v>1.388888888888884E-2</v>
      </c>
      <c r="H2282" s="50">
        <v>41758</v>
      </c>
      <c r="I2282" s="51" t="s">
        <v>575</v>
      </c>
      <c r="J2282" s="51" t="s">
        <v>554</v>
      </c>
      <c r="K2282" s="51">
        <f>VLOOKUP(J2282,'Validacion reclamo de equipaje'!L:M,2,0)</f>
        <v>189</v>
      </c>
      <c r="L2282" s="51" t="str">
        <f>VLOOKUP(I2282,'Validacion reclamo de equipaje'!H:I,2,0)</f>
        <v>Internacional</v>
      </c>
      <c r="M2282" s="51" t="s">
        <v>523</v>
      </c>
    </row>
    <row r="2283" spans="1:13" x14ac:dyDescent="0.25">
      <c r="A2283">
        <v>722</v>
      </c>
      <c r="B2283" s="47" t="str">
        <f>VLOOKUP(Tabla6[[#This Row],['# Vuelo]],'Validacion reclamo de equipaje'!P:Q,2,0)</f>
        <v>COPA</v>
      </c>
      <c r="C2283" s="52">
        <v>0.98958333333333337</v>
      </c>
      <c r="D2283" s="52">
        <v>1.0062499999999999</v>
      </c>
      <c r="E2283" s="53">
        <f>'Reclamo de equipaje rediseñado'!$D2283-'Reclamo de equipaje rediseñado'!$C2283</f>
        <v>1.6666666666666496E-2</v>
      </c>
      <c r="F2283" s="52">
        <v>1.0201388888888889</v>
      </c>
      <c r="G2283" s="53">
        <f t="shared" si="35"/>
        <v>1.3888888888889062E-2</v>
      </c>
      <c r="H2283" s="54">
        <v>41759</v>
      </c>
      <c r="I2283" s="55" t="s">
        <v>575</v>
      </c>
      <c r="J2283" s="55" t="s">
        <v>554</v>
      </c>
      <c r="K2283" s="55">
        <f>VLOOKUP(J2283,'Validacion reclamo de equipaje'!L:M,2,0)</f>
        <v>189</v>
      </c>
      <c r="L2283" s="55" t="str">
        <f>VLOOKUP(I2283,'Validacion reclamo de equipaje'!H:I,2,0)</f>
        <v>Internacional</v>
      </c>
      <c r="M2283" s="55" t="s">
        <v>523</v>
      </c>
    </row>
    <row r="2284" spans="1:13" x14ac:dyDescent="0.25">
      <c r="A2284">
        <v>722</v>
      </c>
      <c r="B2284" s="47" t="str">
        <f>VLOOKUP(Tabla6[[#This Row],['# Vuelo]],'Validacion reclamo de equipaje'!P:Q,2,0)</f>
        <v>COPA</v>
      </c>
      <c r="C2284" s="48">
        <v>0.99722222222222223</v>
      </c>
      <c r="D2284" s="48">
        <v>1.0152777777777777</v>
      </c>
      <c r="E2284" s="49">
        <f>'Reclamo de equipaje rediseñado'!$D2284-'Reclamo de equipaje rediseñado'!$C2284</f>
        <v>1.8055555555555491E-2</v>
      </c>
      <c r="F2284" s="48">
        <v>1.0243055555555556</v>
      </c>
      <c r="G2284" s="49">
        <f t="shared" si="35"/>
        <v>9.0277777777778567E-3</v>
      </c>
      <c r="H2284" s="50">
        <v>41745</v>
      </c>
      <c r="I2284" s="51" t="s">
        <v>575</v>
      </c>
      <c r="J2284" s="51" t="s">
        <v>554</v>
      </c>
      <c r="K2284" s="51">
        <f>VLOOKUP(J2284,'Validacion reclamo de equipaje'!L:M,2,0)</f>
        <v>189</v>
      </c>
      <c r="L2284" s="51" t="str">
        <f>VLOOKUP(I2284,'Validacion reclamo de equipaje'!H:I,2,0)</f>
        <v>Internacional</v>
      </c>
      <c r="M2284" s="51" t="s">
        <v>523</v>
      </c>
    </row>
    <row r="2285" spans="1:13" x14ac:dyDescent="0.25">
      <c r="A2285">
        <v>722</v>
      </c>
      <c r="B2285" s="47" t="str">
        <f>VLOOKUP(Tabla6[[#This Row],['# Vuelo]],'Validacion reclamo de equipaje'!P:Q,2,0)</f>
        <v>COPA</v>
      </c>
      <c r="C2285" s="52">
        <v>0.9916666666666667</v>
      </c>
      <c r="D2285" s="52">
        <v>1.0048611111111112</v>
      </c>
      <c r="E2285" s="53">
        <f>'Reclamo de equipaje rediseñado'!$D2285-'Reclamo de equipaje rediseñado'!$C2285</f>
        <v>1.3194444444444509E-2</v>
      </c>
      <c r="F2285" s="52">
        <v>1.01875</v>
      </c>
      <c r="G2285" s="53">
        <f t="shared" si="35"/>
        <v>1.388888888888884E-2</v>
      </c>
      <c r="H2285" s="54">
        <v>41744</v>
      </c>
      <c r="I2285" s="55" t="s">
        <v>575</v>
      </c>
      <c r="J2285" s="55" t="s">
        <v>554</v>
      </c>
      <c r="K2285" s="55">
        <f>VLOOKUP(J2285,'Validacion reclamo de equipaje'!L:M,2,0)</f>
        <v>189</v>
      </c>
      <c r="L2285" s="55" t="str">
        <f>VLOOKUP(I2285,'Validacion reclamo de equipaje'!H:I,2,0)</f>
        <v>Internacional</v>
      </c>
      <c r="M2285" s="55" t="s">
        <v>523</v>
      </c>
    </row>
    <row r="2286" spans="1:13" x14ac:dyDescent="0.25">
      <c r="A2286">
        <v>722</v>
      </c>
      <c r="B2286" s="47" t="str">
        <f>VLOOKUP(Tabla6[[#This Row],['# Vuelo]],'Validacion reclamo de equipaje'!P:Q,2,0)</f>
        <v>COPA</v>
      </c>
      <c r="C2286" s="48">
        <v>0.99305555555555547</v>
      </c>
      <c r="D2286" s="48">
        <v>1.0020833333333334</v>
      </c>
      <c r="E2286" s="49">
        <f>'Reclamo de equipaje rediseñado'!$D2286-'Reclamo de equipaje rediseñado'!$C2286</f>
        <v>9.0277777777779677E-3</v>
      </c>
      <c r="F2286" s="48">
        <v>1.0166666666666666</v>
      </c>
      <c r="G2286" s="49">
        <f t="shared" si="35"/>
        <v>1.4583333333333171E-2</v>
      </c>
      <c r="H2286" s="50">
        <v>41746</v>
      </c>
      <c r="I2286" s="51" t="s">
        <v>575</v>
      </c>
      <c r="J2286" s="51" t="s">
        <v>554</v>
      </c>
      <c r="K2286" s="51">
        <f>VLOOKUP(J2286,'Validacion reclamo de equipaje'!L:M,2,0)</f>
        <v>189</v>
      </c>
      <c r="L2286" s="51" t="str">
        <f>VLOOKUP(I2286,'Validacion reclamo de equipaje'!H:I,2,0)</f>
        <v>Internacional</v>
      </c>
      <c r="M2286" s="51" t="s">
        <v>523</v>
      </c>
    </row>
    <row r="2287" spans="1:13" x14ac:dyDescent="0.25">
      <c r="A2287">
        <v>722</v>
      </c>
      <c r="B2287" s="47" t="str">
        <f>VLOOKUP(Tabla6[[#This Row],['# Vuelo]],'Validacion reclamo de equipaje'!P:Q,2,0)</f>
        <v>COPA</v>
      </c>
      <c r="C2287" s="52">
        <v>1.0208333333333333</v>
      </c>
      <c r="D2287" s="52">
        <v>1.03125</v>
      </c>
      <c r="E2287" s="53">
        <f>'Reclamo de equipaje rediseñado'!$D2287-'Reclamo de equipaje rediseñado'!$C2287</f>
        <v>1.0416666666666741E-2</v>
      </c>
      <c r="F2287" s="52">
        <v>1.0347222222222221</v>
      </c>
      <c r="G2287" s="53">
        <f t="shared" si="35"/>
        <v>3.4722222222220989E-3</v>
      </c>
      <c r="H2287" s="54">
        <v>41747</v>
      </c>
      <c r="I2287" s="55" t="s">
        <v>575</v>
      </c>
      <c r="J2287" s="55" t="s">
        <v>554</v>
      </c>
      <c r="K2287" s="55">
        <f>VLOOKUP(J2287,'Validacion reclamo de equipaje'!L:M,2,0)</f>
        <v>189</v>
      </c>
      <c r="L2287" s="55" t="str">
        <f>VLOOKUP(I2287,'Validacion reclamo de equipaje'!H:I,2,0)</f>
        <v>Internacional</v>
      </c>
      <c r="M2287" s="55" t="s">
        <v>523</v>
      </c>
    </row>
    <row r="2288" spans="1:13" x14ac:dyDescent="0.25">
      <c r="A2288">
        <v>722</v>
      </c>
      <c r="B2288" s="47" t="str">
        <f>VLOOKUP(Tabla6[[#This Row],['# Vuelo]],'Validacion reclamo de equipaje'!P:Q,2,0)</f>
        <v>COPA</v>
      </c>
      <c r="C2288" s="48">
        <v>0.99513888888888891</v>
      </c>
      <c r="D2288" s="48">
        <v>1.0111111111111111</v>
      </c>
      <c r="E2288" s="49">
        <f>'Reclamo de equipaje rediseñado'!$D2288-'Reclamo de equipaje rediseñado'!$C2288</f>
        <v>1.5972222222222165E-2</v>
      </c>
      <c r="F2288" s="48">
        <v>1.0145833333333334</v>
      </c>
      <c r="G2288" s="49">
        <f t="shared" si="35"/>
        <v>3.4722222222223209E-3</v>
      </c>
      <c r="H2288" s="50">
        <v>41749</v>
      </c>
      <c r="I2288" s="51" t="s">
        <v>575</v>
      </c>
      <c r="J2288" s="51" t="s">
        <v>554</v>
      </c>
      <c r="K2288" s="51">
        <f>VLOOKUP(J2288,'Validacion reclamo de equipaje'!L:M,2,0)</f>
        <v>189</v>
      </c>
      <c r="L2288" s="51" t="str">
        <f>VLOOKUP(I2288,'Validacion reclamo de equipaje'!H:I,2,0)</f>
        <v>Internacional</v>
      </c>
      <c r="M2288" s="51" t="s">
        <v>523</v>
      </c>
    </row>
    <row r="2289" spans="1:13" x14ac:dyDescent="0.25">
      <c r="A2289">
        <v>722</v>
      </c>
      <c r="B2289" s="47" t="str">
        <f>VLOOKUP(Tabla6[[#This Row],['# Vuelo]],'Validacion reclamo de equipaje'!P:Q,2,0)</f>
        <v>COPA</v>
      </c>
      <c r="C2289" s="52">
        <v>0.98333333333333339</v>
      </c>
      <c r="D2289" s="52">
        <v>1.0013888888888889</v>
      </c>
      <c r="E2289" s="53">
        <f>'Reclamo de equipaje rediseñado'!$D2289-'Reclamo de equipaje rediseñado'!$C2289</f>
        <v>1.8055555555555491E-2</v>
      </c>
      <c r="F2289" s="52">
        <v>1.0069444444444444</v>
      </c>
      <c r="G2289" s="53">
        <f t="shared" si="35"/>
        <v>5.5555555555555358E-3</v>
      </c>
      <c r="H2289" s="54">
        <v>41748</v>
      </c>
      <c r="I2289" s="55" t="s">
        <v>575</v>
      </c>
      <c r="J2289" s="55" t="s">
        <v>554</v>
      </c>
      <c r="K2289" s="55">
        <f>VLOOKUP(J2289,'Validacion reclamo de equipaje'!L:M,2,0)</f>
        <v>189</v>
      </c>
      <c r="L2289" s="55" t="str">
        <f>VLOOKUP(I2289,'Validacion reclamo de equipaje'!H:I,2,0)</f>
        <v>Internacional</v>
      </c>
      <c r="M2289" s="55" t="s">
        <v>523</v>
      </c>
    </row>
    <row r="2290" spans="1:13" x14ac:dyDescent="0.25">
      <c r="A2290">
        <v>722</v>
      </c>
      <c r="B2290" s="47" t="str">
        <f>VLOOKUP(Tabla6[[#This Row],['# Vuelo]],'Validacion reclamo de equipaje'!P:Q,2,0)</f>
        <v>COPA</v>
      </c>
      <c r="C2290" s="48">
        <v>0.99236111111111114</v>
      </c>
      <c r="D2290" s="48">
        <v>1.0083333333333333</v>
      </c>
      <c r="E2290" s="49">
        <f>'Reclamo de equipaje rediseñado'!$D2290-'Reclamo de equipaje rediseñado'!$C2290</f>
        <v>1.5972222222222165E-2</v>
      </c>
      <c r="F2290" s="48">
        <v>1.0277777777777779</v>
      </c>
      <c r="G2290" s="49">
        <f t="shared" si="35"/>
        <v>1.9444444444444597E-2</v>
      </c>
      <c r="H2290" s="50">
        <v>41751</v>
      </c>
      <c r="I2290" s="51" t="s">
        <v>575</v>
      </c>
      <c r="J2290" s="51" t="s">
        <v>554</v>
      </c>
      <c r="K2290" s="51">
        <f>VLOOKUP(J2290,'Validacion reclamo de equipaje'!L:M,2,0)</f>
        <v>189</v>
      </c>
      <c r="L2290" s="51" t="str">
        <f>VLOOKUP(I2290,'Validacion reclamo de equipaje'!H:I,2,0)</f>
        <v>Internacional</v>
      </c>
      <c r="M2290" s="51" t="s">
        <v>523</v>
      </c>
    </row>
    <row r="2291" spans="1:13" x14ac:dyDescent="0.25">
      <c r="A2291">
        <v>722</v>
      </c>
      <c r="B2291" s="47" t="str">
        <f>VLOOKUP(Tabla6[[#This Row],['# Vuelo]],'Validacion reclamo de equipaje'!P:Q,2,0)</f>
        <v>COPA</v>
      </c>
      <c r="C2291" s="52">
        <v>0.99652777777777779</v>
      </c>
      <c r="D2291" s="52">
        <v>1.0166666666666666</v>
      </c>
      <c r="E2291" s="53">
        <f>'Reclamo de equipaje rediseñado'!$D2291-'Reclamo de equipaje rediseñado'!$C2291</f>
        <v>2.0138888888888817E-2</v>
      </c>
      <c r="F2291" s="52">
        <v>1.0222222222222224</v>
      </c>
      <c r="G2291" s="53">
        <f t="shared" si="35"/>
        <v>5.5555555555557579E-3</v>
      </c>
      <c r="H2291" s="54">
        <v>41752</v>
      </c>
      <c r="I2291" s="55" t="s">
        <v>575</v>
      </c>
      <c r="J2291" s="55" t="s">
        <v>554</v>
      </c>
      <c r="K2291" s="55">
        <f>VLOOKUP(J2291,'Validacion reclamo de equipaje'!L:M,2,0)</f>
        <v>189</v>
      </c>
      <c r="L2291" s="55" t="str">
        <f>VLOOKUP(I2291,'Validacion reclamo de equipaje'!H:I,2,0)</f>
        <v>Internacional</v>
      </c>
      <c r="M2291" s="55" t="s">
        <v>523</v>
      </c>
    </row>
    <row r="2292" spans="1:13" x14ac:dyDescent="0.25">
      <c r="A2292">
        <v>722</v>
      </c>
      <c r="B2292" s="47" t="str">
        <f>VLOOKUP(Tabla6[[#This Row],['# Vuelo]],'Validacion reclamo de equipaje'!P:Q,2,0)</f>
        <v>COPA</v>
      </c>
      <c r="C2292" s="48">
        <v>0.99930555555555556</v>
      </c>
      <c r="D2292" s="48">
        <v>1.0298611111111111</v>
      </c>
      <c r="E2292" s="49">
        <f>'Reclamo de equipaje rediseñado'!$D2292-'Reclamo de equipaje rediseñado'!$C2292</f>
        <v>3.0555555555555558E-2</v>
      </c>
      <c r="F2292" s="48">
        <v>1.0409722222222222</v>
      </c>
      <c r="G2292" s="49">
        <f t="shared" si="35"/>
        <v>1.1111111111111072E-2</v>
      </c>
      <c r="H2292" s="50">
        <v>41752</v>
      </c>
      <c r="I2292" s="51" t="s">
        <v>575</v>
      </c>
      <c r="J2292" s="51" t="s">
        <v>554</v>
      </c>
      <c r="K2292" s="51">
        <f>VLOOKUP(J2292,'Validacion reclamo de equipaje'!L:M,2,0)</f>
        <v>189</v>
      </c>
      <c r="L2292" s="51" t="str">
        <f>VLOOKUP(I2292,'Validacion reclamo de equipaje'!H:I,2,0)</f>
        <v>Internacional</v>
      </c>
      <c r="M2292" s="51" t="s">
        <v>523</v>
      </c>
    </row>
    <row r="2293" spans="1:13" x14ac:dyDescent="0.25">
      <c r="A2293">
        <v>4559</v>
      </c>
      <c r="B2293" s="47" t="str">
        <f>VLOOKUP(Tabla6[[#This Row],['# Vuelo]],'Validacion reclamo de equipaje'!P:Q,2,0)</f>
        <v>AVIONES ROJOS AIRLINES</v>
      </c>
      <c r="C2293" s="52">
        <v>0.57500000000000007</v>
      </c>
      <c r="D2293" s="52">
        <v>0.58680555555555558</v>
      </c>
      <c r="E2293" s="53">
        <f>'Reclamo de equipaje rediseñado'!$D2293-'Reclamo de equipaje rediseñado'!$C2293</f>
        <v>1.1805555555555514E-2</v>
      </c>
      <c r="F2293" s="52">
        <v>0.59861111111111109</v>
      </c>
      <c r="G2293" s="53">
        <f t="shared" si="35"/>
        <v>1.1805555555555514E-2</v>
      </c>
      <c r="H2293" s="54">
        <v>41734</v>
      </c>
      <c r="I2293" s="55" t="s">
        <v>578</v>
      </c>
      <c r="J2293" s="55" t="s">
        <v>577</v>
      </c>
      <c r="K2293" s="55">
        <f>VLOOKUP(J2293,'Validacion reclamo de equipaje'!L:M,2,0)</f>
        <v>78</v>
      </c>
      <c r="L2293" s="55" t="str">
        <f>VLOOKUP(I2293,'Validacion reclamo de equipaje'!H:I,2,0)</f>
        <v>Internacional</v>
      </c>
      <c r="M2293" s="55" t="s">
        <v>523</v>
      </c>
    </row>
    <row r="2294" spans="1:13" x14ac:dyDescent="0.25">
      <c r="A2294">
        <v>4559</v>
      </c>
      <c r="B2294" s="47" t="str">
        <f>VLOOKUP(Tabla6[[#This Row],['# Vuelo]],'Validacion reclamo de equipaje'!P:Q,2,0)</f>
        <v>AVIONES ROJOS AIRLINES</v>
      </c>
      <c r="C2294" s="48">
        <v>0.60347222222222219</v>
      </c>
      <c r="D2294" s="48">
        <v>0.61041666666666672</v>
      </c>
      <c r="E2294" s="49">
        <f>'Reclamo de equipaje rediseñado'!$D2294-'Reclamo de equipaje rediseñado'!$C2294</f>
        <v>6.9444444444445308E-3</v>
      </c>
      <c r="F2294" s="48">
        <v>0.62291666666666667</v>
      </c>
      <c r="G2294" s="49">
        <f t="shared" si="35"/>
        <v>1.2499999999999956E-2</v>
      </c>
      <c r="H2294" s="50">
        <v>41741</v>
      </c>
      <c r="I2294" s="51" t="s">
        <v>578</v>
      </c>
      <c r="J2294" s="51" t="s">
        <v>577</v>
      </c>
      <c r="K2294" s="51">
        <f>VLOOKUP(J2294,'Validacion reclamo de equipaje'!L:M,2,0)</f>
        <v>78</v>
      </c>
      <c r="L2294" s="51" t="str">
        <f>VLOOKUP(I2294,'Validacion reclamo de equipaje'!H:I,2,0)</f>
        <v>Internacional</v>
      </c>
      <c r="M2294" s="51" t="s">
        <v>523</v>
      </c>
    </row>
    <row r="2295" spans="1:13" x14ac:dyDescent="0.25">
      <c r="A2295">
        <v>4559</v>
      </c>
      <c r="B2295" s="47" t="str">
        <f>VLOOKUP(Tabla6[[#This Row],['# Vuelo]],'Validacion reclamo de equipaje'!P:Q,2,0)</f>
        <v>AVIONES ROJOS AIRLINES</v>
      </c>
      <c r="C2295" s="52">
        <v>0.61111111111111105</v>
      </c>
      <c r="D2295" s="52">
        <v>0.61805555555555558</v>
      </c>
      <c r="E2295" s="53">
        <f>'Reclamo de equipaje rediseñado'!$D2295-'Reclamo de equipaje rediseñado'!$C2295</f>
        <v>6.9444444444445308E-3</v>
      </c>
      <c r="F2295" s="52">
        <v>0.63263888888888886</v>
      </c>
      <c r="G2295" s="53">
        <f t="shared" si="35"/>
        <v>1.4583333333333282E-2</v>
      </c>
      <c r="H2295" s="54">
        <v>41748</v>
      </c>
      <c r="I2295" s="55" t="s">
        <v>578</v>
      </c>
      <c r="J2295" s="55" t="s">
        <v>577</v>
      </c>
      <c r="K2295" s="55">
        <f>VLOOKUP(J2295,'Validacion reclamo de equipaje'!L:M,2,0)</f>
        <v>78</v>
      </c>
      <c r="L2295" s="55" t="str">
        <f>VLOOKUP(I2295,'Validacion reclamo de equipaje'!H:I,2,0)</f>
        <v>Internacional</v>
      </c>
      <c r="M2295" s="55" t="s">
        <v>523</v>
      </c>
    </row>
    <row r="2296" spans="1:13" x14ac:dyDescent="0.25">
      <c r="A2296">
        <v>4559</v>
      </c>
      <c r="B2296" s="47" t="str">
        <f>VLOOKUP(Tabla6[[#This Row],['# Vuelo]],'Validacion reclamo de equipaje'!P:Q,2,0)</f>
        <v>AVIONES ROJOS AIRLINES</v>
      </c>
      <c r="C2296" s="48">
        <v>0.60763888888888895</v>
      </c>
      <c r="D2296" s="48">
        <v>0.61527777777777781</v>
      </c>
      <c r="E2296" s="49">
        <f>'Reclamo de equipaje rediseñado'!$D2296-'Reclamo de equipaje rediseñado'!$C2296</f>
        <v>7.6388888888888618E-3</v>
      </c>
      <c r="F2296" s="48">
        <v>0.62708333333333333</v>
      </c>
      <c r="G2296" s="49">
        <f t="shared" si="35"/>
        <v>1.1805555555555514E-2</v>
      </c>
      <c r="H2296" s="50">
        <v>41754</v>
      </c>
      <c r="I2296" s="51" t="s">
        <v>578</v>
      </c>
      <c r="J2296" s="51" t="s">
        <v>577</v>
      </c>
      <c r="K2296" s="51">
        <f>VLOOKUP(J2296,'Validacion reclamo de equipaje'!L:M,2,0)</f>
        <v>78</v>
      </c>
      <c r="L2296" s="51" t="str">
        <f>VLOOKUP(I2296,'Validacion reclamo de equipaje'!H:I,2,0)</f>
        <v>Internacional</v>
      </c>
      <c r="M2296" s="51" t="s">
        <v>523</v>
      </c>
    </row>
    <row r="2297" spans="1:13" x14ac:dyDescent="0.25">
      <c r="A2297">
        <v>966</v>
      </c>
      <c r="B2297" s="47" t="str">
        <f>VLOOKUP(Tabla6[[#This Row],['# Vuelo]],'Validacion reclamo de equipaje'!P:Q,2,0)</f>
        <v>AVIONES ROJOS AIRLINES</v>
      </c>
      <c r="C2297" s="52">
        <v>0.86249999999999993</v>
      </c>
      <c r="D2297" s="52">
        <v>0.86944444444444446</v>
      </c>
      <c r="E2297" s="53">
        <f>'Reclamo de equipaje rediseñado'!$D2297-'Reclamo de equipaje rediseñado'!$C2297</f>
        <v>6.9444444444445308E-3</v>
      </c>
      <c r="F2297" s="52">
        <v>0.89583333333333337</v>
      </c>
      <c r="G2297" s="53">
        <f t="shared" si="35"/>
        <v>2.6388888888888906E-2</v>
      </c>
      <c r="H2297" s="54">
        <v>41735</v>
      </c>
      <c r="I2297" s="55" t="s">
        <v>579</v>
      </c>
      <c r="J2297" s="55">
        <v>320</v>
      </c>
      <c r="K2297" s="55">
        <f>VLOOKUP(J2297,'Validacion reclamo de equipaje'!L:M,2,0)</f>
        <v>179</v>
      </c>
      <c r="L2297" s="55" t="str">
        <f>VLOOKUP(I2297,'Validacion reclamo de equipaje'!H:I,2,0)</f>
        <v>Internacional</v>
      </c>
      <c r="M2297" s="55" t="s">
        <v>523</v>
      </c>
    </row>
    <row r="2298" spans="1:13" x14ac:dyDescent="0.25">
      <c r="A2298">
        <v>966</v>
      </c>
      <c r="B2298" s="47" t="str">
        <f>VLOOKUP(Tabla6[[#This Row],['# Vuelo]],'Validacion reclamo de equipaje'!P:Q,2,0)</f>
        <v>AVIONES ROJOS AIRLINES</v>
      </c>
      <c r="C2298" s="48">
        <v>0.87569444444444444</v>
      </c>
      <c r="D2298" s="48">
        <v>0.88194444444444453</v>
      </c>
      <c r="E2298" s="49">
        <f>'Reclamo de equipaje rediseñado'!$D2298-'Reclamo de equipaje rediseñado'!$C2298</f>
        <v>6.2500000000000888E-3</v>
      </c>
      <c r="F2298" s="48">
        <v>0.89583333333333337</v>
      </c>
      <c r="G2298" s="49">
        <f t="shared" si="35"/>
        <v>1.388888888888884E-2</v>
      </c>
      <c r="H2298" s="50">
        <v>41736</v>
      </c>
      <c r="I2298" s="51" t="s">
        <v>579</v>
      </c>
      <c r="J2298" s="51">
        <v>320</v>
      </c>
      <c r="K2298" s="51">
        <f>VLOOKUP(J2298,'Validacion reclamo de equipaje'!L:M,2,0)</f>
        <v>179</v>
      </c>
      <c r="L2298" s="51" t="str">
        <f>VLOOKUP(I2298,'Validacion reclamo de equipaje'!H:I,2,0)</f>
        <v>Internacional</v>
      </c>
      <c r="M2298" s="51" t="s">
        <v>523</v>
      </c>
    </row>
    <row r="2299" spans="1:13" x14ac:dyDescent="0.25">
      <c r="A2299">
        <v>966</v>
      </c>
      <c r="B2299" s="47" t="str">
        <f>VLOOKUP(Tabla6[[#This Row],['# Vuelo]],'Validacion reclamo de equipaje'!P:Q,2,0)</f>
        <v>AVIONES ROJOS AIRLINES</v>
      </c>
      <c r="C2299" s="52">
        <v>0.8569444444444444</v>
      </c>
      <c r="D2299" s="52">
        <v>0.86388888888888893</v>
      </c>
      <c r="E2299" s="53">
        <f>'Reclamo de equipaje rediseñado'!$D2299-'Reclamo de equipaje rediseñado'!$C2299</f>
        <v>6.9444444444445308E-3</v>
      </c>
      <c r="F2299" s="52">
        <v>0.89027777777777783</v>
      </c>
      <c r="G2299" s="53">
        <f t="shared" si="35"/>
        <v>2.6388888888888906E-2</v>
      </c>
      <c r="H2299" s="54">
        <v>41737</v>
      </c>
      <c r="I2299" s="55" t="s">
        <v>579</v>
      </c>
      <c r="J2299" s="55">
        <v>320</v>
      </c>
      <c r="K2299" s="55">
        <f>VLOOKUP(J2299,'Validacion reclamo de equipaje'!L:M,2,0)</f>
        <v>179</v>
      </c>
      <c r="L2299" s="55" t="str">
        <f>VLOOKUP(I2299,'Validacion reclamo de equipaje'!H:I,2,0)</f>
        <v>Internacional</v>
      </c>
      <c r="M2299" s="55" t="s">
        <v>523</v>
      </c>
    </row>
    <row r="2300" spans="1:13" x14ac:dyDescent="0.25">
      <c r="A2300">
        <v>966</v>
      </c>
      <c r="B2300" s="47" t="str">
        <f>VLOOKUP(Tabla6[[#This Row],['# Vuelo]],'Validacion reclamo de equipaje'!P:Q,2,0)</f>
        <v>AVIONES ROJOS AIRLINES</v>
      </c>
      <c r="C2300" s="48">
        <v>0.85763888888888884</v>
      </c>
      <c r="D2300" s="48">
        <v>0.8666666666666667</v>
      </c>
      <c r="E2300" s="49">
        <f>'Reclamo de equipaje rediseñado'!$D2300-'Reclamo de equipaje rediseñado'!$C2300</f>
        <v>9.0277777777778567E-3</v>
      </c>
      <c r="F2300" s="48">
        <v>0.87847222222222221</v>
      </c>
      <c r="G2300" s="49">
        <f t="shared" si="35"/>
        <v>1.1805555555555514E-2</v>
      </c>
      <c r="H2300" s="50">
        <v>41738</v>
      </c>
      <c r="I2300" s="51" t="s">
        <v>579</v>
      </c>
      <c r="J2300" s="51">
        <v>320</v>
      </c>
      <c r="K2300" s="51">
        <f>VLOOKUP(J2300,'Validacion reclamo de equipaje'!L:M,2,0)</f>
        <v>179</v>
      </c>
      <c r="L2300" s="51" t="str">
        <f>VLOOKUP(I2300,'Validacion reclamo de equipaje'!H:I,2,0)</f>
        <v>Internacional</v>
      </c>
      <c r="M2300" s="51" t="s">
        <v>523</v>
      </c>
    </row>
    <row r="2301" spans="1:13" x14ac:dyDescent="0.25">
      <c r="A2301">
        <v>966</v>
      </c>
      <c r="B2301" s="47" t="str">
        <f>VLOOKUP(Tabla6[[#This Row],['# Vuelo]],'Validacion reclamo de equipaje'!P:Q,2,0)</f>
        <v>AVIONES ROJOS AIRLINES</v>
      </c>
      <c r="C2301" s="52">
        <v>0.84305555555555556</v>
      </c>
      <c r="D2301" s="52">
        <v>0.85069444444444453</v>
      </c>
      <c r="E2301" s="53">
        <f>'Reclamo de equipaje rediseñado'!$D2301-'Reclamo de equipaje rediseñado'!$C2301</f>
        <v>7.6388888888889728E-3</v>
      </c>
      <c r="F2301" s="52">
        <v>0.8666666666666667</v>
      </c>
      <c r="G2301" s="53">
        <f t="shared" si="35"/>
        <v>1.5972222222222165E-2</v>
      </c>
      <c r="H2301" s="54">
        <v>41739</v>
      </c>
      <c r="I2301" s="55" t="s">
        <v>579</v>
      </c>
      <c r="J2301" s="55">
        <v>320</v>
      </c>
      <c r="K2301" s="55">
        <f>VLOOKUP(J2301,'Validacion reclamo de equipaje'!L:M,2,0)</f>
        <v>179</v>
      </c>
      <c r="L2301" s="55" t="str">
        <f>VLOOKUP(I2301,'Validacion reclamo de equipaje'!H:I,2,0)</f>
        <v>Internacional</v>
      </c>
      <c r="M2301" s="55" t="s">
        <v>523</v>
      </c>
    </row>
    <row r="2302" spans="1:13" x14ac:dyDescent="0.25">
      <c r="A2302">
        <v>966</v>
      </c>
      <c r="B2302" s="47" t="str">
        <f>VLOOKUP(Tabla6[[#This Row],['# Vuelo]],'Validacion reclamo de equipaje'!P:Q,2,0)</f>
        <v>AVIONES ROJOS AIRLINES</v>
      </c>
      <c r="C2302" s="48">
        <v>0.84166666666666667</v>
      </c>
      <c r="D2302" s="48">
        <v>0.84861111111111109</v>
      </c>
      <c r="E2302" s="49">
        <f>'Reclamo de equipaje rediseñado'!$D2302-'Reclamo de equipaje rediseñado'!$C2302</f>
        <v>6.9444444444444198E-3</v>
      </c>
      <c r="F2302" s="48">
        <v>0.86041666666666661</v>
      </c>
      <c r="G2302" s="49">
        <f t="shared" si="35"/>
        <v>1.1805555555555514E-2</v>
      </c>
      <c r="H2302" s="50">
        <v>41740</v>
      </c>
      <c r="I2302" s="51" t="s">
        <v>579</v>
      </c>
      <c r="J2302" s="51">
        <v>320</v>
      </c>
      <c r="K2302" s="51">
        <f>VLOOKUP(J2302,'Validacion reclamo de equipaje'!L:M,2,0)</f>
        <v>179</v>
      </c>
      <c r="L2302" s="51" t="str">
        <f>VLOOKUP(I2302,'Validacion reclamo de equipaje'!H:I,2,0)</f>
        <v>Internacional</v>
      </c>
      <c r="M2302" s="51" t="s">
        <v>523</v>
      </c>
    </row>
    <row r="2303" spans="1:13" x14ac:dyDescent="0.25">
      <c r="A2303">
        <v>966</v>
      </c>
      <c r="B2303" s="47" t="str">
        <f>VLOOKUP(Tabla6[[#This Row],['# Vuelo]],'Validacion reclamo de equipaje'!P:Q,2,0)</f>
        <v>AVIONES ROJOS AIRLINES</v>
      </c>
      <c r="C2303" s="52">
        <v>0.8652777777777777</v>
      </c>
      <c r="D2303" s="52">
        <v>0.86736111111111114</v>
      </c>
      <c r="E2303" s="53">
        <f>'Reclamo de equipaje rediseñado'!$D2303-'Reclamo de equipaje rediseñado'!$C2303</f>
        <v>2.083333333333437E-3</v>
      </c>
      <c r="F2303" s="52">
        <v>0.87916666666666676</v>
      </c>
      <c r="G2303" s="53">
        <f t="shared" si="35"/>
        <v>1.1805555555555625E-2</v>
      </c>
      <c r="H2303" s="54">
        <v>41743</v>
      </c>
      <c r="I2303" s="55" t="s">
        <v>579</v>
      </c>
      <c r="J2303" s="55">
        <v>320</v>
      </c>
      <c r="K2303" s="55">
        <f>VLOOKUP(J2303,'Validacion reclamo de equipaje'!L:M,2,0)</f>
        <v>179</v>
      </c>
      <c r="L2303" s="55" t="str">
        <f>VLOOKUP(I2303,'Validacion reclamo de equipaje'!H:I,2,0)</f>
        <v>Internacional</v>
      </c>
      <c r="M2303" s="55" t="s">
        <v>523</v>
      </c>
    </row>
    <row r="2304" spans="1:13" x14ac:dyDescent="0.25">
      <c r="A2304">
        <v>966</v>
      </c>
      <c r="B2304" s="47" t="str">
        <f>VLOOKUP(Tabla6[[#This Row],['# Vuelo]],'Validacion reclamo de equipaje'!P:Q,2,0)</f>
        <v>AVIONES ROJOS AIRLINES</v>
      </c>
      <c r="C2304" s="48">
        <v>0.84722222222222221</v>
      </c>
      <c r="D2304" s="48">
        <v>0.8534722222222223</v>
      </c>
      <c r="E2304" s="49">
        <f>'Reclamo de equipaje rediseñado'!$D2304-'Reclamo de equipaje rediseñado'!$C2304</f>
        <v>6.2500000000000888E-3</v>
      </c>
      <c r="F2304" s="48">
        <v>0.87013888888888891</v>
      </c>
      <c r="G2304" s="49">
        <f t="shared" si="35"/>
        <v>1.6666666666666607E-2</v>
      </c>
      <c r="H2304" s="50">
        <v>41745</v>
      </c>
      <c r="I2304" s="51" t="s">
        <v>579</v>
      </c>
      <c r="J2304" s="51">
        <v>320</v>
      </c>
      <c r="K2304" s="51">
        <f>VLOOKUP(J2304,'Validacion reclamo de equipaje'!L:M,2,0)</f>
        <v>179</v>
      </c>
      <c r="L2304" s="51" t="str">
        <f>VLOOKUP(I2304,'Validacion reclamo de equipaje'!H:I,2,0)</f>
        <v>Internacional</v>
      </c>
      <c r="M2304" s="51" t="s">
        <v>523</v>
      </c>
    </row>
    <row r="2305" spans="1:13" x14ac:dyDescent="0.25">
      <c r="A2305">
        <v>966</v>
      </c>
      <c r="B2305" s="47" t="str">
        <f>VLOOKUP(Tabla6[[#This Row],['# Vuelo]],'Validacion reclamo de equipaje'!P:Q,2,0)</f>
        <v>AVIONES ROJOS AIRLINES</v>
      </c>
      <c r="C2305" s="52">
        <v>0.84930555555555554</v>
      </c>
      <c r="D2305" s="52">
        <v>0.85763888888888884</v>
      </c>
      <c r="E2305" s="53">
        <f>'Reclamo de equipaje rediseñado'!$D2305-'Reclamo de equipaje rediseñado'!$C2305</f>
        <v>8.3333333333333037E-3</v>
      </c>
      <c r="F2305" s="52">
        <v>0.87361111111111101</v>
      </c>
      <c r="G2305" s="53">
        <f t="shared" si="35"/>
        <v>1.5972222222222165E-2</v>
      </c>
      <c r="H2305" s="54">
        <v>41744</v>
      </c>
      <c r="I2305" s="55" t="s">
        <v>579</v>
      </c>
      <c r="J2305" s="55">
        <v>320</v>
      </c>
      <c r="K2305" s="55">
        <f>VLOOKUP(J2305,'Validacion reclamo de equipaje'!L:M,2,0)</f>
        <v>179</v>
      </c>
      <c r="L2305" s="55" t="str">
        <f>VLOOKUP(I2305,'Validacion reclamo de equipaje'!H:I,2,0)</f>
        <v>Internacional</v>
      </c>
      <c r="M2305" s="55" t="s">
        <v>523</v>
      </c>
    </row>
    <row r="2306" spans="1:13" x14ac:dyDescent="0.25">
      <c r="A2306">
        <v>966</v>
      </c>
      <c r="B2306" s="47" t="str">
        <f>VLOOKUP(Tabla6[[#This Row],['# Vuelo]],'Validacion reclamo de equipaje'!P:Q,2,0)</f>
        <v>AVIONES ROJOS AIRLINES</v>
      </c>
      <c r="C2306" s="48">
        <v>0.85138888888888886</v>
      </c>
      <c r="D2306" s="48">
        <v>0.8652777777777777</v>
      </c>
      <c r="E2306" s="49">
        <f>'Reclamo de equipaje rediseñado'!$D2306-'Reclamo de equipaje rediseñado'!$C2306</f>
        <v>1.388888888888884E-2</v>
      </c>
      <c r="F2306" s="48">
        <v>0.87708333333333333</v>
      </c>
      <c r="G2306" s="49">
        <f t="shared" si="35"/>
        <v>1.1805555555555625E-2</v>
      </c>
      <c r="H2306" s="50">
        <v>41746</v>
      </c>
      <c r="I2306" s="51" t="s">
        <v>579</v>
      </c>
      <c r="J2306" s="51">
        <v>320</v>
      </c>
      <c r="K2306" s="51">
        <f>VLOOKUP(J2306,'Validacion reclamo de equipaje'!L:M,2,0)</f>
        <v>179</v>
      </c>
      <c r="L2306" s="51" t="str">
        <f>VLOOKUP(I2306,'Validacion reclamo de equipaje'!H:I,2,0)</f>
        <v>Internacional</v>
      </c>
      <c r="M2306" s="51" t="s">
        <v>523</v>
      </c>
    </row>
    <row r="2307" spans="1:13" x14ac:dyDescent="0.25">
      <c r="A2307">
        <v>966</v>
      </c>
      <c r="B2307" s="47" t="str">
        <f>VLOOKUP(Tabla6[[#This Row],['# Vuelo]],'Validacion reclamo de equipaje'!P:Q,2,0)</f>
        <v>AVIONES ROJOS AIRLINES</v>
      </c>
      <c r="C2307" s="52">
        <v>0.87777777777777777</v>
      </c>
      <c r="D2307" s="52">
        <v>0.8847222222222223</v>
      </c>
      <c r="E2307" s="53">
        <f>'Reclamo de equipaje rediseñado'!$D2307-'Reclamo de equipaje rediseñado'!$C2307</f>
        <v>6.9444444444445308E-3</v>
      </c>
      <c r="F2307" s="52">
        <v>0.9</v>
      </c>
      <c r="G2307" s="53">
        <f t="shared" ref="G2307:G2370" si="36">F2307-D2307</f>
        <v>1.5277777777777724E-2</v>
      </c>
      <c r="H2307" s="54">
        <v>41747</v>
      </c>
      <c r="I2307" s="55" t="s">
        <v>579</v>
      </c>
      <c r="J2307" s="55">
        <v>320</v>
      </c>
      <c r="K2307" s="55">
        <f>VLOOKUP(J2307,'Validacion reclamo de equipaje'!L:M,2,0)</f>
        <v>179</v>
      </c>
      <c r="L2307" s="55" t="str">
        <f>VLOOKUP(I2307,'Validacion reclamo de equipaje'!H:I,2,0)</f>
        <v>Internacional</v>
      </c>
      <c r="M2307" s="55" t="s">
        <v>523</v>
      </c>
    </row>
    <row r="2308" spans="1:13" x14ac:dyDescent="0.25">
      <c r="A2308">
        <v>966</v>
      </c>
      <c r="B2308" s="47" t="str">
        <f>VLOOKUP(Tabla6[[#This Row],['# Vuelo]],'Validacion reclamo de equipaje'!P:Q,2,0)</f>
        <v>AVIONES ROJOS AIRLINES</v>
      </c>
      <c r="C2308" s="48">
        <v>0.85069444444444453</v>
      </c>
      <c r="D2308" s="48">
        <v>0.85486111111111107</v>
      </c>
      <c r="E2308" s="49">
        <f>'Reclamo de equipaje rediseñado'!$D2308-'Reclamo de equipaje rediseñado'!$C2308</f>
        <v>4.1666666666665408E-3</v>
      </c>
      <c r="F2308" s="48">
        <v>0.86805555555555547</v>
      </c>
      <c r="G2308" s="49">
        <f t="shared" si="36"/>
        <v>1.3194444444444398E-2</v>
      </c>
      <c r="H2308" s="50">
        <v>41749</v>
      </c>
      <c r="I2308" s="51" t="s">
        <v>579</v>
      </c>
      <c r="J2308" s="51">
        <v>320</v>
      </c>
      <c r="K2308" s="51">
        <f>VLOOKUP(J2308,'Validacion reclamo de equipaje'!L:M,2,0)</f>
        <v>179</v>
      </c>
      <c r="L2308" s="51" t="str">
        <f>VLOOKUP(I2308,'Validacion reclamo de equipaje'!H:I,2,0)</f>
        <v>Internacional</v>
      </c>
      <c r="M2308" s="51" t="s">
        <v>523</v>
      </c>
    </row>
    <row r="2309" spans="1:13" x14ac:dyDescent="0.25">
      <c r="A2309">
        <v>966</v>
      </c>
      <c r="B2309" s="47" t="str">
        <f>VLOOKUP(Tabla6[[#This Row],['# Vuelo]],'Validacion reclamo de equipaje'!P:Q,2,0)</f>
        <v>AVIONES ROJOS AIRLINES</v>
      </c>
      <c r="C2309" s="52">
        <v>0.8520833333333333</v>
      </c>
      <c r="D2309" s="52">
        <v>0.8569444444444444</v>
      </c>
      <c r="E2309" s="53">
        <f>'Reclamo de equipaje rediseñado'!$D2309-'Reclamo de equipaje rediseñado'!$C2309</f>
        <v>4.8611111111110938E-3</v>
      </c>
      <c r="F2309" s="52">
        <v>0.87569444444444444</v>
      </c>
      <c r="G2309" s="53">
        <f t="shared" si="36"/>
        <v>1.8750000000000044E-2</v>
      </c>
      <c r="H2309" s="54">
        <v>41748</v>
      </c>
      <c r="I2309" s="55" t="s">
        <v>579</v>
      </c>
      <c r="J2309" s="55">
        <v>320</v>
      </c>
      <c r="K2309" s="55">
        <f>VLOOKUP(J2309,'Validacion reclamo de equipaje'!L:M,2,0)</f>
        <v>179</v>
      </c>
      <c r="L2309" s="55" t="str">
        <f>VLOOKUP(I2309,'Validacion reclamo de equipaje'!H:I,2,0)</f>
        <v>Internacional</v>
      </c>
      <c r="M2309" s="55" t="s">
        <v>523</v>
      </c>
    </row>
    <row r="2310" spans="1:13" x14ac:dyDescent="0.25">
      <c r="A2310">
        <v>966</v>
      </c>
      <c r="B2310" s="47" t="str">
        <f>VLOOKUP(Tabla6[[#This Row],['# Vuelo]],'Validacion reclamo de equipaje'!P:Q,2,0)</f>
        <v>AVIONES ROJOS AIRLINES</v>
      </c>
      <c r="C2310" s="48">
        <v>0.83333333333333337</v>
      </c>
      <c r="D2310" s="48">
        <v>0.84027777777777779</v>
      </c>
      <c r="E2310" s="49">
        <f>'Reclamo de equipaje rediseñado'!$D2310-'Reclamo de equipaje rediseñado'!$C2310</f>
        <v>6.9444444444444198E-3</v>
      </c>
      <c r="F2310" s="48">
        <v>0.86805555555555547</v>
      </c>
      <c r="G2310" s="49">
        <f t="shared" si="36"/>
        <v>2.7777777777777679E-2</v>
      </c>
      <c r="H2310" s="50">
        <v>41751</v>
      </c>
      <c r="I2310" s="51" t="s">
        <v>579</v>
      </c>
      <c r="J2310" s="51">
        <v>320</v>
      </c>
      <c r="K2310" s="51">
        <f>VLOOKUP(J2310,'Validacion reclamo de equipaje'!L:M,2,0)</f>
        <v>179</v>
      </c>
      <c r="L2310" s="51" t="str">
        <f>VLOOKUP(I2310,'Validacion reclamo de equipaje'!H:I,2,0)</f>
        <v>Internacional</v>
      </c>
      <c r="M2310" s="51" t="s">
        <v>523</v>
      </c>
    </row>
    <row r="2311" spans="1:13" x14ac:dyDescent="0.25">
      <c r="A2311">
        <v>966</v>
      </c>
      <c r="B2311" s="47" t="str">
        <f>VLOOKUP(Tabla6[[#This Row],['# Vuelo]],'Validacion reclamo de equipaje'!P:Q,2,0)</f>
        <v>AVIONES ROJOS AIRLINES</v>
      </c>
      <c r="C2311" s="52">
        <v>0.85069444444444453</v>
      </c>
      <c r="D2311" s="52">
        <v>0.85972222222222217</v>
      </c>
      <c r="E2311" s="53">
        <f>'Reclamo de equipaje rediseñado'!$D2311-'Reclamo de equipaje rediseñado'!$C2311</f>
        <v>9.0277777777776347E-3</v>
      </c>
      <c r="F2311" s="52">
        <v>0.86388888888888893</v>
      </c>
      <c r="G2311" s="53">
        <f t="shared" si="36"/>
        <v>4.1666666666667629E-3</v>
      </c>
      <c r="H2311" s="54">
        <v>41752</v>
      </c>
      <c r="I2311" s="55" t="s">
        <v>579</v>
      </c>
      <c r="J2311" s="55">
        <v>320</v>
      </c>
      <c r="K2311" s="55">
        <f>VLOOKUP(J2311,'Validacion reclamo de equipaje'!L:M,2,0)</f>
        <v>179</v>
      </c>
      <c r="L2311" s="55" t="str">
        <f>VLOOKUP(I2311,'Validacion reclamo de equipaje'!H:I,2,0)</f>
        <v>Internacional</v>
      </c>
      <c r="M2311" s="55" t="s">
        <v>523</v>
      </c>
    </row>
    <row r="2312" spans="1:13" x14ac:dyDescent="0.25">
      <c r="A2312">
        <v>966</v>
      </c>
      <c r="B2312" s="47" t="str">
        <f>VLOOKUP(Tabla6[[#This Row],['# Vuelo]],'Validacion reclamo de equipaje'!P:Q,2,0)</f>
        <v>AVIONES ROJOS AIRLINES</v>
      </c>
      <c r="C2312" s="48">
        <v>0.84097222222222223</v>
      </c>
      <c r="D2312" s="48">
        <v>0.86458333333333337</v>
      </c>
      <c r="E2312" s="49">
        <f>'Reclamo de equipaje rediseñado'!$D2312-'Reclamo de equipaje rediseñado'!$C2312</f>
        <v>2.3611111111111138E-2</v>
      </c>
      <c r="F2312" s="48">
        <v>0.87152777777777779</v>
      </c>
      <c r="G2312" s="49">
        <f t="shared" si="36"/>
        <v>6.9444444444444198E-3</v>
      </c>
      <c r="H2312" s="50">
        <v>41752</v>
      </c>
      <c r="I2312" s="51" t="s">
        <v>579</v>
      </c>
      <c r="J2312" s="51">
        <v>320</v>
      </c>
      <c r="K2312" s="51">
        <f>VLOOKUP(J2312,'Validacion reclamo de equipaje'!L:M,2,0)</f>
        <v>179</v>
      </c>
      <c r="L2312" s="51" t="str">
        <f>VLOOKUP(I2312,'Validacion reclamo de equipaje'!H:I,2,0)</f>
        <v>Internacional</v>
      </c>
      <c r="M2312" s="51" t="s">
        <v>523</v>
      </c>
    </row>
    <row r="2313" spans="1:13" x14ac:dyDescent="0.25">
      <c r="A2313">
        <v>966</v>
      </c>
      <c r="B2313" s="47" t="str">
        <f>VLOOKUP(Tabla6[[#This Row],['# Vuelo]],'Validacion reclamo de equipaje'!P:Q,2,0)</f>
        <v>AVIONES ROJOS AIRLINES</v>
      </c>
      <c r="C2313" s="52">
        <v>0.84375</v>
      </c>
      <c r="D2313" s="52">
        <v>0.85069444444444453</v>
      </c>
      <c r="E2313" s="53">
        <f>'Reclamo de equipaje rediseñado'!$D2313-'Reclamo de equipaje rediseñado'!$C2313</f>
        <v>6.9444444444445308E-3</v>
      </c>
      <c r="F2313" s="52">
        <v>0.86111111111111116</v>
      </c>
      <c r="G2313" s="53">
        <f t="shared" si="36"/>
        <v>1.041666666666663E-2</v>
      </c>
      <c r="H2313" s="54">
        <v>41754</v>
      </c>
      <c r="I2313" s="55" t="s">
        <v>579</v>
      </c>
      <c r="J2313" s="55">
        <v>320</v>
      </c>
      <c r="K2313" s="55">
        <f>VLOOKUP(J2313,'Validacion reclamo de equipaje'!L:M,2,0)</f>
        <v>179</v>
      </c>
      <c r="L2313" s="55" t="str">
        <f>VLOOKUP(I2313,'Validacion reclamo de equipaje'!H:I,2,0)</f>
        <v>Internacional</v>
      </c>
      <c r="M2313" s="55" t="s">
        <v>523</v>
      </c>
    </row>
    <row r="2314" spans="1:13" x14ac:dyDescent="0.25">
      <c r="A2314">
        <v>966</v>
      </c>
      <c r="B2314" s="47" t="str">
        <f>VLOOKUP(Tabla6[[#This Row],['# Vuelo]],'Validacion reclamo de equipaje'!P:Q,2,0)</f>
        <v>AVIONES ROJOS AIRLINES</v>
      </c>
      <c r="C2314" s="48">
        <v>0.84652777777777777</v>
      </c>
      <c r="D2314" s="48">
        <v>0.85555555555555562</v>
      </c>
      <c r="E2314" s="49">
        <f>'Reclamo de equipaje rediseñado'!$D2314-'Reclamo de equipaje rediseñado'!$C2314</f>
        <v>9.0277777777778567E-3</v>
      </c>
      <c r="F2314" s="48">
        <v>0.87708333333333333</v>
      </c>
      <c r="G2314" s="49">
        <f t="shared" si="36"/>
        <v>2.1527777777777701E-2</v>
      </c>
      <c r="H2314" s="50">
        <v>41755</v>
      </c>
      <c r="I2314" s="51" t="s">
        <v>579</v>
      </c>
      <c r="J2314" s="51">
        <v>320</v>
      </c>
      <c r="K2314" s="51">
        <f>VLOOKUP(J2314,'Validacion reclamo de equipaje'!L:M,2,0)</f>
        <v>179</v>
      </c>
      <c r="L2314" s="51" t="str">
        <f>VLOOKUP(I2314,'Validacion reclamo de equipaje'!H:I,2,0)</f>
        <v>Internacional</v>
      </c>
      <c r="M2314" s="51" t="s">
        <v>523</v>
      </c>
    </row>
    <row r="2315" spans="1:13" x14ac:dyDescent="0.25">
      <c r="A2315">
        <v>966</v>
      </c>
      <c r="B2315" s="47" t="str">
        <f>VLOOKUP(Tabla6[[#This Row],['# Vuelo]],'Validacion reclamo de equipaje'!P:Q,2,0)</f>
        <v>AVIONES ROJOS AIRLINES</v>
      </c>
      <c r="C2315" s="52">
        <v>0.875</v>
      </c>
      <c r="D2315" s="52">
        <v>0.88402777777777775</v>
      </c>
      <c r="E2315" s="53">
        <f>'Reclamo de equipaje rediseñado'!$D2315-'Reclamo de equipaje rediseñado'!$C2315</f>
        <v>9.0277777777777457E-3</v>
      </c>
      <c r="F2315" s="52">
        <v>0.89722222222222225</v>
      </c>
      <c r="G2315" s="53">
        <f t="shared" si="36"/>
        <v>1.3194444444444509E-2</v>
      </c>
      <c r="H2315" s="54">
        <v>41756</v>
      </c>
      <c r="I2315" s="55" t="s">
        <v>579</v>
      </c>
      <c r="J2315" s="55">
        <v>320</v>
      </c>
      <c r="K2315" s="55">
        <f>VLOOKUP(J2315,'Validacion reclamo de equipaje'!L:M,2,0)</f>
        <v>179</v>
      </c>
      <c r="L2315" s="55" t="str">
        <f>VLOOKUP(I2315,'Validacion reclamo de equipaje'!H:I,2,0)</f>
        <v>Internacional</v>
      </c>
      <c r="M2315" s="55" t="s">
        <v>523</v>
      </c>
    </row>
    <row r="2316" spans="1:13" x14ac:dyDescent="0.25">
      <c r="A2316">
        <v>966</v>
      </c>
      <c r="B2316" s="47" t="str">
        <f>VLOOKUP(Tabla6[[#This Row],['# Vuelo]],'Validacion reclamo de equipaje'!P:Q,2,0)</f>
        <v>AVIONES ROJOS AIRLINES</v>
      </c>
      <c r="C2316" s="48">
        <v>0.88263888888888886</v>
      </c>
      <c r="D2316" s="48">
        <v>0.89166666666666661</v>
      </c>
      <c r="E2316" s="49">
        <f>'Reclamo de equipaje rediseñado'!$D2316-'Reclamo de equipaje rediseñado'!$C2316</f>
        <v>9.0277777777777457E-3</v>
      </c>
      <c r="F2316" s="48">
        <v>0.90694444444444444</v>
      </c>
      <c r="G2316" s="49">
        <f t="shared" si="36"/>
        <v>1.5277777777777835E-2</v>
      </c>
      <c r="H2316" s="50">
        <v>41757</v>
      </c>
      <c r="I2316" s="51" t="s">
        <v>579</v>
      </c>
      <c r="J2316" s="51">
        <v>320</v>
      </c>
      <c r="K2316" s="51">
        <f>VLOOKUP(J2316,'Validacion reclamo de equipaje'!L:M,2,0)</f>
        <v>179</v>
      </c>
      <c r="L2316" s="51" t="str">
        <f>VLOOKUP(I2316,'Validacion reclamo de equipaje'!H:I,2,0)</f>
        <v>Internacional</v>
      </c>
      <c r="M2316" s="51" t="s">
        <v>523</v>
      </c>
    </row>
    <row r="2317" spans="1:13" x14ac:dyDescent="0.25">
      <c r="A2317">
        <v>966</v>
      </c>
      <c r="B2317" s="47" t="str">
        <f>VLOOKUP(Tabla6[[#This Row],['# Vuelo]],'Validacion reclamo de equipaje'!P:Q,2,0)</f>
        <v>AVIONES ROJOS AIRLINES</v>
      </c>
      <c r="C2317" s="52">
        <v>0.87083333333333324</v>
      </c>
      <c r="D2317" s="52">
        <v>0.87777777777777777</v>
      </c>
      <c r="E2317" s="53">
        <f>'Reclamo de equipaje rediseñado'!$D2317-'Reclamo de equipaje rediseñado'!$C2317</f>
        <v>6.9444444444445308E-3</v>
      </c>
      <c r="F2317" s="52">
        <v>0.90625</v>
      </c>
      <c r="G2317" s="53">
        <f t="shared" si="36"/>
        <v>2.8472222222222232E-2</v>
      </c>
      <c r="H2317" s="54">
        <v>41758</v>
      </c>
      <c r="I2317" s="55" t="s">
        <v>579</v>
      </c>
      <c r="J2317" s="55">
        <v>320</v>
      </c>
      <c r="K2317" s="55">
        <f>VLOOKUP(J2317,'Validacion reclamo de equipaje'!L:M,2,0)</f>
        <v>179</v>
      </c>
      <c r="L2317" s="55" t="str">
        <f>VLOOKUP(I2317,'Validacion reclamo de equipaje'!H:I,2,0)</f>
        <v>Internacional</v>
      </c>
      <c r="M2317" s="55" t="s">
        <v>523</v>
      </c>
    </row>
    <row r="2318" spans="1:13" x14ac:dyDescent="0.25">
      <c r="A2318">
        <v>966</v>
      </c>
      <c r="B2318" s="47" t="str">
        <f>VLOOKUP(Tabla6[[#This Row],['# Vuelo]],'Validacion reclamo de equipaje'!P:Q,2,0)</f>
        <v>AVIONES ROJOS AIRLINES</v>
      </c>
      <c r="C2318" s="48">
        <v>0.87638888888888899</v>
      </c>
      <c r="D2318" s="48">
        <v>0.8833333333333333</v>
      </c>
      <c r="E2318" s="49">
        <f>'Reclamo de equipaje rediseñado'!$D2318-'Reclamo de equipaje rediseñado'!$C2318</f>
        <v>6.9444444444443088E-3</v>
      </c>
      <c r="F2318" s="48">
        <v>0.90763888888888899</v>
      </c>
      <c r="G2318" s="49">
        <f t="shared" si="36"/>
        <v>2.4305555555555691E-2</v>
      </c>
      <c r="H2318" s="50">
        <v>41759</v>
      </c>
      <c r="I2318" s="51" t="s">
        <v>579</v>
      </c>
      <c r="J2318" s="51">
        <v>320</v>
      </c>
      <c r="K2318" s="51">
        <f>VLOOKUP(J2318,'Validacion reclamo de equipaje'!L:M,2,0)</f>
        <v>179</v>
      </c>
      <c r="L2318" s="51" t="str">
        <f>VLOOKUP(I2318,'Validacion reclamo de equipaje'!H:I,2,0)</f>
        <v>Internacional</v>
      </c>
      <c r="M2318" s="51" t="s">
        <v>523</v>
      </c>
    </row>
    <row r="2319" spans="1:13" x14ac:dyDescent="0.25">
      <c r="A2319">
        <v>573</v>
      </c>
      <c r="B2319" s="47" t="str">
        <f>VLOOKUP(Tabla6[[#This Row],['# Vuelo]],'Validacion reclamo de equipaje'!P:Q,2,0)</f>
        <v>AVIONES ROJOS</v>
      </c>
      <c r="C2319" s="52">
        <v>0.22500000000000001</v>
      </c>
      <c r="D2319" s="52">
        <v>0.2298611111111111</v>
      </c>
      <c r="E2319" s="53">
        <f>'Reclamo de equipaje rediseñado'!$D2319-'Reclamo de equipaje rediseñado'!$C2319</f>
        <v>4.8611111111110938E-3</v>
      </c>
      <c r="F2319" s="52">
        <v>0.25</v>
      </c>
      <c r="G2319" s="53">
        <f t="shared" si="36"/>
        <v>2.0138888888888901E-2</v>
      </c>
      <c r="H2319" s="54">
        <v>41740</v>
      </c>
      <c r="I2319" s="55" t="s">
        <v>555</v>
      </c>
      <c r="J2319" s="55">
        <v>320</v>
      </c>
      <c r="K2319" s="55">
        <f>VLOOKUP(J2319,'Validacion reclamo de equipaje'!L:M,2,0)</f>
        <v>179</v>
      </c>
      <c r="L2319" s="55" t="str">
        <f>VLOOKUP(I2319,'Validacion reclamo de equipaje'!H:I,2,0)</f>
        <v>Internacional</v>
      </c>
      <c r="M2319" s="55" t="s">
        <v>523</v>
      </c>
    </row>
    <row r="2320" spans="1:13" x14ac:dyDescent="0.25">
      <c r="A2320">
        <v>573</v>
      </c>
      <c r="B2320" s="47" t="str">
        <f>VLOOKUP(Tabla6[[#This Row],['# Vuelo]],'Validacion reclamo de equipaje'!P:Q,2,0)</f>
        <v>AVIONES ROJOS</v>
      </c>
      <c r="C2320" s="48">
        <v>0.23263888888888887</v>
      </c>
      <c r="D2320" s="48">
        <v>0.24374999999999999</v>
      </c>
      <c r="E2320" s="49">
        <f>'Reclamo de equipaje rediseñado'!$D2320-'Reclamo de equipaje rediseñado'!$C2320</f>
        <v>1.1111111111111127E-2</v>
      </c>
      <c r="F2320" s="48">
        <v>0.26874999999999999</v>
      </c>
      <c r="G2320" s="49">
        <f t="shared" si="36"/>
        <v>2.4999999999999994E-2</v>
      </c>
      <c r="H2320" s="50">
        <v>41756</v>
      </c>
      <c r="I2320" s="51" t="s">
        <v>555</v>
      </c>
      <c r="J2320" s="51">
        <v>320</v>
      </c>
      <c r="K2320" s="51">
        <f>VLOOKUP(J2320,'Validacion reclamo de equipaje'!L:M,2,0)</f>
        <v>179</v>
      </c>
      <c r="L2320" s="51" t="str">
        <f>VLOOKUP(I2320,'Validacion reclamo de equipaje'!H:I,2,0)</f>
        <v>Internacional</v>
      </c>
      <c r="M2320" s="51" t="s">
        <v>523</v>
      </c>
    </row>
    <row r="2321" spans="1:13" x14ac:dyDescent="0.25">
      <c r="A2321">
        <v>6957</v>
      </c>
      <c r="B2321" s="47" t="str">
        <f>VLOOKUP(Tabla6[[#This Row],['# Vuelo]],'Validacion reclamo de equipaje'!P:Q,2,0)</f>
        <v>INTERAVIÓN</v>
      </c>
      <c r="C2321" s="52">
        <v>0.71527777777777779</v>
      </c>
      <c r="D2321" s="52">
        <v>0.72569444444444453</v>
      </c>
      <c r="E2321" s="53">
        <f>'Reclamo de equipaje rediseñado'!$D2321-'Reclamo de equipaje rediseñado'!$C2321</f>
        <v>1.0416666666666741E-2</v>
      </c>
      <c r="F2321" s="52">
        <v>0.73402777777777783</v>
      </c>
      <c r="G2321" s="53">
        <f t="shared" si="36"/>
        <v>8.3333333333333037E-3</v>
      </c>
      <c r="H2321" s="54">
        <v>41741</v>
      </c>
      <c r="I2321" s="55" t="s">
        <v>547</v>
      </c>
      <c r="J2321" s="55">
        <v>320</v>
      </c>
      <c r="K2321" s="55">
        <f>VLOOKUP(J2321,'Validacion reclamo de equipaje'!L:M,2,0)</f>
        <v>179</v>
      </c>
      <c r="L2321" s="55" t="str">
        <f>VLOOKUP(I2321,'Validacion reclamo de equipaje'!H:I,2,0)</f>
        <v>Nacional</v>
      </c>
      <c r="M2321" s="55" t="s">
        <v>523</v>
      </c>
    </row>
    <row r="2322" spans="1:13" x14ac:dyDescent="0.25">
      <c r="A2322">
        <v>6957</v>
      </c>
      <c r="B2322" s="47" t="str">
        <f>VLOOKUP(Tabla6[[#This Row],['# Vuelo]],'Validacion reclamo de equipaje'!P:Q,2,0)</f>
        <v>INTERAVIÓN</v>
      </c>
      <c r="C2322" s="48">
        <v>0.66319444444444442</v>
      </c>
      <c r="D2322" s="48">
        <v>0.67013888888888884</v>
      </c>
      <c r="E2322" s="49">
        <f>'Reclamo de equipaje rediseñado'!$D2322-'Reclamo de equipaje rediseñado'!$C2322</f>
        <v>6.9444444444444198E-3</v>
      </c>
      <c r="F2322" s="48">
        <v>0.68263888888888891</v>
      </c>
      <c r="G2322" s="49">
        <f t="shared" si="36"/>
        <v>1.2500000000000067E-2</v>
      </c>
      <c r="H2322" s="50">
        <v>41751</v>
      </c>
      <c r="I2322" s="51" t="s">
        <v>547</v>
      </c>
      <c r="J2322" s="51">
        <v>320</v>
      </c>
      <c r="K2322" s="51">
        <f>VLOOKUP(J2322,'Validacion reclamo de equipaje'!L:M,2,0)</f>
        <v>179</v>
      </c>
      <c r="L2322" s="51" t="str">
        <f>VLOOKUP(I2322,'Validacion reclamo de equipaje'!H:I,2,0)</f>
        <v>Nacional</v>
      </c>
      <c r="M2322" s="51" t="s">
        <v>523</v>
      </c>
    </row>
    <row r="2323" spans="1:13" x14ac:dyDescent="0.25">
      <c r="A2323">
        <v>6957</v>
      </c>
      <c r="B2323" s="47" t="str">
        <f>VLOOKUP(Tabla6[[#This Row],['# Vuelo]],'Validacion reclamo de equipaje'!P:Q,2,0)</f>
        <v>INTERAVIÓN</v>
      </c>
      <c r="C2323" s="52">
        <v>0.66319444444444442</v>
      </c>
      <c r="D2323" s="52">
        <v>0.67013888888888884</v>
      </c>
      <c r="E2323" s="53">
        <f>'Reclamo de equipaje rediseñado'!$D2323-'Reclamo de equipaje rediseñado'!$C2323</f>
        <v>6.9444444444444198E-3</v>
      </c>
      <c r="F2323" s="52">
        <v>0.68263888888888891</v>
      </c>
      <c r="G2323" s="53">
        <f t="shared" si="36"/>
        <v>1.2500000000000067E-2</v>
      </c>
      <c r="H2323" s="54">
        <v>41751</v>
      </c>
      <c r="I2323" s="55" t="s">
        <v>547</v>
      </c>
      <c r="J2323" s="55">
        <v>320</v>
      </c>
      <c r="K2323" s="55">
        <f>VLOOKUP(J2323,'Validacion reclamo de equipaje'!L:M,2,0)</f>
        <v>179</v>
      </c>
      <c r="L2323" s="55" t="str">
        <f>VLOOKUP(I2323,'Validacion reclamo de equipaje'!H:I,2,0)</f>
        <v>Nacional</v>
      </c>
      <c r="M2323" s="55" t="s">
        <v>523</v>
      </c>
    </row>
    <row r="2324" spans="1:13" x14ac:dyDescent="0.25">
      <c r="A2324">
        <v>6808</v>
      </c>
      <c r="B2324" s="47" t="str">
        <f>VLOOKUP(Tabla6[[#This Row],['# Vuelo]],'Validacion reclamo de equipaje'!P:Q,2,0)</f>
        <v>INTERAVIÓN</v>
      </c>
      <c r="C2324" s="48">
        <v>0.86041666666666661</v>
      </c>
      <c r="D2324" s="48">
        <v>0.87013888888888891</v>
      </c>
      <c r="E2324" s="49">
        <f>'Reclamo de equipaje rediseñado'!$D2324-'Reclamo de equipaje rediseñado'!$C2324</f>
        <v>9.7222222222222987E-3</v>
      </c>
      <c r="F2324" s="48">
        <v>0.87638888888888899</v>
      </c>
      <c r="G2324" s="49">
        <f t="shared" si="36"/>
        <v>6.2500000000000888E-3</v>
      </c>
      <c r="H2324" s="50">
        <v>41741</v>
      </c>
      <c r="I2324" s="51" t="s">
        <v>581</v>
      </c>
      <c r="J2324" s="51">
        <v>320</v>
      </c>
      <c r="K2324" s="51">
        <f>VLOOKUP(J2324,'Validacion reclamo de equipaje'!L:M,2,0)</f>
        <v>179</v>
      </c>
      <c r="L2324" s="51" t="str">
        <f>VLOOKUP(I2324,'Validacion reclamo de equipaje'!H:I,2,0)</f>
        <v>Nacional</v>
      </c>
      <c r="M2324" s="51" t="s">
        <v>523</v>
      </c>
    </row>
    <row r="2325" spans="1:13" x14ac:dyDescent="0.25">
      <c r="A2325">
        <v>6808</v>
      </c>
      <c r="B2325" s="47" t="str">
        <f>VLOOKUP(Tabla6[[#This Row],['# Vuelo]],'Validacion reclamo de equipaje'!P:Q,2,0)</f>
        <v>INTERAVIÓN</v>
      </c>
      <c r="C2325" s="52">
        <v>0.74652777777777779</v>
      </c>
      <c r="D2325" s="52">
        <v>0.75277777777777777</v>
      </c>
      <c r="E2325" s="53">
        <f>'Reclamo de equipaje rediseñado'!$D2325-'Reclamo de equipaje rediseñado'!$C2325</f>
        <v>6.2499999999999778E-3</v>
      </c>
      <c r="F2325" s="52">
        <v>0.76111111111111107</v>
      </c>
      <c r="G2325" s="53">
        <f t="shared" si="36"/>
        <v>8.3333333333333037E-3</v>
      </c>
      <c r="H2325" s="54">
        <v>41748</v>
      </c>
      <c r="I2325" s="55" t="s">
        <v>581</v>
      </c>
      <c r="J2325" s="55">
        <v>320</v>
      </c>
      <c r="K2325" s="55">
        <f>VLOOKUP(J2325,'Validacion reclamo de equipaje'!L:M,2,0)</f>
        <v>179</v>
      </c>
      <c r="L2325" s="55" t="str">
        <f>VLOOKUP(I2325,'Validacion reclamo de equipaje'!H:I,2,0)</f>
        <v>Nacional</v>
      </c>
      <c r="M2325" s="55" t="s">
        <v>523</v>
      </c>
    </row>
    <row r="2326" spans="1:13" x14ac:dyDescent="0.25">
      <c r="A2326">
        <v>6808</v>
      </c>
      <c r="B2326" s="47" t="str">
        <f>VLOOKUP(Tabla6[[#This Row],['# Vuelo]],'Validacion reclamo de equipaje'!P:Q,2,0)</f>
        <v>INTERAVIÓN</v>
      </c>
      <c r="C2326" s="48">
        <v>0.5625</v>
      </c>
      <c r="D2326" s="48">
        <v>0.56458333333333333</v>
      </c>
      <c r="E2326" s="49">
        <f>'Reclamo de equipaje rediseñado'!$D2326-'Reclamo de equipaje rediseñado'!$C2326</f>
        <v>2.0833333333333259E-3</v>
      </c>
      <c r="F2326" s="48">
        <v>0.57361111111111118</v>
      </c>
      <c r="G2326" s="49">
        <f t="shared" si="36"/>
        <v>9.0277777777778567E-3</v>
      </c>
      <c r="H2326" s="50">
        <v>41749</v>
      </c>
      <c r="I2326" s="51" t="s">
        <v>581</v>
      </c>
      <c r="J2326" s="51">
        <v>320</v>
      </c>
      <c r="K2326" s="51">
        <f>VLOOKUP(J2326,'Validacion reclamo de equipaje'!L:M,2,0)</f>
        <v>179</v>
      </c>
      <c r="L2326" s="51" t="str">
        <f>VLOOKUP(I2326,'Validacion reclamo de equipaje'!H:I,2,0)</f>
        <v>Nacional</v>
      </c>
      <c r="M2326" s="51" t="s">
        <v>523</v>
      </c>
    </row>
    <row r="2327" spans="1:13" x14ac:dyDescent="0.25">
      <c r="A2327">
        <v>5214</v>
      </c>
      <c r="B2327" s="47" t="str">
        <f>VLOOKUP(Tabla6[[#This Row],['# Vuelo]],'Validacion reclamo de equipaje'!P:Q,2,0)</f>
        <v>INTERAVIÓN</v>
      </c>
      <c r="C2327" s="52">
        <v>0.5</v>
      </c>
      <c r="D2327" s="52">
        <v>0.50902777777777775</v>
      </c>
      <c r="E2327" s="53">
        <f>'Reclamo de equipaje rediseñado'!$D2327-'Reclamo de equipaje rediseñado'!$C2327</f>
        <v>9.0277777777777457E-3</v>
      </c>
      <c r="F2327" s="52">
        <v>0.51111111111111118</v>
      </c>
      <c r="G2327" s="53">
        <f t="shared" si="36"/>
        <v>2.083333333333437E-3</v>
      </c>
      <c r="H2327" s="54">
        <v>41739</v>
      </c>
      <c r="I2327" s="55" t="s">
        <v>536</v>
      </c>
      <c r="J2327" s="55">
        <v>320</v>
      </c>
      <c r="K2327" s="55">
        <f>VLOOKUP(J2327,'Validacion reclamo de equipaje'!L:M,2,0)</f>
        <v>179</v>
      </c>
      <c r="L2327" s="55" t="str">
        <f>VLOOKUP(I2327,'Validacion reclamo de equipaje'!H:I,2,0)</f>
        <v>Nacional</v>
      </c>
      <c r="M2327" s="55" t="s">
        <v>523</v>
      </c>
    </row>
    <row r="2328" spans="1:13" x14ac:dyDescent="0.25">
      <c r="A2328">
        <v>5214</v>
      </c>
      <c r="B2328" s="47" t="str">
        <f>VLOOKUP(Tabla6[[#This Row],['# Vuelo]],'Validacion reclamo de equipaje'!P:Q,2,0)</f>
        <v>INTERAVIÓN</v>
      </c>
      <c r="C2328" s="48">
        <v>0.50486111111111109</v>
      </c>
      <c r="D2328" s="48">
        <v>0.51111111111111118</v>
      </c>
      <c r="E2328" s="49">
        <f>'Reclamo de equipaje rediseñado'!$D2328-'Reclamo de equipaje rediseñado'!$C2328</f>
        <v>6.2500000000000888E-3</v>
      </c>
      <c r="F2328" s="48">
        <v>0.51527777777777783</v>
      </c>
      <c r="G2328" s="49">
        <f t="shared" si="36"/>
        <v>4.1666666666666519E-3</v>
      </c>
      <c r="H2328" s="50">
        <v>41745</v>
      </c>
      <c r="I2328" s="51" t="s">
        <v>536</v>
      </c>
      <c r="J2328" s="51">
        <v>320</v>
      </c>
      <c r="K2328" s="51">
        <f>VLOOKUP(J2328,'Validacion reclamo de equipaje'!L:M,2,0)</f>
        <v>179</v>
      </c>
      <c r="L2328" s="51" t="str">
        <f>VLOOKUP(I2328,'Validacion reclamo de equipaje'!H:I,2,0)</f>
        <v>Nacional</v>
      </c>
      <c r="M2328" s="51" t="s">
        <v>523</v>
      </c>
    </row>
    <row r="2329" spans="1:13" x14ac:dyDescent="0.25">
      <c r="A2329">
        <v>5214</v>
      </c>
      <c r="B2329" s="47" t="str">
        <f>VLOOKUP(Tabla6[[#This Row],['# Vuelo]],'Validacion reclamo de equipaje'!P:Q,2,0)</f>
        <v>INTERAVIÓN</v>
      </c>
      <c r="C2329" s="52">
        <v>0.50347222222222221</v>
      </c>
      <c r="D2329" s="52">
        <v>0.51250000000000007</v>
      </c>
      <c r="E2329" s="53">
        <f>'Reclamo de equipaje rediseñado'!$D2329-'Reclamo de equipaje rediseñado'!$C2329</f>
        <v>9.0277777777778567E-3</v>
      </c>
      <c r="F2329" s="52">
        <v>0.51874999999999993</v>
      </c>
      <c r="G2329" s="53">
        <f t="shared" si="36"/>
        <v>6.2499999999998668E-3</v>
      </c>
      <c r="H2329" s="54">
        <v>41746</v>
      </c>
      <c r="I2329" s="55" t="s">
        <v>536</v>
      </c>
      <c r="J2329" s="55">
        <v>320</v>
      </c>
      <c r="K2329" s="55">
        <f>VLOOKUP(J2329,'Validacion reclamo de equipaje'!L:M,2,0)</f>
        <v>179</v>
      </c>
      <c r="L2329" s="55" t="str">
        <f>VLOOKUP(I2329,'Validacion reclamo de equipaje'!H:I,2,0)</f>
        <v>Nacional</v>
      </c>
      <c r="M2329" s="55" t="s">
        <v>523</v>
      </c>
    </row>
    <row r="2330" spans="1:13" x14ac:dyDescent="0.25">
      <c r="A2330">
        <v>5214</v>
      </c>
      <c r="B2330" s="47" t="str">
        <f>VLOOKUP(Tabla6[[#This Row],['# Vuelo]],'Validacion reclamo de equipaje'!P:Q,2,0)</f>
        <v>INTERAVIÓN</v>
      </c>
      <c r="C2330" s="48">
        <v>0.50347222222222221</v>
      </c>
      <c r="D2330" s="48">
        <v>0.5083333333333333</v>
      </c>
      <c r="E2330" s="49">
        <f>'Reclamo de equipaje rediseñado'!$D2330-'Reclamo de equipaje rediseñado'!$C2330</f>
        <v>4.8611111111110938E-3</v>
      </c>
      <c r="F2330" s="48">
        <v>0.51388888888888895</v>
      </c>
      <c r="G2330" s="49">
        <f t="shared" si="36"/>
        <v>5.5555555555556468E-3</v>
      </c>
      <c r="H2330" s="50">
        <v>41753</v>
      </c>
      <c r="I2330" s="51" t="s">
        <v>536</v>
      </c>
      <c r="J2330" s="51">
        <v>320</v>
      </c>
      <c r="K2330" s="51">
        <f>VLOOKUP(J2330,'Validacion reclamo de equipaje'!L:M,2,0)</f>
        <v>179</v>
      </c>
      <c r="L2330" s="51" t="str">
        <f>VLOOKUP(I2330,'Validacion reclamo de equipaje'!H:I,2,0)</f>
        <v>Nacional</v>
      </c>
      <c r="M2330" s="51" t="s">
        <v>523</v>
      </c>
    </row>
    <row r="2331" spans="1:13" x14ac:dyDescent="0.25">
      <c r="A2331">
        <v>5214</v>
      </c>
      <c r="B2331" s="47" t="str">
        <f>VLOOKUP(Tabla6[[#This Row],['# Vuelo]],'Validacion reclamo de equipaje'!P:Q,2,0)</f>
        <v>INTERAVIÓN</v>
      </c>
      <c r="C2331" s="52">
        <v>0.50347222222222221</v>
      </c>
      <c r="D2331" s="52">
        <v>0.50902777777777775</v>
      </c>
      <c r="E2331" s="53">
        <f>'Reclamo de equipaje rediseñado'!$D2331-'Reclamo de equipaje rediseñado'!$C2331</f>
        <v>5.5555555555555358E-3</v>
      </c>
      <c r="F2331" s="52">
        <v>0.5131944444444444</v>
      </c>
      <c r="G2331" s="53">
        <f t="shared" si="36"/>
        <v>4.1666666666666519E-3</v>
      </c>
      <c r="H2331" s="54">
        <v>41758</v>
      </c>
      <c r="I2331" s="55" t="s">
        <v>536</v>
      </c>
      <c r="J2331" s="55">
        <v>320</v>
      </c>
      <c r="K2331" s="55">
        <f>VLOOKUP(J2331,'Validacion reclamo de equipaje'!L:M,2,0)</f>
        <v>179</v>
      </c>
      <c r="L2331" s="55" t="str">
        <f>VLOOKUP(I2331,'Validacion reclamo de equipaje'!H:I,2,0)</f>
        <v>Nacional</v>
      </c>
      <c r="M2331" s="55" t="s">
        <v>523</v>
      </c>
    </row>
    <row r="2332" spans="1:13" x14ac:dyDescent="0.25">
      <c r="A2332">
        <v>5210</v>
      </c>
      <c r="B2332" s="47" t="str">
        <f>VLOOKUP(Tabla6[[#This Row],['# Vuelo]],'Validacion reclamo de equipaje'!P:Q,2,0)</f>
        <v>INTERAVIÓN</v>
      </c>
      <c r="C2332" s="48">
        <v>0.37638888888888888</v>
      </c>
      <c r="D2332" s="48">
        <v>0.38055555555555554</v>
      </c>
      <c r="E2332" s="49">
        <f>'Reclamo de equipaje rediseñado'!$D2332-'Reclamo de equipaje rediseñado'!$C2332</f>
        <v>4.1666666666666519E-3</v>
      </c>
      <c r="F2332" s="48">
        <v>0.3888888888888889</v>
      </c>
      <c r="G2332" s="49">
        <f t="shared" si="36"/>
        <v>8.3333333333333592E-3</v>
      </c>
      <c r="H2332" s="50">
        <v>41735</v>
      </c>
      <c r="I2332" s="51" t="s">
        <v>536</v>
      </c>
      <c r="J2332" s="51">
        <v>320</v>
      </c>
      <c r="K2332" s="51">
        <f>VLOOKUP(J2332,'Validacion reclamo de equipaje'!L:M,2,0)</f>
        <v>179</v>
      </c>
      <c r="L2332" s="51" t="str">
        <f>VLOOKUP(I2332,'Validacion reclamo de equipaje'!H:I,2,0)</f>
        <v>Nacional</v>
      </c>
      <c r="M2332" s="51" t="s">
        <v>523</v>
      </c>
    </row>
    <row r="2333" spans="1:13" x14ac:dyDescent="0.25">
      <c r="A2333">
        <v>5210</v>
      </c>
      <c r="B2333" s="47" t="str">
        <f>VLOOKUP(Tabla6[[#This Row],['# Vuelo]],'Validacion reclamo de equipaje'!P:Q,2,0)</f>
        <v>INTERAVIÓN</v>
      </c>
      <c r="C2333" s="52">
        <v>0.38055555555555554</v>
      </c>
      <c r="D2333" s="52">
        <v>0.38194444444444442</v>
      </c>
      <c r="E2333" s="53">
        <f>'Reclamo de equipaje rediseñado'!$D2333-'Reclamo de equipaje rediseñado'!$C2333</f>
        <v>1.388888888888884E-3</v>
      </c>
      <c r="F2333" s="52">
        <v>0.38611111111111113</v>
      </c>
      <c r="G2333" s="53">
        <f t="shared" si="36"/>
        <v>4.1666666666667074E-3</v>
      </c>
      <c r="H2333" s="54">
        <v>41749</v>
      </c>
      <c r="I2333" s="55" t="s">
        <v>536</v>
      </c>
      <c r="J2333" s="55">
        <v>320</v>
      </c>
      <c r="K2333" s="55">
        <f>VLOOKUP(J2333,'Validacion reclamo de equipaje'!L:M,2,0)</f>
        <v>179</v>
      </c>
      <c r="L2333" s="55" t="str">
        <f>VLOOKUP(I2333,'Validacion reclamo de equipaje'!H:I,2,0)</f>
        <v>Nacional</v>
      </c>
      <c r="M2333" s="55" t="s">
        <v>523</v>
      </c>
    </row>
    <row r="2334" spans="1:13" x14ac:dyDescent="0.25">
      <c r="A2334">
        <v>5210</v>
      </c>
      <c r="B2334" s="47" t="str">
        <f>VLOOKUP(Tabla6[[#This Row],['# Vuelo]],'Validacion reclamo de equipaje'!P:Q,2,0)</f>
        <v>INTERAVIÓN</v>
      </c>
      <c r="C2334" s="48">
        <v>0.38055555555555554</v>
      </c>
      <c r="D2334" s="48">
        <v>0.38611111111111113</v>
      </c>
      <c r="E2334" s="49">
        <f>'Reclamo de equipaje rediseñado'!$D2334-'Reclamo de equipaje rediseñado'!$C2334</f>
        <v>5.5555555555555913E-3</v>
      </c>
      <c r="F2334" s="48">
        <v>0.39513888888888887</v>
      </c>
      <c r="G2334" s="49">
        <f t="shared" si="36"/>
        <v>9.0277777777777457E-3</v>
      </c>
      <c r="H2334" s="50">
        <v>41756</v>
      </c>
      <c r="I2334" s="51" t="s">
        <v>536</v>
      </c>
      <c r="J2334" s="51">
        <v>320</v>
      </c>
      <c r="K2334" s="51">
        <f>VLOOKUP(J2334,'Validacion reclamo de equipaje'!L:M,2,0)</f>
        <v>179</v>
      </c>
      <c r="L2334" s="51" t="str">
        <f>VLOOKUP(I2334,'Validacion reclamo de equipaje'!H:I,2,0)</f>
        <v>Nacional</v>
      </c>
      <c r="M2334" s="51" t="s">
        <v>523</v>
      </c>
    </row>
    <row r="2335" spans="1:13" x14ac:dyDescent="0.25">
      <c r="A2335">
        <v>2840</v>
      </c>
      <c r="B2335" s="47" t="str">
        <f>VLOOKUP(Tabla6[[#This Row],['# Vuelo]],'Validacion reclamo de equipaje'!P:Q,2,0)</f>
        <v>AEROLINEAS DE AMERICA</v>
      </c>
      <c r="C2335" s="52">
        <v>0.7006944444444444</v>
      </c>
      <c r="D2335" s="52">
        <v>0.70138888888888884</v>
      </c>
      <c r="E2335" s="53">
        <f>'Reclamo de equipaje rediseñado'!$D2335-'Reclamo de equipaje rediseñado'!$C2335</f>
        <v>6.9444444444444198E-4</v>
      </c>
      <c r="F2335" s="52">
        <v>0.70833333333333337</v>
      </c>
      <c r="G2335" s="53">
        <f t="shared" si="36"/>
        <v>6.9444444444445308E-3</v>
      </c>
      <c r="H2335" s="54">
        <v>41732</v>
      </c>
      <c r="I2335" s="55" t="s">
        <v>536</v>
      </c>
      <c r="J2335" s="55">
        <v>320</v>
      </c>
      <c r="K2335" s="55">
        <f>VLOOKUP(J2335,'Validacion reclamo de equipaje'!L:M,2,0)</f>
        <v>179</v>
      </c>
      <c r="L2335" s="55" t="str">
        <f>VLOOKUP(I2335,'Validacion reclamo de equipaje'!H:I,2,0)</f>
        <v>Nacional</v>
      </c>
      <c r="M2335" s="55" t="s">
        <v>523</v>
      </c>
    </row>
    <row r="2336" spans="1:13" x14ac:dyDescent="0.25">
      <c r="A2336">
        <v>2840</v>
      </c>
      <c r="B2336" s="47" t="str">
        <f>VLOOKUP(Tabla6[[#This Row],['# Vuelo]],'Validacion reclamo de equipaje'!P:Q,2,0)</f>
        <v>AEROLINEAS DE AMERICA</v>
      </c>
      <c r="C2336" s="48">
        <v>0.68958333333333333</v>
      </c>
      <c r="D2336" s="48">
        <v>0.7006944444444444</v>
      </c>
      <c r="E2336" s="49">
        <f>'Reclamo de equipaje rediseñado'!$D2336-'Reclamo de equipaje rediseñado'!$C2336</f>
        <v>1.1111111111111072E-2</v>
      </c>
      <c r="F2336" s="48">
        <v>0.71458333333333324</v>
      </c>
      <c r="G2336" s="49">
        <f t="shared" si="36"/>
        <v>1.388888888888884E-2</v>
      </c>
      <c r="H2336" s="50">
        <v>41733</v>
      </c>
      <c r="I2336" s="51" t="s">
        <v>536</v>
      </c>
      <c r="J2336" s="51">
        <v>320</v>
      </c>
      <c r="K2336" s="51">
        <f>VLOOKUP(J2336,'Validacion reclamo de equipaje'!L:M,2,0)</f>
        <v>179</v>
      </c>
      <c r="L2336" s="51" t="str">
        <f>VLOOKUP(I2336,'Validacion reclamo de equipaje'!H:I,2,0)</f>
        <v>Nacional</v>
      </c>
      <c r="M2336" s="51" t="s">
        <v>523</v>
      </c>
    </row>
    <row r="2337" spans="1:13" x14ac:dyDescent="0.25">
      <c r="A2337">
        <v>2840</v>
      </c>
      <c r="B2337" s="47" t="str">
        <f>VLOOKUP(Tabla6[[#This Row],['# Vuelo]],'Validacion reclamo de equipaje'!P:Q,2,0)</f>
        <v>AEROLINEAS DE AMERICA</v>
      </c>
      <c r="C2337" s="52">
        <v>0.7597222222222223</v>
      </c>
      <c r="D2337" s="52">
        <v>0.7680555555555556</v>
      </c>
      <c r="E2337" s="53">
        <f>'Reclamo de equipaje rediseñado'!$D2337-'Reclamo de equipaje rediseñado'!$C2337</f>
        <v>8.3333333333333037E-3</v>
      </c>
      <c r="F2337" s="52">
        <v>0.77916666666666667</v>
      </c>
      <c r="G2337" s="53">
        <f t="shared" si="36"/>
        <v>1.1111111111111072E-2</v>
      </c>
      <c r="H2337" s="54">
        <v>41735</v>
      </c>
      <c r="I2337" s="55" t="s">
        <v>536</v>
      </c>
      <c r="J2337" s="55">
        <v>320</v>
      </c>
      <c r="K2337" s="55">
        <f>VLOOKUP(J2337,'Validacion reclamo de equipaje'!L:M,2,0)</f>
        <v>179</v>
      </c>
      <c r="L2337" s="55" t="str">
        <f>VLOOKUP(I2337,'Validacion reclamo de equipaje'!H:I,2,0)</f>
        <v>Nacional</v>
      </c>
      <c r="M2337" s="55" t="s">
        <v>523</v>
      </c>
    </row>
    <row r="2338" spans="1:13" x14ac:dyDescent="0.25">
      <c r="A2338">
        <v>2840</v>
      </c>
      <c r="B2338" s="47" t="str">
        <f>VLOOKUP(Tabla6[[#This Row],['# Vuelo]],'Validacion reclamo de equipaje'!P:Q,2,0)</f>
        <v>AEROLINEAS DE AMERICA</v>
      </c>
      <c r="C2338" s="48">
        <v>0.7006944444444444</v>
      </c>
      <c r="D2338" s="48">
        <v>0.71180555555555547</v>
      </c>
      <c r="E2338" s="49">
        <f>'Reclamo de equipaje rediseñado'!$D2338-'Reclamo de equipaje rediseñado'!$C2338</f>
        <v>1.1111111111111072E-2</v>
      </c>
      <c r="F2338" s="48">
        <v>0.72222222222222221</v>
      </c>
      <c r="G2338" s="49">
        <f t="shared" si="36"/>
        <v>1.0416666666666741E-2</v>
      </c>
      <c r="H2338" s="50">
        <v>41736</v>
      </c>
      <c r="I2338" s="51" t="s">
        <v>536</v>
      </c>
      <c r="J2338" s="51">
        <v>320</v>
      </c>
      <c r="K2338" s="51">
        <f>VLOOKUP(J2338,'Validacion reclamo de equipaje'!L:M,2,0)</f>
        <v>179</v>
      </c>
      <c r="L2338" s="51" t="str">
        <f>VLOOKUP(I2338,'Validacion reclamo de equipaje'!H:I,2,0)</f>
        <v>Nacional</v>
      </c>
      <c r="M2338" s="51" t="s">
        <v>523</v>
      </c>
    </row>
    <row r="2339" spans="1:13" x14ac:dyDescent="0.25">
      <c r="A2339">
        <v>2840</v>
      </c>
      <c r="B2339" s="47" t="str">
        <f>VLOOKUP(Tabla6[[#This Row],['# Vuelo]],'Validacion reclamo de equipaje'!P:Q,2,0)</f>
        <v>AEROLINEAS DE AMERICA</v>
      </c>
      <c r="C2339" s="52">
        <v>0.69652777777777775</v>
      </c>
      <c r="D2339" s="52">
        <v>0.70416666666666661</v>
      </c>
      <c r="E2339" s="53">
        <f>'Reclamo de equipaje rediseñado'!$D2339-'Reclamo de equipaje rediseñado'!$C2339</f>
        <v>7.6388888888888618E-3</v>
      </c>
      <c r="F2339" s="52">
        <v>0.71527777777777779</v>
      </c>
      <c r="G2339" s="53">
        <f t="shared" si="36"/>
        <v>1.1111111111111183E-2</v>
      </c>
      <c r="H2339" s="54">
        <v>41739</v>
      </c>
      <c r="I2339" s="55" t="s">
        <v>536</v>
      </c>
      <c r="J2339" s="55">
        <v>320</v>
      </c>
      <c r="K2339" s="55">
        <f>VLOOKUP(J2339,'Validacion reclamo de equipaje'!L:M,2,0)</f>
        <v>179</v>
      </c>
      <c r="L2339" s="55" t="str">
        <f>VLOOKUP(I2339,'Validacion reclamo de equipaje'!H:I,2,0)</f>
        <v>Nacional</v>
      </c>
      <c r="M2339" s="55" t="s">
        <v>523</v>
      </c>
    </row>
    <row r="2340" spans="1:13" x14ac:dyDescent="0.25">
      <c r="A2340">
        <v>2840</v>
      </c>
      <c r="B2340" s="47" t="str">
        <f>VLOOKUP(Tabla6[[#This Row],['# Vuelo]],'Validacion reclamo de equipaje'!P:Q,2,0)</f>
        <v>AEROLINEAS DE AMERICA</v>
      </c>
      <c r="C2340" s="48">
        <v>0.69861111111111107</v>
      </c>
      <c r="D2340" s="48">
        <v>0.70972222222222225</v>
      </c>
      <c r="E2340" s="49">
        <f>'Reclamo de equipaje rediseñado'!$D2340-'Reclamo de equipaje rediseñado'!$C2340</f>
        <v>1.1111111111111183E-2</v>
      </c>
      <c r="F2340" s="48">
        <v>0.71736111111111101</v>
      </c>
      <c r="G2340" s="49">
        <f t="shared" si="36"/>
        <v>7.6388888888887507E-3</v>
      </c>
      <c r="H2340" s="50">
        <v>41743</v>
      </c>
      <c r="I2340" s="51" t="s">
        <v>536</v>
      </c>
      <c r="J2340" s="51">
        <v>320</v>
      </c>
      <c r="K2340" s="51">
        <f>VLOOKUP(J2340,'Validacion reclamo de equipaje'!L:M,2,0)</f>
        <v>179</v>
      </c>
      <c r="L2340" s="51" t="str">
        <f>VLOOKUP(I2340,'Validacion reclamo de equipaje'!H:I,2,0)</f>
        <v>Nacional</v>
      </c>
      <c r="M2340" s="51" t="s">
        <v>523</v>
      </c>
    </row>
    <row r="2341" spans="1:13" x14ac:dyDescent="0.25">
      <c r="A2341">
        <v>2840</v>
      </c>
      <c r="B2341" s="47" t="str">
        <f>VLOOKUP(Tabla6[[#This Row],['# Vuelo]],'Validacion reclamo de equipaje'!P:Q,2,0)</f>
        <v>AEROLINEAS DE AMERICA</v>
      </c>
      <c r="C2341" s="52">
        <v>0.69236111111111109</v>
      </c>
      <c r="D2341" s="52">
        <v>0.70486111111111116</v>
      </c>
      <c r="E2341" s="53">
        <f>'Reclamo de equipaje rediseñado'!$D2341-'Reclamo de equipaje rediseñado'!$C2341</f>
        <v>1.2500000000000067E-2</v>
      </c>
      <c r="F2341" s="52">
        <v>0.71180555555555547</v>
      </c>
      <c r="G2341" s="53">
        <f t="shared" si="36"/>
        <v>6.9444444444443088E-3</v>
      </c>
      <c r="H2341" s="54">
        <v>41746</v>
      </c>
      <c r="I2341" s="55" t="s">
        <v>536</v>
      </c>
      <c r="J2341" s="55">
        <v>320</v>
      </c>
      <c r="K2341" s="55">
        <f>VLOOKUP(J2341,'Validacion reclamo de equipaje'!L:M,2,0)</f>
        <v>179</v>
      </c>
      <c r="L2341" s="55" t="str">
        <f>VLOOKUP(I2341,'Validacion reclamo de equipaje'!H:I,2,0)</f>
        <v>Nacional</v>
      </c>
      <c r="M2341" s="55" t="s">
        <v>523</v>
      </c>
    </row>
    <row r="2342" spans="1:13" x14ac:dyDescent="0.25">
      <c r="A2342">
        <v>2840</v>
      </c>
      <c r="B2342" s="47" t="str">
        <f>VLOOKUP(Tabla6[[#This Row],['# Vuelo]],'Validacion reclamo de equipaje'!P:Q,2,0)</f>
        <v>AEROLINEAS DE AMERICA</v>
      </c>
      <c r="C2342" s="48">
        <v>0.6972222222222223</v>
      </c>
      <c r="D2342" s="48">
        <v>0.71111111111111114</v>
      </c>
      <c r="E2342" s="49">
        <f>'Reclamo de equipaje rediseñado'!$D2342-'Reclamo de equipaje rediseñado'!$C2342</f>
        <v>1.388888888888884E-2</v>
      </c>
      <c r="F2342" s="48">
        <v>0.72222222222222221</v>
      </c>
      <c r="G2342" s="49">
        <f t="shared" si="36"/>
        <v>1.1111111111111072E-2</v>
      </c>
      <c r="H2342" s="50">
        <v>41747</v>
      </c>
      <c r="I2342" s="51" t="s">
        <v>536</v>
      </c>
      <c r="J2342" s="51">
        <v>320</v>
      </c>
      <c r="K2342" s="51">
        <f>VLOOKUP(J2342,'Validacion reclamo de equipaje'!L:M,2,0)</f>
        <v>179</v>
      </c>
      <c r="L2342" s="51" t="str">
        <f>VLOOKUP(I2342,'Validacion reclamo de equipaje'!H:I,2,0)</f>
        <v>Nacional</v>
      </c>
      <c r="M2342" s="51" t="s">
        <v>523</v>
      </c>
    </row>
    <row r="2343" spans="1:13" x14ac:dyDescent="0.25">
      <c r="A2343">
        <v>2840</v>
      </c>
      <c r="B2343" s="47" t="str">
        <f>VLOOKUP(Tabla6[[#This Row],['# Vuelo]],'Validacion reclamo de equipaje'!P:Q,2,0)</f>
        <v>AEROLINEAS DE AMERICA</v>
      </c>
      <c r="C2343" s="52">
        <v>0.76736111111111116</v>
      </c>
      <c r="D2343" s="52">
        <v>0.78125</v>
      </c>
      <c r="E2343" s="53">
        <f>'Reclamo de equipaje rediseñado'!$D2343-'Reclamo de equipaje rediseñado'!$C2343</f>
        <v>1.388888888888884E-2</v>
      </c>
      <c r="F2343" s="52">
        <v>0.79166666666666663</v>
      </c>
      <c r="G2343" s="53">
        <f t="shared" si="36"/>
        <v>1.041666666666663E-2</v>
      </c>
      <c r="H2343" s="54">
        <v>41749</v>
      </c>
      <c r="I2343" s="55" t="s">
        <v>536</v>
      </c>
      <c r="J2343" s="55">
        <v>320</v>
      </c>
      <c r="K2343" s="55">
        <f>VLOOKUP(J2343,'Validacion reclamo de equipaje'!L:M,2,0)</f>
        <v>179</v>
      </c>
      <c r="L2343" s="55" t="str">
        <f>VLOOKUP(I2343,'Validacion reclamo de equipaje'!H:I,2,0)</f>
        <v>Nacional</v>
      </c>
      <c r="M2343" s="55" t="s">
        <v>523</v>
      </c>
    </row>
    <row r="2344" spans="1:13" x14ac:dyDescent="0.25">
      <c r="A2344">
        <v>2840</v>
      </c>
      <c r="B2344" s="47" t="str">
        <f>VLOOKUP(Tabla6[[#This Row],['# Vuelo]],'Validacion reclamo de equipaje'!P:Q,2,0)</f>
        <v>AEROLINEAS DE AMERICA</v>
      </c>
      <c r="C2344" s="48">
        <v>0.69236111111111109</v>
      </c>
      <c r="D2344" s="48">
        <v>0.69791666666666663</v>
      </c>
      <c r="E2344" s="49">
        <f>'Reclamo de equipaje rediseñado'!$D2344-'Reclamo de equipaje rediseñado'!$C2344</f>
        <v>5.5555555555555358E-3</v>
      </c>
      <c r="F2344" s="48">
        <v>0.71666666666666667</v>
      </c>
      <c r="G2344" s="49">
        <f t="shared" si="36"/>
        <v>1.8750000000000044E-2</v>
      </c>
      <c r="H2344" s="50">
        <v>41753</v>
      </c>
      <c r="I2344" s="51" t="s">
        <v>536</v>
      </c>
      <c r="J2344" s="51">
        <v>320</v>
      </c>
      <c r="K2344" s="51">
        <f>VLOOKUP(J2344,'Validacion reclamo de equipaje'!L:M,2,0)</f>
        <v>179</v>
      </c>
      <c r="L2344" s="51" t="str">
        <f>VLOOKUP(I2344,'Validacion reclamo de equipaje'!H:I,2,0)</f>
        <v>Nacional</v>
      </c>
      <c r="M2344" s="51" t="s">
        <v>523</v>
      </c>
    </row>
    <row r="2345" spans="1:13" x14ac:dyDescent="0.25">
      <c r="A2345">
        <v>2840</v>
      </c>
      <c r="B2345" s="47" t="str">
        <f>VLOOKUP(Tabla6[[#This Row],['# Vuelo]],'Validacion reclamo de equipaje'!P:Q,2,0)</f>
        <v>AEROLINEAS DE AMERICA</v>
      </c>
      <c r="C2345" s="52">
        <v>0.76180555555555562</v>
      </c>
      <c r="D2345" s="52">
        <v>0.76736111111111116</v>
      </c>
      <c r="E2345" s="53">
        <f>'Reclamo de equipaje rediseñado'!$D2345-'Reclamo de equipaje rediseñado'!$C2345</f>
        <v>5.5555555555555358E-3</v>
      </c>
      <c r="F2345" s="52">
        <v>0.78472222222222221</v>
      </c>
      <c r="G2345" s="53">
        <f t="shared" si="36"/>
        <v>1.7361111111111049E-2</v>
      </c>
      <c r="H2345" s="54">
        <v>41756</v>
      </c>
      <c r="I2345" s="55" t="s">
        <v>536</v>
      </c>
      <c r="J2345" s="55">
        <v>320</v>
      </c>
      <c r="K2345" s="55">
        <f>VLOOKUP(J2345,'Validacion reclamo de equipaje'!L:M,2,0)</f>
        <v>179</v>
      </c>
      <c r="L2345" s="55" t="str">
        <f>VLOOKUP(I2345,'Validacion reclamo de equipaje'!H:I,2,0)</f>
        <v>Nacional</v>
      </c>
      <c r="M2345" s="55" t="s">
        <v>523</v>
      </c>
    </row>
    <row r="2346" spans="1:13" x14ac:dyDescent="0.25">
      <c r="A2346">
        <v>2840</v>
      </c>
      <c r="B2346" s="47" t="str">
        <f>VLOOKUP(Tabla6[[#This Row],['# Vuelo]],'Validacion reclamo de equipaje'!P:Q,2,0)</f>
        <v>AEROLINEAS DE AMERICA</v>
      </c>
      <c r="C2346" s="48">
        <v>0.92361111111111116</v>
      </c>
      <c r="D2346" s="48">
        <v>0.93055555555555547</v>
      </c>
      <c r="E2346" s="49">
        <f>'Reclamo de equipaje rediseñado'!$D2346-'Reclamo de equipaje rediseñado'!$C2346</f>
        <v>6.9444444444443088E-3</v>
      </c>
      <c r="F2346" s="48">
        <v>0.93611111111111101</v>
      </c>
      <c r="G2346" s="49">
        <f t="shared" si="36"/>
        <v>5.5555555555555358E-3</v>
      </c>
      <c r="H2346" s="50">
        <v>41734</v>
      </c>
      <c r="I2346" s="51" t="s">
        <v>536</v>
      </c>
      <c r="J2346" s="51">
        <v>320</v>
      </c>
      <c r="K2346" s="51">
        <f>VLOOKUP(J2346,'Validacion reclamo de equipaje'!L:M,2,0)</f>
        <v>179</v>
      </c>
      <c r="L2346" s="51" t="str">
        <f>VLOOKUP(I2346,'Validacion reclamo de equipaje'!H:I,2,0)</f>
        <v>Nacional</v>
      </c>
      <c r="M2346" s="51" t="s">
        <v>523</v>
      </c>
    </row>
    <row r="2347" spans="1:13" x14ac:dyDescent="0.25">
      <c r="A2347">
        <v>2224</v>
      </c>
      <c r="B2347" s="47" t="str">
        <f>VLOOKUP(Tabla6[[#This Row],['# Vuelo]],'Validacion reclamo de equipaje'!P:Q,2,0)</f>
        <v>INTERAVIÓN</v>
      </c>
      <c r="C2347" s="52">
        <v>5.2083333333333336E-2</v>
      </c>
      <c r="D2347" s="52">
        <v>6.5277777777777782E-2</v>
      </c>
      <c r="E2347" s="53">
        <f>'Reclamo de equipaje rediseñado'!$D2347-'Reclamo de equipaje rediseñado'!$C2347</f>
        <v>1.3194444444444446E-2</v>
      </c>
      <c r="F2347" s="52">
        <v>6.9444444444444434E-2</v>
      </c>
      <c r="G2347" s="53">
        <f t="shared" si="36"/>
        <v>4.1666666666666519E-3</v>
      </c>
      <c r="H2347" s="54">
        <v>41732</v>
      </c>
      <c r="I2347" s="55" t="s">
        <v>536</v>
      </c>
      <c r="J2347" s="55">
        <v>320</v>
      </c>
      <c r="K2347" s="55">
        <f>VLOOKUP(J2347,'Validacion reclamo de equipaje'!L:M,2,0)</f>
        <v>179</v>
      </c>
      <c r="L2347" s="55" t="str">
        <f>VLOOKUP(I2347,'Validacion reclamo de equipaje'!H:I,2,0)</f>
        <v>Nacional</v>
      </c>
      <c r="M2347" s="55" t="s">
        <v>523</v>
      </c>
    </row>
    <row r="2348" spans="1:13" x14ac:dyDescent="0.25">
      <c r="A2348">
        <v>2224</v>
      </c>
      <c r="B2348" s="47" t="str">
        <f>VLOOKUP(Tabla6[[#This Row],['# Vuelo]],'Validacion reclamo de equipaje'!P:Q,2,0)</f>
        <v>INTERAVIÓN</v>
      </c>
      <c r="C2348" s="48">
        <v>0.58472222222222225</v>
      </c>
      <c r="D2348" s="48">
        <v>0.59027777777777779</v>
      </c>
      <c r="E2348" s="49">
        <f>'Reclamo de equipaje rediseñado'!$D2348-'Reclamo de equipaje rediseñado'!$C2348</f>
        <v>5.5555555555555358E-3</v>
      </c>
      <c r="F2348" s="48">
        <v>0.59236111111111112</v>
      </c>
      <c r="G2348" s="49">
        <f t="shared" si="36"/>
        <v>2.0833333333333259E-3</v>
      </c>
      <c r="H2348" s="50">
        <v>41730</v>
      </c>
      <c r="I2348" s="51" t="s">
        <v>536</v>
      </c>
      <c r="J2348" s="51">
        <v>320</v>
      </c>
      <c r="K2348" s="51">
        <f>VLOOKUP(J2348,'Validacion reclamo de equipaje'!L:M,2,0)</f>
        <v>179</v>
      </c>
      <c r="L2348" s="51" t="str">
        <f>VLOOKUP(I2348,'Validacion reclamo de equipaje'!H:I,2,0)</f>
        <v>Nacional</v>
      </c>
      <c r="M2348" s="51" t="s">
        <v>523</v>
      </c>
    </row>
    <row r="2349" spans="1:13" x14ac:dyDescent="0.25">
      <c r="A2349">
        <v>2224</v>
      </c>
      <c r="B2349" s="47" t="str">
        <f>VLOOKUP(Tabla6[[#This Row],['# Vuelo]],'Validacion reclamo de equipaje'!P:Q,2,0)</f>
        <v>INTERAVIÓN</v>
      </c>
      <c r="C2349" s="52">
        <v>0.58472222222222225</v>
      </c>
      <c r="D2349" s="52">
        <v>0.59027777777777779</v>
      </c>
      <c r="E2349" s="53">
        <f>'Reclamo de equipaje rediseñado'!$D2349-'Reclamo de equipaje rediseñado'!$C2349</f>
        <v>5.5555555555555358E-3</v>
      </c>
      <c r="F2349" s="52">
        <v>0.59236111111111112</v>
      </c>
      <c r="G2349" s="53">
        <f t="shared" si="36"/>
        <v>2.0833333333333259E-3</v>
      </c>
      <c r="H2349" s="54">
        <v>41730</v>
      </c>
      <c r="I2349" s="55" t="s">
        <v>536</v>
      </c>
      <c r="J2349" s="55">
        <v>320</v>
      </c>
      <c r="K2349" s="55">
        <f>VLOOKUP(J2349,'Validacion reclamo de equipaje'!L:M,2,0)</f>
        <v>179</v>
      </c>
      <c r="L2349" s="55" t="str">
        <f>VLOOKUP(I2349,'Validacion reclamo de equipaje'!H:I,2,0)</f>
        <v>Nacional</v>
      </c>
      <c r="M2349" s="55" t="s">
        <v>523</v>
      </c>
    </row>
    <row r="2350" spans="1:13" x14ac:dyDescent="0.25">
      <c r="A2350">
        <v>2224</v>
      </c>
      <c r="B2350" s="47" t="str">
        <f>VLOOKUP(Tabla6[[#This Row],['# Vuelo]],'Validacion reclamo de equipaje'!P:Q,2,0)</f>
        <v>INTERAVIÓN</v>
      </c>
      <c r="C2350" s="48">
        <v>0.58611111111111114</v>
      </c>
      <c r="D2350" s="48">
        <v>0.59305555555555556</v>
      </c>
      <c r="E2350" s="49">
        <f>'Reclamo de equipaje rediseñado'!$D2350-'Reclamo de equipaje rediseñado'!$C2350</f>
        <v>6.9444444444444198E-3</v>
      </c>
      <c r="F2350" s="48">
        <v>0.59722222222222221</v>
      </c>
      <c r="G2350" s="49">
        <f t="shared" si="36"/>
        <v>4.1666666666666519E-3</v>
      </c>
      <c r="H2350" s="50">
        <v>41731</v>
      </c>
      <c r="I2350" s="51" t="s">
        <v>536</v>
      </c>
      <c r="J2350" s="51">
        <v>320</v>
      </c>
      <c r="K2350" s="51">
        <f>VLOOKUP(J2350,'Validacion reclamo de equipaje'!L:M,2,0)</f>
        <v>179</v>
      </c>
      <c r="L2350" s="51" t="str">
        <f>VLOOKUP(I2350,'Validacion reclamo de equipaje'!H:I,2,0)</f>
        <v>Nacional</v>
      </c>
      <c r="M2350" s="51" t="s">
        <v>523</v>
      </c>
    </row>
    <row r="2351" spans="1:13" x14ac:dyDescent="0.25">
      <c r="A2351">
        <v>2224</v>
      </c>
      <c r="B2351" s="47" t="str">
        <f>VLOOKUP(Tabla6[[#This Row],['# Vuelo]],'Validacion reclamo de equipaje'!P:Q,2,0)</f>
        <v>INTERAVIÓN</v>
      </c>
      <c r="C2351" s="52">
        <v>8.3333333333333329E-2</v>
      </c>
      <c r="D2351" s="52">
        <v>9.0972222222222218E-2</v>
      </c>
      <c r="E2351" s="53">
        <f>'Reclamo de equipaje rediseñado'!$D2351-'Reclamo de equipaje rediseñado'!$C2351</f>
        <v>7.6388888888888895E-3</v>
      </c>
      <c r="F2351" s="52">
        <v>9.5138888888888884E-2</v>
      </c>
      <c r="G2351" s="53">
        <f t="shared" si="36"/>
        <v>4.1666666666666657E-3</v>
      </c>
      <c r="H2351" s="54">
        <v>41732</v>
      </c>
      <c r="I2351" s="55" t="s">
        <v>536</v>
      </c>
      <c r="J2351" s="55">
        <v>320</v>
      </c>
      <c r="K2351" s="55">
        <f>VLOOKUP(J2351,'Validacion reclamo de equipaje'!L:M,2,0)</f>
        <v>179</v>
      </c>
      <c r="L2351" s="55" t="str">
        <f>VLOOKUP(I2351,'Validacion reclamo de equipaje'!H:I,2,0)</f>
        <v>Nacional</v>
      </c>
      <c r="M2351" s="55" t="s">
        <v>523</v>
      </c>
    </row>
    <row r="2352" spans="1:13" x14ac:dyDescent="0.25">
      <c r="A2352">
        <v>2224</v>
      </c>
      <c r="B2352" s="47" t="str">
        <f>VLOOKUP(Tabla6[[#This Row],['# Vuelo]],'Validacion reclamo de equipaje'!P:Q,2,0)</f>
        <v>INTERAVIÓN</v>
      </c>
      <c r="C2352" s="48">
        <v>0.59166666666666667</v>
      </c>
      <c r="D2352" s="48">
        <v>0.59722222222222221</v>
      </c>
      <c r="E2352" s="49">
        <f>'Reclamo de equipaje rediseñado'!$D2352-'Reclamo de equipaje rediseñado'!$C2352</f>
        <v>5.5555555555555358E-3</v>
      </c>
      <c r="F2352" s="48">
        <v>0.60277777777777775</v>
      </c>
      <c r="G2352" s="49">
        <f t="shared" si="36"/>
        <v>5.5555555555555358E-3</v>
      </c>
      <c r="H2352" s="50">
        <v>41733</v>
      </c>
      <c r="I2352" s="51" t="s">
        <v>536</v>
      </c>
      <c r="J2352" s="51">
        <v>320</v>
      </c>
      <c r="K2352" s="51">
        <f>VLOOKUP(J2352,'Validacion reclamo de equipaje'!L:M,2,0)</f>
        <v>179</v>
      </c>
      <c r="L2352" s="51" t="str">
        <f>VLOOKUP(I2352,'Validacion reclamo de equipaje'!H:I,2,0)</f>
        <v>Nacional</v>
      </c>
      <c r="M2352" s="51" t="s">
        <v>523</v>
      </c>
    </row>
    <row r="2353" spans="1:13" x14ac:dyDescent="0.25">
      <c r="A2353">
        <v>2224</v>
      </c>
      <c r="B2353" s="47" t="str">
        <f>VLOOKUP(Tabla6[[#This Row],['# Vuelo]],'Validacion reclamo de equipaje'!P:Q,2,0)</f>
        <v>INTERAVIÓN</v>
      </c>
      <c r="C2353" s="52">
        <v>0.57638888888888895</v>
      </c>
      <c r="D2353" s="52">
        <v>0.58750000000000002</v>
      </c>
      <c r="E2353" s="53">
        <f>'Reclamo de equipaje rediseñado'!$D2353-'Reclamo de equipaje rediseñado'!$C2353</f>
        <v>1.1111111111111072E-2</v>
      </c>
      <c r="F2353" s="52">
        <v>0.59027777777777779</v>
      </c>
      <c r="G2353" s="53">
        <f t="shared" si="36"/>
        <v>2.7777777777777679E-3</v>
      </c>
      <c r="H2353" s="54">
        <v>41737</v>
      </c>
      <c r="I2353" s="55" t="s">
        <v>536</v>
      </c>
      <c r="J2353" s="55">
        <v>320</v>
      </c>
      <c r="K2353" s="55">
        <f>VLOOKUP(J2353,'Validacion reclamo de equipaje'!L:M,2,0)</f>
        <v>179</v>
      </c>
      <c r="L2353" s="55" t="str">
        <f>VLOOKUP(I2353,'Validacion reclamo de equipaje'!H:I,2,0)</f>
        <v>Nacional</v>
      </c>
      <c r="M2353" s="55" t="s">
        <v>523</v>
      </c>
    </row>
    <row r="2354" spans="1:13" x14ac:dyDescent="0.25">
      <c r="A2354">
        <v>2224</v>
      </c>
      <c r="B2354" s="47" t="str">
        <f>VLOOKUP(Tabla6[[#This Row],['# Vuelo]],'Validacion reclamo de equipaje'!P:Q,2,0)</f>
        <v>INTERAVIÓN</v>
      </c>
      <c r="C2354" s="48">
        <v>0.59583333333333333</v>
      </c>
      <c r="D2354" s="48">
        <v>0.59722222222222221</v>
      </c>
      <c r="E2354" s="49">
        <f>'Reclamo de equipaje rediseñado'!$D2354-'Reclamo de equipaje rediseñado'!$C2354</f>
        <v>1.388888888888884E-3</v>
      </c>
      <c r="F2354" s="48">
        <v>0.6</v>
      </c>
      <c r="G2354" s="49">
        <f t="shared" si="36"/>
        <v>2.7777777777777679E-3</v>
      </c>
      <c r="H2354" s="50">
        <v>41739</v>
      </c>
      <c r="I2354" s="51" t="s">
        <v>536</v>
      </c>
      <c r="J2354" s="51">
        <v>320</v>
      </c>
      <c r="K2354" s="51">
        <f>VLOOKUP(J2354,'Validacion reclamo de equipaje'!L:M,2,0)</f>
        <v>179</v>
      </c>
      <c r="L2354" s="51" t="str">
        <f>VLOOKUP(I2354,'Validacion reclamo de equipaje'!H:I,2,0)</f>
        <v>Nacional</v>
      </c>
      <c r="M2354" s="51" t="s">
        <v>523</v>
      </c>
    </row>
    <row r="2355" spans="1:13" x14ac:dyDescent="0.25">
      <c r="A2355">
        <v>2224</v>
      </c>
      <c r="B2355" s="47" t="str">
        <f>VLOOKUP(Tabla6[[#This Row],['# Vuelo]],'Validacion reclamo de equipaje'!P:Q,2,0)</f>
        <v>INTERAVIÓN</v>
      </c>
      <c r="C2355" s="52">
        <v>0.58472222222222225</v>
      </c>
      <c r="D2355" s="52">
        <v>0.59027777777777779</v>
      </c>
      <c r="E2355" s="53">
        <f>'Reclamo de equipaje rediseñado'!$D2355-'Reclamo de equipaje rediseñado'!$C2355</f>
        <v>5.5555555555555358E-3</v>
      </c>
      <c r="F2355" s="52">
        <v>0.59236111111111112</v>
      </c>
      <c r="G2355" s="53">
        <f t="shared" si="36"/>
        <v>2.0833333333333259E-3</v>
      </c>
      <c r="H2355" s="54">
        <v>41742</v>
      </c>
      <c r="I2355" s="55" t="s">
        <v>536</v>
      </c>
      <c r="J2355" s="55">
        <v>320</v>
      </c>
      <c r="K2355" s="55">
        <f>VLOOKUP(J2355,'Validacion reclamo de equipaje'!L:M,2,0)</f>
        <v>179</v>
      </c>
      <c r="L2355" s="55" t="str">
        <f>VLOOKUP(I2355,'Validacion reclamo de equipaje'!H:I,2,0)</f>
        <v>Nacional</v>
      </c>
      <c r="M2355" s="55" t="s">
        <v>523</v>
      </c>
    </row>
    <row r="2356" spans="1:13" x14ac:dyDescent="0.25">
      <c r="A2356">
        <v>2224</v>
      </c>
      <c r="B2356" s="47" t="str">
        <f>VLOOKUP(Tabla6[[#This Row],['# Vuelo]],'Validacion reclamo de equipaje'!P:Q,2,0)</f>
        <v>INTERAVIÓN</v>
      </c>
      <c r="C2356" s="48">
        <v>0.58472222222222225</v>
      </c>
      <c r="D2356" s="48">
        <v>0.59027777777777779</v>
      </c>
      <c r="E2356" s="49">
        <f>'Reclamo de equipaje rediseñado'!$D2356-'Reclamo de equipaje rediseñado'!$C2356</f>
        <v>5.5555555555555358E-3</v>
      </c>
      <c r="F2356" s="48">
        <v>0.59236111111111112</v>
      </c>
      <c r="G2356" s="49">
        <f t="shared" si="36"/>
        <v>2.0833333333333259E-3</v>
      </c>
      <c r="H2356" s="50">
        <v>41742</v>
      </c>
      <c r="I2356" s="51" t="s">
        <v>536</v>
      </c>
      <c r="J2356" s="51">
        <v>320</v>
      </c>
      <c r="K2356" s="51">
        <f>VLOOKUP(J2356,'Validacion reclamo de equipaje'!L:M,2,0)</f>
        <v>179</v>
      </c>
      <c r="L2356" s="51" t="str">
        <f>VLOOKUP(I2356,'Validacion reclamo de equipaje'!H:I,2,0)</f>
        <v>Nacional</v>
      </c>
      <c r="M2356" s="51" t="s">
        <v>523</v>
      </c>
    </row>
    <row r="2357" spans="1:13" x14ac:dyDescent="0.25">
      <c r="A2357">
        <v>2224</v>
      </c>
      <c r="B2357" s="47" t="str">
        <f>VLOOKUP(Tabla6[[#This Row],['# Vuelo]],'Validacion reclamo de equipaje'!P:Q,2,0)</f>
        <v>INTERAVIÓN</v>
      </c>
      <c r="C2357" s="52">
        <v>0.57013888888888886</v>
      </c>
      <c r="D2357" s="52">
        <v>0.57916666666666672</v>
      </c>
      <c r="E2357" s="53">
        <f>'Reclamo de equipaje rediseñado'!$D2357-'Reclamo de equipaje rediseñado'!$C2357</f>
        <v>9.0277777777778567E-3</v>
      </c>
      <c r="F2357" s="52">
        <v>0.58680555555555558</v>
      </c>
      <c r="G2357" s="53">
        <f t="shared" si="36"/>
        <v>7.6388888888888618E-3</v>
      </c>
      <c r="H2357" s="54">
        <v>41758</v>
      </c>
      <c r="I2357" s="55" t="s">
        <v>536</v>
      </c>
      <c r="J2357" s="55">
        <v>320</v>
      </c>
      <c r="K2357" s="55">
        <f>VLOOKUP(J2357,'Validacion reclamo de equipaje'!L:M,2,0)</f>
        <v>179</v>
      </c>
      <c r="L2357" s="55" t="str">
        <f>VLOOKUP(I2357,'Validacion reclamo de equipaje'!H:I,2,0)</f>
        <v>Nacional</v>
      </c>
      <c r="M2357" s="55" t="s">
        <v>523</v>
      </c>
    </row>
    <row r="2358" spans="1:13" x14ac:dyDescent="0.25">
      <c r="A2358">
        <v>2222</v>
      </c>
      <c r="B2358" s="47" t="str">
        <f>VLOOKUP(Tabla6[[#This Row],['# Vuelo]],'Validacion reclamo de equipaje'!P:Q,2,0)</f>
        <v>INTERAVIÓN</v>
      </c>
      <c r="C2358" s="48">
        <v>0.25</v>
      </c>
      <c r="D2358" s="48">
        <v>0.26666666666666666</v>
      </c>
      <c r="E2358" s="49">
        <f>'Reclamo de equipaje rediseñado'!$D2358-'Reclamo de equipaje rediseñado'!$C2358</f>
        <v>1.6666666666666663E-2</v>
      </c>
      <c r="F2358" s="48">
        <v>0.27638888888888885</v>
      </c>
      <c r="G2358" s="49">
        <f t="shared" si="36"/>
        <v>9.7222222222221877E-3</v>
      </c>
      <c r="H2358" s="50">
        <v>41731</v>
      </c>
      <c r="I2358" s="51" t="s">
        <v>536</v>
      </c>
      <c r="J2358" s="51">
        <v>320</v>
      </c>
      <c r="K2358" s="51">
        <f>VLOOKUP(J2358,'Validacion reclamo de equipaje'!L:M,2,0)</f>
        <v>179</v>
      </c>
      <c r="L2358" s="51" t="str">
        <f>VLOOKUP(I2358,'Validacion reclamo de equipaje'!H:I,2,0)</f>
        <v>Nacional</v>
      </c>
      <c r="M2358" s="51" t="s">
        <v>523</v>
      </c>
    </row>
    <row r="2359" spans="1:13" x14ac:dyDescent="0.25">
      <c r="A2359">
        <v>2222</v>
      </c>
      <c r="B2359" s="47" t="str">
        <f>VLOOKUP(Tabla6[[#This Row],['# Vuelo]],'Validacion reclamo de equipaje'!P:Q,2,0)</f>
        <v>INTERAVIÓN</v>
      </c>
      <c r="C2359" s="52">
        <v>0.24722222222222223</v>
      </c>
      <c r="D2359" s="52">
        <v>0.25347222222222221</v>
      </c>
      <c r="E2359" s="53">
        <f>'Reclamo de equipaje rediseñado'!$D2359-'Reclamo de equipaje rediseñado'!$C2359</f>
        <v>6.2499999999999778E-3</v>
      </c>
      <c r="F2359" s="52">
        <v>0.25555555555555559</v>
      </c>
      <c r="G2359" s="53">
        <f t="shared" si="36"/>
        <v>2.0833333333333814E-3</v>
      </c>
      <c r="H2359" s="54">
        <v>41732</v>
      </c>
      <c r="I2359" s="55" t="s">
        <v>536</v>
      </c>
      <c r="J2359" s="55">
        <v>320</v>
      </c>
      <c r="K2359" s="55">
        <f>VLOOKUP(J2359,'Validacion reclamo de equipaje'!L:M,2,0)</f>
        <v>179</v>
      </c>
      <c r="L2359" s="55" t="str">
        <f>VLOOKUP(I2359,'Validacion reclamo de equipaje'!H:I,2,0)</f>
        <v>Nacional</v>
      </c>
      <c r="M2359" s="55" t="s">
        <v>523</v>
      </c>
    </row>
    <row r="2360" spans="1:13" x14ac:dyDescent="0.25">
      <c r="A2360">
        <v>2222</v>
      </c>
      <c r="B2360" s="47" t="str">
        <f>VLOOKUP(Tabla6[[#This Row],['# Vuelo]],'Validacion reclamo de equipaje'!P:Q,2,0)</f>
        <v>INTERAVIÓN</v>
      </c>
      <c r="C2360" s="48">
        <v>0.2638888888888889</v>
      </c>
      <c r="D2360" s="48">
        <v>0.26527777777777778</v>
      </c>
      <c r="E2360" s="49">
        <f>'Reclamo de equipaje rediseñado'!$D2360-'Reclamo de equipaje rediseñado'!$C2360</f>
        <v>1.388888888888884E-3</v>
      </c>
      <c r="F2360" s="48">
        <v>0.27083333333333331</v>
      </c>
      <c r="G2360" s="49">
        <f t="shared" si="36"/>
        <v>5.5555555555555358E-3</v>
      </c>
      <c r="H2360" s="50">
        <v>41736</v>
      </c>
      <c r="I2360" s="51" t="s">
        <v>536</v>
      </c>
      <c r="J2360" s="51">
        <v>320</v>
      </c>
      <c r="K2360" s="51">
        <f>VLOOKUP(J2360,'Validacion reclamo de equipaje'!L:M,2,0)</f>
        <v>179</v>
      </c>
      <c r="L2360" s="51" t="str">
        <f>VLOOKUP(I2360,'Validacion reclamo de equipaje'!H:I,2,0)</f>
        <v>Nacional</v>
      </c>
      <c r="M2360" s="51" t="s">
        <v>523</v>
      </c>
    </row>
    <row r="2361" spans="1:13" x14ac:dyDescent="0.25">
      <c r="A2361">
        <v>2222</v>
      </c>
      <c r="B2361" s="47" t="str">
        <f>VLOOKUP(Tabla6[[#This Row],['# Vuelo]],'Validacion reclamo de equipaje'!P:Q,2,0)</f>
        <v>INTERAVIÓN</v>
      </c>
      <c r="C2361" s="52">
        <v>0.24652777777777779</v>
      </c>
      <c r="D2361" s="52">
        <v>0.25208333333333333</v>
      </c>
      <c r="E2361" s="53">
        <f>'Reclamo de equipaje rediseñado'!$D2361-'Reclamo de equipaje rediseñado'!$C2361</f>
        <v>5.5555555555555358E-3</v>
      </c>
      <c r="F2361" s="52">
        <v>0.25486111111111109</v>
      </c>
      <c r="G2361" s="53">
        <f t="shared" si="36"/>
        <v>2.7777777777777679E-3</v>
      </c>
      <c r="H2361" s="54">
        <v>41736</v>
      </c>
      <c r="I2361" s="55" t="s">
        <v>536</v>
      </c>
      <c r="J2361" s="55">
        <v>320</v>
      </c>
      <c r="K2361" s="55">
        <f>VLOOKUP(J2361,'Validacion reclamo de equipaje'!L:M,2,0)</f>
        <v>179</v>
      </c>
      <c r="L2361" s="55" t="str">
        <f>VLOOKUP(I2361,'Validacion reclamo de equipaje'!H:I,2,0)</f>
        <v>Nacional</v>
      </c>
      <c r="M2361" s="55" t="s">
        <v>523</v>
      </c>
    </row>
    <row r="2362" spans="1:13" x14ac:dyDescent="0.25">
      <c r="A2362">
        <v>2222</v>
      </c>
      <c r="B2362" s="47" t="str">
        <f>VLOOKUP(Tabla6[[#This Row],['# Vuelo]],'Validacion reclamo de equipaje'!P:Q,2,0)</f>
        <v>INTERAVIÓN</v>
      </c>
      <c r="C2362" s="48">
        <v>0.24930555555555556</v>
      </c>
      <c r="D2362" s="48">
        <v>0.25694444444444448</v>
      </c>
      <c r="E2362" s="49">
        <f>'Reclamo de equipaje rediseñado'!$D2362-'Reclamo de equipaje rediseñado'!$C2362</f>
        <v>7.6388888888889173E-3</v>
      </c>
      <c r="F2362" s="48">
        <v>0.26111111111111113</v>
      </c>
      <c r="G2362" s="49">
        <f t="shared" si="36"/>
        <v>4.1666666666666519E-3</v>
      </c>
      <c r="H2362" s="50">
        <v>41738</v>
      </c>
      <c r="I2362" s="51" t="s">
        <v>536</v>
      </c>
      <c r="J2362" s="51">
        <v>320</v>
      </c>
      <c r="K2362" s="51">
        <f>VLOOKUP(J2362,'Validacion reclamo de equipaje'!L:M,2,0)</f>
        <v>179</v>
      </c>
      <c r="L2362" s="51" t="str">
        <f>VLOOKUP(I2362,'Validacion reclamo de equipaje'!H:I,2,0)</f>
        <v>Nacional</v>
      </c>
      <c r="M2362" s="51" t="s">
        <v>523</v>
      </c>
    </row>
    <row r="2363" spans="1:13" x14ac:dyDescent="0.25">
      <c r="A2363">
        <v>2222</v>
      </c>
      <c r="B2363" s="47" t="str">
        <f>VLOOKUP(Tabla6[[#This Row],['# Vuelo]],'Validacion reclamo de equipaje'!P:Q,2,0)</f>
        <v>INTERAVIÓN</v>
      </c>
      <c r="C2363" s="52">
        <v>0.24791666666666667</v>
      </c>
      <c r="D2363" s="52">
        <v>0.26250000000000001</v>
      </c>
      <c r="E2363" s="53">
        <f>'Reclamo de equipaje rediseñado'!$D2363-'Reclamo de equipaje rediseñado'!$C2363</f>
        <v>1.4583333333333337E-2</v>
      </c>
      <c r="F2363" s="52">
        <v>0.26527777777777778</v>
      </c>
      <c r="G2363" s="53">
        <f t="shared" si="36"/>
        <v>2.7777777777777679E-3</v>
      </c>
      <c r="H2363" s="54">
        <v>41739</v>
      </c>
      <c r="I2363" s="55" t="s">
        <v>536</v>
      </c>
      <c r="J2363" s="55">
        <v>320</v>
      </c>
      <c r="K2363" s="55">
        <f>VLOOKUP(J2363,'Validacion reclamo de equipaje'!L:M,2,0)</f>
        <v>179</v>
      </c>
      <c r="L2363" s="55" t="str">
        <f>VLOOKUP(I2363,'Validacion reclamo de equipaje'!H:I,2,0)</f>
        <v>Nacional</v>
      </c>
      <c r="M2363" s="55" t="s">
        <v>523</v>
      </c>
    </row>
    <row r="2364" spans="1:13" x14ac:dyDescent="0.25">
      <c r="A2364">
        <v>2222</v>
      </c>
      <c r="B2364" s="47" t="str">
        <f>VLOOKUP(Tabla6[[#This Row],['# Vuelo]],'Validacion reclamo de equipaje'!P:Q,2,0)</f>
        <v>INTERAVIÓN</v>
      </c>
      <c r="C2364" s="48">
        <v>0.24861111111111112</v>
      </c>
      <c r="D2364" s="48">
        <v>0.25277777777777777</v>
      </c>
      <c r="E2364" s="49">
        <f>'Reclamo de equipaje rediseñado'!$D2364-'Reclamo de equipaje rediseñado'!$C2364</f>
        <v>4.1666666666666519E-3</v>
      </c>
      <c r="F2364" s="48">
        <v>0.2590277777777778</v>
      </c>
      <c r="G2364" s="49">
        <f t="shared" si="36"/>
        <v>6.2500000000000333E-3</v>
      </c>
      <c r="H2364" s="50">
        <v>41742</v>
      </c>
      <c r="I2364" s="51" t="s">
        <v>536</v>
      </c>
      <c r="J2364" s="51">
        <v>320</v>
      </c>
      <c r="K2364" s="51">
        <f>VLOOKUP(J2364,'Validacion reclamo de equipaje'!L:M,2,0)</f>
        <v>179</v>
      </c>
      <c r="L2364" s="51" t="str">
        <f>VLOOKUP(I2364,'Validacion reclamo de equipaje'!H:I,2,0)</f>
        <v>Nacional</v>
      </c>
      <c r="M2364" s="51" t="s">
        <v>523</v>
      </c>
    </row>
    <row r="2365" spans="1:13" x14ac:dyDescent="0.25">
      <c r="A2365">
        <v>2222</v>
      </c>
      <c r="B2365" s="47" t="str">
        <f>VLOOKUP(Tabla6[[#This Row],['# Vuelo]],'Validacion reclamo de equipaje'!P:Q,2,0)</f>
        <v>INTERAVIÓN</v>
      </c>
      <c r="C2365" s="52">
        <v>0.20833333333333334</v>
      </c>
      <c r="D2365" s="52">
        <v>0.25694444444444448</v>
      </c>
      <c r="E2365" s="53">
        <f>'Reclamo de equipaje rediseñado'!$D2365-'Reclamo de equipaje rediseñado'!$C2365</f>
        <v>4.8611111111111133E-2</v>
      </c>
      <c r="F2365" s="52">
        <v>0.26041666666666669</v>
      </c>
      <c r="G2365" s="53">
        <f t="shared" si="36"/>
        <v>3.4722222222222099E-3</v>
      </c>
      <c r="H2365" s="54">
        <v>41743</v>
      </c>
      <c r="I2365" s="55" t="s">
        <v>536</v>
      </c>
      <c r="J2365" s="55">
        <v>320</v>
      </c>
      <c r="K2365" s="55">
        <f>VLOOKUP(J2365,'Validacion reclamo de equipaje'!L:M,2,0)</f>
        <v>179</v>
      </c>
      <c r="L2365" s="55" t="str">
        <f>VLOOKUP(I2365,'Validacion reclamo de equipaje'!H:I,2,0)</f>
        <v>Nacional</v>
      </c>
      <c r="M2365" s="55" t="s">
        <v>523</v>
      </c>
    </row>
    <row r="2366" spans="1:13" x14ac:dyDescent="0.25">
      <c r="A2366">
        <v>2222</v>
      </c>
      <c r="B2366" s="47" t="str">
        <f>VLOOKUP(Tabla6[[#This Row],['# Vuelo]],'Validacion reclamo de equipaje'!P:Q,2,0)</f>
        <v>INTERAVIÓN</v>
      </c>
      <c r="C2366" s="48">
        <v>0.35416666666666669</v>
      </c>
      <c r="D2366" s="48">
        <v>0.36805555555555558</v>
      </c>
      <c r="E2366" s="49">
        <f>'Reclamo de equipaje rediseñado'!$D2366-'Reclamo de equipaje rediseñado'!$C2366</f>
        <v>1.3888888888888895E-2</v>
      </c>
      <c r="F2366" s="48">
        <v>0.375</v>
      </c>
      <c r="G2366" s="49">
        <f t="shared" si="36"/>
        <v>6.9444444444444198E-3</v>
      </c>
      <c r="H2366" s="50">
        <v>41750</v>
      </c>
      <c r="I2366" s="51" t="s">
        <v>536</v>
      </c>
      <c r="J2366" s="51">
        <v>320</v>
      </c>
      <c r="K2366" s="51">
        <f>VLOOKUP(J2366,'Validacion reclamo de equipaje'!L:M,2,0)</f>
        <v>179</v>
      </c>
      <c r="L2366" s="51" t="str">
        <f>VLOOKUP(I2366,'Validacion reclamo de equipaje'!H:I,2,0)</f>
        <v>Nacional</v>
      </c>
      <c r="M2366" s="51" t="s">
        <v>523</v>
      </c>
    </row>
    <row r="2367" spans="1:13" x14ac:dyDescent="0.25">
      <c r="A2367">
        <v>2222</v>
      </c>
      <c r="B2367" s="47" t="str">
        <f>VLOOKUP(Tabla6[[#This Row],['# Vuelo]],'Validacion reclamo de equipaje'!P:Q,2,0)</f>
        <v>INTERAVIÓN</v>
      </c>
      <c r="C2367" s="52">
        <v>0.24236111111111111</v>
      </c>
      <c r="D2367" s="52">
        <v>0.25069444444444444</v>
      </c>
      <c r="E2367" s="53">
        <f>'Reclamo de equipaje rediseñado'!$D2367-'Reclamo de equipaje rediseñado'!$C2367</f>
        <v>8.3333333333333315E-3</v>
      </c>
      <c r="F2367" s="52">
        <v>0.25694444444444448</v>
      </c>
      <c r="G2367" s="53">
        <f t="shared" si="36"/>
        <v>6.2500000000000333E-3</v>
      </c>
      <c r="H2367" s="54">
        <v>41751</v>
      </c>
      <c r="I2367" s="55" t="s">
        <v>536</v>
      </c>
      <c r="J2367" s="55">
        <v>320</v>
      </c>
      <c r="K2367" s="55">
        <f>VLOOKUP(J2367,'Validacion reclamo de equipaje'!L:M,2,0)</f>
        <v>179</v>
      </c>
      <c r="L2367" s="55" t="str">
        <f>VLOOKUP(I2367,'Validacion reclamo de equipaje'!H:I,2,0)</f>
        <v>Nacional</v>
      </c>
      <c r="M2367" s="55" t="s">
        <v>523</v>
      </c>
    </row>
    <row r="2368" spans="1:13" x14ac:dyDescent="0.25">
      <c r="A2368">
        <v>2222</v>
      </c>
      <c r="B2368" s="47" t="str">
        <f>VLOOKUP(Tabla6[[#This Row],['# Vuelo]],'Validacion reclamo de equipaje'!P:Q,2,0)</f>
        <v>INTERAVIÓN</v>
      </c>
      <c r="C2368" s="48">
        <v>0.24583333333333335</v>
      </c>
      <c r="D2368" s="48">
        <v>0.25277777777777777</v>
      </c>
      <c r="E2368" s="49">
        <f>'Reclamo de equipaje rediseñado'!$D2368-'Reclamo de equipaje rediseñado'!$C2368</f>
        <v>6.9444444444444198E-3</v>
      </c>
      <c r="F2368" s="48">
        <v>0.25555555555555559</v>
      </c>
      <c r="G2368" s="49">
        <f t="shared" si="36"/>
        <v>2.7777777777778234E-3</v>
      </c>
      <c r="H2368" s="50">
        <v>41753</v>
      </c>
      <c r="I2368" s="51" t="s">
        <v>536</v>
      </c>
      <c r="J2368" s="51">
        <v>320</v>
      </c>
      <c r="K2368" s="51">
        <f>VLOOKUP(J2368,'Validacion reclamo de equipaje'!L:M,2,0)</f>
        <v>179</v>
      </c>
      <c r="L2368" s="51" t="str">
        <f>VLOOKUP(I2368,'Validacion reclamo de equipaje'!H:I,2,0)</f>
        <v>Nacional</v>
      </c>
      <c r="M2368" s="51" t="s">
        <v>523</v>
      </c>
    </row>
    <row r="2369" spans="1:13" x14ac:dyDescent="0.25">
      <c r="A2369">
        <v>2222</v>
      </c>
      <c r="B2369" s="47" t="str">
        <f>VLOOKUP(Tabla6[[#This Row],['# Vuelo]],'Validacion reclamo de equipaje'!P:Q,2,0)</f>
        <v>INTERAVIÓN</v>
      </c>
      <c r="C2369" s="52">
        <v>0.5493055555555556</v>
      </c>
      <c r="D2369" s="52">
        <v>0.55625000000000002</v>
      </c>
      <c r="E2369" s="53">
        <f>'Reclamo de equipaje rediseñado'!$D2369-'Reclamo de equipaje rediseñado'!$C2369</f>
        <v>6.9444444444444198E-3</v>
      </c>
      <c r="F2369" s="52">
        <v>0.56111111111111112</v>
      </c>
      <c r="G2369" s="53">
        <f t="shared" si="36"/>
        <v>4.8611111111110938E-3</v>
      </c>
      <c r="H2369" s="54">
        <v>41754</v>
      </c>
      <c r="I2369" s="55" t="s">
        <v>536</v>
      </c>
      <c r="J2369" s="55">
        <v>320</v>
      </c>
      <c r="K2369" s="55">
        <f>VLOOKUP(J2369,'Validacion reclamo de equipaje'!L:M,2,0)</f>
        <v>179</v>
      </c>
      <c r="L2369" s="55" t="str">
        <f>VLOOKUP(I2369,'Validacion reclamo de equipaje'!H:I,2,0)</f>
        <v>Nacional</v>
      </c>
      <c r="M2369" s="55" t="s">
        <v>523</v>
      </c>
    </row>
    <row r="2370" spans="1:13" x14ac:dyDescent="0.25">
      <c r="A2370">
        <v>2222</v>
      </c>
      <c r="B2370" s="47" t="str">
        <f>VLOOKUP(Tabla6[[#This Row],['# Vuelo]],'Validacion reclamo de equipaje'!P:Q,2,0)</f>
        <v>INTERAVIÓN</v>
      </c>
      <c r="C2370" s="48">
        <v>0.24236111111111111</v>
      </c>
      <c r="D2370" s="48">
        <v>0.25069444444444444</v>
      </c>
      <c r="E2370" s="49">
        <f>'Reclamo de equipaje rediseñado'!$D2370-'Reclamo de equipaje rediseñado'!$C2370</f>
        <v>8.3333333333333315E-3</v>
      </c>
      <c r="F2370" s="48">
        <v>0.25277777777777777</v>
      </c>
      <c r="G2370" s="49">
        <f t="shared" si="36"/>
        <v>2.0833333333333259E-3</v>
      </c>
      <c r="H2370" s="50">
        <v>41757</v>
      </c>
      <c r="I2370" s="51" t="s">
        <v>536</v>
      </c>
      <c r="J2370" s="51">
        <v>320</v>
      </c>
      <c r="K2370" s="51">
        <f>VLOOKUP(J2370,'Validacion reclamo de equipaje'!L:M,2,0)</f>
        <v>179</v>
      </c>
      <c r="L2370" s="51" t="str">
        <f>VLOOKUP(I2370,'Validacion reclamo de equipaje'!H:I,2,0)</f>
        <v>Nacional</v>
      </c>
      <c r="M2370" s="51" t="s">
        <v>523</v>
      </c>
    </row>
    <row r="2371" spans="1:13" x14ac:dyDescent="0.25">
      <c r="A2371">
        <v>2222</v>
      </c>
      <c r="B2371" s="47" t="str">
        <f>VLOOKUP(Tabla6[[#This Row],['# Vuelo]],'Validacion reclamo de equipaje'!P:Q,2,0)</f>
        <v>INTERAVIÓN</v>
      </c>
      <c r="C2371" s="52">
        <v>0.24305555555555555</v>
      </c>
      <c r="D2371" s="52">
        <v>0.25208333333333333</v>
      </c>
      <c r="E2371" s="53">
        <f>'Reclamo de equipaje rediseñado'!$D2371-'Reclamo de equipaje rediseñado'!$C2371</f>
        <v>9.0277777777777735E-3</v>
      </c>
      <c r="F2371" s="52">
        <v>0.25416666666666665</v>
      </c>
      <c r="G2371" s="53">
        <f t="shared" ref="G2371:G2434" si="37">F2371-D2371</f>
        <v>2.0833333333333259E-3</v>
      </c>
      <c r="H2371" s="54">
        <v>41759</v>
      </c>
      <c r="I2371" s="55" t="s">
        <v>536</v>
      </c>
      <c r="J2371" s="55">
        <v>320</v>
      </c>
      <c r="K2371" s="55">
        <f>VLOOKUP(J2371,'Validacion reclamo de equipaje'!L:M,2,0)</f>
        <v>179</v>
      </c>
      <c r="L2371" s="55" t="str">
        <f>VLOOKUP(I2371,'Validacion reclamo de equipaje'!H:I,2,0)</f>
        <v>Nacional</v>
      </c>
      <c r="M2371" s="55" t="s">
        <v>523</v>
      </c>
    </row>
    <row r="2372" spans="1:13" x14ac:dyDescent="0.25">
      <c r="A2372">
        <v>2222</v>
      </c>
      <c r="B2372" s="47" t="str">
        <f>VLOOKUP(Tabla6[[#This Row],['# Vuelo]],'Validacion reclamo de equipaje'!P:Q,2,0)</f>
        <v>INTERAVIÓN</v>
      </c>
      <c r="C2372" s="48">
        <v>0.24166666666666667</v>
      </c>
      <c r="D2372" s="48">
        <v>0.24791666666666667</v>
      </c>
      <c r="E2372" s="49">
        <f>'Reclamo de equipaje rediseñado'!$D2372-'Reclamo de equipaje rediseñado'!$C2372</f>
        <v>6.2500000000000056E-3</v>
      </c>
      <c r="F2372" s="48">
        <v>0.25347222222222221</v>
      </c>
      <c r="G2372" s="49">
        <f t="shared" si="37"/>
        <v>5.5555555555555358E-3</v>
      </c>
      <c r="H2372" s="50">
        <v>41759</v>
      </c>
      <c r="I2372" s="51" t="s">
        <v>536</v>
      </c>
      <c r="J2372" s="51">
        <v>320</v>
      </c>
      <c r="K2372" s="51">
        <f>VLOOKUP(J2372,'Validacion reclamo de equipaje'!L:M,2,0)</f>
        <v>179</v>
      </c>
      <c r="L2372" s="51" t="str">
        <f>VLOOKUP(I2372,'Validacion reclamo de equipaje'!H:I,2,0)</f>
        <v>Nacional</v>
      </c>
      <c r="M2372" s="51" t="s">
        <v>523</v>
      </c>
    </row>
    <row r="2373" spans="1:13" x14ac:dyDescent="0.25">
      <c r="A2373">
        <v>2220</v>
      </c>
      <c r="B2373" s="47" t="str">
        <f>VLOOKUP(Tabla6[[#This Row],['# Vuelo]],'Validacion reclamo de equipaje'!P:Q,2,0)</f>
        <v>INTERAVIÓN</v>
      </c>
      <c r="C2373" s="52">
        <v>0.80347222222222225</v>
      </c>
      <c r="D2373" s="52">
        <v>0.81041666666666667</v>
      </c>
      <c r="E2373" s="53">
        <f>'Reclamo de equipaje rediseñado'!$D2373-'Reclamo de equipaje rediseñado'!$C2373</f>
        <v>6.9444444444444198E-3</v>
      </c>
      <c r="F2373" s="52">
        <v>0.81597222222222221</v>
      </c>
      <c r="G2373" s="53">
        <f t="shared" si="37"/>
        <v>5.5555555555555358E-3</v>
      </c>
      <c r="H2373" s="54">
        <v>41732</v>
      </c>
      <c r="I2373" s="55" t="s">
        <v>536</v>
      </c>
      <c r="J2373" s="55">
        <v>320</v>
      </c>
      <c r="K2373" s="55">
        <f>VLOOKUP(J2373,'Validacion reclamo de equipaje'!L:M,2,0)</f>
        <v>179</v>
      </c>
      <c r="L2373" s="55" t="str">
        <f>VLOOKUP(I2373,'Validacion reclamo de equipaje'!H:I,2,0)</f>
        <v>Nacional</v>
      </c>
      <c r="M2373" s="55" t="s">
        <v>523</v>
      </c>
    </row>
    <row r="2374" spans="1:13" x14ac:dyDescent="0.25">
      <c r="A2374">
        <v>2220</v>
      </c>
      <c r="B2374" s="47" t="str">
        <f>VLOOKUP(Tabla6[[#This Row],['# Vuelo]],'Validacion reclamo de equipaje'!P:Q,2,0)</f>
        <v>INTERAVIÓN</v>
      </c>
      <c r="C2374" s="48">
        <v>0.34027777777777773</v>
      </c>
      <c r="D2374" s="48">
        <v>0.34375</v>
      </c>
      <c r="E2374" s="49">
        <f>'Reclamo de equipaje rediseñado'!$D2374-'Reclamo de equipaje rediseñado'!$C2374</f>
        <v>3.4722222222222654E-3</v>
      </c>
      <c r="F2374" s="48">
        <v>0.34513888888888888</v>
      </c>
      <c r="G2374" s="49">
        <f t="shared" si="37"/>
        <v>1.388888888888884E-3</v>
      </c>
      <c r="H2374" s="50">
        <v>41735</v>
      </c>
      <c r="I2374" s="51" t="s">
        <v>536</v>
      </c>
      <c r="J2374" s="51">
        <v>320</v>
      </c>
      <c r="K2374" s="51">
        <f>VLOOKUP(J2374,'Validacion reclamo de equipaje'!L:M,2,0)</f>
        <v>179</v>
      </c>
      <c r="L2374" s="51" t="str">
        <f>VLOOKUP(I2374,'Validacion reclamo de equipaje'!H:I,2,0)</f>
        <v>Nacional</v>
      </c>
      <c r="M2374" s="51" t="s">
        <v>523</v>
      </c>
    </row>
    <row r="2375" spans="1:13" x14ac:dyDescent="0.25">
      <c r="A2375">
        <v>2220</v>
      </c>
      <c r="B2375" s="47" t="str">
        <f>VLOOKUP(Tabla6[[#This Row],['# Vuelo]],'Validacion reclamo de equipaje'!P:Q,2,0)</f>
        <v>INTERAVIÓN</v>
      </c>
      <c r="C2375" s="52">
        <v>0.69444444444444453</v>
      </c>
      <c r="D2375" s="52">
        <v>0.69791666666666663</v>
      </c>
      <c r="E2375" s="53">
        <f>'Reclamo de equipaje rediseñado'!$D2375-'Reclamo de equipaje rediseñado'!$C2375</f>
        <v>3.4722222222220989E-3</v>
      </c>
      <c r="F2375" s="52">
        <v>0.70277777777777783</v>
      </c>
      <c r="G2375" s="53">
        <f t="shared" si="37"/>
        <v>4.8611111111112049E-3</v>
      </c>
      <c r="H2375" s="54">
        <v>41741</v>
      </c>
      <c r="I2375" s="55" t="s">
        <v>536</v>
      </c>
      <c r="J2375" s="55">
        <v>320</v>
      </c>
      <c r="K2375" s="55">
        <f>VLOOKUP(J2375,'Validacion reclamo de equipaje'!L:M,2,0)</f>
        <v>179</v>
      </c>
      <c r="L2375" s="55" t="str">
        <f>VLOOKUP(I2375,'Validacion reclamo de equipaje'!H:I,2,0)</f>
        <v>Nacional</v>
      </c>
      <c r="M2375" s="55" t="s">
        <v>523</v>
      </c>
    </row>
    <row r="2376" spans="1:13" x14ac:dyDescent="0.25">
      <c r="A2376">
        <v>2220</v>
      </c>
      <c r="B2376" s="47" t="str">
        <f>VLOOKUP(Tabla6[[#This Row],['# Vuelo]],'Validacion reclamo de equipaje'!P:Q,2,0)</f>
        <v>INTERAVIÓN</v>
      </c>
      <c r="C2376" s="48">
        <v>0.85</v>
      </c>
      <c r="D2376" s="48">
        <v>0.85833333333333339</v>
      </c>
      <c r="E2376" s="49">
        <f>'Reclamo de equipaje rediseñado'!$D2376-'Reclamo de equipaje rediseñado'!$C2376</f>
        <v>8.3333333333334147E-3</v>
      </c>
      <c r="F2376" s="48">
        <v>0.8666666666666667</v>
      </c>
      <c r="G2376" s="49">
        <f t="shared" si="37"/>
        <v>8.3333333333333037E-3</v>
      </c>
      <c r="H2376" s="50">
        <v>41749</v>
      </c>
      <c r="I2376" s="51" t="s">
        <v>536</v>
      </c>
      <c r="J2376" s="51">
        <v>320</v>
      </c>
      <c r="K2376" s="51">
        <f>VLOOKUP(J2376,'Validacion reclamo de equipaje'!L:M,2,0)</f>
        <v>179</v>
      </c>
      <c r="L2376" s="51" t="str">
        <f>VLOOKUP(I2376,'Validacion reclamo de equipaje'!H:I,2,0)</f>
        <v>Nacional</v>
      </c>
      <c r="M2376" s="51" t="s">
        <v>523</v>
      </c>
    </row>
    <row r="2377" spans="1:13" x14ac:dyDescent="0.25">
      <c r="A2377">
        <v>2218</v>
      </c>
      <c r="B2377" s="47" t="str">
        <f>VLOOKUP(Tabla6[[#This Row],['# Vuelo]],'Validacion reclamo de equipaje'!P:Q,2,0)</f>
        <v>INTERAVIÓN</v>
      </c>
      <c r="C2377" s="52">
        <v>0.88541666666666663</v>
      </c>
      <c r="D2377" s="52">
        <v>0.89930555555555547</v>
      </c>
      <c r="E2377" s="53">
        <f>'Reclamo de equipaje rediseñado'!$D2377-'Reclamo de equipaje rediseñado'!$C2377</f>
        <v>1.388888888888884E-2</v>
      </c>
      <c r="F2377" s="52">
        <v>0.90277777777777779</v>
      </c>
      <c r="G2377" s="53">
        <f t="shared" si="37"/>
        <v>3.4722222222223209E-3</v>
      </c>
      <c r="H2377" s="54">
        <v>41731</v>
      </c>
      <c r="I2377" s="55" t="s">
        <v>536</v>
      </c>
      <c r="J2377" s="55">
        <v>320</v>
      </c>
      <c r="K2377" s="55">
        <f>VLOOKUP(J2377,'Validacion reclamo de equipaje'!L:M,2,0)</f>
        <v>179</v>
      </c>
      <c r="L2377" s="55" t="str">
        <f>VLOOKUP(I2377,'Validacion reclamo de equipaje'!H:I,2,0)</f>
        <v>Nacional</v>
      </c>
      <c r="M2377" s="55" t="s">
        <v>523</v>
      </c>
    </row>
    <row r="2378" spans="1:13" x14ac:dyDescent="0.25">
      <c r="A2378">
        <v>2218</v>
      </c>
      <c r="B2378" s="47" t="str">
        <f>VLOOKUP(Tabla6[[#This Row],['# Vuelo]],'Validacion reclamo de equipaje'!P:Q,2,0)</f>
        <v>INTERAVIÓN</v>
      </c>
      <c r="C2378" s="48">
        <v>0.89930555555555547</v>
      </c>
      <c r="D2378" s="48">
        <v>0.90486111111111101</v>
      </c>
      <c r="E2378" s="49">
        <f>'Reclamo de equipaje rediseñado'!$D2378-'Reclamo de equipaje rediseñado'!$C2378</f>
        <v>5.5555555555555358E-3</v>
      </c>
      <c r="F2378" s="48">
        <v>0.91111111111111109</v>
      </c>
      <c r="G2378" s="49">
        <f t="shared" si="37"/>
        <v>6.2500000000000888E-3</v>
      </c>
      <c r="H2378" s="50">
        <v>41732</v>
      </c>
      <c r="I2378" s="51" t="s">
        <v>536</v>
      </c>
      <c r="J2378" s="51">
        <v>320</v>
      </c>
      <c r="K2378" s="51">
        <f>VLOOKUP(J2378,'Validacion reclamo de equipaje'!L:M,2,0)</f>
        <v>179</v>
      </c>
      <c r="L2378" s="51" t="str">
        <f>VLOOKUP(I2378,'Validacion reclamo de equipaje'!H:I,2,0)</f>
        <v>Nacional</v>
      </c>
      <c r="M2378" s="51" t="s">
        <v>523</v>
      </c>
    </row>
    <row r="2379" spans="1:13" x14ac:dyDescent="0.25">
      <c r="A2379">
        <v>2218</v>
      </c>
      <c r="B2379" s="47" t="str">
        <f>VLOOKUP(Tabla6[[#This Row],['# Vuelo]],'Validacion reclamo de equipaje'!P:Q,2,0)</f>
        <v>INTERAVIÓN</v>
      </c>
      <c r="C2379" s="52">
        <v>0.40277777777777773</v>
      </c>
      <c r="D2379" s="52">
        <v>0.40347222222222223</v>
      </c>
      <c r="E2379" s="53">
        <f>'Reclamo de equipaje rediseñado'!$D2379-'Reclamo de equipaje rediseñado'!$C2379</f>
        <v>6.9444444444449749E-4</v>
      </c>
      <c r="F2379" s="52">
        <v>0.40486111111111112</v>
      </c>
      <c r="G2379" s="53">
        <f t="shared" si="37"/>
        <v>1.388888888888884E-3</v>
      </c>
      <c r="H2379" s="54">
        <v>41735</v>
      </c>
      <c r="I2379" s="55" t="s">
        <v>536</v>
      </c>
      <c r="J2379" s="55">
        <v>320</v>
      </c>
      <c r="K2379" s="55">
        <f>VLOOKUP(J2379,'Validacion reclamo de equipaje'!L:M,2,0)</f>
        <v>179</v>
      </c>
      <c r="L2379" s="55" t="str">
        <f>VLOOKUP(I2379,'Validacion reclamo de equipaje'!H:I,2,0)</f>
        <v>Nacional</v>
      </c>
      <c r="M2379" s="55" t="s">
        <v>523</v>
      </c>
    </row>
    <row r="2380" spans="1:13" x14ac:dyDescent="0.25">
      <c r="A2380">
        <v>2218</v>
      </c>
      <c r="B2380" s="47" t="str">
        <f>VLOOKUP(Tabla6[[#This Row],['# Vuelo]],'Validacion reclamo de equipaje'!P:Q,2,0)</f>
        <v>INTERAVIÓN</v>
      </c>
      <c r="C2380" s="48">
        <v>0.88680555555555562</v>
      </c>
      <c r="D2380" s="48">
        <v>0.89097222222222217</v>
      </c>
      <c r="E2380" s="49">
        <f>'Reclamo de equipaje rediseñado'!$D2380-'Reclamo de equipaje rediseñado'!$C2380</f>
        <v>4.1666666666665408E-3</v>
      </c>
      <c r="F2380" s="48">
        <v>0.89583333333333337</v>
      </c>
      <c r="G2380" s="49">
        <f t="shared" si="37"/>
        <v>4.8611111111112049E-3</v>
      </c>
      <c r="H2380" s="50">
        <v>41736</v>
      </c>
      <c r="I2380" s="51" t="s">
        <v>536</v>
      </c>
      <c r="J2380" s="51">
        <v>320</v>
      </c>
      <c r="K2380" s="51">
        <f>VLOOKUP(J2380,'Validacion reclamo de equipaje'!L:M,2,0)</f>
        <v>179</v>
      </c>
      <c r="L2380" s="51" t="str">
        <f>VLOOKUP(I2380,'Validacion reclamo de equipaje'!H:I,2,0)</f>
        <v>Nacional</v>
      </c>
      <c r="M2380" s="51" t="s">
        <v>523</v>
      </c>
    </row>
    <row r="2381" spans="1:13" x14ac:dyDescent="0.25">
      <c r="A2381">
        <v>2218</v>
      </c>
      <c r="B2381" s="47" t="str">
        <f>VLOOKUP(Tabla6[[#This Row],['# Vuelo]],'Validacion reclamo de equipaje'!P:Q,2,0)</f>
        <v>INTERAVIÓN</v>
      </c>
      <c r="C2381" s="52">
        <v>0.90416666666666667</v>
      </c>
      <c r="D2381" s="52">
        <v>0.91319444444444453</v>
      </c>
      <c r="E2381" s="53">
        <f>'Reclamo de equipaje rediseñado'!$D2381-'Reclamo de equipaje rediseñado'!$C2381</f>
        <v>9.0277777777778567E-3</v>
      </c>
      <c r="F2381" s="52">
        <v>0.91736111111111107</v>
      </c>
      <c r="G2381" s="53">
        <f t="shared" si="37"/>
        <v>4.1666666666665408E-3</v>
      </c>
      <c r="H2381" s="54">
        <v>41738</v>
      </c>
      <c r="I2381" s="55" t="s">
        <v>536</v>
      </c>
      <c r="J2381" s="55">
        <v>320</v>
      </c>
      <c r="K2381" s="55">
        <f>VLOOKUP(J2381,'Validacion reclamo de equipaje'!L:M,2,0)</f>
        <v>179</v>
      </c>
      <c r="L2381" s="55" t="str">
        <f>VLOOKUP(I2381,'Validacion reclamo de equipaje'!H:I,2,0)</f>
        <v>Nacional</v>
      </c>
      <c r="M2381" s="55" t="s">
        <v>523</v>
      </c>
    </row>
    <row r="2382" spans="1:13" x14ac:dyDescent="0.25">
      <c r="A2382">
        <v>2218</v>
      </c>
      <c r="B2382" s="47" t="str">
        <f>VLOOKUP(Tabla6[[#This Row],['# Vuelo]],'Validacion reclamo de equipaje'!P:Q,2,0)</f>
        <v>INTERAVIÓN</v>
      </c>
      <c r="C2382" s="48">
        <v>0.92361111111111116</v>
      </c>
      <c r="D2382" s="48">
        <v>0.92708333333333337</v>
      </c>
      <c r="E2382" s="49">
        <f>'Reclamo de equipaje rediseñado'!$D2382-'Reclamo de equipaje rediseñado'!$C2382</f>
        <v>3.4722222222222099E-3</v>
      </c>
      <c r="F2382" s="48">
        <v>0.93055555555555547</v>
      </c>
      <c r="G2382" s="49">
        <f t="shared" si="37"/>
        <v>3.4722222222220989E-3</v>
      </c>
      <c r="H2382" s="50">
        <v>41739</v>
      </c>
      <c r="I2382" s="51" t="s">
        <v>536</v>
      </c>
      <c r="J2382" s="51">
        <v>320</v>
      </c>
      <c r="K2382" s="51">
        <f>VLOOKUP(J2382,'Validacion reclamo de equipaje'!L:M,2,0)</f>
        <v>179</v>
      </c>
      <c r="L2382" s="51" t="str">
        <f>VLOOKUP(I2382,'Validacion reclamo de equipaje'!H:I,2,0)</f>
        <v>Nacional</v>
      </c>
      <c r="M2382" s="51" t="s">
        <v>523</v>
      </c>
    </row>
    <row r="2383" spans="1:13" x14ac:dyDescent="0.25">
      <c r="A2383">
        <v>2218</v>
      </c>
      <c r="B2383" s="47" t="str">
        <f>VLOOKUP(Tabla6[[#This Row],['# Vuelo]],'Validacion reclamo de equipaje'!P:Q,2,0)</f>
        <v>INTERAVIÓN</v>
      </c>
      <c r="C2383" s="52">
        <v>0.89236111111111116</v>
      </c>
      <c r="D2383" s="52">
        <v>0.90138888888888891</v>
      </c>
      <c r="E2383" s="53">
        <f>'Reclamo de equipaje rediseñado'!$D2383-'Reclamo de equipaje rediseñado'!$C2383</f>
        <v>9.0277777777777457E-3</v>
      </c>
      <c r="F2383" s="52">
        <v>0.90416666666666667</v>
      </c>
      <c r="G2383" s="53">
        <f t="shared" si="37"/>
        <v>2.7777777777777679E-3</v>
      </c>
      <c r="H2383" s="54">
        <v>41753</v>
      </c>
      <c r="I2383" s="55" t="s">
        <v>536</v>
      </c>
      <c r="J2383" s="55">
        <v>320</v>
      </c>
      <c r="K2383" s="55">
        <f>VLOOKUP(J2383,'Validacion reclamo de equipaje'!L:M,2,0)</f>
        <v>179</v>
      </c>
      <c r="L2383" s="55" t="str">
        <f>VLOOKUP(I2383,'Validacion reclamo de equipaje'!H:I,2,0)</f>
        <v>Nacional</v>
      </c>
      <c r="M2383" s="55" t="s">
        <v>523</v>
      </c>
    </row>
    <row r="2384" spans="1:13" x14ac:dyDescent="0.25">
      <c r="A2384">
        <v>2218</v>
      </c>
      <c r="B2384" s="47" t="str">
        <f>VLOOKUP(Tabla6[[#This Row],['# Vuelo]],'Validacion reclamo de equipaje'!P:Q,2,0)</f>
        <v>INTERAVIÓN</v>
      </c>
      <c r="C2384" s="48">
        <v>0.89861111111111114</v>
      </c>
      <c r="D2384" s="48">
        <v>0.90625</v>
      </c>
      <c r="E2384" s="49">
        <f>'Reclamo de equipaje rediseñado'!$D2384-'Reclamo de equipaje rediseñado'!$C2384</f>
        <v>7.6388888888888618E-3</v>
      </c>
      <c r="F2384" s="48">
        <v>0.91111111111111109</v>
      </c>
      <c r="G2384" s="49">
        <f t="shared" si="37"/>
        <v>4.8611111111110938E-3</v>
      </c>
      <c r="H2384" s="50">
        <v>41757</v>
      </c>
      <c r="I2384" s="51" t="s">
        <v>536</v>
      </c>
      <c r="J2384" s="51">
        <v>320</v>
      </c>
      <c r="K2384" s="51">
        <f>VLOOKUP(J2384,'Validacion reclamo de equipaje'!L:M,2,0)</f>
        <v>179</v>
      </c>
      <c r="L2384" s="51" t="str">
        <f>VLOOKUP(I2384,'Validacion reclamo de equipaje'!H:I,2,0)</f>
        <v>Nacional</v>
      </c>
      <c r="M2384" s="51" t="s">
        <v>523</v>
      </c>
    </row>
    <row r="2385" spans="1:13" x14ac:dyDescent="0.25">
      <c r="A2385">
        <v>2218</v>
      </c>
      <c r="B2385" s="47" t="str">
        <f>VLOOKUP(Tabla6[[#This Row],['# Vuelo]],'Validacion reclamo de equipaje'!P:Q,2,0)</f>
        <v>INTERAVIÓN</v>
      </c>
      <c r="C2385" s="52">
        <v>0.89583333333333337</v>
      </c>
      <c r="D2385" s="52">
        <v>0.90555555555555556</v>
      </c>
      <c r="E2385" s="53">
        <f>'Reclamo de equipaje rediseñado'!$D2385-'Reclamo de equipaje rediseñado'!$C2385</f>
        <v>9.7222222222221877E-3</v>
      </c>
      <c r="F2385" s="52">
        <v>0.91111111111111109</v>
      </c>
      <c r="G2385" s="53">
        <f t="shared" si="37"/>
        <v>5.5555555555555358E-3</v>
      </c>
      <c r="H2385" s="54">
        <v>41759</v>
      </c>
      <c r="I2385" s="55" t="s">
        <v>536</v>
      </c>
      <c r="J2385" s="55">
        <v>320</v>
      </c>
      <c r="K2385" s="55">
        <f>VLOOKUP(J2385,'Validacion reclamo de equipaje'!L:M,2,0)</f>
        <v>179</v>
      </c>
      <c r="L2385" s="55" t="str">
        <f>VLOOKUP(I2385,'Validacion reclamo de equipaje'!H:I,2,0)</f>
        <v>Nacional</v>
      </c>
      <c r="M2385" s="55" t="s">
        <v>523</v>
      </c>
    </row>
    <row r="2386" spans="1:13" x14ac:dyDescent="0.25">
      <c r="A2386">
        <v>2218</v>
      </c>
      <c r="B2386" s="47" t="str">
        <f>VLOOKUP(Tabla6[[#This Row],['# Vuelo]],'Validacion reclamo de equipaje'!P:Q,2,0)</f>
        <v>INTERAVIÓN</v>
      </c>
      <c r="C2386" s="48">
        <v>0.93263888888888891</v>
      </c>
      <c r="D2386" s="48">
        <v>0.94236111111111109</v>
      </c>
      <c r="E2386" s="49">
        <f>'Reclamo de equipaje rediseñado'!$D2386-'Reclamo de equipaje rediseñado'!$C2386</f>
        <v>9.7222222222221877E-3</v>
      </c>
      <c r="F2386" s="48">
        <v>0.94444444444444453</v>
      </c>
      <c r="G2386" s="49">
        <f t="shared" si="37"/>
        <v>2.083333333333437E-3</v>
      </c>
      <c r="H2386" s="50">
        <v>41759</v>
      </c>
      <c r="I2386" s="51" t="s">
        <v>536</v>
      </c>
      <c r="J2386" s="51">
        <v>320</v>
      </c>
      <c r="K2386" s="51">
        <f>VLOOKUP(J2386,'Validacion reclamo de equipaje'!L:M,2,0)</f>
        <v>179</v>
      </c>
      <c r="L2386" s="51" t="str">
        <f>VLOOKUP(I2386,'Validacion reclamo de equipaje'!H:I,2,0)</f>
        <v>Nacional</v>
      </c>
      <c r="M2386" s="51" t="s">
        <v>523</v>
      </c>
    </row>
    <row r="2387" spans="1:13" x14ac:dyDescent="0.25">
      <c r="A2387">
        <v>2216</v>
      </c>
      <c r="B2387" s="47" t="str">
        <f>VLOOKUP(Tabla6[[#This Row],['# Vuelo]],'Validacion reclamo de equipaje'!P:Q,2,0)</f>
        <v>INTERAVIÓN</v>
      </c>
      <c r="C2387" s="52">
        <v>0.85277777777777775</v>
      </c>
      <c r="D2387" s="52">
        <v>0.85833333333333339</v>
      </c>
      <c r="E2387" s="53">
        <f>'Reclamo de equipaje rediseñado'!$D2387-'Reclamo de equipaje rediseñado'!$C2387</f>
        <v>5.5555555555556468E-3</v>
      </c>
      <c r="F2387" s="52">
        <v>0.86319444444444438</v>
      </c>
      <c r="G2387" s="53">
        <f t="shared" si="37"/>
        <v>4.8611111111109828E-3</v>
      </c>
      <c r="H2387" s="54">
        <v>41731</v>
      </c>
      <c r="I2387" s="55" t="s">
        <v>536</v>
      </c>
      <c r="J2387" s="55">
        <v>320</v>
      </c>
      <c r="K2387" s="55">
        <f>VLOOKUP(J2387,'Validacion reclamo de equipaje'!L:M,2,0)</f>
        <v>179</v>
      </c>
      <c r="L2387" s="55" t="str">
        <f>VLOOKUP(I2387,'Validacion reclamo de equipaje'!H:I,2,0)</f>
        <v>Nacional</v>
      </c>
      <c r="M2387" s="55" t="s">
        <v>523</v>
      </c>
    </row>
    <row r="2388" spans="1:13" x14ac:dyDescent="0.25">
      <c r="A2388">
        <v>2216</v>
      </c>
      <c r="B2388" s="47" t="str">
        <f>VLOOKUP(Tabla6[[#This Row],['# Vuelo]],'Validacion reclamo de equipaje'!P:Q,2,0)</f>
        <v>INTERAVIÓN</v>
      </c>
      <c r="C2388" s="48">
        <v>0.84791666666666676</v>
      </c>
      <c r="D2388" s="48">
        <v>0.8520833333333333</v>
      </c>
      <c r="E2388" s="49">
        <f>'Reclamo de equipaje rediseñado'!$D2388-'Reclamo de equipaje rediseñado'!$C2388</f>
        <v>4.1666666666665408E-3</v>
      </c>
      <c r="F2388" s="48">
        <v>0.85555555555555562</v>
      </c>
      <c r="G2388" s="49">
        <f t="shared" si="37"/>
        <v>3.4722222222223209E-3</v>
      </c>
      <c r="H2388" s="50">
        <v>41732</v>
      </c>
      <c r="I2388" s="51" t="s">
        <v>536</v>
      </c>
      <c r="J2388" s="51">
        <v>320</v>
      </c>
      <c r="K2388" s="51">
        <f>VLOOKUP(J2388,'Validacion reclamo de equipaje'!L:M,2,0)</f>
        <v>179</v>
      </c>
      <c r="L2388" s="51" t="str">
        <f>VLOOKUP(I2388,'Validacion reclamo de equipaje'!H:I,2,0)</f>
        <v>Nacional</v>
      </c>
      <c r="M2388" s="51" t="s">
        <v>523</v>
      </c>
    </row>
    <row r="2389" spans="1:13" x14ac:dyDescent="0.25">
      <c r="A2389">
        <v>2216</v>
      </c>
      <c r="B2389" s="47" t="str">
        <f>VLOOKUP(Tabla6[[#This Row],['# Vuelo]],'Validacion reclamo de equipaje'!P:Q,2,0)</f>
        <v>INTERAVIÓN</v>
      </c>
      <c r="C2389" s="52">
        <v>0.87222222222222223</v>
      </c>
      <c r="D2389" s="52">
        <v>0.87291666666666667</v>
      </c>
      <c r="E2389" s="53">
        <f>'Reclamo de equipaje rediseñado'!$D2389-'Reclamo de equipaje rediseñado'!$C2389</f>
        <v>6.9444444444444198E-4</v>
      </c>
      <c r="F2389" s="52">
        <v>0.87361111111111101</v>
      </c>
      <c r="G2389" s="53">
        <f t="shared" si="37"/>
        <v>6.9444444444433095E-4</v>
      </c>
      <c r="H2389" s="54">
        <v>41734</v>
      </c>
      <c r="I2389" s="55" t="s">
        <v>536</v>
      </c>
      <c r="J2389" s="55">
        <v>320</v>
      </c>
      <c r="K2389" s="55">
        <f>VLOOKUP(J2389,'Validacion reclamo de equipaje'!L:M,2,0)</f>
        <v>179</v>
      </c>
      <c r="L2389" s="55" t="str">
        <f>VLOOKUP(I2389,'Validacion reclamo de equipaje'!H:I,2,0)</f>
        <v>Nacional</v>
      </c>
      <c r="M2389" s="55" t="s">
        <v>523</v>
      </c>
    </row>
    <row r="2390" spans="1:13" x14ac:dyDescent="0.25">
      <c r="A2390">
        <v>2216</v>
      </c>
      <c r="B2390" s="47" t="str">
        <f>VLOOKUP(Tabla6[[#This Row],['# Vuelo]],'Validacion reclamo de equipaje'!P:Q,2,0)</f>
        <v>INTERAVIÓN</v>
      </c>
      <c r="C2390" s="48">
        <v>0.66666666666666663</v>
      </c>
      <c r="D2390" s="48">
        <v>0.67291666666666661</v>
      </c>
      <c r="E2390" s="49">
        <f>'Reclamo de equipaje rediseñado'!$D2390-'Reclamo de equipaje rediseñado'!$C2390</f>
        <v>6.2499999999999778E-3</v>
      </c>
      <c r="F2390" s="48">
        <v>0.6777777777777777</v>
      </c>
      <c r="G2390" s="49">
        <f t="shared" si="37"/>
        <v>4.8611111111110938E-3</v>
      </c>
      <c r="H2390" s="50">
        <v>41735</v>
      </c>
      <c r="I2390" s="51" t="s">
        <v>536</v>
      </c>
      <c r="J2390" s="51">
        <v>320</v>
      </c>
      <c r="K2390" s="51">
        <f>VLOOKUP(J2390,'Validacion reclamo de equipaje'!L:M,2,0)</f>
        <v>179</v>
      </c>
      <c r="L2390" s="51" t="str">
        <f>VLOOKUP(I2390,'Validacion reclamo de equipaje'!H:I,2,0)</f>
        <v>Nacional</v>
      </c>
      <c r="M2390" s="51" t="s">
        <v>523</v>
      </c>
    </row>
    <row r="2391" spans="1:13" x14ac:dyDescent="0.25">
      <c r="A2391">
        <v>2216</v>
      </c>
      <c r="B2391" s="47" t="str">
        <f>VLOOKUP(Tabla6[[#This Row],['# Vuelo]],'Validacion reclamo de equipaje'!P:Q,2,0)</f>
        <v>INTERAVIÓN</v>
      </c>
      <c r="C2391" s="52">
        <v>0.84236111111111101</v>
      </c>
      <c r="D2391" s="52">
        <v>0.84791666666666676</v>
      </c>
      <c r="E2391" s="53">
        <f>'Reclamo de equipaje rediseñado'!$D2391-'Reclamo de equipaje rediseñado'!$C2391</f>
        <v>5.5555555555557579E-3</v>
      </c>
      <c r="F2391" s="52">
        <v>0.85763888888888884</v>
      </c>
      <c r="G2391" s="53">
        <f t="shared" si="37"/>
        <v>9.7222222222220767E-3</v>
      </c>
      <c r="H2391" s="54">
        <v>41736</v>
      </c>
      <c r="I2391" s="55" t="s">
        <v>536</v>
      </c>
      <c r="J2391" s="55">
        <v>320</v>
      </c>
      <c r="K2391" s="55">
        <f>VLOOKUP(J2391,'Validacion reclamo de equipaje'!L:M,2,0)</f>
        <v>179</v>
      </c>
      <c r="L2391" s="55" t="str">
        <f>VLOOKUP(I2391,'Validacion reclamo de equipaje'!H:I,2,0)</f>
        <v>Nacional</v>
      </c>
      <c r="M2391" s="55" t="s">
        <v>523</v>
      </c>
    </row>
    <row r="2392" spans="1:13" x14ac:dyDescent="0.25">
      <c r="A2392">
        <v>2216</v>
      </c>
      <c r="B2392" s="47" t="str">
        <f>VLOOKUP(Tabla6[[#This Row],['# Vuelo]],'Validacion reclamo de equipaje'!P:Q,2,0)</f>
        <v>INTERAVIÓN</v>
      </c>
      <c r="C2392" s="48">
        <v>0.84097222222222223</v>
      </c>
      <c r="D2392" s="48">
        <v>0.84583333333333333</v>
      </c>
      <c r="E2392" s="49">
        <f>'Reclamo de equipaje rediseñado'!$D2392-'Reclamo de equipaje rediseñado'!$C2392</f>
        <v>4.8611111111110938E-3</v>
      </c>
      <c r="F2392" s="48">
        <v>0.85138888888888886</v>
      </c>
      <c r="G2392" s="49">
        <f t="shared" si="37"/>
        <v>5.5555555555555358E-3</v>
      </c>
      <c r="H2392" s="50">
        <v>41736</v>
      </c>
      <c r="I2392" s="51" t="s">
        <v>536</v>
      </c>
      <c r="J2392" s="51">
        <v>320</v>
      </c>
      <c r="K2392" s="51">
        <f>VLOOKUP(J2392,'Validacion reclamo de equipaje'!L:M,2,0)</f>
        <v>179</v>
      </c>
      <c r="L2392" s="51" t="str">
        <f>VLOOKUP(I2392,'Validacion reclamo de equipaje'!H:I,2,0)</f>
        <v>Nacional</v>
      </c>
      <c r="M2392" s="51" t="s">
        <v>523</v>
      </c>
    </row>
    <row r="2393" spans="1:13" x14ac:dyDescent="0.25">
      <c r="A2393">
        <v>2216</v>
      </c>
      <c r="B2393" s="47" t="str">
        <f>VLOOKUP(Tabla6[[#This Row],['# Vuelo]],'Validacion reclamo de equipaje'!P:Q,2,0)</f>
        <v>INTERAVIÓN</v>
      </c>
      <c r="C2393" s="52">
        <v>0.85625000000000007</v>
      </c>
      <c r="D2393" s="52">
        <v>0.86249999999999993</v>
      </c>
      <c r="E2393" s="53">
        <f>'Reclamo de equipaje rediseñado'!$D2393-'Reclamo de equipaje rediseñado'!$C2393</f>
        <v>6.2499999999998668E-3</v>
      </c>
      <c r="F2393" s="52">
        <v>0.86736111111111114</v>
      </c>
      <c r="G2393" s="53">
        <f t="shared" si="37"/>
        <v>4.8611111111112049E-3</v>
      </c>
      <c r="H2393" s="54">
        <v>41740</v>
      </c>
      <c r="I2393" s="55" t="s">
        <v>536</v>
      </c>
      <c r="J2393" s="55">
        <v>320</v>
      </c>
      <c r="K2393" s="55">
        <f>VLOOKUP(J2393,'Validacion reclamo de equipaje'!L:M,2,0)</f>
        <v>179</v>
      </c>
      <c r="L2393" s="55" t="str">
        <f>VLOOKUP(I2393,'Validacion reclamo de equipaje'!H:I,2,0)</f>
        <v>Nacional</v>
      </c>
      <c r="M2393" s="55" t="s">
        <v>523</v>
      </c>
    </row>
    <row r="2394" spans="1:13" x14ac:dyDescent="0.25">
      <c r="A2394">
        <v>2216</v>
      </c>
      <c r="B2394" s="47" t="str">
        <f>VLOOKUP(Tabla6[[#This Row],['# Vuelo]],'Validacion reclamo de equipaje'!P:Q,2,0)</f>
        <v>INTERAVIÓN</v>
      </c>
      <c r="C2394" s="48">
        <v>0.87569444444444444</v>
      </c>
      <c r="D2394" s="48">
        <v>0.88888888888888884</v>
      </c>
      <c r="E2394" s="49">
        <f>'Reclamo de equipaje rediseñado'!$D2394-'Reclamo de equipaje rediseñado'!$C2394</f>
        <v>1.3194444444444398E-2</v>
      </c>
      <c r="F2394" s="48">
        <v>0.89027777777777783</v>
      </c>
      <c r="G2394" s="49">
        <f t="shared" si="37"/>
        <v>1.388888888888995E-3</v>
      </c>
      <c r="H2394" s="50">
        <v>41743</v>
      </c>
      <c r="I2394" s="51" t="s">
        <v>536</v>
      </c>
      <c r="J2394" s="51">
        <v>320</v>
      </c>
      <c r="K2394" s="51">
        <f>VLOOKUP(J2394,'Validacion reclamo de equipaje'!L:M,2,0)</f>
        <v>179</v>
      </c>
      <c r="L2394" s="51" t="str">
        <f>VLOOKUP(I2394,'Validacion reclamo de equipaje'!H:I,2,0)</f>
        <v>Nacional</v>
      </c>
      <c r="M2394" s="51" t="s">
        <v>523</v>
      </c>
    </row>
    <row r="2395" spans="1:13" x14ac:dyDescent="0.25">
      <c r="A2395">
        <v>2216</v>
      </c>
      <c r="B2395" s="47" t="str">
        <f>VLOOKUP(Tabla6[[#This Row],['# Vuelo]],'Validacion reclamo de equipaje'!P:Q,2,0)</f>
        <v>INTERAVIÓN</v>
      </c>
      <c r="C2395" s="52">
        <v>0.83611111111111114</v>
      </c>
      <c r="D2395" s="52">
        <v>0.84027777777777779</v>
      </c>
      <c r="E2395" s="53">
        <f>'Reclamo de equipaje rediseñado'!$D2395-'Reclamo de equipaje rediseñado'!$C2395</f>
        <v>4.1666666666666519E-3</v>
      </c>
      <c r="F2395" s="52">
        <v>0.85138888888888886</v>
      </c>
      <c r="G2395" s="53">
        <f t="shared" si="37"/>
        <v>1.1111111111111072E-2</v>
      </c>
      <c r="H2395" s="54">
        <v>41745</v>
      </c>
      <c r="I2395" s="55" t="s">
        <v>536</v>
      </c>
      <c r="J2395" s="55">
        <v>320</v>
      </c>
      <c r="K2395" s="55">
        <f>VLOOKUP(J2395,'Validacion reclamo de equipaje'!L:M,2,0)</f>
        <v>179</v>
      </c>
      <c r="L2395" s="55" t="str">
        <f>VLOOKUP(I2395,'Validacion reclamo de equipaje'!H:I,2,0)</f>
        <v>Nacional</v>
      </c>
      <c r="M2395" s="55" t="s">
        <v>523</v>
      </c>
    </row>
    <row r="2396" spans="1:13" x14ac:dyDescent="0.25">
      <c r="A2396">
        <v>2216</v>
      </c>
      <c r="B2396" s="47" t="str">
        <f>VLOOKUP(Tabla6[[#This Row],['# Vuelo]],'Validacion reclamo de equipaje'!P:Q,2,0)</f>
        <v>INTERAVIÓN</v>
      </c>
      <c r="C2396" s="48">
        <v>0.87361111111111101</v>
      </c>
      <c r="D2396" s="48">
        <v>0.87986111111111109</v>
      </c>
      <c r="E2396" s="49">
        <f>'Reclamo de equipaje rediseñado'!$D2396-'Reclamo de equipaje rediseñado'!$C2396</f>
        <v>6.2500000000000888E-3</v>
      </c>
      <c r="F2396" s="48">
        <v>0.88611111111111107</v>
      </c>
      <c r="G2396" s="49">
        <f t="shared" si="37"/>
        <v>6.2499999999999778E-3</v>
      </c>
      <c r="H2396" s="50">
        <v>41744</v>
      </c>
      <c r="I2396" s="51" t="s">
        <v>536</v>
      </c>
      <c r="J2396" s="51">
        <v>320</v>
      </c>
      <c r="K2396" s="51">
        <f>VLOOKUP(J2396,'Validacion reclamo de equipaje'!L:M,2,0)</f>
        <v>179</v>
      </c>
      <c r="L2396" s="51" t="str">
        <f>VLOOKUP(I2396,'Validacion reclamo de equipaje'!H:I,2,0)</f>
        <v>Nacional</v>
      </c>
      <c r="M2396" s="51" t="s">
        <v>523</v>
      </c>
    </row>
    <row r="2397" spans="1:13" x14ac:dyDescent="0.25">
      <c r="A2397">
        <v>2216</v>
      </c>
      <c r="B2397" s="47" t="str">
        <f>VLOOKUP(Tabla6[[#This Row],['# Vuelo]],'Validacion reclamo de equipaje'!P:Q,2,0)</f>
        <v>INTERAVIÓN</v>
      </c>
      <c r="C2397" s="52">
        <v>0.85138888888888886</v>
      </c>
      <c r="D2397" s="52">
        <v>0.86041666666666661</v>
      </c>
      <c r="E2397" s="53">
        <f>'Reclamo de equipaje rediseñado'!$D2397-'Reclamo de equipaje rediseñado'!$C2397</f>
        <v>9.0277777777777457E-3</v>
      </c>
      <c r="F2397" s="52">
        <v>0.86736111111111114</v>
      </c>
      <c r="G2397" s="53">
        <f t="shared" si="37"/>
        <v>6.9444444444445308E-3</v>
      </c>
      <c r="H2397" s="54">
        <v>41749</v>
      </c>
      <c r="I2397" s="55" t="s">
        <v>536</v>
      </c>
      <c r="J2397" s="55">
        <v>320</v>
      </c>
      <c r="K2397" s="55">
        <f>VLOOKUP(J2397,'Validacion reclamo de equipaje'!L:M,2,0)</f>
        <v>179</v>
      </c>
      <c r="L2397" s="55" t="str">
        <f>VLOOKUP(I2397,'Validacion reclamo de equipaje'!H:I,2,0)</f>
        <v>Nacional</v>
      </c>
      <c r="M2397" s="55" t="s">
        <v>523</v>
      </c>
    </row>
    <row r="2398" spans="1:13" x14ac:dyDescent="0.25">
      <c r="A2398">
        <v>2216</v>
      </c>
      <c r="B2398" s="47" t="str">
        <f>VLOOKUP(Tabla6[[#This Row],['# Vuelo]],'Validacion reclamo de equipaje'!P:Q,2,0)</f>
        <v>INTERAVIÓN</v>
      </c>
      <c r="C2398" s="48">
        <v>0.83611111111111114</v>
      </c>
      <c r="D2398" s="48">
        <v>0.84097222222222223</v>
      </c>
      <c r="E2398" s="49">
        <f>'Reclamo de equipaje rediseñado'!$D2398-'Reclamo de equipaje rediseñado'!$C2398</f>
        <v>4.8611111111110938E-3</v>
      </c>
      <c r="F2398" s="48">
        <v>0.84791666666666676</v>
      </c>
      <c r="G2398" s="49">
        <f t="shared" si="37"/>
        <v>6.9444444444445308E-3</v>
      </c>
      <c r="H2398" s="50">
        <v>41753</v>
      </c>
      <c r="I2398" s="51" t="s">
        <v>536</v>
      </c>
      <c r="J2398" s="51">
        <v>320</v>
      </c>
      <c r="K2398" s="51">
        <f>VLOOKUP(J2398,'Validacion reclamo de equipaje'!L:M,2,0)</f>
        <v>179</v>
      </c>
      <c r="L2398" s="51" t="str">
        <f>VLOOKUP(I2398,'Validacion reclamo de equipaje'!H:I,2,0)</f>
        <v>Nacional</v>
      </c>
      <c r="M2398" s="51" t="s">
        <v>523</v>
      </c>
    </row>
    <row r="2399" spans="1:13" x14ac:dyDescent="0.25">
      <c r="A2399">
        <v>2216</v>
      </c>
      <c r="B2399" s="47" t="str">
        <f>VLOOKUP(Tabla6[[#This Row],['# Vuelo]],'Validacion reclamo de equipaje'!P:Q,2,0)</f>
        <v>INTERAVIÓN</v>
      </c>
      <c r="C2399" s="52">
        <v>0.83611111111111114</v>
      </c>
      <c r="D2399" s="52">
        <v>0.84444444444444444</v>
      </c>
      <c r="E2399" s="53">
        <f>'Reclamo de equipaje rediseñado'!$D2399-'Reclamo de equipaje rediseñado'!$C2399</f>
        <v>8.3333333333333037E-3</v>
      </c>
      <c r="F2399" s="52">
        <v>0.84722222222222221</v>
      </c>
      <c r="G2399" s="53">
        <f t="shared" si="37"/>
        <v>2.7777777777777679E-3</v>
      </c>
      <c r="H2399" s="54">
        <v>41755</v>
      </c>
      <c r="I2399" s="55" t="s">
        <v>536</v>
      </c>
      <c r="J2399" s="55">
        <v>320</v>
      </c>
      <c r="K2399" s="55">
        <f>VLOOKUP(J2399,'Validacion reclamo de equipaje'!L:M,2,0)</f>
        <v>179</v>
      </c>
      <c r="L2399" s="55" t="str">
        <f>VLOOKUP(I2399,'Validacion reclamo de equipaje'!H:I,2,0)</f>
        <v>Nacional</v>
      </c>
      <c r="M2399" s="55" t="s">
        <v>523</v>
      </c>
    </row>
    <row r="2400" spans="1:13" x14ac:dyDescent="0.25">
      <c r="A2400">
        <v>2216</v>
      </c>
      <c r="B2400" s="47" t="str">
        <f>VLOOKUP(Tabla6[[#This Row],['# Vuelo]],'Validacion reclamo de equipaje'!P:Q,2,0)</f>
        <v>INTERAVIÓN</v>
      </c>
      <c r="C2400" s="48">
        <v>0.66875000000000007</v>
      </c>
      <c r="D2400" s="48">
        <v>0.67361111111111116</v>
      </c>
      <c r="E2400" s="49">
        <f>'Reclamo de equipaje rediseñado'!$D2400-'Reclamo de equipaje rediseñado'!$C2400</f>
        <v>4.8611111111110938E-3</v>
      </c>
      <c r="F2400" s="48">
        <v>0.70972222222222225</v>
      </c>
      <c r="G2400" s="49">
        <f t="shared" si="37"/>
        <v>3.6111111111111094E-2</v>
      </c>
      <c r="H2400" s="50">
        <v>41756</v>
      </c>
      <c r="I2400" s="51" t="s">
        <v>536</v>
      </c>
      <c r="J2400" s="51">
        <v>320</v>
      </c>
      <c r="K2400" s="51">
        <f>VLOOKUP(J2400,'Validacion reclamo de equipaje'!L:M,2,0)</f>
        <v>179</v>
      </c>
      <c r="L2400" s="51" t="str">
        <f>VLOOKUP(I2400,'Validacion reclamo de equipaje'!H:I,2,0)</f>
        <v>Nacional</v>
      </c>
      <c r="M2400" s="51" t="s">
        <v>523</v>
      </c>
    </row>
    <row r="2401" spans="1:13" x14ac:dyDescent="0.25">
      <c r="A2401">
        <v>2216</v>
      </c>
      <c r="B2401" s="47" t="str">
        <f>VLOOKUP(Tabla6[[#This Row],['# Vuelo]],'Validacion reclamo de equipaje'!P:Q,2,0)</f>
        <v>INTERAVIÓN</v>
      </c>
      <c r="C2401" s="52">
        <v>0.83680555555555547</v>
      </c>
      <c r="D2401" s="52">
        <v>0.84236111111111101</v>
      </c>
      <c r="E2401" s="53">
        <f>'Reclamo de equipaje rediseñado'!$D2401-'Reclamo de equipaje rediseñado'!$C2401</f>
        <v>5.5555555555555358E-3</v>
      </c>
      <c r="F2401" s="52">
        <v>0.84444444444444444</v>
      </c>
      <c r="G2401" s="53">
        <f t="shared" si="37"/>
        <v>2.083333333333437E-3</v>
      </c>
      <c r="H2401" s="54">
        <v>41759</v>
      </c>
      <c r="I2401" s="55" t="s">
        <v>536</v>
      </c>
      <c r="J2401" s="55">
        <v>320</v>
      </c>
      <c r="K2401" s="55">
        <f>VLOOKUP(J2401,'Validacion reclamo de equipaje'!L:M,2,0)</f>
        <v>179</v>
      </c>
      <c r="L2401" s="55" t="str">
        <f>VLOOKUP(I2401,'Validacion reclamo de equipaje'!H:I,2,0)</f>
        <v>Nacional</v>
      </c>
      <c r="M2401" s="55" t="s">
        <v>523</v>
      </c>
    </row>
    <row r="2402" spans="1:13" x14ac:dyDescent="0.25">
      <c r="A2402">
        <v>2216</v>
      </c>
      <c r="B2402" s="47" t="str">
        <f>VLOOKUP(Tabla6[[#This Row],['# Vuelo]],'Validacion reclamo de equipaje'!P:Q,2,0)</f>
        <v>INTERAVIÓN</v>
      </c>
      <c r="C2402" s="48">
        <v>0.85</v>
      </c>
      <c r="D2402" s="48">
        <v>0.8569444444444444</v>
      </c>
      <c r="E2402" s="49">
        <f>'Reclamo de equipaje rediseñado'!$D2402-'Reclamo de equipaje rediseñado'!$C2402</f>
        <v>6.9444444444444198E-3</v>
      </c>
      <c r="F2402" s="48">
        <v>0.86111111111111116</v>
      </c>
      <c r="G2402" s="49">
        <f t="shared" si="37"/>
        <v>4.1666666666667629E-3</v>
      </c>
      <c r="H2402" s="50">
        <v>41759</v>
      </c>
      <c r="I2402" s="51" t="s">
        <v>536</v>
      </c>
      <c r="J2402" s="51">
        <v>320</v>
      </c>
      <c r="K2402" s="51">
        <f>VLOOKUP(J2402,'Validacion reclamo de equipaje'!L:M,2,0)</f>
        <v>179</v>
      </c>
      <c r="L2402" s="51" t="str">
        <f>VLOOKUP(I2402,'Validacion reclamo de equipaje'!H:I,2,0)</f>
        <v>Nacional</v>
      </c>
      <c r="M2402" s="51" t="s">
        <v>523</v>
      </c>
    </row>
    <row r="2403" spans="1:13" x14ac:dyDescent="0.25">
      <c r="A2403">
        <v>2212</v>
      </c>
      <c r="B2403" s="47" t="str">
        <f>VLOOKUP(Tabla6[[#This Row],['# Vuelo]],'Validacion reclamo de equipaje'!P:Q,2,0)</f>
        <v>INTERAVIÓN</v>
      </c>
      <c r="C2403" s="52">
        <v>0.31944444444444448</v>
      </c>
      <c r="D2403" s="52">
        <v>0.32708333333333334</v>
      </c>
      <c r="E2403" s="53">
        <f>'Reclamo de equipaje rediseñado'!$D2403-'Reclamo de equipaje rediseñado'!$C2403</f>
        <v>7.6388888888888618E-3</v>
      </c>
      <c r="F2403" s="52">
        <v>0.33680555555555558</v>
      </c>
      <c r="G2403" s="53">
        <f t="shared" si="37"/>
        <v>9.7222222222222432E-3</v>
      </c>
      <c r="H2403" s="54">
        <v>41737</v>
      </c>
      <c r="I2403" s="55" t="s">
        <v>536</v>
      </c>
      <c r="J2403" s="55">
        <v>320</v>
      </c>
      <c r="K2403" s="55">
        <f>VLOOKUP(J2403,'Validacion reclamo de equipaje'!L:M,2,0)</f>
        <v>179</v>
      </c>
      <c r="L2403" s="55" t="str">
        <f>VLOOKUP(I2403,'Validacion reclamo de equipaje'!H:I,2,0)</f>
        <v>Nacional</v>
      </c>
      <c r="M2403" s="55" t="s">
        <v>523</v>
      </c>
    </row>
    <row r="2404" spans="1:13" x14ac:dyDescent="0.25">
      <c r="A2404">
        <v>2212</v>
      </c>
      <c r="B2404" s="47" t="str">
        <f>VLOOKUP(Tabla6[[#This Row],['# Vuelo]],'Validacion reclamo de equipaje'!P:Q,2,0)</f>
        <v>INTERAVIÓN</v>
      </c>
      <c r="C2404" s="48">
        <v>0.32569444444444445</v>
      </c>
      <c r="D2404" s="48">
        <v>0.33333333333333331</v>
      </c>
      <c r="E2404" s="49">
        <f>'Reclamo de equipaje rediseñado'!$D2404-'Reclamo de equipaje rediseñado'!$C2404</f>
        <v>7.6388888888888618E-3</v>
      </c>
      <c r="F2404" s="48">
        <v>0.33680555555555558</v>
      </c>
      <c r="G2404" s="49">
        <f t="shared" si="37"/>
        <v>3.4722222222222654E-3</v>
      </c>
      <c r="H2404" s="50">
        <v>41754</v>
      </c>
      <c r="I2404" s="51" t="s">
        <v>536</v>
      </c>
      <c r="J2404" s="51">
        <v>320</v>
      </c>
      <c r="K2404" s="51">
        <f>VLOOKUP(J2404,'Validacion reclamo de equipaje'!L:M,2,0)</f>
        <v>179</v>
      </c>
      <c r="L2404" s="51" t="str">
        <f>VLOOKUP(I2404,'Validacion reclamo de equipaje'!H:I,2,0)</f>
        <v>Nacional</v>
      </c>
      <c r="M2404" s="51" t="s">
        <v>523</v>
      </c>
    </row>
    <row r="2405" spans="1:13" x14ac:dyDescent="0.25">
      <c r="A2405">
        <v>2212</v>
      </c>
      <c r="B2405" s="47" t="str">
        <f>VLOOKUP(Tabla6[[#This Row],['# Vuelo]],'Validacion reclamo de equipaje'!P:Q,2,0)</f>
        <v>INTERAVIÓN</v>
      </c>
      <c r="C2405" s="52">
        <v>0.93958333333333333</v>
      </c>
      <c r="D2405" s="52">
        <v>0.94791666666666663</v>
      </c>
      <c r="E2405" s="53">
        <f>'Reclamo de equipaje rediseñado'!$D2405-'Reclamo de equipaje rediseñado'!$C2405</f>
        <v>8.3333333333333037E-3</v>
      </c>
      <c r="F2405" s="52">
        <v>0.95138888888888884</v>
      </c>
      <c r="G2405" s="53">
        <f t="shared" si="37"/>
        <v>3.4722222222222099E-3</v>
      </c>
      <c r="H2405" s="54">
        <v>41732</v>
      </c>
      <c r="I2405" s="55" t="s">
        <v>536</v>
      </c>
      <c r="J2405" s="55">
        <v>320</v>
      </c>
      <c r="K2405" s="55">
        <f>VLOOKUP(J2405,'Validacion reclamo de equipaje'!L:M,2,0)</f>
        <v>179</v>
      </c>
      <c r="L2405" s="55" t="str">
        <f>VLOOKUP(I2405,'Validacion reclamo de equipaje'!H:I,2,0)</f>
        <v>Nacional</v>
      </c>
      <c r="M2405" s="55" t="s">
        <v>523</v>
      </c>
    </row>
    <row r="2406" spans="1:13" x14ac:dyDescent="0.25">
      <c r="A2406">
        <v>2212</v>
      </c>
      <c r="B2406" s="47" t="str">
        <f>VLOOKUP(Tabla6[[#This Row],['# Vuelo]],'Validacion reclamo de equipaje'!P:Q,2,0)</f>
        <v>INTERAVIÓN</v>
      </c>
      <c r="C2406" s="48">
        <v>0.54236111111111118</v>
      </c>
      <c r="D2406" s="48">
        <v>0.54791666666666672</v>
      </c>
      <c r="E2406" s="49">
        <f>'Reclamo de equipaje rediseñado'!$D2406-'Reclamo de equipaje rediseñado'!$C2406</f>
        <v>5.5555555555555358E-3</v>
      </c>
      <c r="F2406" s="48">
        <v>0.5541666666666667</v>
      </c>
      <c r="G2406" s="49">
        <f t="shared" si="37"/>
        <v>6.2499999999999778E-3</v>
      </c>
      <c r="H2406" s="50">
        <v>41735</v>
      </c>
      <c r="I2406" s="51" t="s">
        <v>536</v>
      </c>
      <c r="J2406" s="51">
        <v>320</v>
      </c>
      <c r="K2406" s="51">
        <f>VLOOKUP(J2406,'Validacion reclamo de equipaje'!L:M,2,0)</f>
        <v>179</v>
      </c>
      <c r="L2406" s="51" t="str">
        <f>VLOOKUP(I2406,'Validacion reclamo de equipaje'!H:I,2,0)</f>
        <v>Nacional</v>
      </c>
      <c r="M2406" s="51" t="s">
        <v>523</v>
      </c>
    </row>
    <row r="2407" spans="1:13" x14ac:dyDescent="0.25">
      <c r="A2407">
        <v>2212</v>
      </c>
      <c r="B2407" s="47" t="str">
        <f>VLOOKUP(Tabla6[[#This Row],['# Vuelo]],'Validacion reclamo de equipaje'!P:Q,2,0)</f>
        <v>INTERAVIÓN</v>
      </c>
      <c r="C2407" s="52">
        <v>0.93819444444444444</v>
      </c>
      <c r="D2407" s="52">
        <v>0.94652777777777775</v>
      </c>
      <c r="E2407" s="53">
        <f>'Reclamo de equipaje rediseñado'!$D2407-'Reclamo de equipaje rediseñado'!$C2407</f>
        <v>8.3333333333333037E-3</v>
      </c>
      <c r="F2407" s="52">
        <v>0.95416666666666661</v>
      </c>
      <c r="G2407" s="53">
        <f t="shared" si="37"/>
        <v>7.6388888888888618E-3</v>
      </c>
      <c r="H2407" s="54">
        <v>41736</v>
      </c>
      <c r="I2407" s="55" t="s">
        <v>536</v>
      </c>
      <c r="J2407" s="55">
        <v>320</v>
      </c>
      <c r="K2407" s="55">
        <f>VLOOKUP(J2407,'Validacion reclamo de equipaje'!L:M,2,0)</f>
        <v>179</v>
      </c>
      <c r="L2407" s="55" t="str">
        <f>VLOOKUP(I2407,'Validacion reclamo de equipaje'!H:I,2,0)</f>
        <v>Nacional</v>
      </c>
      <c r="M2407" s="55" t="s">
        <v>523</v>
      </c>
    </row>
    <row r="2408" spans="1:13" x14ac:dyDescent="0.25">
      <c r="A2408">
        <v>2212</v>
      </c>
      <c r="B2408" s="47" t="str">
        <f>VLOOKUP(Tabla6[[#This Row],['# Vuelo]],'Validacion reclamo de equipaje'!P:Q,2,0)</f>
        <v>INTERAVIÓN</v>
      </c>
      <c r="C2408" s="48">
        <v>0.9770833333333333</v>
      </c>
      <c r="D2408" s="48">
        <v>0.98055555555555562</v>
      </c>
      <c r="E2408" s="49">
        <f>'Reclamo de equipaje rediseñado'!$D2408-'Reclamo de equipaje rediseñado'!$C2408</f>
        <v>3.4722222222223209E-3</v>
      </c>
      <c r="F2408" s="48">
        <v>0.98472222222222217</v>
      </c>
      <c r="G2408" s="49">
        <f t="shared" si="37"/>
        <v>4.1666666666665408E-3</v>
      </c>
      <c r="H2408" s="50">
        <v>41739</v>
      </c>
      <c r="I2408" s="51" t="s">
        <v>536</v>
      </c>
      <c r="J2408" s="51">
        <v>320</v>
      </c>
      <c r="K2408" s="51">
        <f>VLOOKUP(J2408,'Validacion reclamo de equipaje'!L:M,2,0)</f>
        <v>179</v>
      </c>
      <c r="L2408" s="51" t="str">
        <f>VLOOKUP(I2408,'Validacion reclamo de equipaje'!H:I,2,0)</f>
        <v>Nacional</v>
      </c>
      <c r="M2408" s="51" t="s">
        <v>523</v>
      </c>
    </row>
    <row r="2409" spans="1:13" x14ac:dyDescent="0.25">
      <c r="A2409">
        <v>2212</v>
      </c>
      <c r="B2409" s="47" t="str">
        <f>VLOOKUP(Tabla6[[#This Row],['# Vuelo]],'Validacion reclamo de equipaje'!P:Q,2,0)</f>
        <v>INTERAVIÓN</v>
      </c>
      <c r="C2409" s="52">
        <v>0.98402777777777783</v>
      </c>
      <c r="D2409" s="52">
        <v>0.99305555555555547</v>
      </c>
      <c r="E2409" s="53">
        <f>'Reclamo de equipaje rediseñado'!$D2409-'Reclamo de equipaje rediseñado'!$C2409</f>
        <v>9.0277777777776347E-3</v>
      </c>
      <c r="F2409" s="52">
        <v>0.99722222222222223</v>
      </c>
      <c r="G2409" s="53">
        <f t="shared" si="37"/>
        <v>4.1666666666667629E-3</v>
      </c>
      <c r="H2409" s="54">
        <v>41740</v>
      </c>
      <c r="I2409" s="55" t="s">
        <v>536</v>
      </c>
      <c r="J2409" s="55">
        <v>320</v>
      </c>
      <c r="K2409" s="55">
        <f>VLOOKUP(J2409,'Validacion reclamo de equipaje'!L:M,2,0)</f>
        <v>179</v>
      </c>
      <c r="L2409" s="55" t="str">
        <f>VLOOKUP(I2409,'Validacion reclamo de equipaje'!H:I,2,0)</f>
        <v>Nacional</v>
      </c>
      <c r="M2409" s="55" t="s">
        <v>523</v>
      </c>
    </row>
    <row r="2410" spans="1:13" x14ac:dyDescent="0.25">
      <c r="A2410">
        <v>2212</v>
      </c>
      <c r="B2410" s="47" t="str">
        <f>VLOOKUP(Tabla6[[#This Row],['# Vuelo]],'Validacion reclamo de equipaje'!P:Q,2,0)</f>
        <v>INTERAVIÓN</v>
      </c>
      <c r="C2410" s="48">
        <v>0.95000000000000007</v>
      </c>
      <c r="D2410" s="48">
        <v>0.96319444444444446</v>
      </c>
      <c r="E2410" s="49">
        <f>'Reclamo de equipaje rediseñado'!$D2410-'Reclamo de equipaje rediseñado'!$C2410</f>
        <v>1.3194444444444398E-2</v>
      </c>
      <c r="F2410" s="48">
        <v>0.97083333333333333</v>
      </c>
      <c r="G2410" s="49">
        <f t="shared" si="37"/>
        <v>7.6388888888888618E-3</v>
      </c>
      <c r="H2410" s="50">
        <v>41749</v>
      </c>
      <c r="I2410" s="51" t="s">
        <v>536</v>
      </c>
      <c r="J2410" s="51">
        <v>320</v>
      </c>
      <c r="K2410" s="51">
        <f>VLOOKUP(J2410,'Validacion reclamo de equipaje'!L:M,2,0)</f>
        <v>179</v>
      </c>
      <c r="L2410" s="51" t="str">
        <f>VLOOKUP(I2410,'Validacion reclamo de equipaje'!H:I,2,0)</f>
        <v>Nacional</v>
      </c>
      <c r="M2410" s="51" t="s">
        <v>523</v>
      </c>
    </row>
    <row r="2411" spans="1:13" x14ac:dyDescent="0.25">
      <c r="A2411">
        <v>2212</v>
      </c>
      <c r="B2411" s="47" t="str">
        <f>VLOOKUP(Tabla6[[#This Row],['# Vuelo]],'Validacion reclamo de equipaje'!P:Q,2,0)</f>
        <v>INTERAVIÓN</v>
      </c>
      <c r="C2411" s="52">
        <v>0.94930555555555562</v>
      </c>
      <c r="D2411" s="52">
        <v>0.95833333333333337</v>
      </c>
      <c r="E2411" s="53">
        <f>'Reclamo de equipaje rediseñado'!$D2411-'Reclamo de equipaje rediseñado'!$C2411</f>
        <v>9.0277777777777457E-3</v>
      </c>
      <c r="F2411" s="52">
        <v>0.96111111111111114</v>
      </c>
      <c r="G2411" s="53">
        <f t="shared" si="37"/>
        <v>2.7777777777777679E-3</v>
      </c>
      <c r="H2411" s="54">
        <v>41757</v>
      </c>
      <c r="I2411" s="55" t="s">
        <v>536</v>
      </c>
      <c r="J2411" s="55">
        <v>320</v>
      </c>
      <c r="K2411" s="55">
        <f>VLOOKUP(J2411,'Validacion reclamo de equipaje'!L:M,2,0)</f>
        <v>179</v>
      </c>
      <c r="L2411" s="55" t="str">
        <f>VLOOKUP(I2411,'Validacion reclamo de equipaje'!H:I,2,0)</f>
        <v>Nacional</v>
      </c>
      <c r="M2411" s="55" t="s">
        <v>523</v>
      </c>
    </row>
    <row r="2412" spans="1:13" x14ac:dyDescent="0.25">
      <c r="A2412">
        <v>2210</v>
      </c>
      <c r="B2412" s="47" t="str">
        <f>VLOOKUP(Tabla6[[#This Row],['# Vuelo]],'Validacion reclamo de equipaje'!P:Q,2,0)</f>
        <v>INTERAVIÓN</v>
      </c>
      <c r="C2412" s="48">
        <v>0.43333333333333335</v>
      </c>
      <c r="D2412" s="48">
        <v>0.4381944444444445</v>
      </c>
      <c r="E2412" s="49">
        <f>'Reclamo de equipaje rediseñado'!$D2412-'Reclamo de equipaje rediseñado'!$C2412</f>
        <v>4.8611111111111494E-3</v>
      </c>
      <c r="F2412" s="48">
        <v>0.44236111111111115</v>
      </c>
      <c r="G2412" s="49">
        <f t="shared" si="37"/>
        <v>4.1666666666666519E-3</v>
      </c>
      <c r="H2412" s="50">
        <v>41730</v>
      </c>
      <c r="I2412" s="51" t="s">
        <v>536</v>
      </c>
      <c r="J2412" s="51">
        <v>320</v>
      </c>
      <c r="K2412" s="51">
        <f>VLOOKUP(J2412,'Validacion reclamo de equipaje'!L:M,2,0)</f>
        <v>179</v>
      </c>
      <c r="L2412" s="51" t="str">
        <f>VLOOKUP(I2412,'Validacion reclamo de equipaje'!H:I,2,0)</f>
        <v>Nacional</v>
      </c>
      <c r="M2412" s="51" t="s">
        <v>523</v>
      </c>
    </row>
    <row r="2413" spans="1:13" x14ac:dyDescent="0.25">
      <c r="A2413">
        <v>2210</v>
      </c>
      <c r="B2413" s="47" t="str">
        <f>VLOOKUP(Tabla6[[#This Row],['# Vuelo]],'Validacion reclamo de equipaje'!P:Q,2,0)</f>
        <v>INTERAVIÓN</v>
      </c>
      <c r="C2413" s="52">
        <v>0.4375</v>
      </c>
      <c r="D2413" s="52">
        <v>0.44444444444444442</v>
      </c>
      <c r="E2413" s="53">
        <f>'Reclamo de equipaje rediseñado'!$D2413-'Reclamo de equipaje rediseñado'!$C2413</f>
        <v>6.9444444444444198E-3</v>
      </c>
      <c r="F2413" s="52">
        <v>0.44861111111111113</v>
      </c>
      <c r="G2413" s="53">
        <f t="shared" si="37"/>
        <v>4.1666666666667074E-3</v>
      </c>
      <c r="H2413" s="54">
        <v>41731</v>
      </c>
      <c r="I2413" s="55" t="s">
        <v>536</v>
      </c>
      <c r="J2413" s="55">
        <v>320</v>
      </c>
      <c r="K2413" s="55">
        <f>VLOOKUP(J2413,'Validacion reclamo de equipaje'!L:M,2,0)</f>
        <v>179</v>
      </c>
      <c r="L2413" s="55" t="str">
        <f>VLOOKUP(I2413,'Validacion reclamo de equipaje'!H:I,2,0)</f>
        <v>Nacional</v>
      </c>
      <c r="M2413" s="55" t="s">
        <v>523</v>
      </c>
    </row>
    <row r="2414" spans="1:13" x14ac:dyDescent="0.25">
      <c r="A2414">
        <v>2210</v>
      </c>
      <c r="B2414" s="47" t="str">
        <f>VLOOKUP(Tabla6[[#This Row],['# Vuelo]],'Validacion reclamo de equipaje'!P:Q,2,0)</f>
        <v>INTERAVIÓN</v>
      </c>
      <c r="C2414" s="48">
        <v>0.43402777777777773</v>
      </c>
      <c r="D2414" s="48">
        <v>0.44097222222222227</v>
      </c>
      <c r="E2414" s="49">
        <f>'Reclamo de equipaje rediseñado'!$D2414-'Reclamo de equipaje rediseñado'!$C2414</f>
        <v>6.9444444444445308E-3</v>
      </c>
      <c r="F2414" s="48">
        <v>0.44791666666666669</v>
      </c>
      <c r="G2414" s="49">
        <f t="shared" si="37"/>
        <v>6.9444444444444198E-3</v>
      </c>
      <c r="H2414" s="50">
        <v>41732</v>
      </c>
      <c r="I2414" s="51" t="s">
        <v>536</v>
      </c>
      <c r="J2414" s="51">
        <v>320</v>
      </c>
      <c r="K2414" s="51">
        <f>VLOOKUP(J2414,'Validacion reclamo de equipaje'!L:M,2,0)</f>
        <v>179</v>
      </c>
      <c r="L2414" s="51" t="str">
        <f>VLOOKUP(I2414,'Validacion reclamo de equipaje'!H:I,2,0)</f>
        <v>Nacional</v>
      </c>
      <c r="M2414" s="51" t="s">
        <v>523</v>
      </c>
    </row>
    <row r="2415" spans="1:13" x14ac:dyDescent="0.25">
      <c r="A2415">
        <v>2210</v>
      </c>
      <c r="B2415" s="47" t="str">
        <f>VLOOKUP(Tabla6[[#This Row],['# Vuelo]],'Validacion reclamo de equipaje'!P:Q,2,0)</f>
        <v>INTERAVIÓN</v>
      </c>
      <c r="C2415" s="52">
        <v>0.4375</v>
      </c>
      <c r="D2415" s="52">
        <v>0.43958333333333338</v>
      </c>
      <c r="E2415" s="53">
        <f>'Reclamo de equipaje rediseñado'!$D2415-'Reclamo de equipaje rediseñado'!$C2415</f>
        <v>2.0833333333333814E-3</v>
      </c>
      <c r="F2415" s="52">
        <v>0.44236111111111115</v>
      </c>
      <c r="G2415" s="53">
        <f t="shared" si="37"/>
        <v>2.7777777777777679E-3</v>
      </c>
      <c r="H2415" s="54">
        <v>41733</v>
      </c>
      <c r="I2415" s="55" t="s">
        <v>536</v>
      </c>
      <c r="J2415" s="55">
        <v>320</v>
      </c>
      <c r="K2415" s="55">
        <f>VLOOKUP(J2415,'Validacion reclamo de equipaje'!L:M,2,0)</f>
        <v>179</v>
      </c>
      <c r="L2415" s="55" t="str">
        <f>VLOOKUP(I2415,'Validacion reclamo de equipaje'!H:I,2,0)</f>
        <v>Nacional</v>
      </c>
      <c r="M2415" s="55" t="s">
        <v>523</v>
      </c>
    </row>
    <row r="2416" spans="1:13" x14ac:dyDescent="0.25">
      <c r="A2416">
        <v>2210</v>
      </c>
      <c r="B2416" s="47" t="str">
        <f>VLOOKUP(Tabla6[[#This Row],['# Vuelo]],'Validacion reclamo de equipaje'!P:Q,2,0)</f>
        <v>INTERAVIÓN</v>
      </c>
      <c r="C2416" s="48">
        <v>0.43055555555555558</v>
      </c>
      <c r="D2416" s="48">
        <v>0.43263888888888885</v>
      </c>
      <c r="E2416" s="49">
        <f>'Reclamo de equipaje rediseñado'!$D2416-'Reclamo de equipaje rediseñado'!$C2416</f>
        <v>2.0833333333332704E-3</v>
      </c>
      <c r="F2416" s="48">
        <v>0.44236111111111115</v>
      </c>
      <c r="G2416" s="49">
        <f t="shared" si="37"/>
        <v>9.7222222222222987E-3</v>
      </c>
      <c r="H2416" s="50">
        <v>41737</v>
      </c>
      <c r="I2416" s="51" t="s">
        <v>536</v>
      </c>
      <c r="J2416" s="51">
        <v>320</v>
      </c>
      <c r="K2416" s="51">
        <f>VLOOKUP(J2416,'Validacion reclamo de equipaje'!L:M,2,0)</f>
        <v>179</v>
      </c>
      <c r="L2416" s="51" t="str">
        <f>VLOOKUP(I2416,'Validacion reclamo de equipaje'!H:I,2,0)</f>
        <v>Nacional</v>
      </c>
      <c r="M2416" s="51" t="s">
        <v>523</v>
      </c>
    </row>
    <row r="2417" spans="1:13" x14ac:dyDescent="0.25">
      <c r="A2417">
        <v>2210</v>
      </c>
      <c r="B2417" s="47" t="str">
        <f>VLOOKUP(Tabla6[[#This Row],['# Vuelo]],'Validacion reclamo de equipaje'!P:Q,2,0)</f>
        <v>INTERAVIÓN</v>
      </c>
      <c r="C2417" s="52">
        <v>0.4381944444444445</v>
      </c>
      <c r="D2417" s="52">
        <v>0.44305555555555554</v>
      </c>
      <c r="E2417" s="53">
        <f>'Reclamo de equipaje rediseñado'!$D2417-'Reclamo de equipaje rediseñado'!$C2417</f>
        <v>4.8611111111110383E-3</v>
      </c>
      <c r="F2417" s="52">
        <v>0.44513888888888892</v>
      </c>
      <c r="G2417" s="53">
        <f t="shared" si="37"/>
        <v>2.0833333333333814E-3</v>
      </c>
      <c r="H2417" s="54">
        <v>41739</v>
      </c>
      <c r="I2417" s="55" t="s">
        <v>536</v>
      </c>
      <c r="J2417" s="55">
        <v>320</v>
      </c>
      <c r="K2417" s="55">
        <f>VLOOKUP(J2417,'Validacion reclamo de equipaje'!L:M,2,0)</f>
        <v>179</v>
      </c>
      <c r="L2417" s="55" t="str">
        <f>VLOOKUP(I2417,'Validacion reclamo de equipaje'!H:I,2,0)</f>
        <v>Nacional</v>
      </c>
      <c r="M2417" s="55" t="s">
        <v>523</v>
      </c>
    </row>
    <row r="2418" spans="1:13" x14ac:dyDescent="0.25">
      <c r="A2418">
        <v>2210</v>
      </c>
      <c r="B2418" s="47" t="str">
        <f>VLOOKUP(Tabla6[[#This Row],['# Vuelo]],'Validacion reclamo de equipaje'!P:Q,2,0)</f>
        <v>INTERAVIÓN</v>
      </c>
      <c r="C2418" s="48">
        <v>0.4375</v>
      </c>
      <c r="D2418" s="48">
        <v>0.43888888888888888</v>
      </c>
      <c r="E2418" s="49">
        <f>'Reclamo de equipaje rediseñado'!$D2418-'Reclamo de equipaje rediseñado'!$C2418</f>
        <v>1.388888888888884E-3</v>
      </c>
      <c r="F2418" s="48">
        <v>0.44513888888888892</v>
      </c>
      <c r="G2418" s="49">
        <f t="shared" si="37"/>
        <v>6.2500000000000333E-3</v>
      </c>
      <c r="H2418" s="50">
        <v>41741</v>
      </c>
      <c r="I2418" s="51" t="s">
        <v>536</v>
      </c>
      <c r="J2418" s="51">
        <v>320</v>
      </c>
      <c r="K2418" s="51">
        <f>VLOOKUP(J2418,'Validacion reclamo de equipaje'!L:M,2,0)</f>
        <v>179</v>
      </c>
      <c r="L2418" s="51" t="str">
        <f>VLOOKUP(I2418,'Validacion reclamo de equipaje'!H:I,2,0)</f>
        <v>Nacional</v>
      </c>
      <c r="M2418" s="51" t="s">
        <v>523</v>
      </c>
    </row>
    <row r="2419" spans="1:13" x14ac:dyDescent="0.25">
      <c r="A2419">
        <v>2210</v>
      </c>
      <c r="B2419" s="47" t="str">
        <f>VLOOKUP(Tabla6[[#This Row],['# Vuelo]],'Validacion reclamo de equipaje'!P:Q,2,0)</f>
        <v>INTERAVIÓN</v>
      </c>
      <c r="C2419" s="52">
        <v>0.43333333333333335</v>
      </c>
      <c r="D2419" s="52">
        <v>0.4381944444444445</v>
      </c>
      <c r="E2419" s="53">
        <f>'Reclamo de equipaje rediseñado'!$D2419-'Reclamo de equipaje rediseñado'!$C2419</f>
        <v>4.8611111111111494E-3</v>
      </c>
      <c r="F2419" s="52">
        <v>0.44236111111111115</v>
      </c>
      <c r="G2419" s="53">
        <f t="shared" si="37"/>
        <v>4.1666666666666519E-3</v>
      </c>
      <c r="H2419" s="54">
        <v>41742</v>
      </c>
      <c r="I2419" s="55" t="s">
        <v>536</v>
      </c>
      <c r="J2419" s="55">
        <v>320</v>
      </c>
      <c r="K2419" s="55">
        <f>VLOOKUP(J2419,'Validacion reclamo de equipaje'!L:M,2,0)</f>
        <v>179</v>
      </c>
      <c r="L2419" s="55" t="str">
        <f>VLOOKUP(I2419,'Validacion reclamo de equipaje'!H:I,2,0)</f>
        <v>Nacional</v>
      </c>
      <c r="M2419" s="55" t="s">
        <v>523</v>
      </c>
    </row>
    <row r="2420" spans="1:13" x14ac:dyDescent="0.25">
      <c r="A2420">
        <v>2210</v>
      </c>
      <c r="B2420" s="47" t="str">
        <f>VLOOKUP(Tabla6[[#This Row],['# Vuelo]],'Validacion reclamo de equipaje'!P:Q,2,0)</f>
        <v>INTERAVIÓN</v>
      </c>
      <c r="C2420" s="48">
        <v>0.43402777777777773</v>
      </c>
      <c r="D2420" s="48">
        <v>0.4375</v>
      </c>
      <c r="E2420" s="49">
        <f>'Reclamo de equipaje rediseñado'!$D2420-'Reclamo de equipaje rediseñado'!$C2420</f>
        <v>3.4722222222222654E-3</v>
      </c>
      <c r="F2420" s="48">
        <v>0.44166666666666665</v>
      </c>
      <c r="G2420" s="49">
        <f t="shared" si="37"/>
        <v>4.1666666666666519E-3</v>
      </c>
      <c r="H2420" s="50">
        <v>41743</v>
      </c>
      <c r="I2420" s="51" t="s">
        <v>536</v>
      </c>
      <c r="J2420" s="51">
        <v>320</v>
      </c>
      <c r="K2420" s="51">
        <f>VLOOKUP(J2420,'Validacion reclamo de equipaje'!L:M,2,0)</f>
        <v>179</v>
      </c>
      <c r="L2420" s="51" t="str">
        <f>VLOOKUP(I2420,'Validacion reclamo de equipaje'!H:I,2,0)</f>
        <v>Nacional</v>
      </c>
      <c r="M2420" s="51" t="s">
        <v>523</v>
      </c>
    </row>
    <row r="2421" spans="1:13" x14ac:dyDescent="0.25">
      <c r="A2421">
        <v>2210</v>
      </c>
      <c r="B2421" s="47" t="str">
        <f>VLOOKUP(Tabla6[[#This Row],['# Vuelo]],'Validacion reclamo de equipaje'!P:Q,2,0)</f>
        <v>INTERAVIÓN</v>
      </c>
      <c r="C2421" s="52">
        <v>0.42708333333333331</v>
      </c>
      <c r="D2421" s="52">
        <v>0.43124999999999997</v>
      </c>
      <c r="E2421" s="53">
        <f>'Reclamo de equipaje rediseñado'!$D2421-'Reclamo de equipaje rediseñado'!$C2421</f>
        <v>4.1666666666666519E-3</v>
      </c>
      <c r="F2421" s="52">
        <v>0.43333333333333335</v>
      </c>
      <c r="G2421" s="53">
        <f t="shared" si="37"/>
        <v>2.0833333333333814E-3</v>
      </c>
      <c r="H2421" s="54">
        <v>41744</v>
      </c>
      <c r="I2421" s="55" t="s">
        <v>536</v>
      </c>
      <c r="J2421" s="55">
        <v>320</v>
      </c>
      <c r="K2421" s="55">
        <f>VLOOKUP(J2421,'Validacion reclamo de equipaje'!L:M,2,0)</f>
        <v>179</v>
      </c>
      <c r="L2421" s="55" t="str">
        <f>VLOOKUP(I2421,'Validacion reclamo de equipaje'!H:I,2,0)</f>
        <v>Nacional</v>
      </c>
      <c r="M2421" s="55" t="s">
        <v>523</v>
      </c>
    </row>
    <row r="2422" spans="1:13" x14ac:dyDescent="0.25">
      <c r="A2422">
        <v>2210</v>
      </c>
      <c r="B2422" s="47" t="str">
        <f>VLOOKUP(Tabla6[[#This Row],['# Vuelo]],'Validacion reclamo de equipaje'!P:Q,2,0)</f>
        <v>INTERAVIÓN</v>
      </c>
      <c r="C2422" s="48">
        <v>0.54027777777777775</v>
      </c>
      <c r="D2422" s="48">
        <v>0.55069444444444449</v>
      </c>
      <c r="E2422" s="49">
        <f>'Reclamo de equipaje rediseñado'!$D2422-'Reclamo de equipaje rediseñado'!$C2422</f>
        <v>1.0416666666666741E-2</v>
      </c>
      <c r="F2422" s="48">
        <v>0.55763888888888891</v>
      </c>
      <c r="G2422" s="49">
        <f t="shared" si="37"/>
        <v>6.9444444444444198E-3</v>
      </c>
      <c r="H2422" s="50">
        <v>41745</v>
      </c>
      <c r="I2422" s="51" t="s">
        <v>536</v>
      </c>
      <c r="J2422" s="51">
        <v>320</v>
      </c>
      <c r="K2422" s="51">
        <f>VLOOKUP(J2422,'Validacion reclamo de equipaje'!L:M,2,0)</f>
        <v>179</v>
      </c>
      <c r="L2422" s="51" t="str">
        <f>VLOOKUP(I2422,'Validacion reclamo de equipaje'!H:I,2,0)</f>
        <v>Nacional</v>
      </c>
      <c r="M2422" s="51" t="s">
        <v>523</v>
      </c>
    </row>
    <row r="2423" spans="1:13" x14ac:dyDescent="0.25">
      <c r="A2423">
        <v>2210</v>
      </c>
      <c r="B2423" s="47" t="str">
        <f>VLOOKUP(Tabla6[[#This Row],['# Vuelo]],'Validacion reclamo de equipaje'!P:Q,2,0)</f>
        <v>INTERAVIÓN</v>
      </c>
      <c r="C2423" s="52">
        <v>0.43194444444444446</v>
      </c>
      <c r="D2423" s="52">
        <v>0.44027777777777777</v>
      </c>
      <c r="E2423" s="53">
        <f>'Reclamo de equipaje rediseñado'!$D2423-'Reclamo de equipaje rediseñado'!$C2423</f>
        <v>8.3333333333333037E-3</v>
      </c>
      <c r="F2423" s="52">
        <v>0.44513888888888892</v>
      </c>
      <c r="G2423" s="53">
        <f t="shared" si="37"/>
        <v>4.8611111111111494E-3</v>
      </c>
      <c r="H2423" s="54">
        <v>41746</v>
      </c>
      <c r="I2423" s="55" t="s">
        <v>536</v>
      </c>
      <c r="J2423" s="55">
        <v>320</v>
      </c>
      <c r="K2423" s="55">
        <f>VLOOKUP(J2423,'Validacion reclamo de equipaje'!L:M,2,0)</f>
        <v>179</v>
      </c>
      <c r="L2423" s="55" t="str">
        <f>VLOOKUP(I2423,'Validacion reclamo de equipaje'!H:I,2,0)</f>
        <v>Nacional</v>
      </c>
      <c r="M2423" s="55" t="s">
        <v>523</v>
      </c>
    </row>
    <row r="2424" spans="1:13" x14ac:dyDescent="0.25">
      <c r="A2424">
        <v>2210</v>
      </c>
      <c r="B2424" s="47" t="str">
        <f>VLOOKUP(Tabla6[[#This Row],['# Vuelo]],'Validacion reclamo de equipaje'!P:Q,2,0)</f>
        <v>INTERAVIÓN</v>
      </c>
      <c r="C2424" s="48">
        <v>0.4375</v>
      </c>
      <c r="D2424" s="48">
        <v>0.44444444444444442</v>
      </c>
      <c r="E2424" s="49">
        <f>'Reclamo de equipaje rediseñado'!$D2424-'Reclamo de equipaje rediseñado'!$C2424</f>
        <v>6.9444444444444198E-3</v>
      </c>
      <c r="F2424" s="48">
        <v>0.45069444444444445</v>
      </c>
      <c r="G2424" s="49">
        <f t="shared" si="37"/>
        <v>6.2500000000000333E-3</v>
      </c>
      <c r="H2424" s="50">
        <v>41748</v>
      </c>
      <c r="I2424" s="51" t="s">
        <v>536</v>
      </c>
      <c r="J2424" s="51">
        <v>320</v>
      </c>
      <c r="K2424" s="51">
        <f>VLOOKUP(J2424,'Validacion reclamo de equipaje'!L:M,2,0)</f>
        <v>179</v>
      </c>
      <c r="L2424" s="51" t="str">
        <f>VLOOKUP(I2424,'Validacion reclamo de equipaje'!H:I,2,0)</f>
        <v>Nacional</v>
      </c>
      <c r="M2424" s="51" t="s">
        <v>523</v>
      </c>
    </row>
    <row r="2425" spans="1:13" x14ac:dyDescent="0.25">
      <c r="A2425">
        <v>2210</v>
      </c>
      <c r="B2425" s="47" t="str">
        <f>VLOOKUP(Tabla6[[#This Row],['# Vuelo]],'Validacion reclamo de equipaje'!P:Q,2,0)</f>
        <v>INTERAVIÓN</v>
      </c>
      <c r="C2425" s="52">
        <v>0.42708333333333331</v>
      </c>
      <c r="D2425" s="52">
        <v>0.4375</v>
      </c>
      <c r="E2425" s="53">
        <f>'Reclamo de equipaje rediseñado'!$D2425-'Reclamo de equipaje rediseñado'!$C2425</f>
        <v>1.0416666666666685E-2</v>
      </c>
      <c r="F2425" s="52">
        <v>0.44375000000000003</v>
      </c>
      <c r="G2425" s="53">
        <f t="shared" si="37"/>
        <v>6.2500000000000333E-3</v>
      </c>
      <c r="H2425" s="54">
        <v>41750</v>
      </c>
      <c r="I2425" s="55" t="s">
        <v>536</v>
      </c>
      <c r="J2425" s="55">
        <v>320</v>
      </c>
      <c r="K2425" s="55">
        <f>VLOOKUP(J2425,'Validacion reclamo de equipaje'!L:M,2,0)</f>
        <v>179</v>
      </c>
      <c r="L2425" s="55" t="str">
        <f>VLOOKUP(I2425,'Validacion reclamo de equipaje'!H:I,2,0)</f>
        <v>Nacional</v>
      </c>
      <c r="M2425" s="55" t="s">
        <v>523</v>
      </c>
    </row>
    <row r="2426" spans="1:13" x14ac:dyDescent="0.25">
      <c r="A2426">
        <v>2210</v>
      </c>
      <c r="B2426" s="47" t="str">
        <f>VLOOKUP(Tabla6[[#This Row],['# Vuelo]],'Validacion reclamo de equipaje'!P:Q,2,0)</f>
        <v>INTERAVIÓN</v>
      </c>
      <c r="C2426" s="48">
        <v>0.43402777777777773</v>
      </c>
      <c r="D2426" s="48">
        <v>0.44097222222222227</v>
      </c>
      <c r="E2426" s="49">
        <f>'Reclamo de equipaje rediseñado'!$D2426-'Reclamo de equipaje rediseñado'!$C2426</f>
        <v>6.9444444444445308E-3</v>
      </c>
      <c r="F2426" s="48">
        <v>0.44513888888888892</v>
      </c>
      <c r="G2426" s="49">
        <f t="shared" si="37"/>
        <v>4.1666666666666519E-3</v>
      </c>
      <c r="H2426" s="50">
        <v>41751</v>
      </c>
      <c r="I2426" s="51" t="s">
        <v>536</v>
      </c>
      <c r="J2426" s="51">
        <v>320</v>
      </c>
      <c r="K2426" s="51">
        <f>VLOOKUP(J2426,'Validacion reclamo de equipaje'!L:M,2,0)</f>
        <v>179</v>
      </c>
      <c r="L2426" s="51" t="str">
        <f>VLOOKUP(I2426,'Validacion reclamo de equipaje'!H:I,2,0)</f>
        <v>Nacional</v>
      </c>
      <c r="M2426" s="51" t="s">
        <v>523</v>
      </c>
    </row>
    <row r="2427" spans="1:13" x14ac:dyDescent="0.25">
      <c r="A2427">
        <v>2210</v>
      </c>
      <c r="B2427" s="47" t="str">
        <f>VLOOKUP(Tabla6[[#This Row],['# Vuelo]],'Validacion reclamo de equipaje'!P:Q,2,0)</f>
        <v>INTERAVIÓN</v>
      </c>
      <c r="C2427" s="52">
        <v>0.43541666666666662</v>
      </c>
      <c r="D2427" s="52">
        <v>0.44097222222222227</v>
      </c>
      <c r="E2427" s="53">
        <f>'Reclamo de equipaje rediseñado'!$D2427-'Reclamo de equipaje rediseñado'!$C2427</f>
        <v>5.5555555555556468E-3</v>
      </c>
      <c r="F2427" s="52">
        <v>0.44791666666666669</v>
      </c>
      <c r="G2427" s="53">
        <f t="shared" si="37"/>
        <v>6.9444444444444198E-3</v>
      </c>
      <c r="H2427" s="54">
        <v>41753</v>
      </c>
      <c r="I2427" s="55" t="s">
        <v>536</v>
      </c>
      <c r="J2427" s="55">
        <v>320</v>
      </c>
      <c r="K2427" s="55">
        <f>VLOOKUP(J2427,'Validacion reclamo de equipaje'!L:M,2,0)</f>
        <v>179</v>
      </c>
      <c r="L2427" s="55" t="str">
        <f>VLOOKUP(I2427,'Validacion reclamo de equipaje'!H:I,2,0)</f>
        <v>Nacional</v>
      </c>
      <c r="M2427" s="55" t="s">
        <v>523</v>
      </c>
    </row>
    <row r="2428" spans="1:13" x14ac:dyDescent="0.25">
      <c r="A2428">
        <v>2210</v>
      </c>
      <c r="B2428" s="47" t="str">
        <f>VLOOKUP(Tabla6[[#This Row],['# Vuelo]],'Validacion reclamo de equipaje'!P:Q,2,0)</f>
        <v>INTERAVIÓN</v>
      </c>
      <c r="C2428" s="48">
        <v>0.43611111111111112</v>
      </c>
      <c r="D2428" s="48">
        <v>0.44236111111111115</v>
      </c>
      <c r="E2428" s="49">
        <f>'Reclamo de equipaje rediseñado'!$D2428-'Reclamo de equipaje rediseñado'!$C2428</f>
        <v>6.2500000000000333E-3</v>
      </c>
      <c r="F2428" s="48">
        <v>0.4465277777777778</v>
      </c>
      <c r="G2428" s="49">
        <f t="shared" si="37"/>
        <v>4.1666666666666519E-3</v>
      </c>
      <c r="H2428" s="50">
        <v>41754</v>
      </c>
      <c r="I2428" s="51" t="s">
        <v>536</v>
      </c>
      <c r="J2428" s="51">
        <v>320</v>
      </c>
      <c r="K2428" s="51">
        <f>VLOOKUP(J2428,'Validacion reclamo de equipaje'!L:M,2,0)</f>
        <v>179</v>
      </c>
      <c r="L2428" s="51" t="str">
        <f>VLOOKUP(I2428,'Validacion reclamo de equipaje'!H:I,2,0)</f>
        <v>Nacional</v>
      </c>
      <c r="M2428" s="51" t="s">
        <v>523</v>
      </c>
    </row>
    <row r="2429" spans="1:13" x14ac:dyDescent="0.25">
      <c r="A2429">
        <v>2210</v>
      </c>
      <c r="B2429" s="47" t="str">
        <f>VLOOKUP(Tabla6[[#This Row],['# Vuelo]],'Validacion reclamo de equipaje'!P:Q,2,0)</f>
        <v>INTERAVIÓN</v>
      </c>
      <c r="C2429" s="52">
        <v>0.43263888888888885</v>
      </c>
      <c r="D2429" s="52">
        <v>0.4375</v>
      </c>
      <c r="E2429" s="53">
        <f>'Reclamo de equipaje rediseñado'!$D2429-'Reclamo de equipaje rediseñado'!$C2429</f>
        <v>4.8611111111111494E-3</v>
      </c>
      <c r="F2429" s="52">
        <v>0.44375000000000003</v>
      </c>
      <c r="G2429" s="53">
        <f t="shared" si="37"/>
        <v>6.2500000000000333E-3</v>
      </c>
      <c r="H2429" s="54">
        <v>41756</v>
      </c>
      <c r="I2429" s="55" t="s">
        <v>536</v>
      </c>
      <c r="J2429" s="55">
        <v>320</v>
      </c>
      <c r="K2429" s="55">
        <f>VLOOKUP(J2429,'Validacion reclamo de equipaje'!L:M,2,0)</f>
        <v>179</v>
      </c>
      <c r="L2429" s="55" t="str">
        <f>VLOOKUP(I2429,'Validacion reclamo de equipaje'!H:I,2,0)</f>
        <v>Nacional</v>
      </c>
      <c r="M2429" s="55" t="s">
        <v>523</v>
      </c>
    </row>
    <row r="2430" spans="1:13" x14ac:dyDescent="0.25">
      <c r="A2430">
        <v>2210</v>
      </c>
      <c r="B2430" s="47" t="str">
        <f>VLOOKUP(Tabla6[[#This Row],['# Vuelo]],'Validacion reclamo de equipaje'!P:Q,2,0)</f>
        <v>INTERAVIÓN</v>
      </c>
      <c r="C2430" s="48">
        <v>0.43194444444444446</v>
      </c>
      <c r="D2430" s="48">
        <v>0.43958333333333338</v>
      </c>
      <c r="E2430" s="49">
        <f>'Reclamo de equipaje rediseñado'!$D2430-'Reclamo de equipaje rediseñado'!$C2430</f>
        <v>7.6388888888889173E-3</v>
      </c>
      <c r="F2430" s="48">
        <v>0.44305555555555554</v>
      </c>
      <c r="G2430" s="49">
        <f t="shared" si="37"/>
        <v>3.4722222222221544E-3</v>
      </c>
      <c r="H2430" s="50">
        <v>41757</v>
      </c>
      <c r="I2430" s="51" t="s">
        <v>536</v>
      </c>
      <c r="J2430" s="51">
        <v>320</v>
      </c>
      <c r="K2430" s="51">
        <f>VLOOKUP(J2430,'Validacion reclamo de equipaje'!L:M,2,0)</f>
        <v>179</v>
      </c>
      <c r="L2430" s="51" t="str">
        <f>VLOOKUP(I2430,'Validacion reclamo de equipaje'!H:I,2,0)</f>
        <v>Nacional</v>
      </c>
      <c r="M2430" s="51" t="s">
        <v>523</v>
      </c>
    </row>
    <row r="2431" spans="1:13" x14ac:dyDescent="0.25">
      <c r="A2431">
        <v>2210</v>
      </c>
      <c r="B2431" s="47" t="str">
        <f>VLOOKUP(Tabla6[[#This Row],['# Vuelo]],'Validacion reclamo de equipaje'!P:Q,2,0)</f>
        <v>INTERAVIÓN</v>
      </c>
      <c r="C2431" s="52">
        <v>0.43333333333333335</v>
      </c>
      <c r="D2431" s="52">
        <v>0.4381944444444445</v>
      </c>
      <c r="E2431" s="53">
        <f>'Reclamo de equipaje rediseñado'!$D2431-'Reclamo de equipaje rediseñado'!$C2431</f>
        <v>4.8611111111111494E-3</v>
      </c>
      <c r="F2431" s="52">
        <v>0.44305555555555554</v>
      </c>
      <c r="G2431" s="53">
        <f t="shared" si="37"/>
        <v>4.8611111111110383E-3</v>
      </c>
      <c r="H2431" s="54">
        <v>41758</v>
      </c>
      <c r="I2431" s="55" t="s">
        <v>536</v>
      </c>
      <c r="J2431" s="55">
        <v>320</v>
      </c>
      <c r="K2431" s="55">
        <f>VLOOKUP(J2431,'Validacion reclamo de equipaje'!L:M,2,0)</f>
        <v>179</v>
      </c>
      <c r="L2431" s="55" t="str">
        <f>VLOOKUP(I2431,'Validacion reclamo de equipaje'!H:I,2,0)</f>
        <v>Nacional</v>
      </c>
      <c r="M2431" s="55" t="s">
        <v>523</v>
      </c>
    </row>
    <row r="2432" spans="1:13" x14ac:dyDescent="0.25">
      <c r="A2432">
        <v>2208</v>
      </c>
      <c r="B2432" s="47" t="str">
        <f>VLOOKUP(Tabla6[[#This Row],['# Vuelo]],'Validacion reclamo de equipaje'!P:Q,2,0)</f>
        <v>INTERAVIÓN</v>
      </c>
      <c r="C2432" s="48">
        <v>0.38263888888888892</v>
      </c>
      <c r="D2432" s="48">
        <v>0.38819444444444445</v>
      </c>
      <c r="E2432" s="49">
        <f>'Reclamo de equipaje rediseñado'!$D2432-'Reclamo de equipaje rediseñado'!$C2432</f>
        <v>5.5555555555555358E-3</v>
      </c>
      <c r="F2432" s="48">
        <v>0.39305555555555555</v>
      </c>
      <c r="G2432" s="49">
        <f t="shared" si="37"/>
        <v>4.8611111111110938E-3</v>
      </c>
      <c r="H2432" s="50">
        <v>41730</v>
      </c>
      <c r="I2432" s="51" t="s">
        <v>536</v>
      </c>
      <c r="J2432" s="51">
        <v>320</v>
      </c>
      <c r="K2432" s="51">
        <f>VLOOKUP(J2432,'Validacion reclamo de equipaje'!L:M,2,0)</f>
        <v>179</v>
      </c>
      <c r="L2432" s="51" t="str">
        <f>VLOOKUP(I2432,'Validacion reclamo de equipaje'!H:I,2,0)</f>
        <v>Nacional</v>
      </c>
      <c r="M2432" s="51" t="s">
        <v>523</v>
      </c>
    </row>
    <row r="2433" spans="1:13" x14ac:dyDescent="0.25">
      <c r="A2433">
        <v>2208</v>
      </c>
      <c r="B2433" s="47" t="str">
        <f>VLOOKUP(Tabla6[[#This Row],['# Vuelo]],'Validacion reclamo de equipaje'!P:Q,2,0)</f>
        <v>INTERAVIÓN</v>
      </c>
      <c r="C2433" s="52">
        <v>0.38541666666666669</v>
      </c>
      <c r="D2433" s="52">
        <v>0.38750000000000001</v>
      </c>
      <c r="E2433" s="53">
        <f>'Reclamo de equipaje rediseñado'!$D2433-'Reclamo de equipaje rediseñado'!$C2433</f>
        <v>2.0833333333333259E-3</v>
      </c>
      <c r="F2433" s="52">
        <v>0.39027777777777778</v>
      </c>
      <c r="G2433" s="53">
        <f t="shared" si="37"/>
        <v>2.7777777777777679E-3</v>
      </c>
      <c r="H2433" s="54">
        <v>41731</v>
      </c>
      <c r="I2433" s="55" t="s">
        <v>536</v>
      </c>
      <c r="J2433" s="55">
        <v>320</v>
      </c>
      <c r="K2433" s="55">
        <f>VLOOKUP(J2433,'Validacion reclamo de equipaje'!L:M,2,0)</f>
        <v>179</v>
      </c>
      <c r="L2433" s="55" t="str">
        <f>VLOOKUP(I2433,'Validacion reclamo de equipaje'!H:I,2,0)</f>
        <v>Nacional</v>
      </c>
      <c r="M2433" s="55" t="s">
        <v>523</v>
      </c>
    </row>
    <row r="2434" spans="1:13" x14ac:dyDescent="0.25">
      <c r="A2434">
        <v>2208</v>
      </c>
      <c r="B2434" s="47" t="str">
        <f>VLOOKUP(Tabla6[[#This Row],['# Vuelo]],'Validacion reclamo de equipaje'!P:Q,2,0)</f>
        <v>INTERAVIÓN</v>
      </c>
      <c r="C2434" s="48">
        <v>0.38819444444444445</v>
      </c>
      <c r="D2434" s="48">
        <v>0.40138888888888885</v>
      </c>
      <c r="E2434" s="49">
        <f>'Reclamo de equipaje rediseñado'!$D2434-'Reclamo de equipaje rediseñado'!$C2434</f>
        <v>1.3194444444444398E-2</v>
      </c>
      <c r="F2434" s="48">
        <v>0.40833333333333338</v>
      </c>
      <c r="G2434" s="49">
        <f t="shared" si="37"/>
        <v>6.9444444444445308E-3</v>
      </c>
      <c r="H2434" s="50">
        <v>41732</v>
      </c>
      <c r="I2434" s="51" t="s">
        <v>536</v>
      </c>
      <c r="J2434" s="51">
        <v>320</v>
      </c>
      <c r="K2434" s="51">
        <f>VLOOKUP(J2434,'Validacion reclamo de equipaje'!L:M,2,0)</f>
        <v>179</v>
      </c>
      <c r="L2434" s="51" t="str">
        <f>VLOOKUP(I2434,'Validacion reclamo de equipaje'!H:I,2,0)</f>
        <v>Nacional</v>
      </c>
      <c r="M2434" s="51" t="s">
        <v>523</v>
      </c>
    </row>
    <row r="2435" spans="1:13" x14ac:dyDescent="0.25">
      <c r="A2435">
        <v>2208</v>
      </c>
      <c r="B2435" s="47" t="str">
        <f>VLOOKUP(Tabla6[[#This Row],['# Vuelo]],'Validacion reclamo de equipaje'!P:Q,2,0)</f>
        <v>INTERAVIÓN</v>
      </c>
      <c r="C2435" s="52">
        <v>0.38472222222222219</v>
      </c>
      <c r="D2435" s="52">
        <v>0.39027777777777778</v>
      </c>
      <c r="E2435" s="53">
        <f>'Reclamo de equipaje rediseñado'!$D2435-'Reclamo de equipaje rediseñado'!$C2435</f>
        <v>5.5555555555555913E-3</v>
      </c>
      <c r="F2435" s="52">
        <v>0.3979166666666667</v>
      </c>
      <c r="G2435" s="53">
        <f t="shared" ref="G2435:G2498" si="38">F2435-D2435</f>
        <v>7.6388888888889173E-3</v>
      </c>
      <c r="H2435" s="54">
        <v>41733</v>
      </c>
      <c r="I2435" s="55" t="s">
        <v>536</v>
      </c>
      <c r="J2435" s="55">
        <v>320</v>
      </c>
      <c r="K2435" s="55">
        <f>VLOOKUP(J2435,'Validacion reclamo de equipaje'!L:M,2,0)</f>
        <v>179</v>
      </c>
      <c r="L2435" s="55" t="str">
        <f>VLOOKUP(I2435,'Validacion reclamo de equipaje'!H:I,2,0)</f>
        <v>Nacional</v>
      </c>
      <c r="M2435" s="55" t="s">
        <v>523</v>
      </c>
    </row>
    <row r="2436" spans="1:13" x14ac:dyDescent="0.25">
      <c r="A2436">
        <v>2208</v>
      </c>
      <c r="B2436" s="47" t="str">
        <f>VLOOKUP(Tabla6[[#This Row],['# Vuelo]],'Validacion reclamo de equipaje'!P:Q,2,0)</f>
        <v>INTERAVIÓN</v>
      </c>
      <c r="C2436" s="48">
        <v>0.40416666666666662</v>
      </c>
      <c r="D2436" s="48">
        <v>0.40833333333333338</v>
      </c>
      <c r="E2436" s="49">
        <f>'Reclamo de equipaje rediseñado'!$D2436-'Reclamo de equipaje rediseñado'!$C2436</f>
        <v>4.1666666666667629E-3</v>
      </c>
      <c r="F2436" s="48">
        <v>0.41319444444444442</v>
      </c>
      <c r="G2436" s="49">
        <f t="shared" si="38"/>
        <v>4.8611111111110383E-3</v>
      </c>
      <c r="H2436" s="50">
        <v>41737</v>
      </c>
      <c r="I2436" s="51" t="s">
        <v>536</v>
      </c>
      <c r="J2436" s="51">
        <v>320</v>
      </c>
      <c r="K2436" s="51">
        <f>VLOOKUP(J2436,'Validacion reclamo de equipaje'!L:M,2,0)</f>
        <v>179</v>
      </c>
      <c r="L2436" s="51" t="str">
        <f>VLOOKUP(I2436,'Validacion reclamo de equipaje'!H:I,2,0)</f>
        <v>Nacional</v>
      </c>
      <c r="M2436" s="51" t="s">
        <v>523</v>
      </c>
    </row>
    <row r="2437" spans="1:13" x14ac:dyDescent="0.25">
      <c r="A2437">
        <v>2208</v>
      </c>
      <c r="B2437" s="47" t="str">
        <f>VLOOKUP(Tabla6[[#This Row],['# Vuelo]],'Validacion reclamo de equipaje'!P:Q,2,0)</f>
        <v>INTERAVIÓN</v>
      </c>
      <c r="C2437" s="52">
        <v>0.41666666666666669</v>
      </c>
      <c r="D2437" s="52">
        <v>0.42291666666666666</v>
      </c>
      <c r="E2437" s="53">
        <f>'Reclamo de equipaje rediseñado'!$D2437-'Reclamo de equipaje rediseñado'!$C2437</f>
        <v>6.2499999999999778E-3</v>
      </c>
      <c r="F2437" s="52">
        <v>0.42986111111111108</v>
      </c>
      <c r="G2437" s="53">
        <f t="shared" si="38"/>
        <v>6.9444444444444198E-3</v>
      </c>
      <c r="H2437" s="54">
        <v>41739</v>
      </c>
      <c r="I2437" s="55" t="s">
        <v>536</v>
      </c>
      <c r="J2437" s="55">
        <v>320</v>
      </c>
      <c r="K2437" s="55">
        <f>VLOOKUP(J2437,'Validacion reclamo de equipaje'!L:M,2,0)</f>
        <v>179</v>
      </c>
      <c r="L2437" s="55" t="str">
        <f>VLOOKUP(I2437,'Validacion reclamo de equipaje'!H:I,2,0)</f>
        <v>Nacional</v>
      </c>
      <c r="M2437" s="55" t="s">
        <v>523</v>
      </c>
    </row>
    <row r="2438" spans="1:13" x14ac:dyDescent="0.25">
      <c r="A2438">
        <v>2208</v>
      </c>
      <c r="B2438" s="47" t="str">
        <f>VLOOKUP(Tabla6[[#This Row],['# Vuelo]],'Validacion reclamo de equipaje'!P:Q,2,0)</f>
        <v>INTERAVIÓN</v>
      </c>
      <c r="C2438" s="48">
        <v>0.3923611111111111</v>
      </c>
      <c r="D2438" s="48">
        <v>0.3972222222222222</v>
      </c>
      <c r="E2438" s="49">
        <f>'Reclamo de equipaje rediseñado'!$D2438-'Reclamo de equipaje rediseñado'!$C2438</f>
        <v>4.8611111111110938E-3</v>
      </c>
      <c r="F2438" s="48">
        <v>0.4236111111111111</v>
      </c>
      <c r="G2438" s="49">
        <f t="shared" si="38"/>
        <v>2.6388888888888906E-2</v>
      </c>
      <c r="H2438" s="50">
        <v>41741</v>
      </c>
      <c r="I2438" s="51" t="s">
        <v>536</v>
      </c>
      <c r="J2438" s="51">
        <v>320</v>
      </c>
      <c r="K2438" s="51">
        <f>VLOOKUP(J2438,'Validacion reclamo de equipaje'!L:M,2,0)</f>
        <v>179</v>
      </c>
      <c r="L2438" s="51" t="str">
        <f>VLOOKUP(I2438,'Validacion reclamo de equipaje'!H:I,2,0)</f>
        <v>Nacional</v>
      </c>
      <c r="M2438" s="51" t="s">
        <v>523</v>
      </c>
    </row>
    <row r="2439" spans="1:13" x14ac:dyDescent="0.25">
      <c r="A2439">
        <v>2208</v>
      </c>
      <c r="B2439" s="47" t="str">
        <f>VLOOKUP(Tabla6[[#This Row],['# Vuelo]],'Validacion reclamo de equipaje'!P:Q,2,0)</f>
        <v>INTERAVIÓN</v>
      </c>
      <c r="C2439" s="52">
        <v>0.38263888888888892</v>
      </c>
      <c r="D2439" s="52">
        <v>0.38819444444444445</v>
      </c>
      <c r="E2439" s="53">
        <f>'Reclamo de equipaje rediseñado'!$D2439-'Reclamo de equipaje rediseñado'!$C2439</f>
        <v>5.5555555555555358E-3</v>
      </c>
      <c r="F2439" s="52">
        <v>0.39305555555555555</v>
      </c>
      <c r="G2439" s="53">
        <f t="shared" si="38"/>
        <v>4.8611111111110938E-3</v>
      </c>
      <c r="H2439" s="54">
        <v>41742</v>
      </c>
      <c r="I2439" s="55" t="s">
        <v>536</v>
      </c>
      <c r="J2439" s="55">
        <v>320</v>
      </c>
      <c r="K2439" s="55">
        <f>VLOOKUP(J2439,'Validacion reclamo de equipaje'!L:M,2,0)</f>
        <v>179</v>
      </c>
      <c r="L2439" s="55" t="str">
        <f>VLOOKUP(I2439,'Validacion reclamo de equipaje'!H:I,2,0)</f>
        <v>Nacional</v>
      </c>
      <c r="M2439" s="55" t="s">
        <v>523</v>
      </c>
    </row>
    <row r="2440" spans="1:13" x14ac:dyDescent="0.25">
      <c r="A2440">
        <v>2208</v>
      </c>
      <c r="B2440" s="47" t="str">
        <f>VLOOKUP(Tabla6[[#This Row],['# Vuelo]],'Validacion reclamo de equipaje'!P:Q,2,0)</f>
        <v>INTERAVIÓN</v>
      </c>
      <c r="C2440" s="48">
        <v>0.39930555555555558</v>
      </c>
      <c r="D2440" s="48">
        <v>0.40416666666666662</v>
      </c>
      <c r="E2440" s="49">
        <f>'Reclamo de equipaje rediseñado'!$D2440-'Reclamo de equipaje rediseñado'!$C2440</f>
        <v>4.8611111111110383E-3</v>
      </c>
      <c r="F2440" s="48">
        <v>0.40625</v>
      </c>
      <c r="G2440" s="49">
        <f t="shared" si="38"/>
        <v>2.0833333333333814E-3</v>
      </c>
      <c r="H2440" s="50">
        <v>41743</v>
      </c>
      <c r="I2440" s="51" t="s">
        <v>536</v>
      </c>
      <c r="J2440" s="51">
        <v>320</v>
      </c>
      <c r="K2440" s="51">
        <f>VLOOKUP(J2440,'Validacion reclamo de equipaje'!L:M,2,0)</f>
        <v>179</v>
      </c>
      <c r="L2440" s="51" t="str">
        <f>VLOOKUP(I2440,'Validacion reclamo de equipaje'!H:I,2,0)</f>
        <v>Nacional</v>
      </c>
      <c r="M2440" s="51" t="s">
        <v>523</v>
      </c>
    </row>
    <row r="2441" spans="1:13" x14ac:dyDescent="0.25">
      <c r="A2441">
        <v>2208</v>
      </c>
      <c r="B2441" s="47" t="str">
        <f>VLOOKUP(Tabla6[[#This Row],['# Vuelo]],'Validacion reclamo de equipaje'!P:Q,2,0)</f>
        <v>INTERAVIÓN</v>
      </c>
      <c r="C2441" s="52">
        <v>0.38541666666666669</v>
      </c>
      <c r="D2441" s="52">
        <v>0.39583333333333331</v>
      </c>
      <c r="E2441" s="53">
        <f>'Reclamo de equipaje rediseñado'!$D2441-'Reclamo de equipaje rediseñado'!$C2441</f>
        <v>1.041666666666663E-2</v>
      </c>
      <c r="F2441" s="52">
        <v>0.40138888888888885</v>
      </c>
      <c r="G2441" s="53">
        <f t="shared" si="38"/>
        <v>5.5555555555555358E-3</v>
      </c>
      <c r="H2441" s="54">
        <v>41750</v>
      </c>
      <c r="I2441" s="55" t="s">
        <v>536</v>
      </c>
      <c r="J2441" s="55">
        <v>320</v>
      </c>
      <c r="K2441" s="55">
        <f>VLOOKUP(J2441,'Validacion reclamo de equipaje'!L:M,2,0)</f>
        <v>179</v>
      </c>
      <c r="L2441" s="55" t="str">
        <f>VLOOKUP(I2441,'Validacion reclamo de equipaje'!H:I,2,0)</f>
        <v>Nacional</v>
      </c>
      <c r="M2441" s="55" t="s">
        <v>523</v>
      </c>
    </row>
    <row r="2442" spans="1:13" x14ac:dyDescent="0.25">
      <c r="A2442">
        <v>2208</v>
      </c>
      <c r="B2442" s="47" t="str">
        <f>VLOOKUP(Tabla6[[#This Row],['# Vuelo]],'Validacion reclamo de equipaje'!P:Q,2,0)</f>
        <v>INTERAVIÓN</v>
      </c>
      <c r="C2442" s="48">
        <v>0.39930555555555558</v>
      </c>
      <c r="D2442" s="48">
        <v>0.40347222222222223</v>
      </c>
      <c r="E2442" s="49">
        <f>'Reclamo de equipaje rediseñado'!$D2442-'Reclamo de equipaje rediseñado'!$C2442</f>
        <v>4.1666666666666519E-3</v>
      </c>
      <c r="F2442" s="48">
        <v>0.40763888888888888</v>
      </c>
      <c r="G2442" s="49">
        <f t="shared" si="38"/>
        <v>4.1666666666666519E-3</v>
      </c>
      <c r="H2442" s="50">
        <v>41751</v>
      </c>
      <c r="I2442" s="51" t="s">
        <v>536</v>
      </c>
      <c r="J2442" s="51">
        <v>320</v>
      </c>
      <c r="K2442" s="51">
        <f>VLOOKUP(J2442,'Validacion reclamo de equipaje'!L:M,2,0)</f>
        <v>179</v>
      </c>
      <c r="L2442" s="51" t="str">
        <f>VLOOKUP(I2442,'Validacion reclamo de equipaje'!H:I,2,0)</f>
        <v>Nacional</v>
      </c>
      <c r="M2442" s="51" t="s">
        <v>523</v>
      </c>
    </row>
    <row r="2443" spans="1:13" x14ac:dyDescent="0.25">
      <c r="A2443">
        <v>2208</v>
      </c>
      <c r="B2443" s="47" t="str">
        <f>VLOOKUP(Tabla6[[#This Row],['# Vuelo]],'Validacion reclamo de equipaje'!P:Q,2,0)</f>
        <v>INTERAVIÓN</v>
      </c>
      <c r="C2443" s="52">
        <v>0.40486111111111112</v>
      </c>
      <c r="D2443" s="52">
        <v>0.41111111111111115</v>
      </c>
      <c r="E2443" s="53">
        <f>'Reclamo de equipaje rediseñado'!$D2443-'Reclamo de equipaje rediseñado'!$C2443</f>
        <v>6.2500000000000333E-3</v>
      </c>
      <c r="F2443" s="52">
        <v>0.41944444444444445</v>
      </c>
      <c r="G2443" s="53">
        <f t="shared" si="38"/>
        <v>8.3333333333333037E-3</v>
      </c>
      <c r="H2443" s="54">
        <v>41753</v>
      </c>
      <c r="I2443" s="55" t="s">
        <v>536</v>
      </c>
      <c r="J2443" s="55">
        <v>320</v>
      </c>
      <c r="K2443" s="55">
        <f>VLOOKUP(J2443,'Validacion reclamo de equipaje'!L:M,2,0)</f>
        <v>179</v>
      </c>
      <c r="L2443" s="55" t="str">
        <f>VLOOKUP(I2443,'Validacion reclamo de equipaje'!H:I,2,0)</f>
        <v>Nacional</v>
      </c>
      <c r="M2443" s="55" t="s">
        <v>523</v>
      </c>
    </row>
    <row r="2444" spans="1:13" x14ac:dyDescent="0.25">
      <c r="A2444">
        <v>2208</v>
      </c>
      <c r="B2444" s="47" t="str">
        <f>VLOOKUP(Tabla6[[#This Row],['# Vuelo]],'Validacion reclamo de equipaje'!P:Q,2,0)</f>
        <v>INTERAVIÓN</v>
      </c>
      <c r="C2444" s="48">
        <v>0.39097222222222222</v>
      </c>
      <c r="D2444" s="48">
        <v>0.39444444444444443</v>
      </c>
      <c r="E2444" s="49">
        <f>'Reclamo de equipaje rediseñado'!$D2444-'Reclamo de equipaje rediseñado'!$C2444</f>
        <v>3.4722222222222099E-3</v>
      </c>
      <c r="F2444" s="48">
        <v>0.39861111111111108</v>
      </c>
      <c r="G2444" s="49">
        <f t="shared" si="38"/>
        <v>4.1666666666666519E-3</v>
      </c>
      <c r="H2444" s="50">
        <v>41754</v>
      </c>
      <c r="I2444" s="51" t="s">
        <v>536</v>
      </c>
      <c r="J2444" s="51">
        <v>320</v>
      </c>
      <c r="K2444" s="51">
        <f>VLOOKUP(J2444,'Validacion reclamo de equipaje'!L:M,2,0)</f>
        <v>179</v>
      </c>
      <c r="L2444" s="51" t="str">
        <f>VLOOKUP(I2444,'Validacion reclamo de equipaje'!H:I,2,0)</f>
        <v>Nacional</v>
      </c>
      <c r="M2444" s="51" t="s">
        <v>523</v>
      </c>
    </row>
    <row r="2445" spans="1:13" x14ac:dyDescent="0.25">
      <c r="A2445">
        <v>2208</v>
      </c>
      <c r="B2445" s="47" t="str">
        <f>VLOOKUP(Tabla6[[#This Row],['# Vuelo]],'Validacion reclamo de equipaje'!P:Q,2,0)</f>
        <v>INTERAVIÓN</v>
      </c>
      <c r="C2445" s="52">
        <v>0.38680555555555557</v>
      </c>
      <c r="D2445" s="52">
        <v>0.39166666666666666</v>
      </c>
      <c r="E2445" s="53">
        <f>'Reclamo de equipaje rediseñado'!$D2445-'Reclamo de equipaje rediseñado'!$C2445</f>
        <v>4.8611111111110938E-3</v>
      </c>
      <c r="F2445" s="52">
        <v>0.3972222222222222</v>
      </c>
      <c r="G2445" s="53">
        <f t="shared" si="38"/>
        <v>5.5555555555555358E-3</v>
      </c>
      <c r="H2445" s="54">
        <v>41757</v>
      </c>
      <c r="I2445" s="55" t="s">
        <v>536</v>
      </c>
      <c r="J2445" s="55">
        <v>320</v>
      </c>
      <c r="K2445" s="55">
        <f>VLOOKUP(J2445,'Validacion reclamo de equipaje'!L:M,2,0)</f>
        <v>179</v>
      </c>
      <c r="L2445" s="55" t="str">
        <f>VLOOKUP(I2445,'Validacion reclamo de equipaje'!H:I,2,0)</f>
        <v>Nacional</v>
      </c>
      <c r="M2445" s="55" t="s">
        <v>523</v>
      </c>
    </row>
    <row r="2446" spans="1:13" x14ac:dyDescent="0.25">
      <c r="A2446">
        <v>2208</v>
      </c>
      <c r="B2446" s="47" t="str">
        <f>VLOOKUP(Tabla6[[#This Row],['# Vuelo]],'Validacion reclamo de equipaje'!P:Q,2,0)</f>
        <v>INTERAVIÓN</v>
      </c>
      <c r="C2446" s="48">
        <v>0.39513888888888887</v>
      </c>
      <c r="D2446" s="48">
        <v>0.40208333333333335</v>
      </c>
      <c r="E2446" s="49">
        <f>'Reclamo de equipaje rediseñado'!$D2446-'Reclamo de equipaje rediseñado'!$C2446</f>
        <v>6.9444444444444753E-3</v>
      </c>
      <c r="F2446" s="48">
        <v>0.40763888888888888</v>
      </c>
      <c r="G2446" s="49">
        <f t="shared" si="38"/>
        <v>5.5555555555555358E-3</v>
      </c>
      <c r="H2446" s="50">
        <v>41758</v>
      </c>
      <c r="I2446" s="51" t="s">
        <v>536</v>
      </c>
      <c r="J2446" s="51">
        <v>320</v>
      </c>
      <c r="K2446" s="51">
        <f>VLOOKUP(J2446,'Validacion reclamo de equipaje'!L:M,2,0)</f>
        <v>179</v>
      </c>
      <c r="L2446" s="51" t="str">
        <f>VLOOKUP(I2446,'Validacion reclamo de equipaje'!H:I,2,0)</f>
        <v>Nacional</v>
      </c>
      <c r="M2446" s="51" t="s">
        <v>523</v>
      </c>
    </row>
    <row r="2447" spans="1:13" x14ac:dyDescent="0.25">
      <c r="A2447">
        <v>2206</v>
      </c>
      <c r="B2447" s="47" t="str">
        <f>VLOOKUP(Tabla6[[#This Row],['# Vuelo]],'Validacion reclamo de equipaje'!P:Q,2,0)</f>
        <v>INTERAVIÓN</v>
      </c>
      <c r="C2447" s="52">
        <v>0.47222222222222227</v>
      </c>
      <c r="D2447" s="52">
        <v>0.47638888888888892</v>
      </c>
      <c r="E2447" s="53">
        <f>'Reclamo de equipaje rediseñado'!$D2447-'Reclamo de equipaje rediseñado'!$C2447</f>
        <v>4.1666666666666519E-3</v>
      </c>
      <c r="F2447" s="52">
        <v>0.47916666666666669</v>
      </c>
      <c r="G2447" s="53">
        <f t="shared" si="38"/>
        <v>2.7777777777777679E-3</v>
      </c>
      <c r="H2447" s="54">
        <v>41730</v>
      </c>
      <c r="I2447" s="55" t="s">
        <v>536</v>
      </c>
      <c r="J2447" s="55">
        <v>320</v>
      </c>
      <c r="K2447" s="55">
        <f>VLOOKUP(J2447,'Validacion reclamo de equipaje'!L:M,2,0)</f>
        <v>179</v>
      </c>
      <c r="L2447" s="55" t="str">
        <f>VLOOKUP(I2447,'Validacion reclamo de equipaje'!H:I,2,0)</f>
        <v>Nacional</v>
      </c>
      <c r="M2447" s="55" t="s">
        <v>523</v>
      </c>
    </row>
    <row r="2448" spans="1:13" x14ac:dyDescent="0.25">
      <c r="A2448">
        <v>2206</v>
      </c>
      <c r="B2448" s="47" t="str">
        <f>VLOOKUP(Tabla6[[#This Row],['# Vuelo]],'Validacion reclamo de equipaje'!P:Q,2,0)</f>
        <v>INTERAVIÓN</v>
      </c>
      <c r="C2448" s="48">
        <v>0.47500000000000003</v>
      </c>
      <c r="D2448" s="48">
        <v>0.48333333333333334</v>
      </c>
      <c r="E2448" s="49">
        <f>'Reclamo de equipaje rediseñado'!$D2448-'Reclamo de equipaje rediseñado'!$C2448</f>
        <v>8.3333333333333037E-3</v>
      </c>
      <c r="F2448" s="48">
        <v>0.4861111111111111</v>
      </c>
      <c r="G2448" s="49">
        <f t="shared" si="38"/>
        <v>2.7777777777777679E-3</v>
      </c>
      <c r="H2448" s="50">
        <v>41731</v>
      </c>
      <c r="I2448" s="51" t="s">
        <v>536</v>
      </c>
      <c r="J2448" s="51">
        <v>320</v>
      </c>
      <c r="K2448" s="51">
        <f>VLOOKUP(J2448,'Validacion reclamo de equipaje'!L:M,2,0)</f>
        <v>179</v>
      </c>
      <c r="L2448" s="51" t="str">
        <f>VLOOKUP(I2448,'Validacion reclamo de equipaje'!H:I,2,0)</f>
        <v>Nacional</v>
      </c>
      <c r="M2448" s="51" t="s">
        <v>523</v>
      </c>
    </row>
    <row r="2449" spans="1:13" x14ac:dyDescent="0.25">
      <c r="A2449">
        <v>2206</v>
      </c>
      <c r="B2449" s="47" t="str">
        <f>VLOOKUP(Tabla6[[#This Row],['# Vuelo]],'Validacion reclamo de equipaje'!P:Q,2,0)</f>
        <v>INTERAVIÓN</v>
      </c>
      <c r="C2449" s="52">
        <v>0.49305555555555558</v>
      </c>
      <c r="D2449" s="52">
        <v>0.49722222222222223</v>
      </c>
      <c r="E2449" s="53">
        <f>'Reclamo de equipaje rediseñado'!$D2449-'Reclamo de equipaje rediseñado'!$C2449</f>
        <v>4.1666666666666519E-3</v>
      </c>
      <c r="F2449" s="52">
        <v>0.50416666666666665</v>
      </c>
      <c r="G2449" s="53">
        <f t="shared" si="38"/>
        <v>6.9444444444444198E-3</v>
      </c>
      <c r="H2449" s="54">
        <v>41732</v>
      </c>
      <c r="I2449" s="55" t="s">
        <v>536</v>
      </c>
      <c r="J2449" s="55">
        <v>320</v>
      </c>
      <c r="K2449" s="55">
        <f>VLOOKUP(J2449,'Validacion reclamo de equipaje'!L:M,2,0)</f>
        <v>179</v>
      </c>
      <c r="L2449" s="55" t="str">
        <f>VLOOKUP(I2449,'Validacion reclamo de equipaje'!H:I,2,0)</f>
        <v>Nacional</v>
      </c>
      <c r="M2449" s="55" t="s">
        <v>523</v>
      </c>
    </row>
    <row r="2450" spans="1:13" x14ac:dyDescent="0.25">
      <c r="A2450">
        <v>2206</v>
      </c>
      <c r="B2450" s="47" t="str">
        <f>VLOOKUP(Tabla6[[#This Row],['# Vuelo]],'Validacion reclamo de equipaje'!P:Q,2,0)</f>
        <v>INTERAVIÓN</v>
      </c>
      <c r="C2450" s="48">
        <v>0.47291666666666665</v>
      </c>
      <c r="D2450" s="48">
        <v>0.47847222222222219</v>
      </c>
      <c r="E2450" s="49">
        <f>'Reclamo de equipaje rediseñado'!$D2450-'Reclamo de equipaje rediseñado'!$C2450</f>
        <v>5.5555555555555358E-3</v>
      </c>
      <c r="F2450" s="48">
        <v>0.4826388888888889</v>
      </c>
      <c r="G2450" s="49">
        <f t="shared" si="38"/>
        <v>4.1666666666667074E-3</v>
      </c>
      <c r="H2450" s="50">
        <v>41733</v>
      </c>
      <c r="I2450" s="51" t="s">
        <v>536</v>
      </c>
      <c r="J2450" s="51">
        <v>320</v>
      </c>
      <c r="K2450" s="51">
        <f>VLOOKUP(J2450,'Validacion reclamo de equipaje'!L:M,2,0)</f>
        <v>179</v>
      </c>
      <c r="L2450" s="51" t="str">
        <f>VLOOKUP(I2450,'Validacion reclamo de equipaje'!H:I,2,0)</f>
        <v>Nacional</v>
      </c>
      <c r="M2450" s="51" t="s">
        <v>523</v>
      </c>
    </row>
    <row r="2451" spans="1:13" x14ac:dyDescent="0.25">
      <c r="A2451">
        <v>2206</v>
      </c>
      <c r="B2451" s="47" t="str">
        <f>VLOOKUP(Tabla6[[#This Row],['# Vuelo]],'Validacion reclamo de equipaje'!P:Q,2,0)</f>
        <v>INTERAVIÓN</v>
      </c>
      <c r="C2451" s="52">
        <v>0.48749999999999999</v>
      </c>
      <c r="D2451" s="52">
        <v>0.48819444444444443</v>
      </c>
      <c r="E2451" s="53">
        <f>'Reclamo de equipaje rediseñado'!$D2451-'Reclamo de equipaje rediseñado'!$C2451</f>
        <v>6.9444444444444198E-4</v>
      </c>
      <c r="F2451" s="52">
        <v>0.50138888888888888</v>
      </c>
      <c r="G2451" s="53">
        <f t="shared" si="38"/>
        <v>1.3194444444444453E-2</v>
      </c>
      <c r="H2451" s="54">
        <v>41737</v>
      </c>
      <c r="I2451" s="55" t="s">
        <v>536</v>
      </c>
      <c r="J2451" s="55">
        <v>320</v>
      </c>
      <c r="K2451" s="55">
        <f>VLOOKUP(J2451,'Validacion reclamo de equipaje'!L:M,2,0)</f>
        <v>179</v>
      </c>
      <c r="L2451" s="55" t="str">
        <f>VLOOKUP(I2451,'Validacion reclamo de equipaje'!H:I,2,0)</f>
        <v>Nacional</v>
      </c>
      <c r="M2451" s="55" t="s">
        <v>523</v>
      </c>
    </row>
    <row r="2452" spans="1:13" x14ac:dyDescent="0.25">
      <c r="A2452">
        <v>2206</v>
      </c>
      <c r="B2452" s="47" t="str">
        <f>VLOOKUP(Tabla6[[#This Row],['# Vuelo]],'Validacion reclamo de equipaje'!P:Q,2,0)</f>
        <v>INTERAVIÓN</v>
      </c>
      <c r="C2452" s="48">
        <v>0.4680555555555555</v>
      </c>
      <c r="D2452" s="48">
        <v>0.47500000000000003</v>
      </c>
      <c r="E2452" s="49">
        <f>'Reclamo de equipaje rediseñado'!$D2452-'Reclamo de equipaje rediseñado'!$C2452</f>
        <v>6.9444444444445308E-3</v>
      </c>
      <c r="F2452" s="48">
        <v>0.47916666666666669</v>
      </c>
      <c r="G2452" s="49">
        <f t="shared" si="38"/>
        <v>4.1666666666666519E-3</v>
      </c>
      <c r="H2452" s="50">
        <v>41739</v>
      </c>
      <c r="I2452" s="51" t="s">
        <v>536</v>
      </c>
      <c r="J2452" s="51">
        <v>320</v>
      </c>
      <c r="K2452" s="51">
        <f>VLOOKUP(J2452,'Validacion reclamo de equipaje'!L:M,2,0)</f>
        <v>179</v>
      </c>
      <c r="L2452" s="51" t="str">
        <f>VLOOKUP(I2452,'Validacion reclamo de equipaje'!H:I,2,0)</f>
        <v>Nacional</v>
      </c>
      <c r="M2452" s="51" t="s">
        <v>523</v>
      </c>
    </row>
    <row r="2453" spans="1:13" x14ac:dyDescent="0.25">
      <c r="A2453">
        <v>2206</v>
      </c>
      <c r="B2453" s="47" t="str">
        <f>VLOOKUP(Tabla6[[#This Row],['# Vuelo]],'Validacion reclamo de equipaje'!P:Q,2,0)</f>
        <v>INTERAVIÓN</v>
      </c>
      <c r="C2453" s="52">
        <v>0.47222222222222227</v>
      </c>
      <c r="D2453" s="52">
        <v>0.47638888888888892</v>
      </c>
      <c r="E2453" s="53">
        <f>'Reclamo de equipaje rediseñado'!$D2453-'Reclamo de equipaje rediseñado'!$C2453</f>
        <v>4.1666666666666519E-3</v>
      </c>
      <c r="F2453" s="52">
        <v>0.47916666666666669</v>
      </c>
      <c r="G2453" s="53">
        <f t="shared" si="38"/>
        <v>2.7777777777777679E-3</v>
      </c>
      <c r="H2453" s="54">
        <v>41742</v>
      </c>
      <c r="I2453" s="55" t="s">
        <v>536</v>
      </c>
      <c r="J2453" s="55">
        <v>320</v>
      </c>
      <c r="K2453" s="55">
        <f>VLOOKUP(J2453,'Validacion reclamo de equipaje'!L:M,2,0)</f>
        <v>179</v>
      </c>
      <c r="L2453" s="55" t="str">
        <f>VLOOKUP(I2453,'Validacion reclamo de equipaje'!H:I,2,0)</f>
        <v>Nacional</v>
      </c>
      <c r="M2453" s="55" t="s">
        <v>523</v>
      </c>
    </row>
    <row r="2454" spans="1:13" x14ac:dyDescent="0.25">
      <c r="A2454">
        <v>2206</v>
      </c>
      <c r="B2454" s="47" t="str">
        <f>VLOOKUP(Tabla6[[#This Row],['# Vuelo]],'Validacion reclamo de equipaje'!P:Q,2,0)</f>
        <v>INTERAVIÓN</v>
      </c>
      <c r="C2454" s="48">
        <v>0.4694444444444445</v>
      </c>
      <c r="D2454" s="48">
        <v>0.47569444444444442</v>
      </c>
      <c r="E2454" s="49">
        <f>'Reclamo de equipaje rediseñado'!$D2454-'Reclamo de equipaje rediseñado'!$C2454</f>
        <v>6.2499999999999223E-3</v>
      </c>
      <c r="F2454" s="48">
        <v>0.47847222222222219</v>
      </c>
      <c r="G2454" s="49">
        <f t="shared" si="38"/>
        <v>2.7777777777777679E-3</v>
      </c>
      <c r="H2454" s="50">
        <v>41757</v>
      </c>
      <c r="I2454" s="51" t="s">
        <v>536</v>
      </c>
      <c r="J2454" s="51">
        <v>320</v>
      </c>
      <c r="K2454" s="51">
        <f>VLOOKUP(J2454,'Validacion reclamo de equipaje'!L:M,2,0)</f>
        <v>179</v>
      </c>
      <c r="L2454" s="51" t="str">
        <f>VLOOKUP(I2454,'Validacion reclamo de equipaje'!H:I,2,0)</f>
        <v>Nacional</v>
      </c>
      <c r="M2454" s="51" t="s">
        <v>523</v>
      </c>
    </row>
    <row r="2455" spans="1:13" x14ac:dyDescent="0.25">
      <c r="A2455">
        <v>2206</v>
      </c>
      <c r="B2455" s="47" t="str">
        <f>VLOOKUP(Tabla6[[#This Row],['# Vuelo]],'Validacion reclamo de equipaje'!P:Q,2,0)</f>
        <v>INTERAVIÓN</v>
      </c>
      <c r="C2455" s="52">
        <v>0.47638888888888892</v>
      </c>
      <c r="D2455" s="52">
        <v>0.4826388888888889</v>
      </c>
      <c r="E2455" s="53">
        <f>'Reclamo de equipaje rediseñado'!$D2455-'Reclamo de equipaje rediseñado'!$C2455</f>
        <v>6.2499999999999778E-3</v>
      </c>
      <c r="F2455" s="52">
        <v>0.48680555555555555</v>
      </c>
      <c r="G2455" s="53">
        <f t="shared" si="38"/>
        <v>4.1666666666666519E-3</v>
      </c>
      <c r="H2455" s="54">
        <v>41758</v>
      </c>
      <c r="I2455" s="55" t="s">
        <v>536</v>
      </c>
      <c r="J2455" s="55">
        <v>320</v>
      </c>
      <c r="K2455" s="55">
        <f>VLOOKUP(J2455,'Validacion reclamo de equipaje'!L:M,2,0)</f>
        <v>179</v>
      </c>
      <c r="L2455" s="55" t="str">
        <f>VLOOKUP(I2455,'Validacion reclamo de equipaje'!H:I,2,0)</f>
        <v>Nacional</v>
      </c>
      <c r="M2455" s="55" t="s">
        <v>523</v>
      </c>
    </row>
    <row r="2456" spans="1:13" x14ac:dyDescent="0.25">
      <c r="A2456">
        <v>2206</v>
      </c>
      <c r="B2456" s="47" t="str">
        <f>VLOOKUP(Tabla6[[#This Row],['# Vuelo]],'Validacion reclamo de equipaje'!P:Q,2,0)</f>
        <v>INTERAVIÓN</v>
      </c>
      <c r="C2456" s="48">
        <v>0.4861111111111111</v>
      </c>
      <c r="D2456" s="48">
        <v>0.4916666666666667</v>
      </c>
      <c r="E2456" s="49">
        <f>'Reclamo de equipaje rediseñado'!$D2456-'Reclamo de equipaje rediseñado'!$C2456</f>
        <v>5.5555555555555913E-3</v>
      </c>
      <c r="F2456" s="48">
        <v>0.49513888888888885</v>
      </c>
      <c r="G2456" s="49">
        <f t="shared" si="38"/>
        <v>3.4722222222221544E-3</v>
      </c>
      <c r="H2456" s="50">
        <v>41759</v>
      </c>
      <c r="I2456" s="51" t="s">
        <v>536</v>
      </c>
      <c r="J2456" s="51">
        <v>320</v>
      </c>
      <c r="K2456" s="51">
        <f>VLOOKUP(J2456,'Validacion reclamo de equipaje'!L:M,2,0)</f>
        <v>179</v>
      </c>
      <c r="L2456" s="51" t="str">
        <f>VLOOKUP(I2456,'Validacion reclamo de equipaje'!H:I,2,0)</f>
        <v>Nacional</v>
      </c>
      <c r="M2456" s="51" t="s">
        <v>523</v>
      </c>
    </row>
    <row r="2457" spans="1:13" x14ac:dyDescent="0.25">
      <c r="A2457">
        <v>2204</v>
      </c>
      <c r="B2457" s="47" t="str">
        <f>VLOOKUP(Tabla6[[#This Row],['# Vuelo]],'Validacion reclamo de equipaje'!P:Q,2,0)</f>
        <v>INTERAVIÓN</v>
      </c>
      <c r="C2457" s="52">
        <v>0.36249999999999999</v>
      </c>
      <c r="D2457" s="52">
        <v>0.36805555555555558</v>
      </c>
      <c r="E2457" s="53">
        <f>'Reclamo de equipaje rediseñado'!$D2457-'Reclamo de equipaje rediseñado'!$C2457</f>
        <v>5.5555555555555913E-3</v>
      </c>
      <c r="F2457" s="52">
        <v>0.37152777777777773</v>
      </c>
      <c r="G2457" s="53">
        <f t="shared" si="38"/>
        <v>3.4722222222221544E-3</v>
      </c>
      <c r="H2457" s="54">
        <v>41730</v>
      </c>
      <c r="I2457" s="55" t="s">
        <v>536</v>
      </c>
      <c r="J2457" s="55">
        <v>320</v>
      </c>
      <c r="K2457" s="55">
        <f>VLOOKUP(J2457,'Validacion reclamo de equipaje'!L:M,2,0)</f>
        <v>179</v>
      </c>
      <c r="L2457" s="55" t="str">
        <f>VLOOKUP(I2457,'Validacion reclamo de equipaje'!H:I,2,0)</f>
        <v>Nacional</v>
      </c>
      <c r="M2457" s="55" t="s">
        <v>523</v>
      </c>
    </row>
    <row r="2458" spans="1:13" x14ac:dyDescent="0.25">
      <c r="A2458">
        <v>2204</v>
      </c>
      <c r="B2458" s="47" t="str">
        <f>VLOOKUP(Tabla6[[#This Row],['# Vuelo]],'Validacion reclamo de equipaje'!P:Q,2,0)</f>
        <v>INTERAVIÓN</v>
      </c>
      <c r="C2458" s="48">
        <v>0.36319444444444443</v>
      </c>
      <c r="D2458" s="48">
        <v>0.37222222222222223</v>
      </c>
      <c r="E2458" s="49">
        <f>'Reclamo de equipaje rediseñado'!$D2458-'Reclamo de equipaje rediseñado'!$C2458</f>
        <v>9.0277777777778012E-3</v>
      </c>
      <c r="F2458" s="48">
        <v>0.37638888888888888</v>
      </c>
      <c r="G2458" s="49">
        <f t="shared" si="38"/>
        <v>4.1666666666666519E-3</v>
      </c>
      <c r="H2458" s="50">
        <v>41731</v>
      </c>
      <c r="I2458" s="51" t="s">
        <v>536</v>
      </c>
      <c r="J2458" s="51">
        <v>320</v>
      </c>
      <c r="K2458" s="51">
        <f>VLOOKUP(J2458,'Validacion reclamo de equipaje'!L:M,2,0)</f>
        <v>179</v>
      </c>
      <c r="L2458" s="51" t="str">
        <f>VLOOKUP(I2458,'Validacion reclamo de equipaje'!H:I,2,0)</f>
        <v>Nacional</v>
      </c>
      <c r="M2458" s="51" t="s">
        <v>523</v>
      </c>
    </row>
    <row r="2459" spans="1:13" x14ac:dyDescent="0.25">
      <c r="A2459">
        <v>2204</v>
      </c>
      <c r="B2459" s="47" t="str">
        <f>VLOOKUP(Tabla6[[#This Row],['# Vuelo]],'Validacion reclamo de equipaje'!P:Q,2,0)</f>
        <v>INTERAVIÓN</v>
      </c>
      <c r="C2459" s="52">
        <v>0.35486111111111113</v>
      </c>
      <c r="D2459" s="52">
        <v>0.36319444444444443</v>
      </c>
      <c r="E2459" s="53">
        <f>'Reclamo de equipaje rediseñado'!$D2459-'Reclamo de equipaje rediseñado'!$C2459</f>
        <v>8.3333333333333037E-3</v>
      </c>
      <c r="F2459" s="52">
        <v>0.36805555555555558</v>
      </c>
      <c r="G2459" s="53">
        <f t="shared" si="38"/>
        <v>4.8611111111111494E-3</v>
      </c>
      <c r="H2459" s="54">
        <v>41732</v>
      </c>
      <c r="I2459" s="55" t="s">
        <v>536</v>
      </c>
      <c r="J2459" s="55">
        <v>320</v>
      </c>
      <c r="K2459" s="55">
        <f>VLOOKUP(J2459,'Validacion reclamo de equipaje'!L:M,2,0)</f>
        <v>179</v>
      </c>
      <c r="L2459" s="55" t="str">
        <f>VLOOKUP(I2459,'Validacion reclamo de equipaje'!H:I,2,0)</f>
        <v>Nacional</v>
      </c>
      <c r="M2459" s="55" t="s">
        <v>523</v>
      </c>
    </row>
    <row r="2460" spans="1:13" x14ac:dyDescent="0.25">
      <c r="A2460">
        <v>2204</v>
      </c>
      <c r="B2460" s="47" t="str">
        <f>VLOOKUP(Tabla6[[#This Row],['# Vuelo]],'Validacion reclamo de equipaje'!P:Q,2,0)</f>
        <v>INTERAVIÓN</v>
      </c>
      <c r="C2460" s="48">
        <v>0.36874999999999997</v>
      </c>
      <c r="D2460" s="48">
        <v>0.3756944444444445</v>
      </c>
      <c r="E2460" s="49">
        <f>'Reclamo de equipaje rediseñado'!$D2460-'Reclamo de equipaje rediseñado'!$C2460</f>
        <v>6.9444444444445308E-3</v>
      </c>
      <c r="F2460" s="48">
        <v>0.37986111111111115</v>
      </c>
      <c r="G2460" s="49">
        <f t="shared" si="38"/>
        <v>4.1666666666666519E-3</v>
      </c>
      <c r="H2460" s="50">
        <v>41733</v>
      </c>
      <c r="I2460" s="51" t="s">
        <v>536</v>
      </c>
      <c r="J2460" s="51">
        <v>320</v>
      </c>
      <c r="K2460" s="51">
        <f>VLOOKUP(J2460,'Validacion reclamo de equipaje'!L:M,2,0)</f>
        <v>179</v>
      </c>
      <c r="L2460" s="51" t="str">
        <f>VLOOKUP(I2460,'Validacion reclamo de equipaje'!H:I,2,0)</f>
        <v>Nacional</v>
      </c>
      <c r="M2460" s="51" t="s">
        <v>523</v>
      </c>
    </row>
    <row r="2461" spans="1:13" x14ac:dyDescent="0.25">
      <c r="A2461">
        <v>2204</v>
      </c>
      <c r="B2461" s="47" t="str">
        <f>VLOOKUP(Tabla6[[#This Row],['# Vuelo]],'Validacion reclamo de equipaje'!P:Q,2,0)</f>
        <v>INTERAVIÓN</v>
      </c>
      <c r="C2461" s="52">
        <v>0.3576388888888889</v>
      </c>
      <c r="D2461" s="52">
        <v>0.36458333333333331</v>
      </c>
      <c r="E2461" s="53">
        <f>'Reclamo de equipaje rediseñado'!$D2461-'Reclamo de equipaje rediseñado'!$C2461</f>
        <v>6.9444444444444198E-3</v>
      </c>
      <c r="F2461" s="52">
        <v>0.36874999999999997</v>
      </c>
      <c r="G2461" s="53">
        <f t="shared" si="38"/>
        <v>4.1666666666666519E-3</v>
      </c>
      <c r="H2461" s="54">
        <v>41737</v>
      </c>
      <c r="I2461" s="55" t="s">
        <v>536</v>
      </c>
      <c r="J2461" s="55">
        <v>320</v>
      </c>
      <c r="K2461" s="55">
        <f>VLOOKUP(J2461,'Validacion reclamo de equipaje'!L:M,2,0)</f>
        <v>179</v>
      </c>
      <c r="L2461" s="55" t="str">
        <f>VLOOKUP(I2461,'Validacion reclamo de equipaje'!H:I,2,0)</f>
        <v>Nacional</v>
      </c>
      <c r="M2461" s="55" t="s">
        <v>523</v>
      </c>
    </row>
    <row r="2462" spans="1:13" x14ac:dyDescent="0.25">
      <c r="A2462">
        <v>2204</v>
      </c>
      <c r="B2462" s="47" t="str">
        <f>VLOOKUP(Tabla6[[#This Row],['# Vuelo]],'Validacion reclamo de equipaje'!P:Q,2,0)</f>
        <v>INTERAVIÓN</v>
      </c>
      <c r="C2462" s="48">
        <v>0.38263888888888892</v>
      </c>
      <c r="D2462" s="48">
        <v>0.39097222222222222</v>
      </c>
      <c r="E2462" s="49">
        <f>'Reclamo de equipaje rediseñado'!$D2462-'Reclamo de equipaje rediseñado'!$C2462</f>
        <v>8.3333333333333037E-3</v>
      </c>
      <c r="F2462" s="48">
        <v>0.39444444444444443</v>
      </c>
      <c r="G2462" s="49">
        <f t="shared" si="38"/>
        <v>3.4722222222222099E-3</v>
      </c>
      <c r="H2462" s="50">
        <v>41739</v>
      </c>
      <c r="I2462" s="51" t="s">
        <v>536</v>
      </c>
      <c r="J2462" s="51">
        <v>320</v>
      </c>
      <c r="K2462" s="51">
        <f>VLOOKUP(J2462,'Validacion reclamo de equipaje'!L:M,2,0)</f>
        <v>179</v>
      </c>
      <c r="L2462" s="51" t="str">
        <f>VLOOKUP(I2462,'Validacion reclamo de equipaje'!H:I,2,0)</f>
        <v>Nacional</v>
      </c>
      <c r="M2462" s="51" t="s">
        <v>523</v>
      </c>
    </row>
    <row r="2463" spans="1:13" x14ac:dyDescent="0.25">
      <c r="A2463">
        <v>2204</v>
      </c>
      <c r="B2463" s="47" t="str">
        <f>VLOOKUP(Tabla6[[#This Row],['# Vuelo]],'Validacion reclamo de equipaje'!P:Q,2,0)</f>
        <v>INTERAVIÓN</v>
      </c>
      <c r="C2463" s="52">
        <v>0.36249999999999999</v>
      </c>
      <c r="D2463" s="52">
        <v>0.36805555555555558</v>
      </c>
      <c r="E2463" s="53">
        <f>'Reclamo de equipaje rediseñado'!$D2463-'Reclamo de equipaje rediseñado'!$C2463</f>
        <v>5.5555555555555913E-3</v>
      </c>
      <c r="F2463" s="52">
        <v>0.37152777777777773</v>
      </c>
      <c r="G2463" s="53">
        <f t="shared" si="38"/>
        <v>3.4722222222221544E-3</v>
      </c>
      <c r="H2463" s="54">
        <v>41742</v>
      </c>
      <c r="I2463" s="55" t="s">
        <v>536</v>
      </c>
      <c r="J2463" s="55">
        <v>320</v>
      </c>
      <c r="K2463" s="55">
        <f>VLOOKUP(J2463,'Validacion reclamo de equipaje'!L:M,2,0)</f>
        <v>179</v>
      </c>
      <c r="L2463" s="55" t="str">
        <f>VLOOKUP(I2463,'Validacion reclamo de equipaje'!H:I,2,0)</f>
        <v>Nacional</v>
      </c>
      <c r="M2463" s="55" t="s">
        <v>523</v>
      </c>
    </row>
    <row r="2464" spans="1:13" x14ac:dyDescent="0.25">
      <c r="A2464">
        <v>2204</v>
      </c>
      <c r="B2464" s="47" t="str">
        <f>VLOOKUP(Tabla6[[#This Row],['# Vuelo]],'Validacion reclamo de equipaje'!P:Q,2,0)</f>
        <v>INTERAVIÓN</v>
      </c>
      <c r="C2464" s="48">
        <v>0.3576388888888889</v>
      </c>
      <c r="D2464" s="48">
        <v>0.3611111111111111</v>
      </c>
      <c r="E2464" s="49">
        <f>'Reclamo de equipaje rediseñado'!$D2464-'Reclamo de equipaje rediseñado'!$C2464</f>
        <v>3.4722222222222099E-3</v>
      </c>
      <c r="F2464" s="48">
        <v>0.37083333333333335</v>
      </c>
      <c r="G2464" s="49">
        <f t="shared" si="38"/>
        <v>9.7222222222222432E-3</v>
      </c>
      <c r="H2464" s="50">
        <v>41743</v>
      </c>
      <c r="I2464" s="51" t="s">
        <v>536</v>
      </c>
      <c r="J2464" s="51">
        <v>320</v>
      </c>
      <c r="K2464" s="51">
        <f>VLOOKUP(J2464,'Validacion reclamo de equipaje'!L:M,2,0)</f>
        <v>179</v>
      </c>
      <c r="L2464" s="51" t="str">
        <f>VLOOKUP(I2464,'Validacion reclamo de equipaje'!H:I,2,0)</f>
        <v>Nacional</v>
      </c>
      <c r="M2464" s="51" t="s">
        <v>523</v>
      </c>
    </row>
    <row r="2465" spans="1:13" x14ac:dyDescent="0.25">
      <c r="A2465">
        <v>2204</v>
      </c>
      <c r="B2465" s="47" t="str">
        <f>VLOOKUP(Tabla6[[#This Row],['# Vuelo]],'Validacion reclamo de equipaje'!P:Q,2,0)</f>
        <v>INTERAVIÓN</v>
      </c>
      <c r="C2465" s="52">
        <v>0.35833333333333334</v>
      </c>
      <c r="D2465" s="52">
        <v>0.36388888888888887</v>
      </c>
      <c r="E2465" s="53">
        <f>'Reclamo de equipaje rediseñado'!$D2465-'Reclamo de equipaje rediseñado'!$C2465</f>
        <v>5.5555555555555358E-3</v>
      </c>
      <c r="F2465" s="52">
        <v>0.37222222222222223</v>
      </c>
      <c r="G2465" s="53">
        <f t="shared" si="38"/>
        <v>8.3333333333333592E-3</v>
      </c>
      <c r="H2465" s="54">
        <v>41744</v>
      </c>
      <c r="I2465" s="55" t="s">
        <v>536</v>
      </c>
      <c r="J2465" s="55">
        <v>320</v>
      </c>
      <c r="K2465" s="55">
        <f>VLOOKUP(J2465,'Validacion reclamo de equipaje'!L:M,2,0)</f>
        <v>179</v>
      </c>
      <c r="L2465" s="55" t="str">
        <f>VLOOKUP(I2465,'Validacion reclamo de equipaje'!H:I,2,0)</f>
        <v>Nacional</v>
      </c>
      <c r="M2465" s="55" t="s">
        <v>523</v>
      </c>
    </row>
    <row r="2466" spans="1:13" x14ac:dyDescent="0.25">
      <c r="A2466">
        <v>2204</v>
      </c>
      <c r="B2466" s="47" t="str">
        <f>VLOOKUP(Tabla6[[#This Row],['# Vuelo]],'Validacion reclamo de equipaje'!P:Q,2,0)</f>
        <v>INTERAVIÓN</v>
      </c>
      <c r="C2466" s="48">
        <v>0.35694444444444445</v>
      </c>
      <c r="D2466" s="48">
        <v>0.36319444444444443</v>
      </c>
      <c r="E2466" s="49">
        <f>'Reclamo de equipaje rediseñado'!$D2466-'Reclamo de equipaje rediseñado'!$C2466</f>
        <v>6.2499999999999778E-3</v>
      </c>
      <c r="F2466" s="48">
        <v>0.3659722222222222</v>
      </c>
      <c r="G2466" s="49">
        <f t="shared" si="38"/>
        <v>2.7777777777777679E-3</v>
      </c>
      <c r="H2466" s="50">
        <v>41745</v>
      </c>
      <c r="I2466" s="51" t="s">
        <v>536</v>
      </c>
      <c r="J2466" s="51">
        <v>320</v>
      </c>
      <c r="K2466" s="51">
        <f>VLOOKUP(J2466,'Validacion reclamo de equipaje'!L:M,2,0)</f>
        <v>179</v>
      </c>
      <c r="L2466" s="51" t="str">
        <f>VLOOKUP(I2466,'Validacion reclamo de equipaje'!H:I,2,0)</f>
        <v>Nacional</v>
      </c>
      <c r="M2466" s="51" t="s">
        <v>523</v>
      </c>
    </row>
    <row r="2467" spans="1:13" x14ac:dyDescent="0.25">
      <c r="A2467">
        <v>2204</v>
      </c>
      <c r="B2467" s="47" t="str">
        <f>VLOOKUP(Tabla6[[#This Row],['# Vuelo]],'Validacion reclamo de equipaje'!P:Q,2,0)</f>
        <v>INTERAVIÓN</v>
      </c>
      <c r="C2467" s="52">
        <v>0.35694444444444445</v>
      </c>
      <c r="D2467" s="52">
        <v>0.36388888888888887</v>
      </c>
      <c r="E2467" s="53">
        <f>'Reclamo de equipaje rediseñado'!$D2467-'Reclamo de equipaje rediseñado'!$C2467</f>
        <v>6.9444444444444198E-3</v>
      </c>
      <c r="F2467" s="52">
        <v>0.36736111111111108</v>
      </c>
      <c r="G2467" s="53">
        <f t="shared" si="38"/>
        <v>3.4722222222222099E-3</v>
      </c>
      <c r="H2467" s="54">
        <v>41757</v>
      </c>
      <c r="I2467" s="55" t="s">
        <v>536</v>
      </c>
      <c r="J2467" s="55">
        <v>320</v>
      </c>
      <c r="K2467" s="55">
        <f>VLOOKUP(J2467,'Validacion reclamo de equipaje'!L:M,2,0)</f>
        <v>179</v>
      </c>
      <c r="L2467" s="55" t="str">
        <f>VLOOKUP(I2467,'Validacion reclamo de equipaje'!H:I,2,0)</f>
        <v>Nacional</v>
      </c>
      <c r="M2467" s="55" t="s">
        <v>523</v>
      </c>
    </row>
    <row r="2468" spans="1:13" x14ac:dyDescent="0.25">
      <c r="A2468">
        <v>2204</v>
      </c>
      <c r="B2468" s="47" t="str">
        <f>VLOOKUP(Tabla6[[#This Row],['# Vuelo]],'Validacion reclamo de equipaje'!P:Q,2,0)</f>
        <v>INTERAVIÓN</v>
      </c>
      <c r="C2468" s="48">
        <v>0.60555555555555551</v>
      </c>
      <c r="D2468" s="48">
        <v>0.6069444444444444</v>
      </c>
      <c r="E2468" s="49">
        <f>'Reclamo de equipaje rediseñado'!$D2468-'Reclamo de equipaje rediseñado'!$C2468</f>
        <v>1.388888888888884E-3</v>
      </c>
      <c r="F2468" s="48">
        <v>0.61111111111111105</v>
      </c>
      <c r="G2468" s="49">
        <f t="shared" si="38"/>
        <v>4.1666666666666519E-3</v>
      </c>
      <c r="H2468" s="50">
        <v>41757</v>
      </c>
      <c r="I2468" s="51" t="s">
        <v>536</v>
      </c>
      <c r="J2468" s="51">
        <v>320</v>
      </c>
      <c r="K2468" s="51">
        <f>VLOOKUP(J2468,'Validacion reclamo de equipaje'!L:M,2,0)</f>
        <v>179</v>
      </c>
      <c r="L2468" s="51" t="str">
        <f>VLOOKUP(I2468,'Validacion reclamo de equipaje'!H:I,2,0)</f>
        <v>Nacional</v>
      </c>
      <c r="M2468" s="51" t="s">
        <v>523</v>
      </c>
    </row>
    <row r="2469" spans="1:13" x14ac:dyDescent="0.25">
      <c r="A2469">
        <v>2204</v>
      </c>
      <c r="B2469" s="47" t="str">
        <f>VLOOKUP(Tabla6[[#This Row],['# Vuelo]],'Validacion reclamo de equipaje'!P:Q,2,0)</f>
        <v>INTERAVIÓN</v>
      </c>
      <c r="C2469" s="52">
        <v>0.3576388888888889</v>
      </c>
      <c r="D2469" s="52">
        <v>0.36527777777777781</v>
      </c>
      <c r="E2469" s="53">
        <f>'Reclamo de equipaje rediseñado'!$D2469-'Reclamo de equipaje rediseñado'!$C2469</f>
        <v>7.6388888888889173E-3</v>
      </c>
      <c r="F2469" s="52">
        <v>0.36736111111111108</v>
      </c>
      <c r="G2469" s="53">
        <f t="shared" si="38"/>
        <v>2.0833333333332704E-3</v>
      </c>
      <c r="H2469" s="54">
        <v>41759</v>
      </c>
      <c r="I2469" s="55" t="s">
        <v>536</v>
      </c>
      <c r="J2469" s="55">
        <v>320</v>
      </c>
      <c r="K2469" s="55">
        <f>VLOOKUP(J2469,'Validacion reclamo de equipaje'!L:M,2,0)</f>
        <v>179</v>
      </c>
      <c r="L2469" s="55" t="str">
        <f>VLOOKUP(I2469,'Validacion reclamo de equipaje'!H:I,2,0)</f>
        <v>Nacional</v>
      </c>
      <c r="M2469" s="55" t="s">
        <v>523</v>
      </c>
    </row>
    <row r="2470" spans="1:13" x14ac:dyDescent="0.25">
      <c r="A2470">
        <v>2202</v>
      </c>
      <c r="B2470" s="47" t="str">
        <f>VLOOKUP(Tabla6[[#This Row],['# Vuelo]],'Validacion reclamo de equipaje'!P:Q,2,0)</f>
        <v>INTERAVIÓN</v>
      </c>
      <c r="C2470" s="48">
        <v>0.55555555555555558</v>
      </c>
      <c r="D2470" s="48">
        <v>0.56458333333333333</v>
      </c>
      <c r="E2470" s="49">
        <f>'Reclamo de equipaje rediseñado'!$D2470-'Reclamo de equipaje rediseñado'!$C2470</f>
        <v>9.0277777777777457E-3</v>
      </c>
      <c r="F2470" s="48">
        <v>0.57291666666666663</v>
      </c>
      <c r="G2470" s="49">
        <f t="shared" si="38"/>
        <v>8.3333333333333037E-3</v>
      </c>
      <c r="H2470" s="50">
        <v>41731</v>
      </c>
      <c r="I2470" s="51" t="s">
        <v>536</v>
      </c>
      <c r="J2470" s="51">
        <v>320</v>
      </c>
      <c r="K2470" s="51">
        <f>VLOOKUP(J2470,'Validacion reclamo de equipaje'!L:M,2,0)</f>
        <v>179</v>
      </c>
      <c r="L2470" s="51" t="str">
        <f>VLOOKUP(I2470,'Validacion reclamo de equipaje'!H:I,2,0)</f>
        <v>Nacional</v>
      </c>
      <c r="M2470" s="51" t="s">
        <v>523</v>
      </c>
    </row>
    <row r="2471" spans="1:13" x14ac:dyDescent="0.25">
      <c r="A2471">
        <v>2202</v>
      </c>
      <c r="B2471" s="47" t="str">
        <f>VLOOKUP(Tabla6[[#This Row],['# Vuelo]],'Validacion reclamo de equipaje'!P:Q,2,0)</f>
        <v>INTERAVIÓN</v>
      </c>
      <c r="C2471" s="52">
        <v>0.55277777777777781</v>
      </c>
      <c r="D2471" s="52">
        <v>0.55555555555555558</v>
      </c>
      <c r="E2471" s="53">
        <f>'Reclamo de equipaje rediseñado'!$D2471-'Reclamo de equipaje rediseñado'!$C2471</f>
        <v>2.7777777777777679E-3</v>
      </c>
      <c r="F2471" s="52">
        <v>0.56041666666666667</v>
      </c>
      <c r="G2471" s="53">
        <f t="shared" si="38"/>
        <v>4.8611111111110938E-3</v>
      </c>
      <c r="H2471" s="54">
        <v>41733</v>
      </c>
      <c r="I2471" s="55" t="s">
        <v>536</v>
      </c>
      <c r="J2471" s="55">
        <v>320</v>
      </c>
      <c r="K2471" s="55">
        <f>VLOOKUP(J2471,'Validacion reclamo de equipaje'!L:M,2,0)</f>
        <v>179</v>
      </c>
      <c r="L2471" s="55" t="str">
        <f>VLOOKUP(I2471,'Validacion reclamo de equipaje'!H:I,2,0)</f>
        <v>Nacional</v>
      </c>
      <c r="M2471" s="55" t="s">
        <v>523</v>
      </c>
    </row>
    <row r="2472" spans="1:13" x14ac:dyDescent="0.25">
      <c r="A2472">
        <v>2202</v>
      </c>
      <c r="B2472" s="47" t="str">
        <f>VLOOKUP(Tabla6[[#This Row],['# Vuelo]],'Validacion reclamo de equipaje'!P:Q,2,0)</f>
        <v>INTERAVIÓN</v>
      </c>
      <c r="C2472" s="48">
        <v>0.55486111111111114</v>
      </c>
      <c r="D2472" s="48">
        <v>0.55972222222222223</v>
      </c>
      <c r="E2472" s="49">
        <f>'Reclamo de equipaje rediseñado'!$D2472-'Reclamo de equipaje rediseñado'!$C2472</f>
        <v>4.8611111111110938E-3</v>
      </c>
      <c r="F2472" s="48">
        <v>0.56527777777777777</v>
      </c>
      <c r="G2472" s="49">
        <f t="shared" si="38"/>
        <v>5.5555555555555358E-3</v>
      </c>
      <c r="H2472" s="50">
        <v>41736</v>
      </c>
      <c r="I2472" s="51" t="s">
        <v>536</v>
      </c>
      <c r="J2472" s="51">
        <v>320</v>
      </c>
      <c r="K2472" s="51">
        <f>VLOOKUP(J2472,'Validacion reclamo de equipaje'!L:M,2,0)</f>
        <v>179</v>
      </c>
      <c r="L2472" s="51" t="str">
        <f>VLOOKUP(I2472,'Validacion reclamo de equipaje'!H:I,2,0)</f>
        <v>Nacional</v>
      </c>
      <c r="M2472" s="51" t="s">
        <v>523</v>
      </c>
    </row>
    <row r="2473" spans="1:13" x14ac:dyDescent="0.25">
      <c r="A2473">
        <v>2202</v>
      </c>
      <c r="B2473" s="47" t="str">
        <f>VLOOKUP(Tabla6[[#This Row],['# Vuelo]],'Validacion reclamo de equipaje'!P:Q,2,0)</f>
        <v>INTERAVIÓN</v>
      </c>
      <c r="C2473" s="52">
        <v>0.54166666666666663</v>
      </c>
      <c r="D2473" s="52">
        <v>0.54722222222222217</v>
      </c>
      <c r="E2473" s="53">
        <f>'Reclamo de equipaje rediseñado'!$D2473-'Reclamo de equipaje rediseñado'!$C2473</f>
        <v>5.5555555555555358E-3</v>
      </c>
      <c r="F2473" s="52">
        <v>0.55694444444444446</v>
      </c>
      <c r="G2473" s="53">
        <f t="shared" si="38"/>
        <v>9.7222222222222987E-3</v>
      </c>
      <c r="H2473" s="54">
        <v>41737</v>
      </c>
      <c r="I2473" s="55" t="s">
        <v>536</v>
      </c>
      <c r="J2473" s="55">
        <v>320</v>
      </c>
      <c r="K2473" s="55">
        <f>VLOOKUP(J2473,'Validacion reclamo de equipaje'!L:M,2,0)</f>
        <v>179</v>
      </c>
      <c r="L2473" s="55" t="str">
        <f>VLOOKUP(I2473,'Validacion reclamo de equipaje'!H:I,2,0)</f>
        <v>Nacional</v>
      </c>
      <c r="M2473" s="55" t="s">
        <v>523</v>
      </c>
    </row>
    <row r="2474" spans="1:13" x14ac:dyDescent="0.25">
      <c r="A2474">
        <v>2202</v>
      </c>
      <c r="B2474" s="47" t="str">
        <f>VLOOKUP(Tabla6[[#This Row],['# Vuelo]],'Validacion reclamo de equipaje'!P:Q,2,0)</f>
        <v>INTERAVIÓN</v>
      </c>
      <c r="C2474" s="48">
        <v>0.54583333333333328</v>
      </c>
      <c r="D2474" s="48">
        <v>0.54861111111111105</v>
      </c>
      <c r="E2474" s="49">
        <f>'Reclamo de equipaje rediseñado'!$D2474-'Reclamo de equipaje rediseñado'!$C2474</f>
        <v>2.7777777777777679E-3</v>
      </c>
      <c r="F2474" s="48">
        <v>0.55277777777777781</v>
      </c>
      <c r="G2474" s="49">
        <f t="shared" si="38"/>
        <v>4.1666666666667629E-3</v>
      </c>
      <c r="H2474" s="50">
        <v>41739</v>
      </c>
      <c r="I2474" s="51" t="s">
        <v>536</v>
      </c>
      <c r="J2474" s="51">
        <v>320</v>
      </c>
      <c r="K2474" s="51">
        <f>VLOOKUP(J2474,'Validacion reclamo de equipaje'!L:M,2,0)</f>
        <v>179</v>
      </c>
      <c r="L2474" s="51" t="str">
        <f>VLOOKUP(I2474,'Validacion reclamo de equipaje'!H:I,2,0)</f>
        <v>Nacional</v>
      </c>
      <c r="M2474" s="51" t="s">
        <v>523</v>
      </c>
    </row>
    <row r="2475" spans="1:13" x14ac:dyDescent="0.25">
      <c r="A2475">
        <v>2202</v>
      </c>
      <c r="B2475" s="47" t="str">
        <f>VLOOKUP(Tabla6[[#This Row],['# Vuelo]],'Validacion reclamo de equipaje'!P:Q,2,0)</f>
        <v>INTERAVIÓN</v>
      </c>
      <c r="C2475" s="52">
        <v>0.55625000000000002</v>
      </c>
      <c r="D2475" s="52">
        <v>0.56527777777777777</v>
      </c>
      <c r="E2475" s="53">
        <f>'Reclamo de equipaje rediseñado'!$D2475-'Reclamo de equipaje rediseñado'!$C2475</f>
        <v>9.0277777777777457E-3</v>
      </c>
      <c r="F2475" s="52">
        <v>0.57430555555555551</v>
      </c>
      <c r="G2475" s="53">
        <f t="shared" si="38"/>
        <v>9.0277777777777457E-3</v>
      </c>
      <c r="H2475" s="54">
        <v>41743</v>
      </c>
      <c r="I2475" s="55" t="s">
        <v>536</v>
      </c>
      <c r="J2475" s="55">
        <v>320</v>
      </c>
      <c r="K2475" s="55">
        <f>VLOOKUP(J2475,'Validacion reclamo de equipaje'!L:M,2,0)</f>
        <v>179</v>
      </c>
      <c r="L2475" s="55" t="str">
        <f>VLOOKUP(I2475,'Validacion reclamo de equipaje'!H:I,2,0)</f>
        <v>Nacional</v>
      </c>
      <c r="M2475" s="55" t="s">
        <v>523</v>
      </c>
    </row>
    <row r="2476" spans="1:13" x14ac:dyDescent="0.25">
      <c r="A2476">
        <v>2202</v>
      </c>
      <c r="B2476" s="47" t="str">
        <f>VLOOKUP(Tabla6[[#This Row],['# Vuelo]],'Validacion reclamo de equipaje'!P:Q,2,0)</f>
        <v>INTERAVIÓN</v>
      </c>
      <c r="C2476" s="48">
        <v>0.54305555555555551</v>
      </c>
      <c r="D2476" s="48">
        <v>0.55208333333333337</v>
      </c>
      <c r="E2476" s="49">
        <f>'Reclamo de equipaje rediseñado'!$D2476-'Reclamo de equipaje rediseñado'!$C2476</f>
        <v>9.0277777777778567E-3</v>
      </c>
      <c r="F2476" s="48">
        <v>0.57291666666666663</v>
      </c>
      <c r="G2476" s="49">
        <f t="shared" si="38"/>
        <v>2.0833333333333259E-2</v>
      </c>
      <c r="H2476" s="50">
        <v>41744</v>
      </c>
      <c r="I2476" s="51" t="s">
        <v>536</v>
      </c>
      <c r="J2476" s="51">
        <v>320</v>
      </c>
      <c r="K2476" s="51">
        <f>VLOOKUP(J2476,'Validacion reclamo de equipaje'!L:M,2,0)</f>
        <v>179</v>
      </c>
      <c r="L2476" s="51" t="str">
        <f>VLOOKUP(I2476,'Validacion reclamo de equipaje'!H:I,2,0)</f>
        <v>Nacional</v>
      </c>
      <c r="M2476" s="51" t="s">
        <v>523</v>
      </c>
    </row>
    <row r="2477" spans="1:13" x14ac:dyDescent="0.25">
      <c r="A2477">
        <v>2202</v>
      </c>
      <c r="B2477" s="47" t="str">
        <f>VLOOKUP(Tabla6[[#This Row],['# Vuelo]],'Validacion reclamo de equipaje'!P:Q,2,0)</f>
        <v>INTERAVIÓN</v>
      </c>
      <c r="C2477" s="52">
        <v>0.54027777777777775</v>
      </c>
      <c r="D2477" s="52">
        <v>0.55069444444444449</v>
      </c>
      <c r="E2477" s="53">
        <f>'Reclamo de equipaje rediseñado'!$D2477-'Reclamo de equipaje rediseñado'!$C2477</f>
        <v>1.0416666666666741E-2</v>
      </c>
      <c r="F2477" s="52">
        <v>0.55902777777777779</v>
      </c>
      <c r="G2477" s="53">
        <f t="shared" si="38"/>
        <v>8.3333333333333037E-3</v>
      </c>
      <c r="H2477" s="54">
        <v>41745</v>
      </c>
      <c r="I2477" s="55" t="s">
        <v>536</v>
      </c>
      <c r="J2477" s="55">
        <v>320</v>
      </c>
      <c r="K2477" s="55">
        <f>VLOOKUP(J2477,'Validacion reclamo de equipaje'!L:M,2,0)</f>
        <v>179</v>
      </c>
      <c r="L2477" s="55" t="str">
        <f>VLOOKUP(I2477,'Validacion reclamo de equipaje'!H:I,2,0)</f>
        <v>Nacional</v>
      </c>
      <c r="M2477" s="55" t="s">
        <v>523</v>
      </c>
    </row>
    <row r="2478" spans="1:13" x14ac:dyDescent="0.25">
      <c r="A2478">
        <v>2202</v>
      </c>
      <c r="B2478" s="47" t="str">
        <f>VLOOKUP(Tabla6[[#This Row],['# Vuelo]],'Validacion reclamo de equipaje'!P:Q,2,0)</f>
        <v>INTERAVIÓN</v>
      </c>
      <c r="C2478" s="48">
        <v>0.54513888888888895</v>
      </c>
      <c r="D2478" s="48">
        <v>0.55208333333333337</v>
      </c>
      <c r="E2478" s="49">
        <f>'Reclamo de equipaje rediseñado'!$D2478-'Reclamo de equipaje rediseñado'!$C2478</f>
        <v>6.9444444444444198E-3</v>
      </c>
      <c r="F2478" s="48">
        <v>0.55347222222222225</v>
      </c>
      <c r="G2478" s="49">
        <f t="shared" si="38"/>
        <v>1.388888888888884E-3</v>
      </c>
      <c r="H2478" s="50">
        <v>41746</v>
      </c>
      <c r="I2478" s="51" t="s">
        <v>536</v>
      </c>
      <c r="J2478" s="51">
        <v>320</v>
      </c>
      <c r="K2478" s="51">
        <f>VLOOKUP(J2478,'Validacion reclamo de equipaje'!L:M,2,0)</f>
        <v>179</v>
      </c>
      <c r="L2478" s="51" t="str">
        <f>VLOOKUP(I2478,'Validacion reclamo de equipaje'!H:I,2,0)</f>
        <v>Nacional</v>
      </c>
      <c r="M2478" s="51" t="s">
        <v>523</v>
      </c>
    </row>
    <row r="2479" spans="1:13" x14ac:dyDescent="0.25">
      <c r="A2479">
        <v>2202</v>
      </c>
      <c r="B2479" s="47" t="str">
        <f>VLOOKUP(Tabla6[[#This Row],['# Vuelo]],'Validacion reclamo de equipaje'!P:Q,2,0)</f>
        <v>INTERAVIÓN</v>
      </c>
      <c r="C2479" s="52">
        <v>0.55138888888888882</v>
      </c>
      <c r="D2479" s="52">
        <v>0.55555555555555558</v>
      </c>
      <c r="E2479" s="53">
        <f>'Reclamo de equipaje rediseñado'!$D2479-'Reclamo de equipaje rediseñado'!$C2479</f>
        <v>4.1666666666667629E-3</v>
      </c>
      <c r="F2479" s="52">
        <v>0.56111111111111112</v>
      </c>
      <c r="G2479" s="53">
        <f t="shared" si="38"/>
        <v>5.5555555555555358E-3</v>
      </c>
      <c r="H2479" s="54">
        <v>41749</v>
      </c>
      <c r="I2479" s="55" t="s">
        <v>536</v>
      </c>
      <c r="J2479" s="55">
        <v>320</v>
      </c>
      <c r="K2479" s="55">
        <f>VLOOKUP(J2479,'Validacion reclamo de equipaje'!L:M,2,0)</f>
        <v>179</v>
      </c>
      <c r="L2479" s="55" t="str">
        <f>VLOOKUP(I2479,'Validacion reclamo de equipaje'!H:I,2,0)</f>
        <v>Nacional</v>
      </c>
      <c r="M2479" s="55" t="s">
        <v>523</v>
      </c>
    </row>
    <row r="2480" spans="1:13" x14ac:dyDescent="0.25">
      <c r="A2480">
        <v>2202</v>
      </c>
      <c r="B2480" s="47" t="str">
        <f>VLOOKUP(Tabla6[[#This Row],['# Vuelo]],'Validacion reclamo de equipaje'!P:Q,2,0)</f>
        <v>INTERAVIÓN</v>
      </c>
      <c r="C2480" s="48">
        <v>0.54513888888888895</v>
      </c>
      <c r="D2480" s="48">
        <v>0.55555555555555558</v>
      </c>
      <c r="E2480" s="49">
        <f>'Reclamo de equipaje rediseñado'!$D2480-'Reclamo de equipaje rediseñado'!$C2480</f>
        <v>1.041666666666663E-2</v>
      </c>
      <c r="F2480" s="48">
        <v>0.5625</v>
      </c>
      <c r="G2480" s="49">
        <f t="shared" si="38"/>
        <v>6.9444444444444198E-3</v>
      </c>
      <c r="H2480" s="50">
        <v>41750</v>
      </c>
      <c r="I2480" s="51" t="s">
        <v>536</v>
      </c>
      <c r="J2480" s="51">
        <v>320</v>
      </c>
      <c r="K2480" s="51">
        <f>VLOOKUP(J2480,'Validacion reclamo de equipaje'!L:M,2,0)</f>
        <v>179</v>
      </c>
      <c r="L2480" s="51" t="str">
        <f>VLOOKUP(I2480,'Validacion reclamo de equipaje'!H:I,2,0)</f>
        <v>Nacional</v>
      </c>
      <c r="M2480" s="51" t="s">
        <v>523</v>
      </c>
    </row>
    <row r="2481" spans="1:13" x14ac:dyDescent="0.25">
      <c r="A2481">
        <v>2202</v>
      </c>
      <c r="B2481" s="47" t="str">
        <f>VLOOKUP(Tabla6[[#This Row],['# Vuelo]],'Validacion reclamo de equipaje'!P:Q,2,0)</f>
        <v>INTERAVIÓN</v>
      </c>
      <c r="C2481" s="52">
        <v>0.55486111111111114</v>
      </c>
      <c r="D2481" s="52">
        <v>0.57013888888888886</v>
      </c>
      <c r="E2481" s="53">
        <f>'Reclamo de equipaje rediseñado'!$D2481-'Reclamo de equipaje rediseñado'!$C2481</f>
        <v>1.5277777777777724E-2</v>
      </c>
      <c r="F2481" s="52">
        <v>0.5756944444444444</v>
      </c>
      <c r="G2481" s="53">
        <f t="shared" si="38"/>
        <v>5.5555555555555358E-3</v>
      </c>
      <c r="H2481" s="54">
        <v>41751</v>
      </c>
      <c r="I2481" s="55" t="s">
        <v>536</v>
      </c>
      <c r="J2481" s="55">
        <v>320</v>
      </c>
      <c r="K2481" s="55">
        <f>VLOOKUP(J2481,'Validacion reclamo de equipaje'!L:M,2,0)</f>
        <v>179</v>
      </c>
      <c r="L2481" s="55" t="str">
        <f>VLOOKUP(I2481,'Validacion reclamo de equipaje'!H:I,2,0)</f>
        <v>Nacional</v>
      </c>
      <c r="M2481" s="55" t="s">
        <v>523</v>
      </c>
    </row>
    <row r="2482" spans="1:13" x14ac:dyDescent="0.25">
      <c r="A2482">
        <v>2202</v>
      </c>
      <c r="B2482" s="47" t="str">
        <f>VLOOKUP(Tabla6[[#This Row],['# Vuelo]],'Validacion reclamo de equipaje'!P:Q,2,0)</f>
        <v>INTERAVIÓN</v>
      </c>
      <c r="C2482" s="48">
        <v>0.54513888888888895</v>
      </c>
      <c r="D2482" s="48">
        <v>0.54861111111111105</v>
      </c>
      <c r="E2482" s="49">
        <f>'Reclamo de equipaje rediseñado'!$D2482-'Reclamo de equipaje rediseñado'!$C2482</f>
        <v>3.4722222222220989E-3</v>
      </c>
      <c r="F2482" s="48">
        <v>0.55833333333333335</v>
      </c>
      <c r="G2482" s="49">
        <f t="shared" si="38"/>
        <v>9.7222222222222987E-3</v>
      </c>
      <c r="H2482" s="50">
        <v>41753</v>
      </c>
      <c r="I2482" s="51" t="s">
        <v>536</v>
      </c>
      <c r="J2482" s="51">
        <v>320</v>
      </c>
      <c r="K2482" s="51">
        <f>VLOOKUP(J2482,'Validacion reclamo de equipaje'!L:M,2,0)</f>
        <v>179</v>
      </c>
      <c r="L2482" s="51" t="str">
        <f>VLOOKUP(I2482,'Validacion reclamo de equipaje'!H:I,2,0)</f>
        <v>Nacional</v>
      </c>
      <c r="M2482" s="51" t="s">
        <v>523</v>
      </c>
    </row>
    <row r="2483" spans="1:13" x14ac:dyDescent="0.25">
      <c r="A2483">
        <v>2202</v>
      </c>
      <c r="B2483" s="47" t="str">
        <f>VLOOKUP(Tabla6[[#This Row],['# Vuelo]],'Validacion reclamo de equipaje'!P:Q,2,0)</f>
        <v>INTERAVIÓN</v>
      </c>
      <c r="C2483" s="52">
        <v>0.55208333333333337</v>
      </c>
      <c r="D2483" s="52">
        <v>0.55902777777777779</v>
      </c>
      <c r="E2483" s="53">
        <f>'Reclamo de equipaje rediseñado'!$D2483-'Reclamo de equipaje rediseñado'!$C2483</f>
        <v>6.9444444444444198E-3</v>
      </c>
      <c r="F2483" s="52">
        <v>0.56597222222222221</v>
      </c>
      <c r="G2483" s="53">
        <f t="shared" si="38"/>
        <v>6.9444444444444198E-3</v>
      </c>
      <c r="H2483" s="54">
        <v>41756</v>
      </c>
      <c r="I2483" s="55" t="s">
        <v>536</v>
      </c>
      <c r="J2483" s="55">
        <v>320</v>
      </c>
      <c r="K2483" s="55">
        <f>VLOOKUP(J2483,'Validacion reclamo de equipaje'!L:M,2,0)</f>
        <v>179</v>
      </c>
      <c r="L2483" s="55" t="str">
        <f>VLOOKUP(I2483,'Validacion reclamo de equipaje'!H:I,2,0)</f>
        <v>Nacional</v>
      </c>
      <c r="M2483" s="55" t="s">
        <v>523</v>
      </c>
    </row>
    <row r="2484" spans="1:13" x14ac:dyDescent="0.25">
      <c r="A2484">
        <v>2202</v>
      </c>
      <c r="B2484" s="47" t="str">
        <f>VLOOKUP(Tabla6[[#This Row],['# Vuelo]],'Validacion reclamo de equipaje'!P:Q,2,0)</f>
        <v>INTERAVIÓN</v>
      </c>
      <c r="C2484" s="48">
        <v>0.55694444444444446</v>
      </c>
      <c r="D2484" s="48">
        <v>0.56527777777777777</v>
      </c>
      <c r="E2484" s="49">
        <f>'Reclamo de equipaje rediseñado'!$D2484-'Reclamo de equipaje rediseñado'!$C2484</f>
        <v>8.3333333333333037E-3</v>
      </c>
      <c r="F2484" s="48">
        <v>0.56874999999999998</v>
      </c>
      <c r="G2484" s="49">
        <f t="shared" si="38"/>
        <v>3.4722222222222099E-3</v>
      </c>
      <c r="H2484" s="50">
        <v>41757</v>
      </c>
      <c r="I2484" s="51" t="s">
        <v>536</v>
      </c>
      <c r="J2484" s="51">
        <v>320</v>
      </c>
      <c r="K2484" s="51">
        <f>VLOOKUP(J2484,'Validacion reclamo de equipaje'!L:M,2,0)</f>
        <v>179</v>
      </c>
      <c r="L2484" s="51" t="str">
        <f>VLOOKUP(I2484,'Validacion reclamo de equipaje'!H:I,2,0)</f>
        <v>Nacional</v>
      </c>
      <c r="M2484" s="51" t="s">
        <v>523</v>
      </c>
    </row>
    <row r="2485" spans="1:13" x14ac:dyDescent="0.25">
      <c r="A2485">
        <v>2202</v>
      </c>
      <c r="B2485" s="47" t="str">
        <f>VLOOKUP(Tabla6[[#This Row],['# Vuelo]],'Validacion reclamo de equipaje'!P:Q,2,0)</f>
        <v>INTERAVIÓN</v>
      </c>
      <c r="C2485" s="52">
        <v>0.53819444444444442</v>
      </c>
      <c r="D2485" s="52">
        <v>0.54861111111111105</v>
      </c>
      <c r="E2485" s="53">
        <f>'Reclamo de equipaje rediseñado'!$D2485-'Reclamo de equipaje rediseñado'!$C2485</f>
        <v>1.041666666666663E-2</v>
      </c>
      <c r="F2485" s="52">
        <v>0.55277777777777781</v>
      </c>
      <c r="G2485" s="53">
        <f t="shared" si="38"/>
        <v>4.1666666666667629E-3</v>
      </c>
      <c r="H2485" s="54">
        <v>41758</v>
      </c>
      <c r="I2485" s="55" t="s">
        <v>536</v>
      </c>
      <c r="J2485" s="55">
        <v>320</v>
      </c>
      <c r="K2485" s="55">
        <f>VLOOKUP(J2485,'Validacion reclamo de equipaje'!L:M,2,0)</f>
        <v>179</v>
      </c>
      <c r="L2485" s="55" t="str">
        <f>VLOOKUP(I2485,'Validacion reclamo de equipaje'!H:I,2,0)</f>
        <v>Nacional</v>
      </c>
      <c r="M2485" s="55" t="s">
        <v>523</v>
      </c>
    </row>
    <row r="2486" spans="1:13" x14ac:dyDescent="0.25">
      <c r="A2486">
        <v>2202</v>
      </c>
      <c r="B2486" s="47" t="str">
        <f>VLOOKUP(Tabla6[[#This Row],['# Vuelo]],'Validacion reclamo de equipaje'!P:Q,2,0)</f>
        <v>INTERAVIÓN</v>
      </c>
      <c r="C2486" s="48">
        <v>0.5444444444444444</v>
      </c>
      <c r="D2486" s="48">
        <v>0.55347222222222225</v>
      </c>
      <c r="E2486" s="49">
        <f>'Reclamo de equipaje rediseñado'!$D2486-'Reclamo de equipaje rediseñado'!$C2486</f>
        <v>9.0277777777778567E-3</v>
      </c>
      <c r="F2486" s="48">
        <v>0.56180555555555556</v>
      </c>
      <c r="G2486" s="49">
        <f t="shared" si="38"/>
        <v>8.3333333333333037E-3</v>
      </c>
      <c r="H2486" s="50">
        <v>41759</v>
      </c>
      <c r="I2486" s="51" t="s">
        <v>536</v>
      </c>
      <c r="J2486" s="51">
        <v>320</v>
      </c>
      <c r="K2486" s="51">
        <f>VLOOKUP(J2486,'Validacion reclamo de equipaje'!L:M,2,0)</f>
        <v>179</v>
      </c>
      <c r="L2486" s="51" t="str">
        <f>VLOOKUP(I2486,'Validacion reclamo de equipaje'!H:I,2,0)</f>
        <v>Nacional</v>
      </c>
      <c r="M2486" s="51" t="s">
        <v>523</v>
      </c>
    </row>
    <row r="2487" spans="1:13" x14ac:dyDescent="0.25">
      <c r="A2487">
        <v>2200</v>
      </c>
      <c r="B2487" s="47" t="str">
        <f>VLOOKUP(Tabla6[[#This Row],['# Vuelo]],'Validacion reclamo de equipaje'!P:Q,2,0)</f>
        <v>INTERAVIÓN</v>
      </c>
      <c r="C2487" s="52">
        <v>0.76041666666666663</v>
      </c>
      <c r="D2487" s="52">
        <v>0.7631944444444444</v>
      </c>
      <c r="E2487" s="53">
        <f>'Reclamo de equipaje rediseñado'!$D2487-'Reclamo de equipaje rediseñado'!$C2487</f>
        <v>2.7777777777777679E-3</v>
      </c>
      <c r="F2487" s="52">
        <v>0.76874999999999993</v>
      </c>
      <c r="G2487" s="53">
        <f t="shared" si="38"/>
        <v>5.5555555555555358E-3</v>
      </c>
      <c r="H2487" s="54">
        <v>41732</v>
      </c>
      <c r="I2487" s="55" t="s">
        <v>536</v>
      </c>
      <c r="J2487" s="55">
        <v>320</v>
      </c>
      <c r="K2487" s="55">
        <f>VLOOKUP(J2487,'Validacion reclamo de equipaje'!L:M,2,0)</f>
        <v>179</v>
      </c>
      <c r="L2487" s="55" t="str">
        <f>VLOOKUP(I2487,'Validacion reclamo de equipaje'!H:I,2,0)</f>
        <v>Nacional</v>
      </c>
      <c r="M2487" s="55" t="s">
        <v>523</v>
      </c>
    </row>
    <row r="2488" spans="1:13" x14ac:dyDescent="0.25">
      <c r="A2488">
        <v>2200</v>
      </c>
      <c r="B2488" s="47" t="str">
        <f>VLOOKUP(Tabla6[[#This Row],['# Vuelo]],'Validacion reclamo de equipaje'!P:Q,2,0)</f>
        <v>INTERAVIÓN</v>
      </c>
      <c r="C2488" s="48">
        <v>0.7583333333333333</v>
      </c>
      <c r="D2488" s="48">
        <v>0.76527777777777783</v>
      </c>
      <c r="E2488" s="49">
        <f>'Reclamo de equipaje rediseñado'!$D2488-'Reclamo de equipaje rediseñado'!$C2488</f>
        <v>6.9444444444445308E-3</v>
      </c>
      <c r="F2488" s="48">
        <v>0.7715277777777777</v>
      </c>
      <c r="G2488" s="49">
        <f t="shared" si="38"/>
        <v>6.2499999999998668E-3</v>
      </c>
      <c r="H2488" s="50">
        <v>41733</v>
      </c>
      <c r="I2488" s="51" t="s">
        <v>536</v>
      </c>
      <c r="J2488" s="51">
        <v>320</v>
      </c>
      <c r="K2488" s="51">
        <f>VLOOKUP(J2488,'Validacion reclamo de equipaje'!L:M,2,0)</f>
        <v>179</v>
      </c>
      <c r="L2488" s="51" t="str">
        <f>VLOOKUP(I2488,'Validacion reclamo de equipaje'!H:I,2,0)</f>
        <v>Nacional</v>
      </c>
      <c r="M2488" s="51" t="s">
        <v>523</v>
      </c>
    </row>
    <row r="2489" spans="1:13" x14ac:dyDescent="0.25">
      <c r="A2489">
        <v>2200</v>
      </c>
      <c r="B2489" s="47" t="str">
        <f>VLOOKUP(Tabla6[[#This Row],['# Vuelo]],'Validacion reclamo de equipaje'!P:Q,2,0)</f>
        <v>INTERAVIÓN</v>
      </c>
      <c r="C2489" s="52">
        <v>0.76736111111111116</v>
      </c>
      <c r="D2489" s="52">
        <v>0.77708333333333324</v>
      </c>
      <c r="E2489" s="53">
        <f>'Reclamo de equipaje rediseñado'!$D2489-'Reclamo de equipaje rediseñado'!$C2489</f>
        <v>9.7222222222220767E-3</v>
      </c>
      <c r="F2489" s="52">
        <v>0.78472222222222221</v>
      </c>
      <c r="G2489" s="53">
        <f t="shared" si="38"/>
        <v>7.6388888888889728E-3</v>
      </c>
      <c r="H2489" s="54">
        <v>41746</v>
      </c>
      <c r="I2489" s="55" t="s">
        <v>536</v>
      </c>
      <c r="J2489" s="55">
        <v>320</v>
      </c>
      <c r="K2489" s="55">
        <f>VLOOKUP(J2489,'Validacion reclamo de equipaje'!L:M,2,0)</f>
        <v>179</v>
      </c>
      <c r="L2489" s="55" t="str">
        <f>VLOOKUP(I2489,'Validacion reclamo de equipaje'!H:I,2,0)</f>
        <v>Nacional</v>
      </c>
      <c r="M2489" s="55" t="s">
        <v>523</v>
      </c>
    </row>
    <row r="2490" spans="1:13" x14ac:dyDescent="0.25">
      <c r="A2490">
        <v>2200</v>
      </c>
      <c r="B2490" s="47" t="str">
        <f>VLOOKUP(Tabla6[[#This Row],['# Vuelo]],'Validacion reclamo de equipaje'!P:Q,2,0)</f>
        <v>INTERAVIÓN</v>
      </c>
      <c r="C2490" s="48">
        <v>0.76388888888888884</v>
      </c>
      <c r="D2490" s="48">
        <v>0.77430555555555547</v>
      </c>
      <c r="E2490" s="49">
        <f>'Reclamo de equipaje rediseñado'!$D2490-'Reclamo de equipaje rediseñado'!$C2490</f>
        <v>1.041666666666663E-2</v>
      </c>
      <c r="F2490" s="48">
        <v>0.77916666666666667</v>
      </c>
      <c r="G2490" s="49">
        <f t="shared" si="38"/>
        <v>4.8611111111112049E-3</v>
      </c>
      <c r="H2490" s="50">
        <v>41753</v>
      </c>
      <c r="I2490" s="51" t="s">
        <v>536</v>
      </c>
      <c r="J2490" s="51">
        <v>320</v>
      </c>
      <c r="K2490" s="51">
        <f>VLOOKUP(J2490,'Validacion reclamo de equipaje'!L:M,2,0)</f>
        <v>179</v>
      </c>
      <c r="L2490" s="51" t="str">
        <f>VLOOKUP(I2490,'Validacion reclamo de equipaje'!H:I,2,0)</f>
        <v>Nacional</v>
      </c>
      <c r="M2490" s="51" t="s">
        <v>523</v>
      </c>
    </row>
    <row r="2491" spans="1:13" x14ac:dyDescent="0.25">
      <c r="A2491">
        <v>957</v>
      </c>
      <c r="B2491" s="47" t="str">
        <f>VLOOKUP(Tabla6[[#This Row],['# Vuelo]],'Validacion reclamo de equipaje'!P:Q,2,0)</f>
        <v>INTERAVIÓN</v>
      </c>
      <c r="C2491" s="52">
        <v>0.67361111111111116</v>
      </c>
      <c r="D2491" s="52">
        <v>0.67986111111111114</v>
      </c>
      <c r="E2491" s="53">
        <f>'Reclamo de equipaje rediseñado'!$D2491-'Reclamo de equipaje rediseñado'!$C2491</f>
        <v>6.2499999999999778E-3</v>
      </c>
      <c r="F2491" s="52">
        <v>0.6875</v>
      </c>
      <c r="G2491" s="53">
        <f t="shared" si="38"/>
        <v>7.6388888888888618E-3</v>
      </c>
      <c r="H2491" s="54">
        <v>41732</v>
      </c>
      <c r="I2491" s="55" t="s">
        <v>547</v>
      </c>
      <c r="J2491" s="55">
        <v>320</v>
      </c>
      <c r="K2491" s="55">
        <f>VLOOKUP(J2491,'Validacion reclamo de equipaje'!L:M,2,0)</f>
        <v>179</v>
      </c>
      <c r="L2491" s="55" t="str">
        <f>VLOOKUP(I2491,'Validacion reclamo de equipaje'!H:I,2,0)</f>
        <v>Nacional</v>
      </c>
      <c r="M2491" s="55" t="s">
        <v>523</v>
      </c>
    </row>
    <row r="2492" spans="1:13" x14ac:dyDescent="0.25">
      <c r="A2492">
        <v>957</v>
      </c>
      <c r="B2492" s="47" t="str">
        <f>VLOOKUP(Tabla6[[#This Row],['# Vuelo]],'Validacion reclamo de equipaje'!P:Q,2,0)</f>
        <v>INTERAVIÓN</v>
      </c>
      <c r="C2492" s="48">
        <v>0.64097222222222217</v>
      </c>
      <c r="D2492" s="48">
        <v>0.64930555555555558</v>
      </c>
      <c r="E2492" s="49">
        <f>'Reclamo de equipaje rediseñado'!$D2492-'Reclamo de equipaje rediseñado'!$C2492</f>
        <v>8.3333333333334147E-3</v>
      </c>
      <c r="F2492" s="48">
        <v>0.66180555555555554</v>
      </c>
      <c r="G2492" s="49">
        <f t="shared" si="38"/>
        <v>1.2499999999999956E-2</v>
      </c>
      <c r="H2492" s="50">
        <v>41735</v>
      </c>
      <c r="I2492" s="51" t="s">
        <v>547</v>
      </c>
      <c r="J2492" s="51">
        <v>320</v>
      </c>
      <c r="K2492" s="51">
        <f>VLOOKUP(J2492,'Validacion reclamo de equipaje'!L:M,2,0)</f>
        <v>179</v>
      </c>
      <c r="L2492" s="51" t="str">
        <f>VLOOKUP(I2492,'Validacion reclamo de equipaje'!H:I,2,0)</f>
        <v>Nacional</v>
      </c>
      <c r="M2492" s="51" t="s">
        <v>523</v>
      </c>
    </row>
    <row r="2493" spans="1:13" x14ac:dyDescent="0.25">
      <c r="A2493">
        <v>957</v>
      </c>
      <c r="B2493" s="47" t="str">
        <f>VLOOKUP(Tabla6[[#This Row],['# Vuelo]],'Validacion reclamo de equipaje'!P:Q,2,0)</f>
        <v>INTERAVIÓN</v>
      </c>
      <c r="C2493" s="52">
        <v>0.64374999999999993</v>
      </c>
      <c r="D2493" s="52">
        <v>0.65069444444444446</v>
      </c>
      <c r="E2493" s="53">
        <f>'Reclamo de equipaje rediseñado'!$D2493-'Reclamo de equipaje rediseñado'!$C2493</f>
        <v>6.9444444444445308E-3</v>
      </c>
      <c r="F2493" s="52">
        <v>0.65902777777777777</v>
      </c>
      <c r="G2493" s="53">
        <f t="shared" si="38"/>
        <v>8.3333333333333037E-3</v>
      </c>
      <c r="H2493" s="54">
        <v>41739</v>
      </c>
      <c r="I2493" s="55" t="s">
        <v>547</v>
      </c>
      <c r="J2493" s="55">
        <v>320</v>
      </c>
      <c r="K2493" s="55">
        <f>VLOOKUP(J2493,'Validacion reclamo de equipaje'!L:M,2,0)</f>
        <v>179</v>
      </c>
      <c r="L2493" s="55" t="str">
        <f>VLOOKUP(I2493,'Validacion reclamo de equipaje'!H:I,2,0)</f>
        <v>Nacional</v>
      </c>
      <c r="M2493" s="55" t="s">
        <v>523</v>
      </c>
    </row>
    <row r="2494" spans="1:13" x14ac:dyDescent="0.25">
      <c r="A2494">
        <v>957</v>
      </c>
      <c r="B2494" s="47" t="str">
        <f>VLOOKUP(Tabla6[[#This Row],['# Vuelo]],'Validacion reclamo de equipaje'!P:Q,2,0)</f>
        <v>INTERAVIÓN</v>
      </c>
      <c r="C2494" s="48">
        <v>0.63958333333333328</v>
      </c>
      <c r="D2494" s="48">
        <v>0.64583333333333337</v>
      </c>
      <c r="E2494" s="49">
        <f>'Reclamo de equipaje rediseñado'!$D2494-'Reclamo de equipaje rediseñado'!$C2494</f>
        <v>6.2500000000000888E-3</v>
      </c>
      <c r="F2494" s="48">
        <v>0.65763888888888888</v>
      </c>
      <c r="G2494" s="49">
        <f t="shared" si="38"/>
        <v>1.1805555555555514E-2</v>
      </c>
      <c r="H2494" s="50">
        <v>41746</v>
      </c>
      <c r="I2494" s="51" t="s">
        <v>547</v>
      </c>
      <c r="J2494" s="51">
        <v>320</v>
      </c>
      <c r="K2494" s="51">
        <f>VLOOKUP(J2494,'Validacion reclamo de equipaje'!L:M,2,0)</f>
        <v>179</v>
      </c>
      <c r="L2494" s="51" t="str">
        <f>VLOOKUP(I2494,'Validacion reclamo de equipaje'!H:I,2,0)</f>
        <v>Nacional</v>
      </c>
      <c r="M2494" s="51" t="s">
        <v>523</v>
      </c>
    </row>
    <row r="2495" spans="1:13" x14ac:dyDescent="0.25">
      <c r="A2495">
        <v>957</v>
      </c>
      <c r="B2495" s="47" t="str">
        <f>VLOOKUP(Tabla6[[#This Row],['# Vuelo]],'Validacion reclamo de equipaje'!P:Q,2,0)</f>
        <v>INTERAVIÓN</v>
      </c>
      <c r="C2495" s="52">
        <v>0.63194444444444442</v>
      </c>
      <c r="D2495" s="52">
        <v>0.64166666666666672</v>
      </c>
      <c r="E2495" s="53">
        <f>'Reclamo de equipaje rediseñado'!$D2495-'Reclamo de equipaje rediseñado'!$C2495</f>
        <v>9.7222222222222987E-3</v>
      </c>
      <c r="F2495" s="52">
        <v>0.65416666666666667</v>
      </c>
      <c r="G2495" s="53">
        <f t="shared" si="38"/>
        <v>1.2499999999999956E-2</v>
      </c>
      <c r="H2495" s="54">
        <v>41749</v>
      </c>
      <c r="I2495" s="55" t="s">
        <v>547</v>
      </c>
      <c r="J2495" s="55">
        <v>320</v>
      </c>
      <c r="K2495" s="55">
        <f>VLOOKUP(J2495,'Validacion reclamo de equipaje'!L:M,2,0)</f>
        <v>179</v>
      </c>
      <c r="L2495" s="55" t="str">
        <f>VLOOKUP(I2495,'Validacion reclamo de equipaje'!H:I,2,0)</f>
        <v>Nacional</v>
      </c>
      <c r="M2495" s="55" t="s">
        <v>523</v>
      </c>
    </row>
    <row r="2496" spans="1:13" x14ac:dyDescent="0.25">
      <c r="A2496">
        <v>957</v>
      </c>
      <c r="B2496" s="47" t="str">
        <f>VLOOKUP(Tabla6[[#This Row],['# Vuelo]],'Validacion reclamo de equipaje'!P:Q,2,0)</f>
        <v>INTERAVIÓN</v>
      </c>
      <c r="C2496" s="48">
        <v>0.7090277777777777</v>
      </c>
      <c r="D2496" s="48">
        <v>0.71944444444444444</v>
      </c>
      <c r="E2496" s="49">
        <f>'Reclamo de equipaje rediseñado'!$D2496-'Reclamo de equipaje rediseñado'!$C2496</f>
        <v>1.0416666666666741E-2</v>
      </c>
      <c r="F2496" s="48">
        <v>0.73263888888888884</v>
      </c>
      <c r="G2496" s="49">
        <f t="shared" si="38"/>
        <v>1.3194444444444398E-2</v>
      </c>
      <c r="H2496" s="50">
        <v>41753</v>
      </c>
      <c r="I2496" s="51" t="s">
        <v>547</v>
      </c>
      <c r="J2496" s="51">
        <v>320</v>
      </c>
      <c r="K2496" s="51">
        <f>VLOOKUP(J2496,'Validacion reclamo de equipaje'!L:M,2,0)</f>
        <v>179</v>
      </c>
      <c r="L2496" s="51" t="str">
        <f>VLOOKUP(I2496,'Validacion reclamo de equipaje'!H:I,2,0)</f>
        <v>Nacional</v>
      </c>
      <c r="M2496" s="51" t="s">
        <v>523</v>
      </c>
    </row>
    <row r="2497" spans="1:13" x14ac:dyDescent="0.25">
      <c r="A2497">
        <v>957</v>
      </c>
      <c r="B2497" s="47" t="str">
        <f>VLOOKUP(Tabla6[[#This Row],['# Vuelo]],'Validacion reclamo de equipaje'!P:Q,2,0)</f>
        <v>INTERAVIÓN</v>
      </c>
      <c r="C2497" s="52">
        <v>0.71111111111111114</v>
      </c>
      <c r="D2497" s="52">
        <v>0.72083333333333333</v>
      </c>
      <c r="E2497" s="53">
        <f>'Reclamo de equipaje rediseñado'!$D2497-'Reclamo de equipaje rediseñado'!$C2497</f>
        <v>9.7222222222221877E-3</v>
      </c>
      <c r="F2497" s="52">
        <v>0.7416666666666667</v>
      </c>
      <c r="G2497" s="53">
        <f t="shared" si="38"/>
        <v>2.083333333333337E-2</v>
      </c>
      <c r="H2497" s="54">
        <v>41756</v>
      </c>
      <c r="I2497" s="55" t="s">
        <v>547</v>
      </c>
      <c r="J2497" s="55">
        <v>320</v>
      </c>
      <c r="K2497" s="55">
        <f>VLOOKUP(J2497,'Validacion reclamo de equipaje'!L:M,2,0)</f>
        <v>179</v>
      </c>
      <c r="L2497" s="55" t="str">
        <f>VLOOKUP(I2497,'Validacion reclamo de equipaje'!H:I,2,0)</f>
        <v>Nacional</v>
      </c>
      <c r="M2497" s="55" t="s">
        <v>523</v>
      </c>
    </row>
    <row r="2498" spans="1:13" x14ac:dyDescent="0.25">
      <c r="A2498">
        <v>810</v>
      </c>
      <c r="B2498" s="47" t="str">
        <f>VLOOKUP(Tabla6[[#This Row],['# Vuelo]],'Validacion reclamo de equipaje'!P:Q,2,0)</f>
        <v>INTERAVIÓN</v>
      </c>
      <c r="C2498" s="48">
        <v>0.60486111111111118</v>
      </c>
      <c r="D2498" s="48">
        <v>0.61319444444444449</v>
      </c>
      <c r="E2498" s="49">
        <f>'Reclamo de equipaje rediseñado'!$D2498-'Reclamo de equipaje rediseñado'!$C2498</f>
        <v>8.3333333333333037E-3</v>
      </c>
      <c r="F2498" s="48">
        <v>0.61805555555555558</v>
      </c>
      <c r="G2498" s="49">
        <f t="shared" si="38"/>
        <v>4.8611111111110938E-3</v>
      </c>
      <c r="H2498" s="50">
        <v>41732</v>
      </c>
      <c r="I2498" s="51" t="s">
        <v>603</v>
      </c>
      <c r="J2498" s="51">
        <v>320</v>
      </c>
      <c r="K2498" s="51">
        <f>VLOOKUP(J2498,'Validacion reclamo de equipaje'!L:M,2,0)</f>
        <v>179</v>
      </c>
      <c r="L2498" s="51" t="str">
        <f>VLOOKUP(I2498,'Validacion reclamo de equipaje'!H:I,2,0)</f>
        <v>Nacional</v>
      </c>
      <c r="M2498" s="51" t="s">
        <v>523</v>
      </c>
    </row>
    <row r="2499" spans="1:13" x14ac:dyDescent="0.25">
      <c r="A2499">
        <v>810</v>
      </c>
      <c r="B2499" s="47" t="str">
        <f>VLOOKUP(Tabla6[[#This Row],['# Vuelo]],'Validacion reclamo de equipaje'!P:Q,2,0)</f>
        <v>INTERAVIÓN</v>
      </c>
      <c r="C2499" s="52">
        <v>0.61458333333333337</v>
      </c>
      <c r="D2499" s="52">
        <v>0.61944444444444446</v>
      </c>
      <c r="E2499" s="53">
        <f>'Reclamo de equipaje rediseñado'!$D2499-'Reclamo de equipaje rediseñado'!$C2499</f>
        <v>4.8611111111110938E-3</v>
      </c>
      <c r="F2499" s="52">
        <v>0.62291666666666667</v>
      </c>
      <c r="G2499" s="53">
        <f t="shared" ref="G2499:G2562" si="39">F2499-D2499</f>
        <v>3.4722222222222099E-3</v>
      </c>
      <c r="H2499" s="54">
        <v>41733</v>
      </c>
      <c r="I2499" s="55" t="s">
        <v>603</v>
      </c>
      <c r="J2499" s="55">
        <v>320</v>
      </c>
      <c r="K2499" s="55">
        <f>VLOOKUP(J2499,'Validacion reclamo de equipaje'!L:M,2,0)</f>
        <v>179</v>
      </c>
      <c r="L2499" s="55" t="str">
        <f>VLOOKUP(I2499,'Validacion reclamo de equipaje'!H:I,2,0)</f>
        <v>Nacional</v>
      </c>
      <c r="M2499" s="55" t="s">
        <v>523</v>
      </c>
    </row>
    <row r="2500" spans="1:13" x14ac:dyDescent="0.25">
      <c r="A2500">
        <v>810</v>
      </c>
      <c r="B2500" s="47" t="str">
        <f>VLOOKUP(Tabla6[[#This Row],['# Vuelo]],'Validacion reclamo de equipaje'!P:Q,2,0)</f>
        <v>INTERAVIÓN</v>
      </c>
      <c r="C2500" s="48">
        <v>0.61388888888888882</v>
      </c>
      <c r="D2500" s="48">
        <v>0.61875000000000002</v>
      </c>
      <c r="E2500" s="49">
        <f>'Reclamo de equipaje rediseñado'!$D2500-'Reclamo de equipaje rediseñado'!$C2500</f>
        <v>4.8611111111112049E-3</v>
      </c>
      <c r="F2500" s="48">
        <v>0.62291666666666667</v>
      </c>
      <c r="G2500" s="49">
        <f t="shared" si="39"/>
        <v>4.1666666666666519E-3</v>
      </c>
      <c r="H2500" s="50">
        <v>41736</v>
      </c>
      <c r="I2500" s="51" t="s">
        <v>603</v>
      </c>
      <c r="J2500" s="51">
        <v>320</v>
      </c>
      <c r="K2500" s="51">
        <f>VLOOKUP(J2500,'Validacion reclamo de equipaje'!L:M,2,0)</f>
        <v>179</v>
      </c>
      <c r="L2500" s="51" t="str">
        <f>VLOOKUP(I2500,'Validacion reclamo de equipaje'!H:I,2,0)</f>
        <v>Nacional</v>
      </c>
      <c r="M2500" s="51" t="s">
        <v>523</v>
      </c>
    </row>
    <row r="2501" spans="1:13" x14ac:dyDescent="0.25">
      <c r="A2501">
        <v>810</v>
      </c>
      <c r="B2501" s="47" t="str">
        <f>VLOOKUP(Tabla6[[#This Row],['# Vuelo]],'Validacion reclamo de equipaje'!P:Q,2,0)</f>
        <v>INTERAVIÓN</v>
      </c>
      <c r="C2501" s="52">
        <v>0.61249999999999993</v>
      </c>
      <c r="D2501" s="52">
        <v>0.61527777777777781</v>
      </c>
      <c r="E2501" s="53">
        <f>'Reclamo de equipaje rediseñado'!$D2501-'Reclamo de equipaje rediseñado'!$C2501</f>
        <v>2.7777777777778789E-3</v>
      </c>
      <c r="F2501" s="52">
        <v>0.62222222222222223</v>
      </c>
      <c r="G2501" s="53">
        <f t="shared" si="39"/>
        <v>6.9444444444444198E-3</v>
      </c>
      <c r="H2501" s="54">
        <v>41739</v>
      </c>
      <c r="I2501" s="55" t="s">
        <v>603</v>
      </c>
      <c r="J2501" s="55">
        <v>320</v>
      </c>
      <c r="K2501" s="55">
        <f>VLOOKUP(J2501,'Validacion reclamo de equipaje'!L:M,2,0)</f>
        <v>179</v>
      </c>
      <c r="L2501" s="55" t="str">
        <f>VLOOKUP(I2501,'Validacion reclamo de equipaje'!H:I,2,0)</f>
        <v>Nacional</v>
      </c>
      <c r="M2501" s="55" t="s">
        <v>523</v>
      </c>
    </row>
    <row r="2502" spans="1:13" x14ac:dyDescent="0.25">
      <c r="A2502">
        <v>810</v>
      </c>
      <c r="B2502" s="47" t="str">
        <f>VLOOKUP(Tabla6[[#This Row],['# Vuelo]],'Validacion reclamo de equipaje'!P:Q,2,0)</f>
        <v>INTERAVIÓN</v>
      </c>
      <c r="C2502" s="48">
        <v>0.61041666666666672</v>
      </c>
      <c r="D2502" s="48">
        <v>0.61249999999999993</v>
      </c>
      <c r="E2502" s="49">
        <f>'Reclamo de equipaje rediseñado'!$D2502-'Reclamo de equipaje rediseñado'!$C2502</f>
        <v>2.0833333333332149E-3</v>
      </c>
      <c r="F2502" s="48">
        <v>0.6166666666666667</v>
      </c>
      <c r="G2502" s="49">
        <f t="shared" si="39"/>
        <v>4.1666666666667629E-3</v>
      </c>
      <c r="H2502" s="50">
        <v>41743</v>
      </c>
      <c r="I2502" s="51" t="s">
        <v>603</v>
      </c>
      <c r="J2502" s="51">
        <v>320</v>
      </c>
      <c r="K2502" s="51">
        <f>VLOOKUP(J2502,'Validacion reclamo de equipaje'!L:M,2,0)</f>
        <v>179</v>
      </c>
      <c r="L2502" s="51" t="str">
        <f>VLOOKUP(I2502,'Validacion reclamo de equipaje'!H:I,2,0)</f>
        <v>Nacional</v>
      </c>
      <c r="M2502" s="51" t="s">
        <v>523</v>
      </c>
    </row>
    <row r="2503" spans="1:13" x14ac:dyDescent="0.25">
      <c r="A2503">
        <v>810</v>
      </c>
      <c r="B2503" s="47" t="str">
        <f>VLOOKUP(Tabla6[[#This Row],['# Vuelo]],'Validacion reclamo de equipaje'!P:Q,2,0)</f>
        <v>INTERAVIÓN</v>
      </c>
      <c r="C2503" s="52">
        <v>0.59722222222222221</v>
      </c>
      <c r="D2503" s="52">
        <v>0.60416666666666663</v>
      </c>
      <c r="E2503" s="53">
        <f>'Reclamo de equipaje rediseñado'!$D2503-'Reclamo de equipaje rediseñado'!$C2503</f>
        <v>6.9444444444444198E-3</v>
      </c>
      <c r="F2503" s="52">
        <v>0.62152777777777779</v>
      </c>
      <c r="G2503" s="53">
        <f t="shared" si="39"/>
        <v>1.736111111111116E-2</v>
      </c>
      <c r="H2503" s="54">
        <v>41750</v>
      </c>
      <c r="I2503" s="55" t="s">
        <v>603</v>
      </c>
      <c r="J2503" s="55">
        <v>320</v>
      </c>
      <c r="K2503" s="55">
        <f>VLOOKUP(J2503,'Validacion reclamo de equipaje'!L:M,2,0)</f>
        <v>179</v>
      </c>
      <c r="L2503" s="55" t="str">
        <f>VLOOKUP(I2503,'Validacion reclamo de equipaje'!H:I,2,0)</f>
        <v>Nacional</v>
      </c>
      <c r="M2503" s="55" t="s">
        <v>523</v>
      </c>
    </row>
    <row r="2504" spans="1:13" x14ac:dyDescent="0.25">
      <c r="A2504">
        <v>810</v>
      </c>
      <c r="B2504" s="47" t="str">
        <f>VLOOKUP(Tabla6[[#This Row],['# Vuelo]],'Validacion reclamo de equipaje'!P:Q,2,0)</f>
        <v>INTERAVIÓN</v>
      </c>
      <c r="C2504" s="48">
        <v>0.61597222222222225</v>
      </c>
      <c r="D2504" s="48">
        <v>0.62152777777777779</v>
      </c>
      <c r="E2504" s="49">
        <f>'Reclamo de equipaje rediseñado'!$D2504-'Reclamo de equipaje rediseñado'!$C2504</f>
        <v>5.5555555555555358E-3</v>
      </c>
      <c r="F2504" s="48">
        <v>0.62847222222222221</v>
      </c>
      <c r="G2504" s="49">
        <f t="shared" si="39"/>
        <v>6.9444444444444198E-3</v>
      </c>
      <c r="H2504" s="50">
        <v>41753</v>
      </c>
      <c r="I2504" s="51" t="s">
        <v>603</v>
      </c>
      <c r="J2504" s="51">
        <v>320</v>
      </c>
      <c r="K2504" s="51">
        <f>VLOOKUP(J2504,'Validacion reclamo de equipaje'!L:M,2,0)</f>
        <v>179</v>
      </c>
      <c r="L2504" s="51" t="str">
        <f>VLOOKUP(I2504,'Validacion reclamo de equipaje'!H:I,2,0)</f>
        <v>Nacional</v>
      </c>
      <c r="M2504" s="51" t="s">
        <v>523</v>
      </c>
    </row>
    <row r="2505" spans="1:13" x14ac:dyDescent="0.25">
      <c r="A2505">
        <v>810</v>
      </c>
      <c r="B2505" s="47" t="str">
        <f>VLOOKUP(Tabla6[[#This Row],['# Vuelo]],'Validacion reclamo de equipaje'!P:Q,2,0)</f>
        <v>INTERAVIÓN</v>
      </c>
      <c r="C2505" s="52">
        <v>0.60972222222222217</v>
      </c>
      <c r="D2505" s="52">
        <v>0.61736111111111114</v>
      </c>
      <c r="E2505" s="53">
        <f>'Reclamo de equipaje rediseñado'!$D2505-'Reclamo de equipaje rediseñado'!$C2505</f>
        <v>7.6388888888889728E-3</v>
      </c>
      <c r="F2505" s="52">
        <v>0.62638888888888888</v>
      </c>
      <c r="G2505" s="53">
        <f t="shared" si="39"/>
        <v>9.0277777777777457E-3</v>
      </c>
      <c r="H2505" s="54">
        <v>41754</v>
      </c>
      <c r="I2505" s="55" t="s">
        <v>603</v>
      </c>
      <c r="J2505" s="55">
        <v>320</v>
      </c>
      <c r="K2505" s="55">
        <f>VLOOKUP(J2505,'Validacion reclamo de equipaje'!L:M,2,0)</f>
        <v>179</v>
      </c>
      <c r="L2505" s="55" t="str">
        <f>VLOOKUP(I2505,'Validacion reclamo de equipaje'!H:I,2,0)</f>
        <v>Nacional</v>
      </c>
      <c r="M2505" s="55" t="s">
        <v>523</v>
      </c>
    </row>
    <row r="2506" spans="1:13" x14ac:dyDescent="0.25">
      <c r="A2506">
        <v>810</v>
      </c>
      <c r="B2506" s="47" t="str">
        <f>VLOOKUP(Tabla6[[#This Row],['# Vuelo]],'Validacion reclamo de equipaje'!P:Q,2,0)</f>
        <v>INTERAVIÓN</v>
      </c>
      <c r="C2506" s="48">
        <v>0.61805555555555558</v>
      </c>
      <c r="D2506" s="48">
        <v>0.62361111111111112</v>
      </c>
      <c r="E2506" s="49">
        <f>'Reclamo de equipaje rediseñado'!$D2506-'Reclamo de equipaje rediseñado'!$C2506</f>
        <v>5.5555555555555358E-3</v>
      </c>
      <c r="F2506" s="48">
        <v>0.62777777777777777</v>
      </c>
      <c r="G2506" s="49">
        <f t="shared" si="39"/>
        <v>4.1666666666666519E-3</v>
      </c>
      <c r="H2506" s="50">
        <v>41757</v>
      </c>
      <c r="I2506" s="51" t="s">
        <v>603</v>
      </c>
      <c r="J2506" s="51">
        <v>320</v>
      </c>
      <c r="K2506" s="51">
        <f>VLOOKUP(J2506,'Validacion reclamo de equipaje'!L:M,2,0)</f>
        <v>179</v>
      </c>
      <c r="L2506" s="51" t="str">
        <f>VLOOKUP(I2506,'Validacion reclamo de equipaje'!H:I,2,0)</f>
        <v>Nacional</v>
      </c>
      <c r="M2506" s="51" t="s">
        <v>523</v>
      </c>
    </row>
    <row r="2507" spans="1:13" x14ac:dyDescent="0.25">
      <c r="A2507">
        <v>808</v>
      </c>
      <c r="B2507" s="47" t="str">
        <f>VLOOKUP(Tabla6[[#This Row],['# Vuelo]],'Validacion reclamo de equipaje'!P:Q,2,0)</f>
        <v>INTERAVIÓN</v>
      </c>
      <c r="C2507" s="52">
        <v>0.69791666666666663</v>
      </c>
      <c r="D2507" s="52">
        <v>0.70416666666666661</v>
      </c>
      <c r="E2507" s="53">
        <f>'Reclamo de equipaje rediseñado'!$D2507-'Reclamo de equipaje rediseñado'!$C2507</f>
        <v>6.2499999999999778E-3</v>
      </c>
      <c r="F2507" s="52">
        <v>0.70972222222222225</v>
      </c>
      <c r="G2507" s="53">
        <f t="shared" si="39"/>
        <v>5.5555555555556468E-3</v>
      </c>
      <c r="H2507" s="54">
        <v>41730</v>
      </c>
      <c r="I2507" s="55" t="s">
        <v>603</v>
      </c>
      <c r="J2507" s="55">
        <v>320</v>
      </c>
      <c r="K2507" s="55">
        <f>VLOOKUP(J2507,'Validacion reclamo de equipaje'!L:M,2,0)</f>
        <v>179</v>
      </c>
      <c r="L2507" s="55" t="str">
        <f>VLOOKUP(I2507,'Validacion reclamo de equipaje'!H:I,2,0)</f>
        <v>Nacional</v>
      </c>
      <c r="M2507" s="55" t="s">
        <v>523</v>
      </c>
    </row>
    <row r="2508" spans="1:13" x14ac:dyDescent="0.25">
      <c r="A2508">
        <v>808</v>
      </c>
      <c r="B2508" s="47" t="str">
        <f>VLOOKUP(Tabla6[[#This Row],['# Vuelo]],'Validacion reclamo de equipaje'!P:Q,2,0)</f>
        <v>INTERAVIÓN</v>
      </c>
      <c r="C2508" s="48">
        <v>0.70138888888888884</v>
      </c>
      <c r="D2508" s="48">
        <v>0.70972222222222225</v>
      </c>
      <c r="E2508" s="49">
        <f>'Reclamo de equipaje rediseñado'!$D2508-'Reclamo de equipaje rediseñado'!$C2508</f>
        <v>8.3333333333334147E-3</v>
      </c>
      <c r="F2508" s="48">
        <v>0.71388888888888891</v>
      </c>
      <c r="G2508" s="49">
        <f t="shared" si="39"/>
        <v>4.1666666666666519E-3</v>
      </c>
      <c r="H2508" s="50">
        <v>41731</v>
      </c>
      <c r="I2508" s="51" t="s">
        <v>603</v>
      </c>
      <c r="J2508" s="51">
        <v>320</v>
      </c>
      <c r="K2508" s="51">
        <f>VLOOKUP(J2508,'Validacion reclamo de equipaje'!L:M,2,0)</f>
        <v>179</v>
      </c>
      <c r="L2508" s="51" t="str">
        <f>VLOOKUP(I2508,'Validacion reclamo de equipaje'!H:I,2,0)</f>
        <v>Nacional</v>
      </c>
      <c r="M2508" s="51" t="s">
        <v>523</v>
      </c>
    </row>
    <row r="2509" spans="1:13" x14ac:dyDescent="0.25">
      <c r="A2509">
        <v>808</v>
      </c>
      <c r="B2509" s="47" t="str">
        <f>VLOOKUP(Tabla6[[#This Row],['# Vuelo]],'Validacion reclamo de equipaje'!P:Q,2,0)</f>
        <v>INTERAVIÓN</v>
      </c>
      <c r="C2509" s="52">
        <v>0.71388888888888891</v>
      </c>
      <c r="D2509" s="52">
        <v>0.72222222222222221</v>
      </c>
      <c r="E2509" s="53">
        <f>'Reclamo de equipaje rediseñado'!$D2509-'Reclamo de equipaje rediseñado'!$C2509</f>
        <v>8.3333333333333037E-3</v>
      </c>
      <c r="F2509" s="52">
        <v>0.72916666666666663</v>
      </c>
      <c r="G2509" s="53">
        <f t="shared" si="39"/>
        <v>6.9444444444444198E-3</v>
      </c>
      <c r="H2509" s="54">
        <v>41732</v>
      </c>
      <c r="I2509" s="55" t="s">
        <v>603</v>
      </c>
      <c r="J2509" s="55">
        <v>320</v>
      </c>
      <c r="K2509" s="55">
        <f>VLOOKUP(J2509,'Validacion reclamo de equipaje'!L:M,2,0)</f>
        <v>179</v>
      </c>
      <c r="L2509" s="55" t="str">
        <f>VLOOKUP(I2509,'Validacion reclamo de equipaje'!H:I,2,0)</f>
        <v>Nacional</v>
      </c>
      <c r="M2509" s="55" t="s">
        <v>523</v>
      </c>
    </row>
    <row r="2510" spans="1:13" x14ac:dyDescent="0.25">
      <c r="A2510">
        <v>808</v>
      </c>
      <c r="B2510" s="47" t="str">
        <f>VLOOKUP(Tabla6[[#This Row],['# Vuelo]],'Validacion reclamo de equipaje'!P:Q,2,0)</f>
        <v>INTERAVIÓN</v>
      </c>
      <c r="C2510" s="48">
        <v>0.70486111111111116</v>
      </c>
      <c r="D2510" s="48">
        <v>0.71319444444444446</v>
      </c>
      <c r="E2510" s="49">
        <f>'Reclamo de equipaje rediseñado'!$D2510-'Reclamo de equipaje rediseñado'!$C2510</f>
        <v>8.3333333333333037E-3</v>
      </c>
      <c r="F2510" s="48">
        <v>0.72013888888888899</v>
      </c>
      <c r="G2510" s="49">
        <f t="shared" si="39"/>
        <v>6.9444444444445308E-3</v>
      </c>
      <c r="H2510" s="50">
        <v>41733</v>
      </c>
      <c r="I2510" s="51" t="s">
        <v>603</v>
      </c>
      <c r="J2510" s="51">
        <v>320</v>
      </c>
      <c r="K2510" s="51">
        <f>VLOOKUP(J2510,'Validacion reclamo de equipaje'!L:M,2,0)</f>
        <v>179</v>
      </c>
      <c r="L2510" s="51" t="str">
        <f>VLOOKUP(I2510,'Validacion reclamo de equipaje'!H:I,2,0)</f>
        <v>Nacional</v>
      </c>
      <c r="M2510" s="51" t="s">
        <v>523</v>
      </c>
    </row>
    <row r="2511" spans="1:13" x14ac:dyDescent="0.25">
      <c r="A2511">
        <v>808</v>
      </c>
      <c r="B2511" s="47" t="str">
        <f>VLOOKUP(Tabla6[[#This Row],['# Vuelo]],'Validacion reclamo de equipaje'!P:Q,2,0)</f>
        <v>INTERAVIÓN</v>
      </c>
      <c r="C2511" s="52">
        <v>0.71527777777777779</v>
      </c>
      <c r="D2511" s="52">
        <v>0.71944444444444444</v>
      </c>
      <c r="E2511" s="53">
        <f>'Reclamo de equipaje rediseñado'!$D2511-'Reclamo de equipaje rediseñado'!$C2511</f>
        <v>4.1666666666666519E-3</v>
      </c>
      <c r="F2511" s="52">
        <v>0.72986111111111107</v>
      </c>
      <c r="G2511" s="53">
        <f t="shared" si="39"/>
        <v>1.041666666666663E-2</v>
      </c>
      <c r="H2511" s="54">
        <v>41735</v>
      </c>
      <c r="I2511" s="55" t="s">
        <v>603</v>
      </c>
      <c r="J2511" s="55">
        <v>320</v>
      </c>
      <c r="K2511" s="55">
        <f>VLOOKUP(J2511,'Validacion reclamo de equipaje'!L:M,2,0)</f>
        <v>179</v>
      </c>
      <c r="L2511" s="55" t="str">
        <f>VLOOKUP(I2511,'Validacion reclamo de equipaje'!H:I,2,0)</f>
        <v>Nacional</v>
      </c>
      <c r="M2511" s="55" t="s">
        <v>523</v>
      </c>
    </row>
    <row r="2512" spans="1:13" x14ac:dyDescent="0.25">
      <c r="A2512">
        <v>808</v>
      </c>
      <c r="B2512" s="47" t="str">
        <f>VLOOKUP(Tabla6[[#This Row],['# Vuelo]],'Validacion reclamo de equipaje'!P:Q,2,0)</f>
        <v>INTERAVIÓN</v>
      </c>
      <c r="C2512" s="48">
        <v>0.70486111111111116</v>
      </c>
      <c r="D2512" s="48">
        <v>0.71180555555555547</v>
      </c>
      <c r="E2512" s="49">
        <f>'Reclamo de equipaje rediseñado'!$D2512-'Reclamo de equipaje rediseñado'!$C2512</f>
        <v>6.9444444444443088E-3</v>
      </c>
      <c r="F2512" s="48">
        <v>0.71597222222222223</v>
      </c>
      <c r="G2512" s="49">
        <f t="shared" si="39"/>
        <v>4.1666666666667629E-3</v>
      </c>
      <c r="H2512" s="50">
        <v>41736</v>
      </c>
      <c r="I2512" s="51" t="s">
        <v>603</v>
      </c>
      <c r="J2512" s="51">
        <v>320</v>
      </c>
      <c r="K2512" s="51">
        <f>VLOOKUP(J2512,'Validacion reclamo de equipaje'!L:M,2,0)</f>
        <v>179</v>
      </c>
      <c r="L2512" s="51" t="str">
        <f>VLOOKUP(I2512,'Validacion reclamo de equipaje'!H:I,2,0)</f>
        <v>Nacional</v>
      </c>
      <c r="M2512" s="51" t="s">
        <v>523</v>
      </c>
    </row>
    <row r="2513" spans="1:13" x14ac:dyDescent="0.25">
      <c r="A2513">
        <v>808</v>
      </c>
      <c r="B2513" s="47" t="str">
        <f>VLOOKUP(Tabla6[[#This Row],['# Vuelo]],'Validacion reclamo de equipaje'!P:Q,2,0)</f>
        <v>INTERAVIÓN</v>
      </c>
      <c r="C2513" s="52">
        <v>0.71180555555555547</v>
      </c>
      <c r="D2513" s="52">
        <v>0.71527777777777779</v>
      </c>
      <c r="E2513" s="53">
        <f>'Reclamo de equipaje rediseñado'!$D2513-'Reclamo de equipaje rediseñado'!$C2513</f>
        <v>3.4722222222223209E-3</v>
      </c>
      <c r="F2513" s="52">
        <v>0.71944444444444444</v>
      </c>
      <c r="G2513" s="53">
        <f t="shared" si="39"/>
        <v>4.1666666666666519E-3</v>
      </c>
      <c r="H2513" s="54">
        <v>41739</v>
      </c>
      <c r="I2513" s="55" t="s">
        <v>603</v>
      </c>
      <c r="J2513" s="55">
        <v>320</v>
      </c>
      <c r="K2513" s="55">
        <f>VLOOKUP(J2513,'Validacion reclamo de equipaje'!L:M,2,0)</f>
        <v>179</v>
      </c>
      <c r="L2513" s="55" t="str">
        <f>VLOOKUP(I2513,'Validacion reclamo de equipaje'!H:I,2,0)</f>
        <v>Nacional</v>
      </c>
      <c r="M2513" s="55" t="s">
        <v>523</v>
      </c>
    </row>
    <row r="2514" spans="1:13" x14ac:dyDescent="0.25">
      <c r="A2514">
        <v>808</v>
      </c>
      <c r="B2514" s="47" t="str">
        <f>VLOOKUP(Tabla6[[#This Row],['# Vuelo]],'Validacion reclamo de equipaje'!P:Q,2,0)</f>
        <v>INTERAVIÓN</v>
      </c>
      <c r="C2514" s="48">
        <v>0.70972222222222225</v>
      </c>
      <c r="D2514" s="48">
        <v>0.71180555555555547</v>
      </c>
      <c r="E2514" s="49">
        <f>'Reclamo de equipaje rediseñado'!$D2514-'Reclamo de equipaje rediseñado'!$C2514</f>
        <v>2.0833333333332149E-3</v>
      </c>
      <c r="F2514" s="48">
        <v>0.71527777777777779</v>
      </c>
      <c r="G2514" s="49">
        <f t="shared" si="39"/>
        <v>3.4722222222223209E-3</v>
      </c>
      <c r="H2514" s="50">
        <v>41741</v>
      </c>
      <c r="I2514" s="51" t="s">
        <v>603</v>
      </c>
      <c r="J2514" s="51">
        <v>320</v>
      </c>
      <c r="K2514" s="51">
        <f>VLOOKUP(J2514,'Validacion reclamo de equipaje'!L:M,2,0)</f>
        <v>179</v>
      </c>
      <c r="L2514" s="51" t="str">
        <f>VLOOKUP(I2514,'Validacion reclamo de equipaje'!H:I,2,0)</f>
        <v>Nacional</v>
      </c>
      <c r="M2514" s="51" t="s">
        <v>523</v>
      </c>
    </row>
    <row r="2515" spans="1:13" x14ac:dyDescent="0.25">
      <c r="A2515">
        <v>808</v>
      </c>
      <c r="B2515" s="47" t="str">
        <f>VLOOKUP(Tabla6[[#This Row],['# Vuelo]],'Validacion reclamo de equipaje'!P:Q,2,0)</f>
        <v>INTERAVIÓN</v>
      </c>
      <c r="C2515" s="52">
        <v>0.69791666666666663</v>
      </c>
      <c r="D2515" s="52">
        <v>0.70416666666666661</v>
      </c>
      <c r="E2515" s="53">
        <f>'Reclamo de equipaje rediseñado'!$D2515-'Reclamo de equipaje rediseñado'!$C2515</f>
        <v>6.2499999999999778E-3</v>
      </c>
      <c r="F2515" s="52">
        <v>0.70972222222222225</v>
      </c>
      <c r="G2515" s="53">
        <f t="shared" si="39"/>
        <v>5.5555555555556468E-3</v>
      </c>
      <c r="H2515" s="54">
        <v>41742</v>
      </c>
      <c r="I2515" s="55" t="s">
        <v>603</v>
      </c>
      <c r="J2515" s="55">
        <v>320</v>
      </c>
      <c r="K2515" s="55">
        <f>VLOOKUP(J2515,'Validacion reclamo de equipaje'!L:M,2,0)</f>
        <v>179</v>
      </c>
      <c r="L2515" s="55" t="str">
        <f>VLOOKUP(I2515,'Validacion reclamo de equipaje'!H:I,2,0)</f>
        <v>Nacional</v>
      </c>
      <c r="M2515" s="55" t="s">
        <v>523</v>
      </c>
    </row>
    <row r="2516" spans="1:13" x14ac:dyDescent="0.25">
      <c r="A2516">
        <v>808</v>
      </c>
      <c r="B2516" s="47" t="str">
        <f>VLOOKUP(Tabla6[[#This Row],['# Vuelo]],'Validacion reclamo de equipaje'!P:Q,2,0)</f>
        <v>INTERAVIÓN</v>
      </c>
      <c r="C2516" s="48">
        <v>0.71805555555555556</v>
      </c>
      <c r="D2516" s="48">
        <v>0.72638888888888886</v>
      </c>
      <c r="E2516" s="49">
        <f>'Reclamo de equipaje rediseñado'!$D2516-'Reclamo de equipaje rediseñado'!$C2516</f>
        <v>8.3333333333333037E-3</v>
      </c>
      <c r="F2516" s="48">
        <v>0.73055555555555562</v>
      </c>
      <c r="G2516" s="49">
        <f t="shared" si="39"/>
        <v>4.1666666666667629E-3</v>
      </c>
      <c r="H2516" s="50">
        <v>41743</v>
      </c>
      <c r="I2516" s="51" t="s">
        <v>603</v>
      </c>
      <c r="J2516" s="51">
        <v>320</v>
      </c>
      <c r="K2516" s="51">
        <f>VLOOKUP(J2516,'Validacion reclamo de equipaje'!L:M,2,0)</f>
        <v>179</v>
      </c>
      <c r="L2516" s="51" t="str">
        <f>VLOOKUP(I2516,'Validacion reclamo de equipaje'!H:I,2,0)</f>
        <v>Nacional</v>
      </c>
      <c r="M2516" s="51" t="s">
        <v>523</v>
      </c>
    </row>
    <row r="2517" spans="1:13" x14ac:dyDescent="0.25">
      <c r="A2517">
        <v>808</v>
      </c>
      <c r="B2517" s="47" t="str">
        <f>VLOOKUP(Tabla6[[#This Row],['# Vuelo]],'Validacion reclamo de equipaje'!P:Q,2,0)</f>
        <v>INTERAVIÓN</v>
      </c>
      <c r="C2517" s="52">
        <v>0.70486111111111116</v>
      </c>
      <c r="D2517" s="52">
        <v>0.71111111111111114</v>
      </c>
      <c r="E2517" s="53">
        <f>'Reclamo de equipaje rediseñado'!$D2517-'Reclamo de equipaje rediseñado'!$C2517</f>
        <v>6.2499999999999778E-3</v>
      </c>
      <c r="F2517" s="52">
        <v>0.71805555555555556</v>
      </c>
      <c r="G2517" s="53">
        <f t="shared" si="39"/>
        <v>6.9444444444444198E-3</v>
      </c>
      <c r="H2517" s="54">
        <v>41744</v>
      </c>
      <c r="I2517" s="55" t="s">
        <v>603</v>
      </c>
      <c r="J2517" s="55">
        <v>320</v>
      </c>
      <c r="K2517" s="55">
        <f>VLOOKUP(J2517,'Validacion reclamo de equipaje'!L:M,2,0)</f>
        <v>179</v>
      </c>
      <c r="L2517" s="55" t="str">
        <f>VLOOKUP(I2517,'Validacion reclamo de equipaje'!H:I,2,0)</f>
        <v>Nacional</v>
      </c>
      <c r="M2517" s="55" t="s">
        <v>523</v>
      </c>
    </row>
    <row r="2518" spans="1:13" x14ac:dyDescent="0.25">
      <c r="A2518">
        <v>808</v>
      </c>
      <c r="B2518" s="47" t="str">
        <f>VLOOKUP(Tabla6[[#This Row],['# Vuelo]],'Validacion reclamo de equipaje'!P:Q,2,0)</f>
        <v>INTERAVIÓN</v>
      </c>
      <c r="C2518" s="48">
        <v>0.70208333333333339</v>
      </c>
      <c r="D2518" s="48">
        <v>0.70416666666666661</v>
      </c>
      <c r="E2518" s="49">
        <f>'Reclamo de equipaje rediseñado'!$D2518-'Reclamo de equipaje rediseñado'!$C2518</f>
        <v>2.0833333333332149E-3</v>
      </c>
      <c r="F2518" s="48">
        <v>0.70763888888888893</v>
      </c>
      <c r="G2518" s="49">
        <f t="shared" si="39"/>
        <v>3.4722222222223209E-3</v>
      </c>
      <c r="H2518" s="50">
        <v>41745</v>
      </c>
      <c r="I2518" s="51" t="s">
        <v>603</v>
      </c>
      <c r="J2518" s="51">
        <v>320</v>
      </c>
      <c r="K2518" s="51">
        <f>VLOOKUP(J2518,'Validacion reclamo de equipaje'!L:M,2,0)</f>
        <v>179</v>
      </c>
      <c r="L2518" s="51" t="str">
        <f>VLOOKUP(I2518,'Validacion reclamo de equipaje'!H:I,2,0)</f>
        <v>Nacional</v>
      </c>
      <c r="M2518" s="51" t="s">
        <v>523</v>
      </c>
    </row>
    <row r="2519" spans="1:13" x14ac:dyDescent="0.25">
      <c r="A2519">
        <v>808</v>
      </c>
      <c r="B2519" s="47" t="str">
        <f>VLOOKUP(Tabla6[[#This Row],['# Vuelo]],'Validacion reclamo de equipaje'!P:Q,2,0)</f>
        <v>INTERAVIÓN</v>
      </c>
      <c r="C2519" s="52">
        <v>0.6791666666666667</v>
      </c>
      <c r="D2519" s="52">
        <v>0.70138888888888884</v>
      </c>
      <c r="E2519" s="53">
        <f>'Reclamo de equipaje rediseñado'!$D2519-'Reclamo de equipaje rediseñado'!$C2519</f>
        <v>2.2222222222222143E-2</v>
      </c>
      <c r="F2519" s="52">
        <v>0.71833333333333327</v>
      </c>
      <c r="G2519" s="53">
        <f t="shared" si="39"/>
        <v>1.6944444444444429E-2</v>
      </c>
      <c r="H2519" s="54">
        <v>41745</v>
      </c>
      <c r="I2519" s="55" t="s">
        <v>603</v>
      </c>
      <c r="J2519" s="55">
        <v>320</v>
      </c>
      <c r="K2519" s="55">
        <f>VLOOKUP(J2519,'Validacion reclamo de equipaje'!L:M,2,0)</f>
        <v>179</v>
      </c>
      <c r="L2519" s="55" t="str">
        <f>VLOOKUP(I2519,'Validacion reclamo de equipaje'!H:I,2,0)</f>
        <v>Nacional</v>
      </c>
      <c r="M2519" s="55" t="s">
        <v>523</v>
      </c>
    </row>
    <row r="2520" spans="1:13" x14ac:dyDescent="0.25">
      <c r="A2520">
        <v>808</v>
      </c>
      <c r="B2520" s="47" t="str">
        <f>VLOOKUP(Tabla6[[#This Row],['# Vuelo]],'Validacion reclamo de equipaje'!P:Q,2,0)</f>
        <v>INTERAVIÓN</v>
      </c>
      <c r="C2520" s="48">
        <v>0.71527777777777779</v>
      </c>
      <c r="D2520" s="48">
        <v>0.72083333333333333</v>
      </c>
      <c r="E2520" s="49">
        <f>'Reclamo de equipaje rediseñado'!$D2520-'Reclamo de equipaje rediseñado'!$C2520</f>
        <v>5.5555555555555358E-3</v>
      </c>
      <c r="F2520" s="48">
        <v>0.72916666666666663</v>
      </c>
      <c r="G2520" s="49">
        <f t="shared" si="39"/>
        <v>8.3333333333333037E-3</v>
      </c>
      <c r="H2520" s="50">
        <v>41746</v>
      </c>
      <c r="I2520" s="51" t="s">
        <v>603</v>
      </c>
      <c r="J2520" s="51">
        <v>320</v>
      </c>
      <c r="K2520" s="51">
        <f>VLOOKUP(J2520,'Validacion reclamo de equipaje'!L:M,2,0)</f>
        <v>179</v>
      </c>
      <c r="L2520" s="51" t="str">
        <f>VLOOKUP(I2520,'Validacion reclamo de equipaje'!H:I,2,0)</f>
        <v>Nacional</v>
      </c>
      <c r="M2520" s="51" t="s">
        <v>523</v>
      </c>
    </row>
    <row r="2521" spans="1:13" x14ac:dyDescent="0.25">
      <c r="A2521">
        <v>808</v>
      </c>
      <c r="B2521" s="47" t="str">
        <f>VLOOKUP(Tabla6[[#This Row],['# Vuelo]],'Validacion reclamo de equipaje'!P:Q,2,0)</f>
        <v>INTERAVIÓN</v>
      </c>
      <c r="C2521" s="52">
        <v>0.19999999999999998</v>
      </c>
      <c r="D2521" s="52">
        <v>0.21111111111111111</v>
      </c>
      <c r="E2521" s="53">
        <f>'Reclamo de equipaje rediseñado'!$D2521-'Reclamo de equipaje rediseñado'!$C2521</f>
        <v>1.1111111111111127E-2</v>
      </c>
      <c r="F2521" s="52">
        <v>0.21875</v>
      </c>
      <c r="G2521" s="53">
        <f t="shared" si="39"/>
        <v>7.6388888888888895E-3</v>
      </c>
      <c r="H2521" s="54">
        <v>41747</v>
      </c>
      <c r="I2521" s="55" t="s">
        <v>603</v>
      </c>
      <c r="J2521" s="55">
        <v>320</v>
      </c>
      <c r="K2521" s="55">
        <f>VLOOKUP(J2521,'Validacion reclamo de equipaje'!L:M,2,0)</f>
        <v>179</v>
      </c>
      <c r="L2521" s="55" t="str">
        <f>VLOOKUP(I2521,'Validacion reclamo de equipaje'!H:I,2,0)</f>
        <v>Nacional</v>
      </c>
      <c r="M2521" s="55" t="s">
        <v>523</v>
      </c>
    </row>
    <row r="2522" spans="1:13" x14ac:dyDescent="0.25">
      <c r="A2522">
        <v>808</v>
      </c>
      <c r="B2522" s="47" t="str">
        <f>VLOOKUP(Tabla6[[#This Row],['# Vuelo]],'Validacion reclamo de equipaje'!P:Q,2,0)</f>
        <v>INTERAVIÓN</v>
      </c>
      <c r="C2522" s="48">
        <v>0.69305555555555554</v>
      </c>
      <c r="D2522" s="48">
        <v>0.7104166666666667</v>
      </c>
      <c r="E2522" s="49">
        <f>'Reclamo de equipaje rediseñado'!$D2522-'Reclamo de equipaje rediseñado'!$C2522</f>
        <v>1.736111111111116E-2</v>
      </c>
      <c r="F2522" s="48">
        <v>0.72152777777777777</v>
      </c>
      <c r="G2522" s="49">
        <f t="shared" si="39"/>
        <v>1.1111111111111072E-2</v>
      </c>
      <c r="H2522" s="50">
        <v>41748</v>
      </c>
      <c r="I2522" s="51" t="s">
        <v>603</v>
      </c>
      <c r="J2522" s="51">
        <v>320</v>
      </c>
      <c r="K2522" s="51">
        <f>VLOOKUP(J2522,'Validacion reclamo de equipaje'!L:M,2,0)</f>
        <v>179</v>
      </c>
      <c r="L2522" s="51" t="str">
        <f>VLOOKUP(I2522,'Validacion reclamo de equipaje'!H:I,2,0)</f>
        <v>Nacional</v>
      </c>
      <c r="M2522" s="51" t="s">
        <v>523</v>
      </c>
    </row>
    <row r="2523" spans="1:13" x14ac:dyDescent="0.25">
      <c r="A2523">
        <v>808</v>
      </c>
      <c r="B2523" s="47" t="str">
        <f>VLOOKUP(Tabla6[[#This Row],['# Vuelo]],'Validacion reclamo de equipaje'!P:Q,2,0)</f>
        <v>INTERAVIÓN</v>
      </c>
      <c r="C2523" s="52">
        <v>0.70833333333333337</v>
      </c>
      <c r="D2523" s="52">
        <v>0.71527777777777779</v>
      </c>
      <c r="E2523" s="53">
        <f>'Reclamo de equipaje rediseñado'!$D2523-'Reclamo de equipaje rediseñado'!$C2523</f>
        <v>6.9444444444444198E-3</v>
      </c>
      <c r="F2523" s="52">
        <v>0.72222222222222221</v>
      </c>
      <c r="G2523" s="53">
        <f t="shared" si="39"/>
        <v>6.9444444444444198E-3</v>
      </c>
      <c r="H2523" s="54">
        <v>41750</v>
      </c>
      <c r="I2523" s="55" t="s">
        <v>603</v>
      </c>
      <c r="J2523" s="55">
        <v>320</v>
      </c>
      <c r="K2523" s="55">
        <f>VLOOKUP(J2523,'Validacion reclamo de equipaje'!L:M,2,0)</f>
        <v>179</v>
      </c>
      <c r="L2523" s="55" t="str">
        <f>VLOOKUP(I2523,'Validacion reclamo de equipaje'!H:I,2,0)</f>
        <v>Nacional</v>
      </c>
      <c r="M2523" s="55" t="s">
        <v>523</v>
      </c>
    </row>
    <row r="2524" spans="1:13" x14ac:dyDescent="0.25">
      <c r="A2524">
        <v>808</v>
      </c>
      <c r="B2524" s="47" t="str">
        <f>VLOOKUP(Tabla6[[#This Row],['# Vuelo]],'Validacion reclamo de equipaje'!P:Q,2,0)</f>
        <v>INTERAVIÓN</v>
      </c>
      <c r="C2524" s="48">
        <v>0.70486111111111116</v>
      </c>
      <c r="D2524" s="48">
        <v>0.71319444444444446</v>
      </c>
      <c r="E2524" s="49">
        <f>'Reclamo de equipaje rediseñado'!$D2524-'Reclamo de equipaje rediseñado'!$C2524</f>
        <v>8.3333333333333037E-3</v>
      </c>
      <c r="F2524" s="48">
        <v>0.72152777777777777</v>
      </c>
      <c r="G2524" s="49">
        <f t="shared" si="39"/>
        <v>8.3333333333333037E-3</v>
      </c>
      <c r="H2524" s="50">
        <v>41751</v>
      </c>
      <c r="I2524" s="51" t="s">
        <v>603</v>
      </c>
      <c r="J2524" s="51">
        <v>320</v>
      </c>
      <c r="K2524" s="51">
        <f>VLOOKUP(J2524,'Validacion reclamo de equipaje'!L:M,2,0)</f>
        <v>179</v>
      </c>
      <c r="L2524" s="51" t="str">
        <f>VLOOKUP(I2524,'Validacion reclamo de equipaje'!H:I,2,0)</f>
        <v>Nacional</v>
      </c>
      <c r="M2524" s="51" t="s">
        <v>523</v>
      </c>
    </row>
    <row r="2525" spans="1:13" x14ac:dyDescent="0.25">
      <c r="A2525">
        <v>808</v>
      </c>
      <c r="B2525" s="47" t="str">
        <f>VLOOKUP(Tabla6[[#This Row],['# Vuelo]],'Validacion reclamo de equipaje'!P:Q,2,0)</f>
        <v>INTERAVIÓN</v>
      </c>
      <c r="C2525" s="52">
        <v>0.70347222222222217</v>
      </c>
      <c r="D2525" s="52">
        <v>0.70624999999999993</v>
      </c>
      <c r="E2525" s="53">
        <f>'Reclamo de equipaje rediseñado'!$D2525-'Reclamo de equipaje rediseñado'!$C2525</f>
        <v>2.7777777777777679E-3</v>
      </c>
      <c r="F2525" s="52">
        <v>0.71180555555555547</v>
      </c>
      <c r="G2525" s="53">
        <f t="shared" si="39"/>
        <v>5.5555555555555358E-3</v>
      </c>
      <c r="H2525" s="54">
        <v>41753</v>
      </c>
      <c r="I2525" s="55" t="s">
        <v>603</v>
      </c>
      <c r="J2525" s="55">
        <v>320</v>
      </c>
      <c r="K2525" s="55">
        <f>VLOOKUP(J2525,'Validacion reclamo de equipaje'!L:M,2,0)</f>
        <v>179</v>
      </c>
      <c r="L2525" s="55" t="str">
        <f>VLOOKUP(I2525,'Validacion reclamo de equipaje'!H:I,2,0)</f>
        <v>Nacional</v>
      </c>
      <c r="M2525" s="55" t="s">
        <v>523</v>
      </c>
    </row>
    <row r="2526" spans="1:13" x14ac:dyDescent="0.25">
      <c r="A2526">
        <v>808</v>
      </c>
      <c r="B2526" s="47" t="str">
        <f>VLOOKUP(Tabla6[[#This Row],['# Vuelo]],'Validacion reclamo de equipaje'!P:Q,2,0)</f>
        <v>INTERAVIÓN</v>
      </c>
      <c r="C2526" s="48">
        <v>0.70624999999999993</v>
      </c>
      <c r="D2526" s="48">
        <v>0.71250000000000002</v>
      </c>
      <c r="E2526" s="49">
        <f>'Reclamo de equipaje rediseñado'!$D2526-'Reclamo de equipaje rediseñado'!$C2526</f>
        <v>6.2500000000000888E-3</v>
      </c>
      <c r="F2526" s="48">
        <v>0.71875</v>
      </c>
      <c r="G2526" s="49">
        <f t="shared" si="39"/>
        <v>6.2499999999999778E-3</v>
      </c>
      <c r="H2526" s="50">
        <v>41754</v>
      </c>
      <c r="I2526" s="51" t="s">
        <v>603</v>
      </c>
      <c r="J2526" s="51">
        <v>320</v>
      </c>
      <c r="K2526" s="51">
        <f>VLOOKUP(J2526,'Validacion reclamo de equipaje'!L:M,2,0)</f>
        <v>179</v>
      </c>
      <c r="L2526" s="51" t="str">
        <f>VLOOKUP(I2526,'Validacion reclamo de equipaje'!H:I,2,0)</f>
        <v>Nacional</v>
      </c>
      <c r="M2526" s="51" t="s">
        <v>523</v>
      </c>
    </row>
    <row r="2527" spans="1:13" x14ac:dyDescent="0.25">
      <c r="A2527">
        <v>808</v>
      </c>
      <c r="B2527" s="47" t="str">
        <f>VLOOKUP(Tabla6[[#This Row],['# Vuelo]],'Validacion reclamo de equipaje'!P:Q,2,0)</f>
        <v>INTERAVIÓN</v>
      </c>
      <c r="C2527" s="52">
        <v>0.72222222222222221</v>
      </c>
      <c r="D2527" s="52">
        <v>0.72638888888888886</v>
      </c>
      <c r="E2527" s="53">
        <f>'Reclamo de equipaje rediseñado'!$D2527-'Reclamo de equipaje rediseñado'!$C2527</f>
        <v>4.1666666666666519E-3</v>
      </c>
      <c r="F2527" s="52">
        <v>0.73472222222222217</v>
      </c>
      <c r="G2527" s="53">
        <f t="shared" si="39"/>
        <v>8.3333333333333037E-3</v>
      </c>
      <c r="H2527" s="54">
        <v>41756</v>
      </c>
      <c r="I2527" s="55" t="s">
        <v>603</v>
      </c>
      <c r="J2527" s="55">
        <v>320</v>
      </c>
      <c r="K2527" s="55">
        <f>VLOOKUP(J2527,'Validacion reclamo de equipaje'!L:M,2,0)</f>
        <v>179</v>
      </c>
      <c r="L2527" s="55" t="str">
        <f>VLOOKUP(I2527,'Validacion reclamo de equipaje'!H:I,2,0)</f>
        <v>Nacional</v>
      </c>
      <c r="M2527" s="55" t="s">
        <v>523</v>
      </c>
    </row>
    <row r="2528" spans="1:13" x14ac:dyDescent="0.25">
      <c r="A2528">
        <v>808</v>
      </c>
      <c r="B2528" s="47" t="str">
        <f>VLOOKUP(Tabla6[[#This Row],['# Vuelo]],'Validacion reclamo de equipaje'!P:Q,2,0)</f>
        <v>INTERAVIÓN</v>
      </c>
      <c r="C2528" s="48">
        <v>0.70972222222222225</v>
      </c>
      <c r="D2528" s="48">
        <v>0.71666666666666667</v>
      </c>
      <c r="E2528" s="49">
        <f>'Reclamo de equipaje rediseñado'!$D2528-'Reclamo de equipaje rediseñado'!$C2528</f>
        <v>6.9444444444444198E-3</v>
      </c>
      <c r="F2528" s="48">
        <v>0.72569444444444453</v>
      </c>
      <c r="G2528" s="49">
        <f t="shared" si="39"/>
        <v>9.0277777777778567E-3</v>
      </c>
      <c r="H2528" s="50">
        <v>41757</v>
      </c>
      <c r="I2528" s="51" t="s">
        <v>603</v>
      </c>
      <c r="J2528" s="51">
        <v>320</v>
      </c>
      <c r="K2528" s="51">
        <f>VLOOKUP(J2528,'Validacion reclamo de equipaje'!L:M,2,0)</f>
        <v>179</v>
      </c>
      <c r="L2528" s="51" t="str">
        <f>VLOOKUP(I2528,'Validacion reclamo de equipaje'!H:I,2,0)</f>
        <v>Nacional</v>
      </c>
      <c r="M2528" s="51" t="s">
        <v>523</v>
      </c>
    </row>
    <row r="2529" spans="1:13" x14ac:dyDescent="0.25">
      <c r="A2529">
        <v>808</v>
      </c>
      <c r="B2529" s="47" t="str">
        <f>VLOOKUP(Tabla6[[#This Row],['# Vuelo]],'Validacion reclamo de equipaje'!P:Q,2,0)</f>
        <v>INTERAVIÓN</v>
      </c>
      <c r="C2529" s="52">
        <v>0.70624999999999993</v>
      </c>
      <c r="D2529" s="52">
        <v>0.71388888888888891</v>
      </c>
      <c r="E2529" s="53">
        <f>'Reclamo de equipaje rediseñado'!$D2529-'Reclamo de equipaje rediseñado'!$C2529</f>
        <v>7.6388888888889728E-3</v>
      </c>
      <c r="F2529" s="52">
        <v>0.72222222222222221</v>
      </c>
      <c r="G2529" s="53">
        <f t="shared" si="39"/>
        <v>8.3333333333333037E-3</v>
      </c>
      <c r="H2529" s="54">
        <v>41758</v>
      </c>
      <c r="I2529" s="55" t="s">
        <v>603</v>
      </c>
      <c r="J2529" s="55">
        <v>320</v>
      </c>
      <c r="K2529" s="55">
        <f>VLOOKUP(J2529,'Validacion reclamo de equipaje'!L:M,2,0)</f>
        <v>179</v>
      </c>
      <c r="L2529" s="55" t="str">
        <f>VLOOKUP(I2529,'Validacion reclamo de equipaje'!H:I,2,0)</f>
        <v>Nacional</v>
      </c>
      <c r="M2529" s="55" t="s">
        <v>523</v>
      </c>
    </row>
    <row r="2530" spans="1:13" x14ac:dyDescent="0.25">
      <c r="A2530">
        <v>808</v>
      </c>
      <c r="B2530" s="47" t="str">
        <f>VLOOKUP(Tabla6[[#This Row],['# Vuelo]],'Validacion reclamo de equipaje'!P:Q,2,0)</f>
        <v>INTERAVIÓN</v>
      </c>
      <c r="C2530" s="48">
        <v>0.70486111111111116</v>
      </c>
      <c r="D2530" s="48">
        <v>0.71666666666666667</v>
      </c>
      <c r="E2530" s="49">
        <f>'Reclamo de equipaje rediseñado'!$D2530-'Reclamo de equipaje rediseñado'!$C2530</f>
        <v>1.1805555555555514E-2</v>
      </c>
      <c r="F2530" s="48">
        <v>0.72361111111111109</v>
      </c>
      <c r="G2530" s="49">
        <f t="shared" si="39"/>
        <v>6.9444444444444198E-3</v>
      </c>
      <c r="H2530" s="50">
        <v>41759</v>
      </c>
      <c r="I2530" s="51" t="s">
        <v>603</v>
      </c>
      <c r="J2530" s="51">
        <v>320</v>
      </c>
      <c r="K2530" s="51">
        <f>VLOOKUP(J2530,'Validacion reclamo de equipaje'!L:M,2,0)</f>
        <v>179</v>
      </c>
      <c r="L2530" s="51" t="str">
        <f>VLOOKUP(I2530,'Validacion reclamo de equipaje'!H:I,2,0)</f>
        <v>Nacional</v>
      </c>
      <c r="M2530" s="51" t="s">
        <v>523</v>
      </c>
    </row>
    <row r="2531" spans="1:13" x14ac:dyDescent="0.25">
      <c r="A2531">
        <v>413</v>
      </c>
      <c r="B2531" s="47" t="str">
        <f>VLOOKUP(Tabla6[[#This Row],['# Vuelo]],'Validacion reclamo de equipaje'!P:Q,2,0)</f>
        <v>INTERAVIÓN</v>
      </c>
      <c r="C2531" s="52">
        <v>0.96180555555555547</v>
      </c>
      <c r="D2531" s="52">
        <v>0.96875</v>
      </c>
      <c r="E2531" s="53">
        <f>'Reclamo de equipaje rediseñado'!$D2531-'Reclamo de equipaje rediseñado'!$C2531</f>
        <v>6.9444444444445308E-3</v>
      </c>
      <c r="F2531" s="52">
        <v>0.97222222222222221</v>
      </c>
      <c r="G2531" s="53">
        <f t="shared" si="39"/>
        <v>3.4722222222222099E-3</v>
      </c>
      <c r="H2531" s="54">
        <v>41734</v>
      </c>
      <c r="I2531" s="55" t="s">
        <v>549</v>
      </c>
      <c r="J2531" s="55">
        <v>320</v>
      </c>
      <c r="K2531" s="55">
        <f>VLOOKUP(J2531,'Validacion reclamo de equipaje'!L:M,2,0)</f>
        <v>179</v>
      </c>
      <c r="L2531" s="55" t="str">
        <f>VLOOKUP(I2531,'Validacion reclamo de equipaje'!H:I,2,0)</f>
        <v>Nacional</v>
      </c>
      <c r="M2531" s="55" t="s">
        <v>523</v>
      </c>
    </row>
    <row r="2532" spans="1:13" x14ac:dyDescent="0.25">
      <c r="A2532">
        <v>413</v>
      </c>
      <c r="B2532" s="47" t="str">
        <f>VLOOKUP(Tabla6[[#This Row],['# Vuelo]],'Validacion reclamo de equipaje'!P:Q,2,0)</f>
        <v>INTERAVIÓN</v>
      </c>
      <c r="C2532" s="48">
        <v>0.22847222222222222</v>
      </c>
      <c r="D2532" s="48">
        <v>0.23958333333333334</v>
      </c>
      <c r="E2532" s="49">
        <f>'Reclamo de equipaje rediseñado'!$D2532-'Reclamo de equipaje rediseñado'!$C2532</f>
        <v>1.1111111111111127E-2</v>
      </c>
      <c r="F2532" s="48">
        <v>0.24652777777777779</v>
      </c>
      <c r="G2532" s="49">
        <f t="shared" si="39"/>
        <v>6.9444444444444475E-3</v>
      </c>
      <c r="H2532" s="50">
        <v>41739</v>
      </c>
      <c r="I2532" s="51" t="s">
        <v>549</v>
      </c>
      <c r="J2532" s="51">
        <v>320</v>
      </c>
      <c r="K2532" s="51">
        <f>VLOOKUP(J2532,'Validacion reclamo de equipaje'!L:M,2,0)</f>
        <v>179</v>
      </c>
      <c r="L2532" s="51" t="str">
        <f>VLOOKUP(I2532,'Validacion reclamo de equipaje'!H:I,2,0)</f>
        <v>Nacional</v>
      </c>
      <c r="M2532" s="51" t="s">
        <v>523</v>
      </c>
    </row>
    <row r="2533" spans="1:13" x14ac:dyDescent="0.25">
      <c r="A2533">
        <v>413</v>
      </c>
      <c r="B2533" s="47" t="str">
        <f>VLOOKUP(Tabla6[[#This Row],['# Vuelo]],'Validacion reclamo de equipaje'!P:Q,2,0)</f>
        <v>INTERAVIÓN</v>
      </c>
      <c r="C2533" s="52">
        <v>0.17708333333333334</v>
      </c>
      <c r="D2533" s="52">
        <v>0.18402777777777779</v>
      </c>
      <c r="E2533" s="53">
        <f>'Reclamo de equipaje rediseñado'!$D2533-'Reclamo de equipaje rediseñado'!$C2533</f>
        <v>6.9444444444444475E-3</v>
      </c>
      <c r="F2533" s="52">
        <v>0.1875</v>
      </c>
      <c r="G2533" s="53">
        <f t="shared" si="39"/>
        <v>3.4722222222222099E-3</v>
      </c>
      <c r="H2533" s="54">
        <v>41747</v>
      </c>
      <c r="I2533" s="55" t="s">
        <v>549</v>
      </c>
      <c r="J2533" s="55">
        <v>320</v>
      </c>
      <c r="K2533" s="55">
        <f>VLOOKUP(J2533,'Validacion reclamo de equipaje'!L:M,2,0)</f>
        <v>179</v>
      </c>
      <c r="L2533" s="55" t="str">
        <f>VLOOKUP(I2533,'Validacion reclamo de equipaje'!H:I,2,0)</f>
        <v>Nacional</v>
      </c>
      <c r="M2533" s="55" t="s">
        <v>523</v>
      </c>
    </row>
    <row r="2534" spans="1:13" x14ac:dyDescent="0.25">
      <c r="A2534">
        <v>413</v>
      </c>
      <c r="B2534" s="47" t="str">
        <f>VLOOKUP(Tabla6[[#This Row],['# Vuelo]],'Validacion reclamo de equipaje'!P:Q,2,0)</f>
        <v>INTERAVIÓN</v>
      </c>
      <c r="C2534" s="48">
        <v>0.52361111111111114</v>
      </c>
      <c r="D2534" s="48">
        <v>0.53055555555555556</v>
      </c>
      <c r="E2534" s="49">
        <f>'Reclamo de equipaje rediseñado'!$D2534-'Reclamo de equipaje rediseñado'!$C2534</f>
        <v>6.9444444444444198E-3</v>
      </c>
      <c r="F2534" s="48">
        <v>0.53680555555555554</v>
      </c>
      <c r="G2534" s="49">
        <f t="shared" si="39"/>
        <v>6.2499999999999778E-3</v>
      </c>
      <c r="H2534" s="50">
        <v>41730</v>
      </c>
      <c r="I2534" s="51" t="s">
        <v>549</v>
      </c>
      <c r="J2534" s="51">
        <v>320</v>
      </c>
      <c r="K2534" s="51">
        <f>VLOOKUP(J2534,'Validacion reclamo de equipaje'!L:M,2,0)</f>
        <v>179</v>
      </c>
      <c r="L2534" s="51" t="str">
        <f>VLOOKUP(I2534,'Validacion reclamo de equipaje'!H:I,2,0)</f>
        <v>Nacional</v>
      </c>
      <c r="M2534" s="51" t="s">
        <v>523</v>
      </c>
    </row>
    <row r="2535" spans="1:13" x14ac:dyDescent="0.25">
      <c r="A2535">
        <v>413</v>
      </c>
      <c r="B2535" s="47" t="str">
        <f>VLOOKUP(Tabla6[[#This Row],['# Vuelo]],'Validacion reclamo de equipaje'!P:Q,2,0)</f>
        <v>INTERAVIÓN</v>
      </c>
      <c r="C2535" s="52">
        <v>0.52083333333333337</v>
      </c>
      <c r="D2535" s="52">
        <v>0.52916666666666667</v>
      </c>
      <c r="E2535" s="53">
        <f>'Reclamo de equipaje rediseñado'!$D2535-'Reclamo de equipaje rediseñado'!$C2535</f>
        <v>8.3333333333333037E-3</v>
      </c>
      <c r="F2535" s="52">
        <v>0.53680555555555554</v>
      </c>
      <c r="G2535" s="53">
        <f t="shared" si="39"/>
        <v>7.6388888888888618E-3</v>
      </c>
      <c r="H2535" s="54">
        <v>41731</v>
      </c>
      <c r="I2535" s="55" t="s">
        <v>549</v>
      </c>
      <c r="J2535" s="55">
        <v>320</v>
      </c>
      <c r="K2535" s="55">
        <f>VLOOKUP(J2535,'Validacion reclamo de equipaje'!L:M,2,0)</f>
        <v>179</v>
      </c>
      <c r="L2535" s="55" t="str">
        <f>VLOOKUP(I2535,'Validacion reclamo de equipaje'!H:I,2,0)</f>
        <v>Nacional</v>
      </c>
      <c r="M2535" s="55" t="s">
        <v>523</v>
      </c>
    </row>
    <row r="2536" spans="1:13" x14ac:dyDescent="0.25">
      <c r="A2536">
        <v>413</v>
      </c>
      <c r="B2536" s="47" t="str">
        <f>VLOOKUP(Tabla6[[#This Row],['# Vuelo]],'Validacion reclamo de equipaje'!P:Q,2,0)</f>
        <v>INTERAVIÓN</v>
      </c>
      <c r="C2536" s="48">
        <v>0.52083333333333337</v>
      </c>
      <c r="D2536" s="48">
        <v>0.52777777777777779</v>
      </c>
      <c r="E2536" s="49">
        <f>'Reclamo de equipaje rediseñado'!$D2536-'Reclamo de equipaje rediseñado'!$C2536</f>
        <v>6.9444444444444198E-3</v>
      </c>
      <c r="F2536" s="48">
        <v>0.53472222222222221</v>
      </c>
      <c r="G2536" s="49">
        <f t="shared" si="39"/>
        <v>6.9444444444444198E-3</v>
      </c>
      <c r="H2536" s="50">
        <v>41732</v>
      </c>
      <c r="I2536" s="51" t="s">
        <v>549</v>
      </c>
      <c r="J2536" s="51">
        <v>320</v>
      </c>
      <c r="K2536" s="51">
        <f>VLOOKUP(J2536,'Validacion reclamo de equipaje'!L:M,2,0)</f>
        <v>179</v>
      </c>
      <c r="L2536" s="51" t="str">
        <f>VLOOKUP(I2536,'Validacion reclamo de equipaje'!H:I,2,0)</f>
        <v>Nacional</v>
      </c>
      <c r="M2536" s="51" t="s">
        <v>523</v>
      </c>
    </row>
    <row r="2537" spans="1:13" x14ac:dyDescent="0.25">
      <c r="A2537">
        <v>413</v>
      </c>
      <c r="B2537" s="47" t="str">
        <f>VLOOKUP(Tabla6[[#This Row],['# Vuelo]],'Validacion reclamo de equipaje'!P:Q,2,0)</f>
        <v>INTERAVIÓN</v>
      </c>
      <c r="C2537" s="52">
        <v>0.52013888888888882</v>
      </c>
      <c r="D2537" s="52">
        <v>0.52569444444444446</v>
      </c>
      <c r="E2537" s="53">
        <f>'Reclamo de equipaje rediseñado'!$D2537-'Reclamo de equipaje rediseñado'!$C2537</f>
        <v>5.5555555555556468E-3</v>
      </c>
      <c r="F2537" s="52">
        <v>0.53333333333333333</v>
      </c>
      <c r="G2537" s="53">
        <f t="shared" si="39"/>
        <v>7.6388888888888618E-3</v>
      </c>
      <c r="H2537" s="54">
        <v>41733</v>
      </c>
      <c r="I2537" s="55" t="s">
        <v>549</v>
      </c>
      <c r="J2537" s="55">
        <v>320</v>
      </c>
      <c r="K2537" s="55">
        <f>VLOOKUP(J2537,'Validacion reclamo de equipaje'!L:M,2,0)</f>
        <v>179</v>
      </c>
      <c r="L2537" s="55" t="str">
        <f>VLOOKUP(I2537,'Validacion reclamo de equipaje'!H:I,2,0)</f>
        <v>Nacional</v>
      </c>
      <c r="M2537" s="55" t="s">
        <v>523</v>
      </c>
    </row>
    <row r="2538" spans="1:13" x14ac:dyDescent="0.25">
      <c r="A2538">
        <v>413</v>
      </c>
      <c r="B2538" s="47" t="str">
        <f>VLOOKUP(Tabla6[[#This Row],['# Vuelo]],'Validacion reclamo de equipaje'!P:Q,2,0)</f>
        <v>INTERAVIÓN</v>
      </c>
      <c r="C2538" s="48">
        <v>0.52430555555555558</v>
      </c>
      <c r="D2538" s="48">
        <v>0.53263888888888888</v>
      </c>
      <c r="E2538" s="49">
        <f>'Reclamo de equipaje rediseñado'!$D2538-'Reclamo de equipaje rediseñado'!$C2538</f>
        <v>8.3333333333333037E-3</v>
      </c>
      <c r="F2538" s="48">
        <v>0.54166666666666663</v>
      </c>
      <c r="G2538" s="49">
        <f t="shared" si="39"/>
        <v>9.0277777777777457E-3</v>
      </c>
      <c r="H2538" s="50">
        <v>41735</v>
      </c>
      <c r="I2538" s="51" t="s">
        <v>549</v>
      </c>
      <c r="J2538" s="51">
        <v>320</v>
      </c>
      <c r="K2538" s="51">
        <f>VLOOKUP(J2538,'Validacion reclamo de equipaje'!L:M,2,0)</f>
        <v>179</v>
      </c>
      <c r="L2538" s="51" t="str">
        <f>VLOOKUP(I2538,'Validacion reclamo de equipaje'!H:I,2,0)</f>
        <v>Nacional</v>
      </c>
      <c r="M2538" s="51" t="s">
        <v>523</v>
      </c>
    </row>
    <row r="2539" spans="1:13" x14ac:dyDescent="0.25">
      <c r="A2539">
        <v>413</v>
      </c>
      <c r="B2539" s="47" t="str">
        <f>VLOOKUP(Tabla6[[#This Row],['# Vuelo]],'Validacion reclamo de equipaje'!P:Q,2,0)</f>
        <v>INTERAVIÓN</v>
      </c>
      <c r="C2539" s="52">
        <v>0.53541666666666665</v>
      </c>
      <c r="D2539" s="52">
        <v>0.5395833333333333</v>
      </c>
      <c r="E2539" s="53">
        <f>'Reclamo de equipaje rediseñado'!$D2539-'Reclamo de equipaje rediseñado'!$C2539</f>
        <v>4.1666666666666519E-3</v>
      </c>
      <c r="F2539" s="52">
        <v>0.54722222222222217</v>
      </c>
      <c r="G2539" s="53">
        <f t="shared" si="39"/>
        <v>7.6388888888888618E-3</v>
      </c>
      <c r="H2539" s="54">
        <v>41736</v>
      </c>
      <c r="I2539" s="55" t="s">
        <v>549</v>
      </c>
      <c r="J2539" s="55">
        <v>320</v>
      </c>
      <c r="K2539" s="55">
        <f>VLOOKUP(J2539,'Validacion reclamo de equipaje'!L:M,2,0)</f>
        <v>179</v>
      </c>
      <c r="L2539" s="55" t="str">
        <f>VLOOKUP(I2539,'Validacion reclamo de equipaje'!H:I,2,0)</f>
        <v>Nacional</v>
      </c>
      <c r="M2539" s="55" t="s">
        <v>523</v>
      </c>
    </row>
    <row r="2540" spans="1:13" x14ac:dyDescent="0.25">
      <c r="A2540">
        <v>413</v>
      </c>
      <c r="B2540" s="47" t="str">
        <f>VLOOKUP(Tabla6[[#This Row],['# Vuelo]],'Validacion reclamo de equipaje'!P:Q,2,0)</f>
        <v>INTERAVIÓN</v>
      </c>
      <c r="C2540" s="48">
        <v>0.51736111111111105</v>
      </c>
      <c r="D2540" s="48">
        <v>0.52847222222222223</v>
      </c>
      <c r="E2540" s="49">
        <f>'Reclamo de equipaje rediseñado'!$D2540-'Reclamo de equipaje rediseñado'!$C2540</f>
        <v>1.1111111111111183E-2</v>
      </c>
      <c r="F2540" s="48">
        <v>0.53472222222222221</v>
      </c>
      <c r="G2540" s="49">
        <f t="shared" si="39"/>
        <v>6.2499999999999778E-3</v>
      </c>
      <c r="H2540" s="50">
        <v>41737</v>
      </c>
      <c r="I2540" s="51" t="s">
        <v>549</v>
      </c>
      <c r="J2540" s="51">
        <v>320</v>
      </c>
      <c r="K2540" s="51">
        <f>VLOOKUP(J2540,'Validacion reclamo de equipaje'!L:M,2,0)</f>
        <v>179</v>
      </c>
      <c r="L2540" s="51" t="str">
        <f>VLOOKUP(I2540,'Validacion reclamo de equipaje'!H:I,2,0)</f>
        <v>Nacional</v>
      </c>
      <c r="M2540" s="51" t="s">
        <v>523</v>
      </c>
    </row>
    <row r="2541" spans="1:13" x14ac:dyDescent="0.25">
      <c r="A2541">
        <v>413</v>
      </c>
      <c r="B2541" s="47" t="str">
        <f>VLOOKUP(Tabla6[[#This Row],['# Vuelo]],'Validacion reclamo de equipaje'!P:Q,2,0)</f>
        <v>INTERAVIÓN</v>
      </c>
      <c r="C2541" s="52">
        <v>0.52361111111111114</v>
      </c>
      <c r="D2541" s="52">
        <v>0.53055555555555556</v>
      </c>
      <c r="E2541" s="53">
        <f>'Reclamo de equipaje rediseñado'!$D2541-'Reclamo de equipaje rediseñado'!$C2541</f>
        <v>6.9444444444444198E-3</v>
      </c>
      <c r="F2541" s="52">
        <v>0.53680555555555554</v>
      </c>
      <c r="G2541" s="53">
        <f t="shared" si="39"/>
        <v>6.2499999999999778E-3</v>
      </c>
      <c r="H2541" s="54">
        <v>41742</v>
      </c>
      <c r="I2541" s="55" t="s">
        <v>549</v>
      </c>
      <c r="J2541" s="55">
        <v>320</v>
      </c>
      <c r="K2541" s="55">
        <f>VLOOKUP(J2541,'Validacion reclamo de equipaje'!L:M,2,0)</f>
        <v>179</v>
      </c>
      <c r="L2541" s="55" t="str">
        <f>VLOOKUP(I2541,'Validacion reclamo de equipaje'!H:I,2,0)</f>
        <v>Nacional</v>
      </c>
      <c r="M2541" s="55" t="s">
        <v>523</v>
      </c>
    </row>
    <row r="2542" spans="1:13" x14ac:dyDescent="0.25">
      <c r="A2542">
        <v>413</v>
      </c>
      <c r="B2542" s="47" t="str">
        <f>VLOOKUP(Tabla6[[#This Row],['# Vuelo]],'Validacion reclamo de equipaje'!P:Q,2,0)</f>
        <v>INTERAVIÓN</v>
      </c>
      <c r="C2542" s="48">
        <v>0.53472222222222221</v>
      </c>
      <c r="D2542" s="48">
        <v>0.54027777777777775</v>
      </c>
      <c r="E2542" s="49">
        <f>'Reclamo de equipaje rediseñado'!$D2542-'Reclamo de equipaje rediseñado'!$C2542</f>
        <v>5.5555555555555358E-3</v>
      </c>
      <c r="F2542" s="48">
        <v>0.55208333333333337</v>
      </c>
      <c r="G2542" s="49">
        <f t="shared" si="39"/>
        <v>1.1805555555555625E-2</v>
      </c>
      <c r="H2542" s="50">
        <v>41743</v>
      </c>
      <c r="I2542" s="51" t="s">
        <v>549</v>
      </c>
      <c r="J2542" s="51">
        <v>320</v>
      </c>
      <c r="K2542" s="51">
        <f>VLOOKUP(J2542,'Validacion reclamo de equipaje'!L:M,2,0)</f>
        <v>179</v>
      </c>
      <c r="L2542" s="51" t="str">
        <f>VLOOKUP(I2542,'Validacion reclamo de equipaje'!H:I,2,0)</f>
        <v>Nacional</v>
      </c>
      <c r="M2542" s="51" t="s">
        <v>523</v>
      </c>
    </row>
    <row r="2543" spans="1:13" x14ac:dyDescent="0.25">
      <c r="A2543">
        <v>413</v>
      </c>
      <c r="B2543" s="47" t="str">
        <f>VLOOKUP(Tabla6[[#This Row],['# Vuelo]],'Validacion reclamo de equipaje'!P:Q,2,0)</f>
        <v>INTERAVIÓN</v>
      </c>
      <c r="C2543" s="52">
        <v>0.54861111111111105</v>
      </c>
      <c r="D2543" s="52">
        <v>0.55972222222222223</v>
      </c>
      <c r="E2543" s="53">
        <f>'Reclamo de equipaje rediseñado'!$D2543-'Reclamo de equipaje rediseñado'!$C2543</f>
        <v>1.1111111111111183E-2</v>
      </c>
      <c r="F2543" s="52">
        <v>0.56666666666666665</v>
      </c>
      <c r="G2543" s="53">
        <f t="shared" si="39"/>
        <v>6.9444444444444198E-3</v>
      </c>
      <c r="H2543" s="54">
        <v>41744</v>
      </c>
      <c r="I2543" s="55" t="s">
        <v>549</v>
      </c>
      <c r="J2543" s="55">
        <v>320</v>
      </c>
      <c r="K2543" s="55">
        <f>VLOOKUP(J2543,'Validacion reclamo de equipaje'!L:M,2,0)</f>
        <v>179</v>
      </c>
      <c r="L2543" s="55" t="str">
        <f>VLOOKUP(I2543,'Validacion reclamo de equipaje'!H:I,2,0)</f>
        <v>Nacional</v>
      </c>
      <c r="M2543" s="55" t="s">
        <v>523</v>
      </c>
    </row>
    <row r="2544" spans="1:13" x14ac:dyDescent="0.25">
      <c r="A2544">
        <v>413</v>
      </c>
      <c r="B2544" s="47" t="str">
        <f>VLOOKUP(Tabla6[[#This Row],['# Vuelo]],'Validacion reclamo de equipaje'!P:Q,2,0)</f>
        <v>INTERAVIÓN</v>
      </c>
      <c r="C2544" s="48">
        <v>0.53194444444444444</v>
      </c>
      <c r="D2544" s="48">
        <v>0.54166666666666663</v>
      </c>
      <c r="E2544" s="49">
        <f>'Reclamo de equipaje rediseñado'!$D2544-'Reclamo de equipaje rediseñado'!$C2544</f>
        <v>9.7222222222221877E-3</v>
      </c>
      <c r="F2544" s="48">
        <v>0.55277777777777781</v>
      </c>
      <c r="G2544" s="49">
        <f t="shared" si="39"/>
        <v>1.1111111111111183E-2</v>
      </c>
      <c r="H2544" s="50">
        <v>41748</v>
      </c>
      <c r="I2544" s="51" t="s">
        <v>549</v>
      </c>
      <c r="J2544" s="51">
        <v>320</v>
      </c>
      <c r="K2544" s="51">
        <f>VLOOKUP(J2544,'Validacion reclamo de equipaje'!L:M,2,0)</f>
        <v>179</v>
      </c>
      <c r="L2544" s="51" t="str">
        <f>VLOOKUP(I2544,'Validacion reclamo de equipaje'!H:I,2,0)</f>
        <v>Nacional</v>
      </c>
      <c r="M2544" s="51" t="s">
        <v>523</v>
      </c>
    </row>
    <row r="2545" spans="1:13" x14ac:dyDescent="0.25">
      <c r="A2545">
        <v>413</v>
      </c>
      <c r="B2545" s="47" t="str">
        <f>VLOOKUP(Tabla6[[#This Row],['# Vuelo]],'Validacion reclamo de equipaje'!P:Q,2,0)</f>
        <v>INTERAVIÓN</v>
      </c>
      <c r="C2545" s="52">
        <v>0.53541666666666665</v>
      </c>
      <c r="D2545" s="52">
        <v>0.53680555555555554</v>
      </c>
      <c r="E2545" s="53">
        <f>'Reclamo de equipaje rediseñado'!$D2545-'Reclamo de equipaje rediseñado'!$C2545</f>
        <v>1.388888888888884E-3</v>
      </c>
      <c r="F2545" s="52">
        <v>0.54583333333333328</v>
      </c>
      <c r="G2545" s="53">
        <f t="shared" si="39"/>
        <v>9.0277777777777457E-3</v>
      </c>
      <c r="H2545" s="54">
        <v>41749</v>
      </c>
      <c r="I2545" s="55" t="s">
        <v>549</v>
      </c>
      <c r="J2545" s="55">
        <v>320</v>
      </c>
      <c r="K2545" s="55">
        <f>VLOOKUP(J2545,'Validacion reclamo de equipaje'!L:M,2,0)</f>
        <v>179</v>
      </c>
      <c r="L2545" s="55" t="str">
        <f>VLOOKUP(I2545,'Validacion reclamo de equipaje'!H:I,2,0)</f>
        <v>Nacional</v>
      </c>
      <c r="M2545" s="55" t="s">
        <v>523</v>
      </c>
    </row>
    <row r="2546" spans="1:13" x14ac:dyDescent="0.25">
      <c r="A2546">
        <v>413</v>
      </c>
      <c r="B2546" s="47" t="str">
        <f>VLOOKUP(Tabla6[[#This Row],['# Vuelo]],'Validacion reclamo de equipaje'!P:Q,2,0)</f>
        <v>INTERAVIÓN</v>
      </c>
      <c r="C2546" s="48">
        <v>0.53472222222222221</v>
      </c>
      <c r="D2546" s="48">
        <v>0.54513888888888895</v>
      </c>
      <c r="E2546" s="49">
        <f>'Reclamo de equipaje rediseñado'!$D2546-'Reclamo de equipaje rediseñado'!$C2546</f>
        <v>1.0416666666666741E-2</v>
      </c>
      <c r="F2546" s="48">
        <v>0.55208333333333337</v>
      </c>
      <c r="G2546" s="49">
        <f t="shared" si="39"/>
        <v>6.9444444444444198E-3</v>
      </c>
      <c r="H2546" s="50">
        <v>41750</v>
      </c>
      <c r="I2546" s="51" t="s">
        <v>549</v>
      </c>
      <c r="J2546" s="51">
        <v>320</v>
      </c>
      <c r="K2546" s="51">
        <f>VLOOKUP(J2546,'Validacion reclamo de equipaje'!L:M,2,0)</f>
        <v>179</v>
      </c>
      <c r="L2546" s="51" t="str">
        <f>VLOOKUP(I2546,'Validacion reclamo de equipaje'!H:I,2,0)</f>
        <v>Nacional</v>
      </c>
      <c r="M2546" s="51" t="s">
        <v>523</v>
      </c>
    </row>
    <row r="2547" spans="1:13" x14ac:dyDescent="0.25">
      <c r="A2547">
        <v>413</v>
      </c>
      <c r="B2547" s="47" t="str">
        <f>VLOOKUP(Tabla6[[#This Row],['# Vuelo]],'Validacion reclamo de equipaje'!P:Q,2,0)</f>
        <v>INTERAVIÓN</v>
      </c>
      <c r="C2547" s="52">
        <v>0.53472222222222221</v>
      </c>
      <c r="D2547" s="52">
        <v>0.54722222222222217</v>
      </c>
      <c r="E2547" s="53">
        <f>'Reclamo de equipaje rediseñado'!$D2547-'Reclamo de equipaje rediseñado'!$C2547</f>
        <v>1.2499999999999956E-2</v>
      </c>
      <c r="F2547" s="52">
        <v>0.55833333333333335</v>
      </c>
      <c r="G2547" s="53">
        <f t="shared" si="39"/>
        <v>1.1111111111111183E-2</v>
      </c>
      <c r="H2547" s="54">
        <v>41754</v>
      </c>
      <c r="I2547" s="55" t="s">
        <v>549</v>
      </c>
      <c r="J2547" s="55">
        <v>320</v>
      </c>
      <c r="K2547" s="55">
        <f>VLOOKUP(J2547,'Validacion reclamo de equipaje'!L:M,2,0)</f>
        <v>179</v>
      </c>
      <c r="L2547" s="55" t="str">
        <f>VLOOKUP(I2547,'Validacion reclamo de equipaje'!H:I,2,0)</f>
        <v>Nacional</v>
      </c>
      <c r="M2547" s="55" t="s">
        <v>523</v>
      </c>
    </row>
    <row r="2548" spans="1:13" x14ac:dyDescent="0.25">
      <c r="A2548">
        <v>413</v>
      </c>
      <c r="B2548" s="47" t="str">
        <f>VLOOKUP(Tabla6[[#This Row],['# Vuelo]],'Validacion reclamo de equipaje'!P:Q,2,0)</f>
        <v>INTERAVIÓN</v>
      </c>
      <c r="C2548" s="48">
        <v>0.53055555555555556</v>
      </c>
      <c r="D2548" s="48">
        <v>0.54097222222222219</v>
      </c>
      <c r="E2548" s="49">
        <f>'Reclamo de equipaje rediseñado'!$D2548-'Reclamo de equipaje rediseñado'!$C2548</f>
        <v>1.041666666666663E-2</v>
      </c>
      <c r="F2548" s="48">
        <v>0.55972222222222223</v>
      </c>
      <c r="G2548" s="49">
        <f t="shared" si="39"/>
        <v>1.8750000000000044E-2</v>
      </c>
      <c r="H2548" s="50">
        <v>41756</v>
      </c>
      <c r="I2548" s="51" t="s">
        <v>549</v>
      </c>
      <c r="J2548" s="51">
        <v>320</v>
      </c>
      <c r="K2548" s="51">
        <f>VLOOKUP(J2548,'Validacion reclamo de equipaje'!L:M,2,0)</f>
        <v>179</v>
      </c>
      <c r="L2548" s="51" t="str">
        <f>VLOOKUP(I2548,'Validacion reclamo de equipaje'!H:I,2,0)</f>
        <v>Nacional</v>
      </c>
      <c r="M2548" s="51" t="s">
        <v>523</v>
      </c>
    </row>
    <row r="2549" spans="1:13" x14ac:dyDescent="0.25">
      <c r="A2549">
        <v>413</v>
      </c>
      <c r="B2549" s="47" t="str">
        <f>VLOOKUP(Tabla6[[#This Row],['# Vuelo]],'Validacion reclamo de equipaje'!P:Q,2,0)</f>
        <v>INTERAVIÓN</v>
      </c>
      <c r="C2549" s="52">
        <v>0.52500000000000002</v>
      </c>
      <c r="D2549" s="52">
        <v>0.53402777777777777</v>
      </c>
      <c r="E2549" s="53">
        <f>'Reclamo de equipaje rediseñado'!$D2549-'Reclamo de equipaje rediseñado'!$C2549</f>
        <v>9.0277777777777457E-3</v>
      </c>
      <c r="F2549" s="52">
        <v>0.54583333333333328</v>
      </c>
      <c r="G2549" s="53">
        <f t="shared" si="39"/>
        <v>1.1805555555555514E-2</v>
      </c>
      <c r="H2549" s="54">
        <v>41757</v>
      </c>
      <c r="I2549" s="55" t="s">
        <v>549</v>
      </c>
      <c r="J2549" s="55">
        <v>320</v>
      </c>
      <c r="K2549" s="55">
        <f>VLOOKUP(J2549,'Validacion reclamo de equipaje'!L:M,2,0)</f>
        <v>179</v>
      </c>
      <c r="L2549" s="55" t="str">
        <f>VLOOKUP(I2549,'Validacion reclamo de equipaje'!H:I,2,0)</f>
        <v>Nacional</v>
      </c>
      <c r="M2549" s="55" t="s">
        <v>523</v>
      </c>
    </row>
    <row r="2550" spans="1:13" x14ac:dyDescent="0.25">
      <c r="A2550">
        <v>413</v>
      </c>
      <c r="B2550" s="47" t="str">
        <f>VLOOKUP(Tabla6[[#This Row],['# Vuelo]],'Validacion reclamo de equipaje'!P:Q,2,0)</f>
        <v>INTERAVIÓN</v>
      </c>
      <c r="C2550" s="48">
        <v>0.52986111111111112</v>
      </c>
      <c r="D2550" s="48">
        <v>0.53819444444444442</v>
      </c>
      <c r="E2550" s="49">
        <f>'Reclamo de equipaje rediseñado'!$D2550-'Reclamo de equipaje rediseñado'!$C2550</f>
        <v>8.3333333333333037E-3</v>
      </c>
      <c r="F2550" s="48">
        <v>0.55069444444444449</v>
      </c>
      <c r="G2550" s="49">
        <f t="shared" si="39"/>
        <v>1.2500000000000067E-2</v>
      </c>
      <c r="H2550" s="50">
        <v>41759</v>
      </c>
      <c r="I2550" s="51" t="s">
        <v>549</v>
      </c>
      <c r="J2550" s="51">
        <v>320</v>
      </c>
      <c r="K2550" s="51">
        <f>VLOOKUP(J2550,'Validacion reclamo de equipaje'!L:M,2,0)</f>
        <v>179</v>
      </c>
      <c r="L2550" s="51" t="str">
        <f>VLOOKUP(I2550,'Validacion reclamo de equipaje'!H:I,2,0)</f>
        <v>Nacional</v>
      </c>
      <c r="M2550" s="51" t="s">
        <v>523</v>
      </c>
    </row>
    <row r="2551" spans="1:13" x14ac:dyDescent="0.25">
      <c r="A2551">
        <v>411</v>
      </c>
      <c r="B2551" s="47" t="str">
        <f>VLOOKUP(Tabla6[[#This Row],['# Vuelo]],'Validacion reclamo de equipaje'!P:Q,2,0)</f>
        <v>INTERAVIÓN</v>
      </c>
      <c r="C2551" s="52">
        <v>0.83611111111111114</v>
      </c>
      <c r="D2551" s="52">
        <v>0.84513888888888899</v>
      </c>
      <c r="E2551" s="53">
        <f>'Reclamo de equipaje rediseñado'!$D2551-'Reclamo de equipaje rediseñado'!$C2551</f>
        <v>9.0277777777778567E-3</v>
      </c>
      <c r="F2551" s="52">
        <v>0.8520833333333333</v>
      </c>
      <c r="G2551" s="53">
        <f t="shared" si="39"/>
        <v>6.9444444444443088E-3</v>
      </c>
      <c r="H2551" s="54">
        <v>41732</v>
      </c>
      <c r="I2551" s="55" t="s">
        <v>549</v>
      </c>
      <c r="J2551" s="55">
        <v>320</v>
      </c>
      <c r="K2551" s="55">
        <f>VLOOKUP(J2551,'Validacion reclamo de equipaje'!L:M,2,0)</f>
        <v>179</v>
      </c>
      <c r="L2551" s="55" t="str">
        <f>VLOOKUP(I2551,'Validacion reclamo de equipaje'!H:I,2,0)</f>
        <v>Nacional</v>
      </c>
      <c r="M2551" s="55" t="s">
        <v>523</v>
      </c>
    </row>
    <row r="2552" spans="1:13" x14ac:dyDescent="0.25">
      <c r="A2552">
        <v>411</v>
      </c>
      <c r="B2552" s="47" t="str">
        <f>VLOOKUP(Tabla6[[#This Row],['# Vuelo]],'Validacion reclamo de equipaje'!P:Q,2,0)</f>
        <v>INTERAVIÓN</v>
      </c>
      <c r="C2552" s="48">
        <v>0.8354166666666667</v>
      </c>
      <c r="D2552" s="48">
        <v>0.84375</v>
      </c>
      <c r="E2552" s="49">
        <f>'Reclamo de equipaje rediseñado'!$D2552-'Reclamo de equipaje rediseñado'!$C2552</f>
        <v>8.3333333333333037E-3</v>
      </c>
      <c r="F2552" s="48">
        <v>0.8534722222222223</v>
      </c>
      <c r="G2552" s="49">
        <f t="shared" si="39"/>
        <v>9.7222222222222987E-3</v>
      </c>
      <c r="H2552" s="50">
        <v>41734</v>
      </c>
      <c r="I2552" s="51" t="s">
        <v>549</v>
      </c>
      <c r="J2552" s="51">
        <v>320</v>
      </c>
      <c r="K2552" s="51">
        <f>VLOOKUP(J2552,'Validacion reclamo de equipaje'!L:M,2,0)</f>
        <v>179</v>
      </c>
      <c r="L2552" s="51" t="str">
        <f>VLOOKUP(I2552,'Validacion reclamo de equipaje'!H:I,2,0)</f>
        <v>Nacional</v>
      </c>
      <c r="M2552" s="51" t="s">
        <v>523</v>
      </c>
    </row>
    <row r="2553" spans="1:13" x14ac:dyDescent="0.25">
      <c r="A2553">
        <v>411</v>
      </c>
      <c r="B2553" s="47" t="str">
        <f>VLOOKUP(Tabla6[[#This Row],['# Vuelo]],'Validacion reclamo de equipaje'!P:Q,2,0)</f>
        <v>INTERAVIÓN</v>
      </c>
      <c r="C2553" s="52">
        <v>0.83333333333333337</v>
      </c>
      <c r="D2553" s="52">
        <v>0.85277777777777775</v>
      </c>
      <c r="E2553" s="53">
        <f>'Reclamo de equipaje rediseñado'!$D2553-'Reclamo de equipaje rediseñado'!$C2553</f>
        <v>1.9444444444444375E-2</v>
      </c>
      <c r="F2553" s="52">
        <v>0.8534722222222223</v>
      </c>
      <c r="G2553" s="53">
        <f t="shared" si="39"/>
        <v>6.94444444444553E-4</v>
      </c>
      <c r="H2553" s="54">
        <v>41734</v>
      </c>
      <c r="I2553" s="55" t="s">
        <v>549</v>
      </c>
      <c r="J2553" s="55">
        <v>320</v>
      </c>
      <c r="K2553" s="55">
        <f>VLOOKUP(J2553,'Validacion reclamo de equipaje'!L:M,2,0)</f>
        <v>179</v>
      </c>
      <c r="L2553" s="55" t="str">
        <f>VLOOKUP(I2553,'Validacion reclamo de equipaje'!H:I,2,0)</f>
        <v>Nacional</v>
      </c>
      <c r="M2553" s="55" t="s">
        <v>523</v>
      </c>
    </row>
    <row r="2554" spans="1:13" x14ac:dyDescent="0.25">
      <c r="A2554">
        <v>411</v>
      </c>
      <c r="B2554" s="47" t="str">
        <f>VLOOKUP(Tabla6[[#This Row],['# Vuelo]],'Validacion reclamo de equipaje'!P:Q,2,0)</f>
        <v>INTERAVIÓN</v>
      </c>
      <c r="C2554" s="48">
        <v>0.34722222222222227</v>
      </c>
      <c r="D2554" s="48">
        <v>0.35069444444444442</v>
      </c>
      <c r="E2554" s="49">
        <f>'Reclamo de equipaje rediseñado'!$D2554-'Reclamo de equipaje rediseñado'!$C2554</f>
        <v>3.4722222222221544E-3</v>
      </c>
      <c r="F2554" s="48">
        <v>0.375</v>
      </c>
      <c r="G2554" s="49">
        <f t="shared" si="39"/>
        <v>2.430555555555558E-2</v>
      </c>
      <c r="H2554" s="50">
        <v>41735</v>
      </c>
      <c r="I2554" s="51" t="s">
        <v>549</v>
      </c>
      <c r="J2554" s="51">
        <v>320</v>
      </c>
      <c r="K2554" s="51">
        <f>VLOOKUP(J2554,'Validacion reclamo de equipaje'!L:M,2,0)</f>
        <v>179</v>
      </c>
      <c r="L2554" s="51" t="str">
        <f>VLOOKUP(I2554,'Validacion reclamo de equipaje'!H:I,2,0)</f>
        <v>Nacional</v>
      </c>
      <c r="M2554" s="51" t="s">
        <v>523</v>
      </c>
    </row>
    <row r="2555" spans="1:13" x14ac:dyDescent="0.25">
      <c r="A2555">
        <v>411</v>
      </c>
      <c r="B2555" s="47" t="str">
        <f>VLOOKUP(Tabla6[[#This Row],['# Vuelo]],'Validacion reclamo de equipaje'!P:Q,2,0)</f>
        <v>INTERAVIÓN</v>
      </c>
      <c r="C2555" s="52">
        <v>0.8340277777777777</v>
      </c>
      <c r="D2555" s="52">
        <v>0.84027777777777779</v>
      </c>
      <c r="E2555" s="53">
        <f>'Reclamo de equipaje rediseñado'!$D2555-'Reclamo de equipaje rediseñado'!$C2555</f>
        <v>6.2500000000000888E-3</v>
      </c>
      <c r="F2555" s="52">
        <v>0.84861111111111109</v>
      </c>
      <c r="G2555" s="53">
        <f t="shared" si="39"/>
        <v>8.3333333333333037E-3</v>
      </c>
      <c r="H2555" s="54">
        <v>41736</v>
      </c>
      <c r="I2555" s="55" t="s">
        <v>549</v>
      </c>
      <c r="J2555" s="55">
        <v>320</v>
      </c>
      <c r="K2555" s="55">
        <f>VLOOKUP(J2555,'Validacion reclamo de equipaje'!L:M,2,0)</f>
        <v>179</v>
      </c>
      <c r="L2555" s="55" t="str">
        <f>VLOOKUP(I2555,'Validacion reclamo de equipaje'!H:I,2,0)</f>
        <v>Nacional</v>
      </c>
      <c r="M2555" s="55" t="s">
        <v>523</v>
      </c>
    </row>
    <row r="2556" spans="1:13" x14ac:dyDescent="0.25">
      <c r="A2556">
        <v>411</v>
      </c>
      <c r="B2556" s="47" t="str">
        <f>VLOOKUP(Tabla6[[#This Row],['# Vuelo]],'Validacion reclamo de equipaje'!P:Q,2,0)</f>
        <v>INTERAVIÓN</v>
      </c>
      <c r="C2556" s="48">
        <v>0.84166666666666667</v>
      </c>
      <c r="D2556" s="48">
        <v>0.84861111111111109</v>
      </c>
      <c r="E2556" s="49">
        <f>'Reclamo de equipaje rediseñado'!$D2556-'Reclamo de equipaje rediseñado'!$C2556</f>
        <v>6.9444444444444198E-3</v>
      </c>
      <c r="F2556" s="48">
        <v>0.86597222222222225</v>
      </c>
      <c r="G2556" s="49">
        <f t="shared" si="39"/>
        <v>1.736111111111116E-2</v>
      </c>
      <c r="H2556" s="50">
        <v>41738</v>
      </c>
      <c r="I2556" s="51" t="s">
        <v>549</v>
      </c>
      <c r="J2556" s="51">
        <v>320</v>
      </c>
      <c r="K2556" s="51">
        <f>VLOOKUP(J2556,'Validacion reclamo de equipaje'!L:M,2,0)</f>
        <v>179</v>
      </c>
      <c r="L2556" s="51" t="str">
        <f>VLOOKUP(I2556,'Validacion reclamo de equipaje'!H:I,2,0)</f>
        <v>Nacional</v>
      </c>
      <c r="M2556" s="51" t="s">
        <v>523</v>
      </c>
    </row>
    <row r="2557" spans="1:13" x14ac:dyDescent="0.25">
      <c r="A2557">
        <v>411</v>
      </c>
      <c r="B2557" s="47" t="str">
        <f>VLOOKUP(Tabla6[[#This Row],['# Vuelo]],'Validacion reclamo de equipaje'!P:Q,2,0)</f>
        <v>INTERAVIÓN</v>
      </c>
      <c r="C2557" s="52">
        <v>0.84513888888888899</v>
      </c>
      <c r="D2557" s="52">
        <v>0.85277777777777775</v>
      </c>
      <c r="E2557" s="53">
        <f>'Reclamo de equipaje rediseñado'!$D2557-'Reclamo de equipaje rediseñado'!$C2557</f>
        <v>7.6388888888887507E-3</v>
      </c>
      <c r="F2557" s="52">
        <v>0.8618055555555556</v>
      </c>
      <c r="G2557" s="53">
        <f t="shared" si="39"/>
        <v>9.0277777777778567E-3</v>
      </c>
      <c r="H2557" s="54">
        <v>41740</v>
      </c>
      <c r="I2557" s="55" t="s">
        <v>549</v>
      </c>
      <c r="J2557" s="55">
        <v>320</v>
      </c>
      <c r="K2557" s="55">
        <f>VLOOKUP(J2557,'Validacion reclamo de equipaje'!L:M,2,0)</f>
        <v>179</v>
      </c>
      <c r="L2557" s="55" t="str">
        <f>VLOOKUP(I2557,'Validacion reclamo de equipaje'!H:I,2,0)</f>
        <v>Nacional</v>
      </c>
      <c r="M2557" s="55" t="s">
        <v>523</v>
      </c>
    </row>
    <row r="2558" spans="1:13" x14ac:dyDescent="0.25">
      <c r="A2558">
        <v>411</v>
      </c>
      <c r="B2558" s="47" t="str">
        <f>VLOOKUP(Tabla6[[#This Row],['# Vuelo]],'Validacion reclamo de equipaje'!P:Q,2,0)</f>
        <v>INTERAVIÓN</v>
      </c>
      <c r="C2558" s="48">
        <v>0.84861111111111109</v>
      </c>
      <c r="D2558" s="48">
        <v>0.85416666666666663</v>
      </c>
      <c r="E2558" s="49">
        <f>'Reclamo de equipaje rediseñado'!$D2558-'Reclamo de equipaje rediseñado'!$C2558</f>
        <v>5.5555555555555358E-3</v>
      </c>
      <c r="F2558" s="48">
        <v>0.8652777777777777</v>
      </c>
      <c r="G2558" s="49">
        <f t="shared" si="39"/>
        <v>1.1111111111111072E-2</v>
      </c>
      <c r="H2558" s="50">
        <v>41741</v>
      </c>
      <c r="I2558" s="51" t="s">
        <v>549</v>
      </c>
      <c r="J2558" s="51">
        <v>320</v>
      </c>
      <c r="K2558" s="51">
        <f>VLOOKUP(J2558,'Validacion reclamo de equipaje'!L:M,2,0)</f>
        <v>179</v>
      </c>
      <c r="L2558" s="51" t="str">
        <f>VLOOKUP(I2558,'Validacion reclamo de equipaje'!H:I,2,0)</f>
        <v>Nacional</v>
      </c>
      <c r="M2558" s="51" t="s">
        <v>523</v>
      </c>
    </row>
    <row r="2559" spans="1:13" x14ac:dyDescent="0.25">
      <c r="A2559">
        <v>411</v>
      </c>
      <c r="B2559" s="47" t="str">
        <f>VLOOKUP(Tabla6[[#This Row],['# Vuelo]],'Validacion reclamo de equipaje'!P:Q,2,0)</f>
        <v>INTERAVIÓN</v>
      </c>
      <c r="C2559" s="52">
        <v>0.8354166666666667</v>
      </c>
      <c r="D2559" s="52">
        <v>0.86111111111111116</v>
      </c>
      <c r="E2559" s="53">
        <f>'Reclamo de equipaje rediseñado'!$D2559-'Reclamo de equipaje rediseñado'!$C2559</f>
        <v>2.5694444444444464E-2</v>
      </c>
      <c r="F2559" s="52">
        <v>0.8652777777777777</v>
      </c>
      <c r="G2559" s="53">
        <f t="shared" si="39"/>
        <v>4.1666666666665408E-3</v>
      </c>
      <c r="H2559" s="54">
        <v>41743</v>
      </c>
      <c r="I2559" s="55" t="s">
        <v>549</v>
      </c>
      <c r="J2559" s="55">
        <v>320</v>
      </c>
      <c r="K2559" s="55">
        <f>VLOOKUP(J2559,'Validacion reclamo de equipaje'!L:M,2,0)</f>
        <v>179</v>
      </c>
      <c r="L2559" s="55" t="str">
        <f>VLOOKUP(I2559,'Validacion reclamo de equipaje'!H:I,2,0)</f>
        <v>Nacional</v>
      </c>
      <c r="M2559" s="55" t="s">
        <v>523</v>
      </c>
    </row>
    <row r="2560" spans="1:13" x14ac:dyDescent="0.25">
      <c r="A2560">
        <v>411</v>
      </c>
      <c r="B2560" s="47" t="str">
        <f>VLOOKUP(Tabla6[[#This Row],['# Vuelo]],'Validacion reclamo de equipaje'!P:Q,2,0)</f>
        <v>INTERAVIÓN</v>
      </c>
      <c r="C2560" s="48">
        <v>0.8354166666666667</v>
      </c>
      <c r="D2560" s="48">
        <v>0.84236111111111101</v>
      </c>
      <c r="E2560" s="49">
        <f>'Reclamo de equipaje rediseñado'!$D2560-'Reclamo de equipaje rediseñado'!$C2560</f>
        <v>6.9444444444443088E-3</v>
      </c>
      <c r="F2560" s="48">
        <v>0.85069444444444453</v>
      </c>
      <c r="G2560" s="49">
        <f t="shared" si="39"/>
        <v>8.3333333333335258E-3</v>
      </c>
      <c r="H2560" s="50">
        <v>41745</v>
      </c>
      <c r="I2560" s="51" t="s">
        <v>549</v>
      </c>
      <c r="J2560" s="51">
        <v>320</v>
      </c>
      <c r="K2560" s="51">
        <f>VLOOKUP(J2560,'Validacion reclamo de equipaje'!L:M,2,0)</f>
        <v>179</v>
      </c>
      <c r="L2560" s="51" t="str">
        <f>VLOOKUP(I2560,'Validacion reclamo de equipaje'!H:I,2,0)</f>
        <v>Nacional</v>
      </c>
      <c r="M2560" s="51" t="s">
        <v>523</v>
      </c>
    </row>
    <row r="2561" spans="1:13" x14ac:dyDescent="0.25">
      <c r="A2561">
        <v>411</v>
      </c>
      <c r="B2561" s="47" t="str">
        <f>VLOOKUP(Tabla6[[#This Row],['# Vuelo]],'Validacion reclamo de equipaje'!P:Q,2,0)</f>
        <v>INTERAVIÓN</v>
      </c>
      <c r="C2561" s="52">
        <v>0.85555555555555562</v>
      </c>
      <c r="D2561" s="52">
        <v>0.86111111111111116</v>
      </c>
      <c r="E2561" s="53">
        <f>'Reclamo de equipaje rediseñado'!$D2561-'Reclamo de equipaje rediseñado'!$C2561</f>
        <v>5.5555555555555358E-3</v>
      </c>
      <c r="F2561" s="52">
        <v>0.87152777777777779</v>
      </c>
      <c r="G2561" s="53">
        <f t="shared" si="39"/>
        <v>1.041666666666663E-2</v>
      </c>
      <c r="H2561" s="54">
        <v>41744</v>
      </c>
      <c r="I2561" s="55" t="s">
        <v>549</v>
      </c>
      <c r="J2561" s="55">
        <v>320</v>
      </c>
      <c r="K2561" s="55">
        <f>VLOOKUP(J2561,'Validacion reclamo de equipaje'!L:M,2,0)</f>
        <v>179</v>
      </c>
      <c r="L2561" s="55" t="str">
        <f>VLOOKUP(I2561,'Validacion reclamo de equipaje'!H:I,2,0)</f>
        <v>Nacional</v>
      </c>
      <c r="M2561" s="55" t="s">
        <v>523</v>
      </c>
    </row>
    <row r="2562" spans="1:13" x14ac:dyDescent="0.25">
      <c r="A2562">
        <v>411</v>
      </c>
      <c r="B2562" s="47" t="str">
        <f>VLOOKUP(Tabla6[[#This Row],['# Vuelo]],'Validacion reclamo de equipaje'!P:Q,2,0)</f>
        <v>INTERAVIÓN</v>
      </c>
      <c r="C2562" s="48">
        <v>0.84791666666666676</v>
      </c>
      <c r="D2562" s="48">
        <v>0.85416666666666663</v>
      </c>
      <c r="E2562" s="49">
        <f>'Reclamo de equipaje rediseñado'!$D2562-'Reclamo de equipaje rediseñado'!$C2562</f>
        <v>6.2499999999998668E-3</v>
      </c>
      <c r="F2562" s="48">
        <v>0.86736111111111114</v>
      </c>
      <c r="G2562" s="49">
        <f t="shared" si="39"/>
        <v>1.3194444444444509E-2</v>
      </c>
      <c r="H2562" s="50">
        <v>41749</v>
      </c>
      <c r="I2562" s="51" t="s">
        <v>549</v>
      </c>
      <c r="J2562" s="51">
        <v>320</v>
      </c>
      <c r="K2562" s="51">
        <f>VLOOKUP(J2562,'Validacion reclamo de equipaje'!L:M,2,0)</f>
        <v>179</v>
      </c>
      <c r="L2562" s="51" t="str">
        <f>VLOOKUP(I2562,'Validacion reclamo de equipaje'!H:I,2,0)</f>
        <v>Nacional</v>
      </c>
      <c r="M2562" s="51" t="s">
        <v>523</v>
      </c>
    </row>
    <row r="2563" spans="1:13" x14ac:dyDescent="0.25">
      <c r="A2563">
        <v>411</v>
      </c>
      <c r="B2563" s="47" t="str">
        <f>VLOOKUP(Tabla6[[#This Row],['# Vuelo]],'Validacion reclamo de equipaje'!P:Q,2,0)</f>
        <v>INTERAVIÓN</v>
      </c>
      <c r="C2563" s="52">
        <v>0.84791666666666676</v>
      </c>
      <c r="D2563" s="52">
        <v>0.8520833333333333</v>
      </c>
      <c r="E2563" s="53">
        <f>'Reclamo de equipaje rediseñado'!$D2563-'Reclamo de equipaje rediseñado'!$C2563</f>
        <v>4.1666666666665408E-3</v>
      </c>
      <c r="F2563" s="52">
        <v>0.86388888888888893</v>
      </c>
      <c r="G2563" s="53">
        <f t="shared" ref="G2563:G2626" si="40">F2563-D2563</f>
        <v>1.1805555555555625E-2</v>
      </c>
      <c r="H2563" s="54">
        <v>41749</v>
      </c>
      <c r="I2563" s="55" t="s">
        <v>549</v>
      </c>
      <c r="J2563" s="55">
        <v>320</v>
      </c>
      <c r="K2563" s="55">
        <f>VLOOKUP(J2563,'Validacion reclamo de equipaje'!L:M,2,0)</f>
        <v>179</v>
      </c>
      <c r="L2563" s="55" t="str">
        <f>VLOOKUP(I2563,'Validacion reclamo de equipaje'!H:I,2,0)</f>
        <v>Nacional</v>
      </c>
      <c r="M2563" s="55" t="s">
        <v>523</v>
      </c>
    </row>
    <row r="2564" spans="1:13" x14ac:dyDescent="0.25">
      <c r="A2564">
        <v>411</v>
      </c>
      <c r="B2564" s="47" t="str">
        <f>VLOOKUP(Tabla6[[#This Row],['# Vuelo]],'Validacion reclamo de equipaje'!P:Q,2,0)</f>
        <v>INTERAVIÓN</v>
      </c>
      <c r="C2564" s="48">
        <v>0.85069444444444453</v>
      </c>
      <c r="D2564" s="48">
        <v>0.85972222222222217</v>
      </c>
      <c r="E2564" s="49">
        <f>'Reclamo de equipaje rediseñado'!$D2564-'Reclamo de equipaje rediseñado'!$C2564</f>
        <v>9.0277777777776347E-3</v>
      </c>
      <c r="F2564" s="48">
        <v>0.86458333333333337</v>
      </c>
      <c r="G2564" s="49">
        <f t="shared" si="40"/>
        <v>4.8611111111112049E-3</v>
      </c>
      <c r="H2564" s="50">
        <v>41751</v>
      </c>
      <c r="I2564" s="51" t="s">
        <v>549</v>
      </c>
      <c r="J2564" s="51">
        <v>320</v>
      </c>
      <c r="K2564" s="51">
        <f>VLOOKUP(J2564,'Validacion reclamo de equipaje'!L:M,2,0)</f>
        <v>179</v>
      </c>
      <c r="L2564" s="51" t="str">
        <f>VLOOKUP(I2564,'Validacion reclamo de equipaje'!H:I,2,0)</f>
        <v>Nacional</v>
      </c>
      <c r="M2564" s="51" t="s">
        <v>523</v>
      </c>
    </row>
    <row r="2565" spans="1:13" x14ac:dyDescent="0.25">
      <c r="A2565">
        <v>411</v>
      </c>
      <c r="B2565" s="47" t="str">
        <f>VLOOKUP(Tabla6[[#This Row],['# Vuelo]],'Validacion reclamo de equipaje'!P:Q,2,0)</f>
        <v>INTERAVIÓN</v>
      </c>
      <c r="C2565" s="52">
        <v>0.84444444444444444</v>
      </c>
      <c r="D2565" s="52">
        <v>0.85069444444444453</v>
      </c>
      <c r="E2565" s="53">
        <f>'Reclamo de equipaje rediseñado'!$D2565-'Reclamo de equipaje rediseñado'!$C2565</f>
        <v>6.2500000000000888E-3</v>
      </c>
      <c r="F2565" s="52">
        <v>0.86111111111111116</v>
      </c>
      <c r="G2565" s="53">
        <f t="shared" si="40"/>
        <v>1.041666666666663E-2</v>
      </c>
      <c r="H2565" s="54">
        <v>41753</v>
      </c>
      <c r="I2565" s="55" t="s">
        <v>549</v>
      </c>
      <c r="J2565" s="55">
        <v>320</v>
      </c>
      <c r="K2565" s="55">
        <f>VLOOKUP(J2565,'Validacion reclamo de equipaje'!L:M,2,0)</f>
        <v>179</v>
      </c>
      <c r="L2565" s="55" t="str">
        <f>VLOOKUP(I2565,'Validacion reclamo de equipaje'!H:I,2,0)</f>
        <v>Nacional</v>
      </c>
      <c r="M2565" s="55" t="s">
        <v>523</v>
      </c>
    </row>
    <row r="2566" spans="1:13" x14ac:dyDescent="0.25">
      <c r="A2566">
        <v>411</v>
      </c>
      <c r="B2566" s="47" t="str">
        <f>VLOOKUP(Tabla6[[#This Row],['# Vuelo]],'Validacion reclamo de equipaje'!P:Q,2,0)</f>
        <v>INTERAVIÓN</v>
      </c>
      <c r="C2566" s="48">
        <v>0.83680555555555547</v>
      </c>
      <c r="D2566" s="48">
        <v>0.84305555555555556</v>
      </c>
      <c r="E2566" s="49">
        <f>'Reclamo de equipaje rediseñado'!$D2566-'Reclamo de equipaje rediseñado'!$C2566</f>
        <v>6.2500000000000888E-3</v>
      </c>
      <c r="F2566" s="48">
        <v>0.85625000000000007</v>
      </c>
      <c r="G2566" s="49">
        <f t="shared" si="40"/>
        <v>1.3194444444444509E-2</v>
      </c>
      <c r="H2566" s="50">
        <v>41755</v>
      </c>
      <c r="I2566" s="51" t="s">
        <v>549</v>
      </c>
      <c r="J2566" s="51">
        <v>320</v>
      </c>
      <c r="K2566" s="51">
        <f>VLOOKUP(J2566,'Validacion reclamo de equipaje'!L:M,2,0)</f>
        <v>179</v>
      </c>
      <c r="L2566" s="51" t="str">
        <f>VLOOKUP(I2566,'Validacion reclamo de equipaje'!H:I,2,0)</f>
        <v>Nacional</v>
      </c>
      <c r="M2566" s="51" t="s">
        <v>523</v>
      </c>
    </row>
    <row r="2567" spans="1:13" x14ac:dyDescent="0.25">
      <c r="A2567">
        <v>411</v>
      </c>
      <c r="B2567" s="47" t="str">
        <f>VLOOKUP(Tabla6[[#This Row],['# Vuelo]],'Validacion reclamo de equipaje'!P:Q,2,0)</f>
        <v>INTERAVIÓN</v>
      </c>
      <c r="C2567" s="52">
        <v>0.8305555555555556</v>
      </c>
      <c r="D2567" s="52">
        <v>0.83750000000000002</v>
      </c>
      <c r="E2567" s="53">
        <f>'Reclamo de equipaje rediseñado'!$D2567-'Reclamo de equipaje rediseñado'!$C2567</f>
        <v>6.9444444444444198E-3</v>
      </c>
      <c r="F2567" s="52">
        <v>0.85</v>
      </c>
      <c r="G2567" s="53">
        <f t="shared" si="40"/>
        <v>1.2499999999999956E-2</v>
      </c>
      <c r="H2567" s="54">
        <v>41757</v>
      </c>
      <c r="I2567" s="55" t="s">
        <v>549</v>
      </c>
      <c r="J2567" s="55">
        <v>320</v>
      </c>
      <c r="K2567" s="55">
        <f>VLOOKUP(J2567,'Validacion reclamo de equipaje'!L:M,2,0)</f>
        <v>179</v>
      </c>
      <c r="L2567" s="55" t="str">
        <f>VLOOKUP(I2567,'Validacion reclamo de equipaje'!H:I,2,0)</f>
        <v>Nacional</v>
      </c>
      <c r="M2567" s="55" t="s">
        <v>523</v>
      </c>
    </row>
    <row r="2568" spans="1:13" x14ac:dyDescent="0.25">
      <c r="A2568">
        <v>411</v>
      </c>
      <c r="B2568" s="47" t="str">
        <f>VLOOKUP(Tabla6[[#This Row],['# Vuelo]],'Validacion reclamo de equipaje'!P:Q,2,0)</f>
        <v>INTERAVIÓN</v>
      </c>
      <c r="C2568" s="48">
        <v>0.84444444444444444</v>
      </c>
      <c r="D2568" s="48">
        <v>0.8520833333333333</v>
      </c>
      <c r="E2568" s="49">
        <f>'Reclamo de equipaje rediseñado'!$D2568-'Reclamo de equipaje rediseñado'!$C2568</f>
        <v>7.6388888888888618E-3</v>
      </c>
      <c r="F2568" s="48">
        <v>0.86111111111111116</v>
      </c>
      <c r="G2568" s="49">
        <f t="shared" si="40"/>
        <v>9.0277777777778567E-3</v>
      </c>
      <c r="H2568" s="50">
        <v>41759</v>
      </c>
      <c r="I2568" s="51" t="s">
        <v>549</v>
      </c>
      <c r="J2568" s="51">
        <v>320</v>
      </c>
      <c r="K2568" s="51">
        <f>VLOOKUP(J2568,'Validacion reclamo de equipaje'!L:M,2,0)</f>
        <v>179</v>
      </c>
      <c r="L2568" s="51" t="str">
        <f>VLOOKUP(I2568,'Validacion reclamo de equipaje'!H:I,2,0)</f>
        <v>Nacional</v>
      </c>
      <c r="M2568" s="51" t="s">
        <v>523</v>
      </c>
    </row>
    <row r="2569" spans="1:13" x14ac:dyDescent="0.25">
      <c r="A2569">
        <v>411</v>
      </c>
      <c r="B2569" s="47" t="str">
        <f>VLOOKUP(Tabla6[[#This Row],['# Vuelo]],'Validacion reclamo de equipaje'!P:Q,2,0)</f>
        <v>INTERAVIÓN</v>
      </c>
      <c r="C2569" s="52">
        <v>0.84027777777777779</v>
      </c>
      <c r="D2569" s="52">
        <v>0.85277777777777775</v>
      </c>
      <c r="E2569" s="53">
        <f>'Reclamo de equipaje rediseñado'!$D2569-'Reclamo de equipaje rediseñado'!$C2569</f>
        <v>1.2499999999999956E-2</v>
      </c>
      <c r="F2569" s="52">
        <v>0.86111111111111116</v>
      </c>
      <c r="G2569" s="53">
        <f t="shared" si="40"/>
        <v>8.3333333333334147E-3</v>
      </c>
      <c r="H2569" s="54">
        <v>41759</v>
      </c>
      <c r="I2569" s="55" t="s">
        <v>549</v>
      </c>
      <c r="J2569" s="55">
        <v>320</v>
      </c>
      <c r="K2569" s="55">
        <f>VLOOKUP(J2569,'Validacion reclamo de equipaje'!L:M,2,0)</f>
        <v>179</v>
      </c>
      <c r="L2569" s="55" t="str">
        <f>VLOOKUP(I2569,'Validacion reclamo de equipaje'!H:I,2,0)</f>
        <v>Nacional</v>
      </c>
      <c r="M2569" s="55" t="s">
        <v>523</v>
      </c>
    </row>
    <row r="2570" spans="1:13" x14ac:dyDescent="0.25">
      <c r="A2570">
        <v>236</v>
      </c>
      <c r="B2570" s="47" t="str">
        <f>VLOOKUP(Tabla6[[#This Row],['# Vuelo]],'Validacion reclamo de equipaje'!P:Q,2,0)</f>
        <v>INTERAVIÓN</v>
      </c>
      <c r="C2570" s="48">
        <v>0.58680555555555558</v>
      </c>
      <c r="D2570" s="48">
        <v>0.59375</v>
      </c>
      <c r="E2570" s="49">
        <f>'Reclamo de equipaje rediseñado'!$D2570-'Reclamo de equipaje rediseñado'!$C2570</f>
        <v>6.9444444444444198E-3</v>
      </c>
      <c r="F2570" s="48">
        <v>0.6020833333333333</v>
      </c>
      <c r="G2570" s="49">
        <f t="shared" si="40"/>
        <v>8.3333333333333037E-3</v>
      </c>
      <c r="H2570" s="50">
        <v>41733</v>
      </c>
      <c r="I2570" s="51" t="s">
        <v>552</v>
      </c>
      <c r="J2570" s="51">
        <v>320</v>
      </c>
      <c r="K2570" s="51">
        <f>VLOOKUP(J2570,'Validacion reclamo de equipaje'!L:M,2,0)</f>
        <v>179</v>
      </c>
      <c r="L2570" s="51" t="str">
        <f>VLOOKUP(I2570,'Validacion reclamo de equipaje'!H:I,2,0)</f>
        <v>Nacional</v>
      </c>
      <c r="M2570" s="51" t="s">
        <v>523</v>
      </c>
    </row>
    <row r="2571" spans="1:13" x14ac:dyDescent="0.25">
      <c r="A2571">
        <v>236</v>
      </c>
      <c r="B2571" s="47" t="str">
        <f>VLOOKUP(Tabla6[[#This Row],['# Vuelo]],'Validacion reclamo de equipaje'!P:Q,2,0)</f>
        <v>INTERAVIÓN</v>
      </c>
      <c r="C2571" s="52">
        <v>0.89236111111111116</v>
      </c>
      <c r="D2571" s="52">
        <v>0.89722222222222225</v>
      </c>
      <c r="E2571" s="53">
        <f>'Reclamo de equipaje rediseñado'!$D2571-'Reclamo de equipaje rediseñado'!$C2571</f>
        <v>4.8611111111110938E-3</v>
      </c>
      <c r="F2571" s="52">
        <v>0.90069444444444446</v>
      </c>
      <c r="G2571" s="53">
        <f t="shared" si="40"/>
        <v>3.4722222222222099E-3</v>
      </c>
      <c r="H2571" s="54">
        <v>41731</v>
      </c>
      <c r="I2571" s="55" t="s">
        <v>552</v>
      </c>
      <c r="J2571" s="55">
        <v>320</v>
      </c>
      <c r="K2571" s="55">
        <f>VLOOKUP(J2571,'Validacion reclamo de equipaje'!L:M,2,0)</f>
        <v>179</v>
      </c>
      <c r="L2571" s="55" t="str">
        <f>VLOOKUP(I2571,'Validacion reclamo de equipaje'!H:I,2,0)</f>
        <v>Nacional</v>
      </c>
      <c r="M2571" s="55" t="s">
        <v>523</v>
      </c>
    </row>
    <row r="2572" spans="1:13" x14ac:dyDescent="0.25">
      <c r="A2572">
        <v>236</v>
      </c>
      <c r="B2572" s="47" t="str">
        <f>VLOOKUP(Tabla6[[#This Row],['# Vuelo]],'Validacion reclamo de equipaje'!P:Q,2,0)</f>
        <v>INTERAVIÓN</v>
      </c>
      <c r="C2572" s="48">
        <v>0.88888888888888884</v>
      </c>
      <c r="D2572" s="48">
        <v>0.8965277777777777</v>
      </c>
      <c r="E2572" s="49">
        <f>'Reclamo de equipaje rediseñado'!$D2572-'Reclamo de equipaje rediseñado'!$C2572</f>
        <v>7.6388888888888618E-3</v>
      </c>
      <c r="F2572" s="48">
        <v>0.89930555555555547</v>
      </c>
      <c r="G2572" s="49">
        <f t="shared" si="40"/>
        <v>2.7777777777777679E-3</v>
      </c>
      <c r="H2572" s="50">
        <v>41732</v>
      </c>
      <c r="I2572" s="51" t="s">
        <v>552</v>
      </c>
      <c r="J2572" s="51">
        <v>320</v>
      </c>
      <c r="K2572" s="51">
        <f>VLOOKUP(J2572,'Validacion reclamo de equipaje'!L:M,2,0)</f>
        <v>179</v>
      </c>
      <c r="L2572" s="51" t="str">
        <f>VLOOKUP(I2572,'Validacion reclamo de equipaje'!H:I,2,0)</f>
        <v>Nacional</v>
      </c>
      <c r="M2572" s="51" t="s">
        <v>523</v>
      </c>
    </row>
    <row r="2573" spans="1:13" x14ac:dyDescent="0.25">
      <c r="A2573">
        <v>236</v>
      </c>
      <c r="B2573" s="47" t="str">
        <f>VLOOKUP(Tabla6[[#This Row],['# Vuelo]],'Validacion reclamo de equipaje'!P:Q,2,0)</f>
        <v>INTERAVIÓN</v>
      </c>
      <c r="C2573" s="52">
        <v>0.39583333333333331</v>
      </c>
      <c r="D2573" s="52">
        <v>0.3972222222222222</v>
      </c>
      <c r="E2573" s="53">
        <f>'Reclamo de equipaje rediseñado'!$D2573-'Reclamo de equipaje rediseñado'!$C2573</f>
        <v>1.388888888888884E-3</v>
      </c>
      <c r="F2573" s="52">
        <v>0.39861111111111108</v>
      </c>
      <c r="G2573" s="53">
        <f t="shared" si="40"/>
        <v>1.388888888888884E-3</v>
      </c>
      <c r="H2573" s="54">
        <v>41735</v>
      </c>
      <c r="I2573" s="55" t="s">
        <v>552</v>
      </c>
      <c r="J2573" s="55">
        <v>320</v>
      </c>
      <c r="K2573" s="55">
        <f>VLOOKUP(J2573,'Validacion reclamo de equipaje'!L:M,2,0)</f>
        <v>179</v>
      </c>
      <c r="L2573" s="55" t="str">
        <f>VLOOKUP(I2573,'Validacion reclamo de equipaje'!H:I,2,0)</f>
        <v>Nacional</v>
      </c>
      <c r="M2573" s="55" t="s">
        <v>523</v>
      </c>
    </row>
    <row r="2574" spans="1:13" x14ac:dyDescent="0.25">
      <c r="A2574">
        <v>236</v>
      </c>
      <c r="B2574" s="47" t="str">
        <f>VLOOKUP(Tabla6[[#This Row],['# Vuelo]],'Validacion reclamo de equipaje'!P:Q,2,0)</f>
        <v>INTERAVIÓN</v>
      </c>
      <c r="C2574" s="48">
        <v>0.90069444444444446</v>
      </c>
      <c r="D2574" s="48">
        <v>0.90972222222222221</v>
      </c>
      <c r="E2574" s="49">
        <f>'Reclamo de equipaje rediseñado'!$D2574-'Reclamo de equipaje rediseñado'!$C2574</f>
        <v>9.0277777777777457E-3</v>
      </c>
      <c r="F2574" s="48">
        <v>0.91736111111111107</v>
      </c>
      <c r="G2574" s="49">
        <f t="shared" si="40"/>
        <v>7.6388888888888618E-3</v>
      </c>
      <c r="H2574" s="50">
        <v>41736</v>
      </c>
      <c r="I2574" s="51" t="s">
        <v>552</v>
      </c>
      <c r="J2574" s="51">
        <v>320</v>
      </c>
      <c r="K2574" s="51">
        <f>VLOOKUP(J2574,'Validacion reclamo de equipaje'!L:M,2,0)</f>
        <v>179</v>
      </c>
      <c r="L2574" s="51" t="str">
        <f>VLOOKUP(I2574,'Validacion reclamo de equipaje'!H:I,2,0)</f>
        <v>Nacional</v>
      </c>
      <c r="M2574" s="51" t="s">
        <v>523</v>
      </c>
    </row>
    <row r="2575" spans="1:13" x14ac:dyDescent="0.25">
      <c r="A2575">
        <v>236</v>
      </c>
      <c r="B2575" s="47" t="str">
        <f>VLOOKUP(Tabla6[[#This Row],['# Vuelo]],'Validacion reclamo de equipaje'!P:Q,2,0)</f>
        <v>INTERAVIÓN</v>
      </c>
      <c r="C2575" s="52">
        <v>0.89027777777777783</v>
      </c>
      <c r="D2575" s="52">
        <v>0.89513888888888893</v>
      </c>
      <c r="E2575" s="53">
        <f>'Reclamo de equipaje rediseñado'!$D2575-'Reclamo de equipaje rediseñado'!$C2575</f>
        <v>4.8611111111110938E-3</v>
      </c>
      <c r="F2575" s="52">
        <v>0.89722222222222225</v>
      </c>
      <c r="G2575" s="53">
        <f t="shared" si="40"/>
        <v>2.0833333333333259E-3</v>
      </c>
      <c r="H2575" s="54">
        <v>41736</v>
      </c>
      <c r="I2575" s="55" t="s">
        <v>552</v>
      </c>
      <c r="J2575" s="55">
        <v>320</v>
      </c>
      <c r="K2575" s="55">
        <f>VLOOKUP(J2575,'Validacion reclamo de equipaje'!L:M,2,0)</f>
        <v>179</v>
      </c>
      <c r="L2575" s="55" t="str">
        <f>VLOOKUP(I2575,'Validacion reclamo de equipaje'!H:I,2,0)</f>
        <v>Nacional</v>
      </c>
      <c r="M2575" s="55" t="s">
        <v>523</v>
      </c>
    </row>
    <row r="2576" spans="1:13" x14ac:dyDescent="0.25">
      <c r="A2576">
        <v>236</v>
      </c>
      <c r="B2576" s="47" t="str">
        <f>VLOOKUP(Tabla6[[#This Row],['# Vuelo]],'Validacion reclamo de equipaje'!P:Q,2,0)</f>
        <v>INTERAVIÓN</v>
      </c>
      <c r="C2576" s="48">
        <v>0.88888888888888884</v>
      </c>
      <c r="D2576" s="48">
        <v>0.8979166666666667</v>
      </c>
      <c r="E2576" s="49">
        <f>'Reclamo de equipaje rediseñado'!$D2576-'Reclamo de equipaje rediseñado'!$C2576</f>
        <v>9.0277777777778567E-3</v>
      </c>
      <c r="F2576" s="48">
        <v>0.9</v>
      </c>
      <c r="G2576" s="49">
        <f t="shared" si="40"/>
        <v>2.0833333333333259E-3</v>
      </c>
      <c r="H2576" s="50">
        <v>41738</v>
      </c>
      <c r="I2576" s="51" t="s">
        <v>552</v>
      </c>
      <c r="J2576" s="51">
        <v>320</v>
      </c>
      <c r="K2576" s="51">
        <f>VLOOKUP(J2576,'Validacion reclamo de equipaje'!L:M,2,0)</f>
        <v>179</v>
      </c>
      <c r="L2576" s="51" t="str">
        <f>VLOOKUP(I2576,'Validacion reclamo de equipaje'!H:I,2,0)</f>
        <v>Nacional</v>
      </c>
      <c r="M2576" s="51" t="s">
        <v>523</v>
      </c>
    </row>
    <row r="2577" spans="1:13" x14ac:dyDescent="0.25">
      <c r="A2577">
        <v>236</v>
      </c>
      <c r="B2577" s="47" t="str">
        <f>VLOOKUP(Tabla6[[#This Row],['# Vuelo]],'Validacion reclamo de equipaje'!P:Q,2,0)</f>
        <v>INTERAVIÓN</v>
      </c>
      <c r="C2577" s="52">
        <v>0.8965277777777777</v>
      </c>
      <c r="D2577" s="52">
        <v>0.90416666666666667</v>
      </c>
      <c r="E2577" s="53">
        <f>'Reclamo de equipaje rediseñado'!$D2577-'Reclamo de equipaje rediseñado'!$C2577</f>
        <v>7.6388888888889728E-3</v>
      </c>
      <c r="F2577" s="52">
        <v>0.90833333333333333</v>
      </c>
      <c r="G2577" s="53">
        <f t="shared" si="40"/>
        <v>4.1666666666666519E-3</v>
      </c>
      <c r="H2577" s="54">
        <v>41739</v>
      </c>
      <c r="I2577" s="55" t="s">
        <v>552</v>
      </c>
      <c r="J2577" s="55">
        <v>320</v>
      </c>
      <c r="K2577" s="55">
        <f>VLOOKUP(J2577,'Validacion reclamo de equipaje'!L:M,2,0)</f>
        <v>179</v>
      </c>
      <c r="L2577" s="55" t="str">
        <f>VLOOKUP(I2577,'Validacion reclamo de equipaje'!H:I,2,0)</f>
        <v>Nacional</v>
      </c>
      <c r="M2577" s="55" t="s">
        <v>523</v>
      </c>
    </row>
    <row r="2578" spans="1:13" x14ac:dyDescent="0.25">
      <c r="A2578">
        <v>236</v>
      </c>
      <c r="B2578" s="47" t="str">
        <f>VLOOKUP(Tabla6[[#This Row],['# Vuelo]],'Validacion reclamo de equipaje'!P:Q,2,0)</f>
        <v>INTERAVIÓN</v>
      </c>
      <c r="C2578" s="48">
        <v>0.88958333333333339</v>
      </c>
      <c r="D2578" s="48">
        <v>0.90069444444444446</v>
      </c>
      <c r="E2578" s="49">
        <f>'Reclamo de equipaje rediseñado'!$D2578-'Reclamo de equipaje rediseñado'!$C2578</f>
        <v>1.1111111111111072E-2</v>
      </c>
      <c r="F2578" s="48">
        <v>0.90694444444444444</v>
      </c>
      <c r="G2578" s="49">
        <f t="shared" si="40"/>
        <v>6.2499999999999778E-3</v>
      </c>
      <c r="H2578" s="50">
        <v>41740</v>
      </c>
      <c r="I2578" s="51" t="s">
        <v>552</v>
      </c>
      <c r="J2578" s="51">
        <v>320</v>
      </c>
      <c r="K2578" s="51">
        <f>VLOOKUP(J2578,'Validacion reclamo de equipaje'!L:M,2,0)</f>
        <v>179</v>
      </c>
      <c r="L2578" s="51" t="str">
        <f>VLOOKUP(I2578,'Validacion reclamo de equipaje'!H:I,2,0)</f>
        <v>Nacional</v>
      </c>
      <c r="M2578" s="51" t="s">
        <v>523</v>
      </c>
    </row>
    <row r="2579" spans="1:13" x14ac:dyDescent="0.25">
      <c r="A2579">
        <v>236</v>
      </c>
      <c r="B2579" s="47" t="str">
        <f>VLOOKUP(Tabla6[[#This Row],['# Vuelo]],'Validacion reclamo de equipaje'!P:Q,2,0)</f>
        <v>INTERAVIÓN</v>
      </c>
      <c r="C2579" s="52">
        <v>0.87708333333333333</v>
      </c>
      <c r="D2579" s="52">
        <v>0.88680555555555562</v>
      </c>
      <c r="E2579" s="53">
        <f>'Reclamo de equipaje rediseñado'!$D2579-'Reclamo de equipaje rediseñado'!$C2579</f>
        <v>9.7222222222222987E-3</v>
      </c>
      <c r="F2579" s="52">
        <v>0.89097222222222217</v>
      </c>
      <c r="G2579" s="53">
        <f t="shared" si="40"/>
        <v>4.1666666666665408E-3</v>
      </c>
      <c r="H2579" s="54">
        <v>41743</v>
      </c>
      <c r="I2579" s="55" t="s">
        <v>552</v>
      </c>
      <c r="J2579" s="55">
        <v>320</v>
      </c>
      <c r="K2579" s="55">
        <f>VLOOKUP(J2579,'Validacion reclamo de equipaje'!L:M,2,0)</f>
        <v>179</v>
      </c>
      <c r="L2579" s="55" t="str">
        <f>VLOOKUP(I2579,'Validacion reclamo de equipaje'!H:I,2,0)</f>
        <v>Nacional</v>
      </c>
      <c r="M2579" s="55" t="s">
        <v>523</v>
      </c>
    </row>
    <row r="2580" spans="1:13" x14ac:dyDescent="0.25">
      <c r="A2580">
        <v>236</v>
      </c>
      <c r="B2580" s="47" t="str">
        <f>VLOOKUP(Tabla6[[#This Row],['# Vuelo]],'Validacion reclamo de equipaje'!P:Q,2,0)</f>
        <v>INTERAVIÓN</v>
      </c>
      <c r="C2580" s="48">
        <v>0.8930555555555556</v>
      </c>
      <c r="D2580" s="48">
        <v>0.90138888888888891</v>
      </c>
      <c r="E2580" s="49">
        <f>'Reclamo de equipaje rediseñado'!$D2580-'Reclamo de equipaje rediseñado'!$C2580</f>
        <v>8.3333333333333037E-3</v>
      </c>
      <c r="F2580" s="48">
        <v>0.90555555555555556</v>
      </c>
      <c r="G2580" s="49">
        <f t="shared" si="40"/>
        <v>4.1666666666666519E-3</v>
      </c>
      <c r="H2580" s="50">
        <v>41745</v>
      </c>
      <c r="I2580" s="51" t="s">
        <v>552</v>
      </c>
      <c r="J2580" s="51">
        <v>320</v>
      </c>
      <c r="K2580" s="51">
        <f>VLOOKUP(J2580,'Validacion reclamo de equipaje'!L:M,2,0)</f>
        <v>179</v>
      </c>
      <c r="L2580" s="51" t="str">
        <f>VLOOKUP(I2580,'Validacion reclamo de equipaje'!H:I,2,0)</f>
        <v>Nacional</v>
      </c>
      <c r="M2580" s="51" t="s">
        <v>523</v>
      </c>
    </row>
    <row r="2581" spans="1:13" x14ac:dyDescent="0.25">
      <c r="A2581">
        <v>236</v>
      </c>
      <c r="B2581" s="47" t="str">
        <f>VLOOKUP(Tabla6[[#This Row],['# Vuelo]],'Validacion reclamo de equipaje'!P:Q,2,0)</f>
        <v>INTERAVIÓN</v>
      </c>
      <c r="C2581" s="52">
        <v>0.88541666666666663</v>
      </c>
      <c r="D2581" s="52">
        <v>0.89097222222222217</v>
      </c>
      <c r="E2581" s="53">
        <f>'Reclamo de equipaje rediseñado'!$D2581-'Reclamo de equipaje rediseñado'!$C2581</f>
        <v>5.5555555555555358E-3</v>
      </c>
      <c r="F2581" s="52">
        <v>0.89236111111111116</v>
      </c>
      <c r="G2581" s="53">
        <f t="shared" si="40"/>
        <v>1.388888888888995E-3</v>
      </c>
      <c r="H2581" s="54">
        <v>41746</v>
      </c>
      <c r="I2581" s="55" t="s">
        <v>552</v>
      </c>
      <c r="J2581" s="55">
        <v>320</v>
      </c>
      <c r="K2581" s="55">
        <f>VLOOKUP(J2581,'Validacion reclamo de equipaje'!L:M,2,0)</f>
        <v>179</v>
      </c>
      <c r="L2581" s="55" t="str">
        <f>VLOOKUP(I2581,'Validacion reclamo de equipaje'!H:I,2,0)</f>
        <v>Nacional</v>
      </c>
      <c r="M2581" s="55" t="s">
        <v>523</v>
      </c>
    </row>
    <row r="2582" spans="1:13" x14ac:dyDescent="0.25">
      <c r="A2582">
        <v>236</v>
      </c>
      <c r="B2582" s="47" t="str">
        <f>VLOOKUP(Tabla6[[#This Row],['# Vuelo]],'Validacion reclamo de equipaje'!P:Q,2,0)</f>
        <v>INTERAVIÓN</v>
      </c>
      <c r="C2582" s="48">
        <v>0.90486111111111101</v>
      </c>
      <c r="D2582" s="48">
        <v>0.91388888888888886</v>
      </c>
      <c r="E2582" s="49">
        <f>'Reclamo de equipaje rediseñado'!$D2582-'Reclamo de equipaje rediseñado'!$C2582</f>
        <v>9.0277777777778567E-3</v>
      </c>
      <c r="F2582" s="48">
        <v>0.92152777777777783</v>
      </c>
      <c r="G2582" s="49">
        <f t="shared" si="40"/>
        <v>7.6388888888889728E-3</v>
      </c>
      <c r="H2582" s="50">
        <v>41749</v>
      </c>
      <c r="I2582" s="51" t="s">
        <v>552</v>
      </c>
      <c r="J2582" s="51">
        <v>320</v>
      </c>
      <c r="K2582" s="51">
        <f>VLOOKUP(J2582,'Validacion reclamo de equipaje'!L:M,2,0)</f>
        <v>179</v>
      </c>
      <c r="L2582" s="51" t="str">
        <f>VLOOKUP(I2582,'Validacion reclamo de equipaje'!H:I,2,0)</f>
        <v>Nacional</v>
      </c>
      <c r="M2582" s="51" t="s">
        <v>523</v>
      </c>
    </row>
    <row r="2583" spans="1:13" x14ac:dyDescent="0.25">
      <c r="A2583">
        <v>236</v>
      </c>
      <c r="B2583" s="47" t="str">
        <f>VLOOKUP(Tabla6[[#This Row],['# Vuelo]],'Validacion reclamo de equipaje'!P:Q,2,0)</f>
        <v>INTERAVIÓN</v>
      </c>
      <c r="C2583" s="52">
        <v>0.88402777777777775</v>
      </c>
      <c r="D2583" s="52">
        <v>0.90138888888888891</v>
      </c>
      <c r="E2583" s="53">
        <f>'Reclamo de equipaje rediseñado'!$D2583-'Reclamo de equipaje rediseñado'!$C2583</f>
        <v>1.736111111111116E-2</v>
      </c>
      <c r="F2583" s="52">
        <v>0.90625</v>
      </c>
      <c r="G2583" s="53">
        <f t="shared" si="40"/>
        <v>4.8611111111110938E-3</v>
      </c>
      <c r="H2583" s="54">
        <v>41751</v>
      </c>
      <c r="I2583" s="55" t="s">
        <v>552</v>
      </c>
      <c r="J2583" s="55">
        <v>320</v>
      </c>
      <c r="K2583" s="55">
        <f>VLOOKUP(J2583,'Validacion reclamo de equipaje'!L:M,2,0)</f>
        <v>179</v>
      </c>
      <c r="L2583" s="55" t="str">
        <f>VLOOKUP(I2583,'Validacion reclamo de equipaje'!H:I,2,0)</f>
        <v>Nacional</v>
      </c>
      <c r="M2583" s="55" t="s">
        <v>523</v>
      </c>
    </row>
    <row r="2584" spans="1:13" x14ac:dyDescent="0.25">
      <c r="A2584">
        <v>236</v>
      </c>
      <c r="B2584" s="47" t="str">
        <f>VLOOKUP(Tabla6[[#This Row],['# Vuelo]],'Validacion reclamo de equipaje'!P:Q,2,0)</f>
        <v>INTERAVIÓN</v>
      </c>
      <c r="C2584" s="48">
        <v>0.88541666666666663</v>
      </c>
      <c r="D2584" s="48">
        <v>0.89513888888888893</v>
      </c>
      <c r="E2584" s="49">
        <f>'Reclamo de equipaje rediseñado'!$D2584-'Reclamo de equipaje rediseñado'!$C2584</f>
        <v>9.7222222222222987E-3</v>
      </c>
      <c r="F2584" s="48">
        <v>0.90138888888888891</v>
      </c>
      <c r="G2584" s="49">
        <f t="shared" si="40"/>
        <v>6.2499999999999778E-3</v>
      </c>
      <c r="H2584" s="50">
        <v>41753</v>
      </c>
      <c r="I2584" s="51" t="s">
        <v>552</v>
      </c>
      <c r="J2584" s="51">
        <v>320</v>
      </c>
      <c r="K2584" s="51">
        <f>VLOOKUP(J2584,'Validacion reclamo de equipaje'!L:M,2,0)</f>
        <v>179</v>
      </c>
      <c r="L2584" s="51" t="str">
        <f>VLOOKUP(I2584,'Validacion reclamo de equipaje'!H:I,2,0)</f>
        <v>Nacional</v>
      </c>
      <c r="M2584" s="51" t="s">
        <v>523</v>
      </c>
    </row>
    <row r="2585" spans="1:13" x14ac:dyDescent="0.25">
      <c r="A2585">
        <v>236</v>
      </c>
      <c r="B2585" s="47" t="str">
        <f>VLOOKUP(Tabla6[[#This Row],['# Vuelo]],'Validacion reclamo de equipaje'!P:Q,2,0)</f>
        <v>INTERAVIÓN</v>
      </c>
      <c r="C2585" s="52">
        <v>0.8847222222222223</v>
      </c>
      <c r="D2585" s="52">
        <v>0.89166666666666661</v>
      </c>
      <c r="E2585" s="53">
        <f>'Reclamo de equipaje rediseñado'!$D2585-'Reclamo de equipaje rediseñado'!$C2585</f>
        <v>6.9444444444443088E-3</v>
      </c>
      <c r="F2585" s="52">
        <v>0.8965277777777777</v>
      </c>
      <c r="G2585" s="53">
        <f t="shared" si="40"/>
        <v>4.8611111111110938E-3</v>
      </c>
      <c r="H2585" s="54">
        <v>41757</v>
      </c>
      <c r="I2585" s="55" t="s">
        <v>552</v>
      </c>
      <c r="J2585" s="55">
        <v>320</v>
      </c>
      <c r="K2585" s="55">
        <f>VLOOKUP(J2585,'Validacion reclamo de equipaje'!L:M,2,0)</f>
        <v>179</v>
      </c>
      <c r="L2585" s="55" t="str">
        <f>VLOOKUP(I2585,'Validacion reclamo de equipaje'!H:I,2,0)</f>
        <v>Nacional</v>
      </c>
      <c r="M2585" s="55" t="s">
        <v>523</v>
      </c>
    </row>
    <row r="2586" spans="1:13" x14ac:dyDescent="0.25">
      <c r="A2586">
        <v>236</v>
      </c>
      <c r="B2586" s="47" t="str">
        <f>VLOOKUP(Tabla6[[#This Row],['# Vuelo]],'Validacion reclamo de equipaje'!P:Q,2,0)</f>
        <v>INTERAVIÓN</v>
      </c>
      <c r="C2586" s="48">
        <v>0.8847222222222223</v>
      </c>
      <c r="D2586" s="48">
        <v>0.89374999999999993</v>
      </c>
      <c r="E2586" s="49">
        <f>'Reclamo de equipaje rediseñado'!$D2586-'Reclamo de equipaje rediseñado'!$C2586</f>
        <v>9.0277777777776347E-3</v>
      </c>
      <c r="F2586" s="48">
        <v>0.8979166666666667</v>
      </c>
      <c r="G2586" s="49">
        <f t="shared" si="40"/>
        <v>4.1666666666667629E-3</v>
      </c>
      <c r="H2586" s="50">
        <v>41759</v>
      </c>
      <c r="I2586" s="51" t="s">
        <v>552</v>
      </c>
      <c r="J2586" s="51">
        <v>320</v>
      </c>
      <c r="K2586" s="51">
        <f>VLOOKUP(J2586,'Validacion reclamo de equipaje'!L:M,2,0)</f>
        <v>179</v>
      </c>
      <c r="L2586" s="51" t="str">
        <f>VLOOKUP(I2586,'Validacion reclamo de equipaje'!H:I,2,0)</f>
        <v>Nacional</v>
      </c>
      <c r="M2586" s="51" t="s">
        <v>523</v>
      </c>
    </row>
    <row r="2587" spans="1:13" x14ac:dyDescent="0.25">
      <c r="A2587">
        <v>236</v>
      </c>
      <c r="B2587" s="47" t="str">
        <f>VLOOKUP(Tabla6[[#This Row],['# Vuelo]],'Validacion reclamo de equipaje'!P:Q,2,0)</f>
        <v>INTERAVIÓN</v>
      </c>
      <c r="C2587" s="52">
        <v>0.89166666666666661</v>
      </c>
      <c r="D2587" s="52">
        <v>0.90277777777777779</v>
      </c>
      <c r="E2587" s="53">
        <f>'Reclamo de equipaje rediseñado'!$D2587-'Reclamo de equipaje rediseñado'!$C2587</f>
        <v>1.1111111111111183E-2</v>
      </c>
      <c r="F2587" s="52">
        <v>0.90902777777777777</v>
      </c>
      <c r="G2587" s="53">
        <f t="shared" si="40"/>
        <v>6.2499999999999778E-3</v>
      </c>
      <c r="H2587" s="54">
        <v>41759</v>
      </c>
      <c r="I2587" s="55" t="s">
        <v>552</v>
      </c>
      <c r="J2587" s="55">
        <v>320</v>
      </c>
      <c r="K2587" s="55">
        <f>VLOOKUP(J2587,'Validacion reclamo de equipaje'!L:M,2,0)</f>
        <v>179</v>
      </c>
      <c r="L2587" s="55" t="str">
        <f>VLOOKUP(I2587,'Validacion reclamo de equipaje'!H:I,2,0)</f>
        <v>Nacional</v>
      </c>
      <c r="M2587" s="55" t="s">
        <v>523</v>
      </c>
    </row>
    <row r="2588" spans="1:13" x14ac:dyDescent="0.25">
      <c r="A2588">
        <v>230</v>
      </c>
      <c r="B2588" s="47" t="str">
        <f>VLOOKUP(Tabla6[[#This Row],['# Vuelo]],'Validacion reclamo de equipaje'!P:Q,2,0)</f>
        <v>INTERAVIÓN</v>
      </c>
      <c r="C2588" s="48">
        <v>0.3263888888888889</v>
      </c>
      <c r="D2588" s="48">
        <v>0.33124999999999999</v>
      </c>
      <c r="E2588" s="49">
        <f>'Reclamo de equipaje rediseñado'!$D2588-'Reclamo de equipaje rediseñado'!$C2588</f>
        <v>4.8611111111110938E-3</v>
      </c>
      <c r="F2588" s="48">
        <v>0.33819444444444446</v>
      </c>
      <c r="G2588" s="49">
        <f t="shared" si="40"/>
        <v>6.9444444444444753E-3</v>
      </c>
      <c r="H2588" s="50">
        <v>41737</v>
      </c>
      <c r="I2588" s="51" t="s">
        <v>548</v>
      </c>
      <c r="J2588" s="51" t="s">
        <v>604</v>
      </c>
      <c r="K2588" s="51">
        <f>VLOOKUP(J2588,'Validacion reclamo de equipaje'!L:M,2,0)</f>
        <v>50</v>
      </c>
      <c r="L2588" s="51" t="str">
        <f>VLOOKUP(I2588,'Validacion reclamo de equipaje'!H:I,2,0)</f>
        <v>Nacional</v>
      </c>
      <c r="M2588" s="51" t="s">
        <v>523</v>
      </c>
    </row>
    <row r="2589" spans="1:13" x14ac:dyDescent="0.25">
      <c r="A2589">
        <v>230</v>
      </c>
      <c r="B2589" s="47" t="str">
        <f>VLOOKUP(Tabla6[[#This Row],['# Vuelo]],'Validacion reclamo de equipaje'!P:Q,2,0)</f>
        <v>INTERAVIÓN</v>
      </c>
      <c r="C2589" s="52">
        <v>0.42499999999999999</v>
      </c>
      <c r="D2589" s="52">
        <v>0.42708333333333331</v>
      </c>
      <c r="E2589" s="53">
        <f>'Reclamo de equipaje rediseñado'!$D2589-'Reclamo de equipaje rediseñado'!$C2589</f>
        <v>2.0833333333333259E-3</v>
      </c>
      <c r="F2589" s="52">
        <v>0.43055555555555558</v>
      </c>
      <c r="G2589" s="53">
        <f t="shared" si="40"/>
        <v>3.4722222222222654E-3</v>
      </c>
      <c r="H2589" s="54">
        <v>41741</v>
      </c>
      <c r="I2589" s="55" t="s">
        <v>548</v>
      </c>
      <c r="J2589" s="55" t="s">
        <v>604</v>
      </c>
      <c r="K2589" s="55">
        <f>VLOOKUP(J2589,'Validacion reclamo de equipaje'!L:M,2,0)</f>
        <v>50</v>
      </c>
      <c r="L2589" s="55" t="str">
        <f>VLOOKUP(I2589,'Validacion reclamo de equipaje'!H:I,2,0)</f>
        <v>Nacional</v>
      </c>
      <c r="M2589" s="55" t="s">
        <v>523</v>
      </c>
    </row>
    <row r="2590" spans="1:13" x14ac:dyDescent="0.25">
      <c r="A2590">
        <v>230</v>
      </c>
      <c r="B2590" s="47" t="str">
        <f>VLOOKUP(Tabla6[[#This Row],['# Vuelo]],'Validacion reclamo de equipaje'!P:Q,2,0)</f>
        <v>INTERAVIÓN</v>
      </c>
      <c r="C2590" s="48">
        <v>0.34722222222222227</v>
      </c>
      <c r="D2590" s="48">
        <v>0.35138888888888892</v>
      </c>
      <c r="E2590" s="49">
        <f>'Reclamo de equipaje rediseñado'!$D2590-'Reclamo de equipaje rediseñado'!$C2590</f>
        <v>4.1666666666666519E-3</v>
      </c>
      <c r="F2590" s="48">
        <v>0.3520833333333333</v>
      </c>
      <c r="G2590" s="49">
        <f t="shared" si="40"/>
        <v>6.9444444444438647E-4</v>
      </c>
      <c r="H2590" s="50">
        <v>41745</v>
      </c>
      <c r="I2590" s="51" t="s">
        <v>548</v>
      </c>
      <c r="J2590" s="51" t="s">
        <v>604</v>
      </c>
      <c r="K2590" s="51">
        <f>VLOOKUP(J2590,'Validacion reclamo de equipaje'!L:M,2,0)</f>
        <v>50</v>
      </c>
      <c r="L2590" s="51" t="str">
        <f>VLOOKUP(I2590,'Validacion reclamo de equipaje'!H:I,2,0)</f>
        <v>Nacional</v>
      </c>
      <c r="M2590" s="51" t="s">
        <v>523</v>
      </c>
    </row>
    <row r="2591" spans="1:13" x14ac:dyDescent="0.25">
      <c r="A2591">
        <v>230</v>
      </c>
      <c r="B2591" s="47" t="str">
        <f>VLOOKUP(Tabla6[[#This Row],['# Vuelo]],'Validacion reclamo de equipaje'!P:Q,2,0)</f>
        <v>INTERAVIÓN</v>
      </c>
      <c r="C2591" s="52">
        <v>0.42152777777777778</v>
      </c>
      <c r="D2591" s="52">
        <v>0.42708333333333331</v>
      </c>
      <c r="E2591" s="53">
        <f>'Reclamo de equipaje rediseñado'!$D2591-'Reclamo de equipaje rediseñado'!$C2591</f>
        <v>5.5555555555555358E-3</v>
      </c>
      <c r="F2591" s="52">
        <v>0.43263888888888885</v>
      </c>
      <c r="G2591" s="53">
        <f t="shared" si="40"/>
        <v>5.5555555555555358E-3</v>
      </c>
      <c r="H2591" s="54">
        <v>41748</v>
      </c>
      <c r="I2591" s="55" t="s">
        <v>548</v>
      </c>
      <c r="J2591" s="55" t="s">
        <v>604</v>
      </c>
      <c r="K2591" s="55">
        <f>VLOOKUP(J2591,'Validacion reclamo de equipaje'!L:M,2,0)</f>
        <v>50</v>
      </c>
      <c r="L2591" s="55" t="str">
        <f>VLOOKUP(I2591,'Validacion reclamo de equipaje'!H:I,2,0)</f>
        <v>Nacional</v>
      </c>
      <c r="M2591" s="55" t="s">
        <v>523</v>
      </c>
    </row>
    <row r="2592" spans="1:13" x14ac:dyDescent="0.25">
      <c r="A2592">
        <v>230</v>
      </c>
      <c r="B2592" s="47" t="str">
        <f>VLOOKUP(Tabla6[[#This Row],['# Vuelo]],'Validacion reclamo de equipaje'!P:Q,2,0)</f>
        <v>INTERAVIÓN</v>
      </c>
      <c r="C2592" s="48">
        <v>0.3263888888888889</v>
      </c>
      <c r="D2592" s="48">
        <v>0.3354166666666667</v>
      </c>
      <c r="E2592" s="49">
        <f>'Reclamo de equipaje rediseñado'!$D2592-'Reclamo de equipaje rediseñado'!$C2592</f>
        <v>9.0277777777778012E-3</v>
      </c>
      <c r="F2592" s="48">
        <v>0.33680555555555558</v>
      </c>
      <c r="G2592" s="49">
        <f t="shared" si="40"/>
        <v>1.388888888888884E-3</v>
      </c>
      <c r="H2592" s="50">
        <v>41754</v>
      </c>
      <c r="I2592" s="51" t="s">
        <v>548</v>
      </c>
      <c r="J2592" s="51" t="s">
        <v>604</v>
      </c>
      <c r="K2592" s="51">
        <f>VLOOKUP(J2592,'Validacion reclamo de equipaje'!L:M,2,0)</f>
        <v>50</v>
      </c>
      <c r="L2592" s="51" t="str">
        <f>VLOOKUP(I2592,'Validacion reclamo de equipaje'!H:I,2,0)</f>
        <v>Nacional</v>
      </c>
      <c r="M2592" s="51" t="s">
        <v>523</v>
      </c>
    </row>
    <row r="2593" spans="1:13" x14ac:dyDescent="0.25">
      <c r="A2593">
        <v>221</v>
      </c>
      <c r="B2593" s="47" t="str">
        <f>VLOOKUP(Tabla6[[#This Row],['# Vuelo]],'Validacion reclamo de equipaje'!P:Q,2,0)</f>
        <v>INTERAVIÓN</v>
      </c>
      <c r="C2593" s="52">
        <v>0.84375</v>
      </c>
      <c r="D2593" s="52">
        <v>0.85138888888888886</v>
      </c>
      <c r="E2593" s="53">
        <f>'Reclamo de equipaje rediseñado'!$D2593-'Reclamo de equipaje rediseñado'!$C2593</f>
        <v>7.6388888888888618E-3</v>
      </c>
      <c r="F2593" s="52">
        <v>0.85416666666666663</v>
      </c>
      <c r="G2593" s="53">
        <f t="shared" si="40"/>
        <v>2.7777777777777679E-3</v>
      </c>
      <c r="H2593" s="54">
        <v>41757</v>
      </c>
      <c r="I2593" s="55" t="s">
        <v>548</v>
      </c>
      <c r="J2593" s="55" t="s">
        <v>604</v>
      </c>
      <c r="K2593" s="55">
        <f>VLOOKUP(J2593,'Validacion reclamo de equipaje'!L:M,2,0)</f>
        <v>50</v>
      </c>
      <c r="L2593" s="55" t="str">
        <f>VLOOKUP(I2593,'Validacion reclamo de equipaje'!H:I,2,0)</f>
        <v>Nacional</v>
      </c>
      <c r="M2593" s="55" t="s">
        <v>523</v>
      </c>
    </row>
    <row r="2594" spans="1:13" x14ac:dyDescent="0.25">
      <c r="A2594">
        <v>221</v>
      </c>
      <c r="B2594" s="47" t="str">
        <f>VLOOKUP(Tabla6[[#This Row],['# Vuelo]],'Validacion reclamo de equipaje'!P:Q,2,0)</f>
        <v>INTERAVIÓN</v>
      </c>
      <c r="C2594" s="48">
        <v>0.43611111111111112</v>
      </c>
      <c r="D2594" s="48">
        <v>0.44236111111111115</v>
      </c>
      <c r="E2594" s="49">
        <f>'Reclamo de equipaje rediseñado'!$D2594-'Reclamo de equipaje rediseñado'!$C2594</f>
        <v>6.2500000000000333E-3</v>
      </c>
      <c r="F2594" s="48">
        <v>0.44444444444444442</v>
      </c>
      <c r="G2594" s="49">
        <f t="shared" si="40"/>
        <v>2.0833333333332704E-3</v>
      </c>
      <c r="H2594" s="50">
        <v>41759</v>
      </c>
      <c r="I2594" s="51" t="s">
        <v>548</v>
      </c>
      <c r="J2594" s="51" t="s">
        <v>604</v>
      </c>
      <c r="K2594" s="51">
        <f>VLOOKUP(J2594,'Validacion reclamo de equipaje'!L:M,2,0)</f>
        <v>50</v>
      </c>
      <c r="L2594" s="51" t="str">
        <f>VLOOKUP(I2594,'Validacion reclamo de equipaje'!H:I,2,0)</f>
        <v>Nacional</v>
      </c>
      <c r="M2594" s="51" t="s">
        <v>523</v>
      </c>
    </row>
    <row r="2595" spans="1:13" x14ac:dyDescent="0.25">
      <c r="A2595">
        <v>221</v>
      </c>
      <c r="B2595" s="47" t="str">
        <f>VLOOKUP(Tabla6[[#This Row],['# Vuelo]],'Validacion reclamo de equipaje'!P:Q,2,0)</f>
        <v>INTERAVIÓN</v>
      </c>
      <c r="C2595" s="52">
        <v>0.54236111111111118</v>
      </c>
      <c r="D2595" s="52">
        <v>0.54861111111111105</v>
      </c>
      <c r="E2595" s="53">
        <f>'Reclamo de equipaje rediseñado'!$D2595-'Reclamo de equipaje rediseñado'!$C2595</f>
        <v>6.2499999999998668E-3</v>
      </c>
      <c r="F2595" s="52">
        <v>0.55277777777777781</v>
      </c>
      <c r="G2595" s="53">
        <f t="shared" si="40"/>
        <v>4.1666666666667629E-3</v>
      </c>
      <c r="H2595" s="54">
        <v>41730</v>
      </c>
      <c r="I2595" s="55" t="s">
        <v>548</v>
      </c>
      <c r="J2595" s="55" t="s">
        <v>604</v>
      </c>
      <c r="K2595" s="55">
        <f>VLOOKUP(J2595,'Validacion reclamo de equipaje'!L:M,2,0)</f>
        <v>50</v>
      </c>
      <c r="L2595" s="55" t="str">
        <f>VLOOKUP(I2595,'Validacion reclamo de equipaje'!H:I,2,0)</f>
        <v>Nacional</v>
      </c>
      <c r="M2595" s="55" t="s">
        <v>523</v>
      </c>
    </row>
    <row r="2596" spans="1:13" x14ac:dyDescent="0.25">
      <c r="A2596">
        <v>221</v>
      </c>
      <c r="B2596" s="47" t="str">
        <f>VLOOKUP(Tabla6[[#This Row],['# Vuelo]],'Validacion reclamo de equipaje'!P:Q,2,0)</f>
        <v>INTERAVIÓN</v>
      </c>
      <c r="C2596" s="48">
        <v>0.54236111111111118</v>
      </c>
      <c r="D2596" s="48">
        <v>0.54861111111111105</v>
      </c>
      <c r="E2596" s="49">
        <f>'Reclamo de equipaje rediseñado'!$D2596-'Reclamo de equipaje rediseñado'!$C2596</f>
        <v>6.2499999999998668E-3</v>
      </c>
      <c r="F2596" s="48">
        <v>0.55277777777777781</v>
      </c>
      <c r="G2596" s="49">
        <f t="shared" si="40"/>
        <v>4.1666666666667629E-3</v>
      </c>
      <c r="H2596" s="50">
        <v>41742</v>
      </c>
      <c r="I2596" s="51" t="s">
        <v>548</v>
      </c>
      <c r="J2596" s="51" t="s">
        <v>604</v>
      </c>
      <c r="K2596" s="51">
        <f>VLOOKUP(J2596,'Validacion reclamo de equipaje'!L:M,2,0)</f>
        <v>50</v>
      </c>
      <c r="L2596" s="51" t="str">
        <f>VLOOKUP(I2596,'Validacion reclamo de equipaje'!H:I,2,0)</f>
        <v>Nacional</v>
      </c>
      <c r="M2596" s="51" t="s">
        <v>523</v>
      </c>
    </row>
    <row r="2597" spans="1:13" x14ac:dyDescent="0.25">
      <c r="A2597">
        <v>598</v>
      </c>
      <c r="B2597" s="47" t="str">
        <f>VLOOKUP(Tabla6[[#This Row],['# Vuelo]],'Validacion reclamo de equipaje'!P:Q,2,0)</f>
        <v>GRANRENTA</v>
      </c>
      <c r="C2597" s="52">
        <v>0.60277777777777775</v>
      </c>
      <c r="D2597" s="52">
        <v>0.61736111111111114</v>
      </c>
      <c r="E2597" s="53">
        <f>'Reclamo de equipaje rediseñado'!$D2597-'Reclamo de equipaje rediseñado'!$C2597</f>
        <v>1.4583333333333393E-2</v>
      </c>
      <c r="F2597" s="52">
        <v>0.62152777777777779</v>
      </c>
      <c r="G2597" s="53">
        <f t="shared" si="40"/>
        <v>4.1666666666666519E-3</v>
      </c>
      <c r="H2597" s="54">
        <v>41743</v>
      </c>
      <c r="I2597" s="55" t="s">
        <v>606</v>
      </c>
      <c r="J2597" s="55">
        <v>733</v>
      </c>
      <c r="K2597" s="55">
        <f>VLOOKUP(J2597,'Validacion reclamo de equipaje'!L:M,2,0)</f>
        <v>169</v>
      </c>
      <c r="L2597" s="55" t="str">
        <f>VLOOKUP(I2597,'Validacion reclamo de equipaje'!H:I,2,0)</f>
        <v>Nacional</v>
      </c>
      <c r="M2597" s="55" t="s">
        <v>523</v>
      </c>
    </row>
    <row r="2598" spans="1:13" x14ac:dyDescent="0.25">
      <c r="A2598">
        <v>598</v>
      </c>
      <c r="B2598" s="47" t="str">
        <f>VLOOKUP(Tabla6[[#This Row],['# Vuelo]],'Validacion reclamo de equipaje'!P:Q,2,0)</f>
        <v>GRANRENTA</v>
      </c>
      <c r="C2598" s="48">
        <v>0.66180555555555554</v>
      </c>
      <c r="D2598" s="48">
        <v>0.67222222222222217</v>
      </c>
      <c r="E2598" s="49">
        <f>'Reclamo de equipaje rediseñado'!$D2598-'Reclamo de equipaje rediseñado'!$C2598</f>
        <v>1.041666666666663E-2</v>
      </c>
      <c r="F2598" s="48">
        <v>0.68055555555555547</v>
      </c>
      <c r="G2598" s="49">
        <f t="shared" si="40"/>
        <v>8.3333333333333037E-3</v>
      </c>
      <c r="H2598" s="50">
        <v>41759</v>
      </c>
      <c r="I2598" s="51" t="s">
        <v>606</v>
      </c>
      <c r="J2598" s="51">
        <v>733</v>
      </c>
      <c r="K2598" s="51">
        <f>VLOOKUP(J2598,'Validacion reclamo de equipaje'!L:M,2,0)</f>
        <v>169</v>
      </c>
      <c r="L2598" s="51" t="str">
        <f>VLOOKUP(I2598,'Validacion reclamo de equipaje'!H:I,2,0)</f>
        <v>Nacional</v>
      </c>
      <c r="M2598" s="51" t="s">
        <v>523</v>
      </c>
    </row>
    <row r="2599" spans="1:13" x14ac:dyDescent="0.25">
      <c r="A2599">
        <v>598</v>
      </c>
      <c r="B2599" s="47" t="str">
        <f>VLOOKUP(Tabla6[[#This Row],['# Vuelo]],'Validacion reclamo de equipaje'!P:Q,2,0)</f>
        <v>GRANRENTA</v>
      </c>
      <c r="C2599" s="52">
        <v>0.66180555555555554</v>
      </c>
      <c r="D2599" s="52">
        <v>0.66597222222222219</v>
      </c>
      <c r="E2599" s="53">
        <f>'Reclamo de equipaje rediseñado'!$D2599-'Reclamo de equipaje rediseñado'!$C2599</f>
        <v>4.1666666666666519E-3</v>
      </c>
      <c r="F2599" s="52">
        <v>0.67499999999999993</v>
      </c>
      <c r="G2599" s="53">
        <f t="shared" si="40"/>
        <v>9.0277777777777457E-3</v>
      </c>
      <c r="H2599" s="54">
        <v>41759</v>
      </c>
      <c r="I2599" s="55" t="s">
        <v>606</v>
      </c>
      <c r="J2599" s="55">
        <v>733</v>
      </c>
      <c r="K2599" s="55">
        <f>VLOOKUP(J2599,'Validacion reclamo de equipaje'!L:M,2,0)</f>
        <v>169</v>
      </c>
      <c r="L2599" s="55" t="str">
        <f>VLOOKUP(I2599,'Validacion reclamo de equipaje'!H:I,2,0)</f>
        <v>Nacional</v>
      </c>
      <c r="M2599" s="55" t="s">
        <v>523</v>
      </c>
    </row>
    <row r="2600" spans="1:13" x14ac:dyDescent="0.25">
      <c r="A2600">
        <v>587</v>
      </c>
      <c r="B2600" s="47" t="str">
        <f>VLOOKUP(Tabla6[[#This Row],['# Vuelo]],'Validacion reclamo de equipaje'!P:Q,2,0)</f>
        <v>GRANRENTA</v>
      </c>
      <c r="C2600" s="48">
        <v>0.61458333333333337</v>
      </c>
      <c r="D2600" s="48">
        <v>0.62152777777777779</v>
      </c>
      <c r="E2600" s="49">
        <f>'Reclamo de equipaje rediseñado'!$D2600-'Reclamo de equipaje rediseñado'!$C2600</f>
        <v>6.9444444444444198E-3</v>
      </c>
      <c r="F2600" s="48">
        <v>0.63888888888888895</v>
      </c>
      <c r="G2600" s="49">
        <f t="shared" si="40"/>
        <v>1.736111111111116E-2</v>
      </c>
      <c r="H2600" s="50">
        <v>41741</v>
      </c>
      <c r="I2600" s="51" t="s">
        <v>561</v>
      </c>
      <c r="J2600" s="51" t="s">
        <v>554</v>
      </c>
      <c r="K2600" s="51">
        <f>VLOOKUP(J2600,'Validacion reclamo de equipaje'!L:M,2,0)</f>
        <v>189</v>
      </c>
      <c r="L2600" s="51" t="str">
        <f>VLOOKUP(I2600,'Validacion reclamo de equipaje'!H:I,2,0)</f>
        <v>Nacional</v>
      </c>
      <c r="M2600" s="51" t="s">
        <v>523</v>
      </c>
    </row>
    <row r="2601" spans="1:13" x14ac:dyDescent="0.25">
      <c r="A2601">
        <v>587</v>
      </c>
      <c r="B2601" s="47" t="str">
        <f>VLOOKUP(Tabla6[[#This Row],['# Vuelo]],'Validacion reclamo de equipaje'!P:Q,2,0)</f>
        <v>GRANRENTA</v>
      </c>
      <c r="C2601" s="52">
        <v>0.60972222222222217</v>
      </c>
      <c r="D2601" s="52">
        <v>0.61597222222222225</v>
      </c>
      <c r="E2601" s="53">
        <f>'Reclamo de equipaje rediseñado'!$D2601-'Reclamo de equipaje rediseñado'!$C2601</f>
        <v>6.2500000000000888E-3</v>
      </c>
      <c r="F2601" s="52">
        <v>0.62083333333333335</v>
      </c>
      <c r="G2601" s="53">
        <f t="shared" si="40"/>
        <v>4.8611111111110938E-3</v>
      </c>
      <c r="H2601" s="54">
        <v>41745</v>
      </c>
      <c r="I2601" s="55" t="s">
        <v>561</v>
      </c>
      <c r="J2601" s="55" t="s">
        <v>554</v>
      </c>
      <c r="K2601" s="55">
        <f>VLOOKUP(J2601,'Validacion reclamo de equipaje'!L:M,2,0)</f>
        <v>189</v>
      </c>
      <c r="L2601" s="55" t="str">
        <f>VLOOKUP(I2601,'Validacion reclamo de equipaje'!H:I,2,0)</f>
        <v>Nacional</v>
      </c>
      <c r="M2601" s="55" t="s">
        <v>523</v>
      </c>
    </row>
    <row r="2602" spans="1:13" x14ac:dyDescent="0.25">
      <c r="A2602">
        <v>587</v>
      </c>
      <c r="B2602" s="47" t="str">
        <f>VLOOKUP(Tabla6[[#This Row],['# Vuelo]],'Validacion reclamo de equipaje'!P:Q,2,0)</f>
        <v>GRANRENTA</v>
      </c>
      <c r="C2602" s="48">
        <v>0.61319444444444449</v>
      </c>
      <c r="D2602" s="48">
        <v>0.62291666666666667</v>
      </c>
      <c r="E2602" s="49">
        <f>'Reclamo de equipaje rediseñado'!$D2602-'Reclamo de equipaje rediseñado'!$C2602</f>
        <v>9.7222222222221877E-3</v>
      </c>
      <c r="F2602" s="48">
        <v>0.62847222222222221</v>
      </c>
      <c r="G2602" s="49">
        <f t="shared" si="40"/>
        <v>5.5555555555555358E-3</v>
      </c>
      <c r="H2602" s="50">
        <v>41747</v>
      </c>
      <c r="I2602" s="51" t="s">
        <v>561</v>
      </c>
      <c r="J2602" s="51" t="s">
        <v>554</v>
      </c>
      <c r="K2602" s="51">
        <f>VLOOKUP(J2602,'Validacion reclamo de equipaje'!L:M,2,0)</f>
        <v>189</v>
      </c>
      <c r="L2602" s="51" t="str">
        <f>VLOOKUP(I2602,'Validacion reclamo de equipaje'!H:I,2,0)</f>
        <v>Nacional</v>
      </c>
      <c r="M2602" s="51" t="s">
        <v>523</v>
      </c>
    </row>
    <row r="2603" spans="1:13" x14ac:dyDescent="0.25">
      <c r="A2603">
        <v>587</v>
      </c>
      <c r="B2603" s="47" t="str">
        <f>VLOOKUP(Tabla6[[#This Row],['# Vuelo]],'Validacion reclamo de equipaje'!P:Q,2,0)</f>
        <v>GRANRENTA</v>
      </c>
      <c r="C2603" s="52">
        <v>0.60069444444444442</v>
      </c>
      <c r="D2603" s="52">
        <v>0.61111111111111105</v>
      </c>
      <c r="E2603" s="53">
        <f>'Reclamo de equipaje rediseñado'!$D2603-'Reclamo de equipaje rediseñado'!$C2603</f>
        <v>1.041666666666663E-2</v>
      </c>
      <c r="F2603" s="52">
        <v>0.61805555555555558</v>
      </c>
      <c r="G2603" s="53">
        <f t="shared" si="40"/>
        <v>6.9444444444445308E-3</v>
      </c>
      <c r="H2603" s="54">
        <v>41748</v>
      </c>
      <c r="I2603" s="55" t="s">
        <v>561</v>
      </c>
      <c r="J2603" s="55" t="s">
        <v>554</v>
      </c>
      <c r="K2603" s="55">
        <f>VLOOKUP(J2603,'Validacion reclamo de equipaje'!L:M,2,0)</f>
        <v>189</v>
      </c>
      <c r="L2603" s="55" t="str">
        <f>VLOOKUP(I2603,'Validacion reclamo de equipaje'!H:I,2,0)</f>
        <v>Nacional</v>
      </c>
      <c r="M2603" s="55" t="s">
        <v>523</v>
      </c>
    </row>
    <row r="2604" spans="1:13" x14ac:dyDescent="0.25">
      <c r="A2604">
        <v>587</v>
      </c>
      <c r="B2604" s="47" t="str">
        <f>VLOOKUP(Tabla6[[#This Row],['# Vuelo]],'Validacion reclamo de equipaje'!P:Q,2,0)</f>
        <v>GRANRENTA</v>
      </c>
      <c r="C2604" s="48">
        <v>0.61805555555555558</v>
      </c>
      <c r="D2604" s="48">
        <v>0.625</v>
      </c>
      <c r="E2604" s="49">
        <f>'Reclamo de equipaje rediseñado'!$D2604-'Reclamo de equipaje rediseñado'!$C2604</f>
        <v>6.9444444444444198E-3</v>
      </c>
      <c r="F2604" s="48">
        <v>0.63194444444444442</v>
      </c>
      <c r="G2604" s="49">
        <f t="shared" si="40"/>
        <v>6.9444444444444198E-3</v>
      </c>
      <c r="H2604" s="50">
        <v>41750</v>
      </c>
      <c r="I2604" s="51" t="s">
        <v>561</v>
      </c>
      <c r="J2604" s="51" t="s">
        <v>554</v>
      </c>
      <c r="K2604" s="51">
        <f>VLOOKUP(J2604,'Validacion reclamo de equipaje'!L:M,2,0)</f>
        <v>189</v>
      </c>
      <c r="L2604" s="51" t="str">
        <f>VLOOKUP(I2604,'Validacion reclamo de equipaje'!H:I,2,0)</f>
        <v>Nacional</v>
      </c>
      <c r="M2604" s="51" t="s">
        <v>523</v>
      </c>
    </row>
    <row r="2605" spans="1:13" x14ac:dyDescent="0.25">
      <c r="A2605">
        <v>587</v>
      </c>
      <c r="B2605" s="47" t="str">
        <f>VLOOKUP(Tabla6[[#This Row],['# Vuelo]],'Validacion reclamo de equipaje'!P:Q,2,0)</f>
        <v>GRANRENTA</v>
      </c>
      <c r="C2605" s="52">
        <v>0.53263888888888888</v>
      </c>
      <c r="D2605" s="52">
        <v>0.62777777777777777</v>
      </c>
      <c r="E2605" s="53">
        <f>'Reclamo de equipaje rediseñado'!$D2605-'Reclamo de equipaje rediseñado'!$C2605</f>
        <v>9.5138888888888884E-2</v>
      </c>
      <c r="F2605" s="52">
        <v>0.63263888888888886</v>
      </c>
      <c r="G2605" s="53">
        <f t="shared" si="40"/>
        <v>4.8611111111110938E-3</v>
      </c>
      <c r="H2605" s="54">
        <v>41754</v>
      </c>
      <c r="I2605" s="55" t="s">
        <v>561</v>
      </c>
      <c r="J2605" s="55" t="s">
        <v>554</v>
      </c>
      <c r="K2605" s="55">
        <f>VLOOKUP(J2605,'Validacion reclamo de equipaje'!L:M,2,0)</f>
        <v>189</v>
      </c>
      <c r="L2605" s="55" t="str">
        <f>VLOOKUP(I2605,'Validacion reclamo de equipaje'!H:I,2,0)</f>
        <v>Nacional</v>
      </c>
      <c r="M2605" s="55" t="s">
        <v>523</v>
      </c>
    </row>
    <row r="2606" spans="1:13" x14ac:dyDescent="0.25">
      <c r="A2606">
        <v>587</v>
      </c>
      <c r="B2606" s="47" t="str">
        <f>VLOOKUP(Tabla6[[#This Row],['# Vuelo]],'Validacion reclamo de equipaje'!P:Q,2,0)</f>
        <v>GRANRENTA</v>
      </c>
      <c r="C2606" s="48">
        <v>0.61458333333333337</v>
      </c>
      <c r="D2606" s="48">
        <v>0.62152777777777779</v>
      </c>
      <c r="E2606" s="49">
        <f>'Reclamo de equipaje rediseñado'!$D2606-'Reclamo de equipaje rediseñado'!$C2606</f>
        <v>6.9444444444444198E-3</v>
      </c>
      <c r="F2606" s="48">
        <v>0.62986111111111109</v>
      </c>
      <c r="G2606" s="49">
        <f t="shared" si="40"/>
        <v>8.3333333333333037E-3</v>
      </c>
      <c r="H2606" s="50">
        <v>41757</v>
      </c>
      <c r="I2606" s="51" t="s">
        <v>561</v>
      </c>
      <c r="J2606" s="51" t="s">
        <v>554</v>
      </c>
      <c r="K2606" s="51">
        <f>VLOOKUP(J2606,'Validacion reclamo de equipaje'!L:M,2,0)</f>
        <v>189</v>
      </c>
      <c r="L2606" s="51" t="str">
        <f>VLOOKUP(I2606,'Validacion reclamo de equipaje'!H:I,2,0)</f>
        <v>Nacional</v>
      </c>
      <c r="M2606" s="51" t="s">
        <v>523</v>
      </c>
    </row>
    <row r="2607" spans="1:13" x14ac:dyDescent="0.25">
      <c r="A2607">
        <v>585</v>
      </c>
      <c r="B2607" s="47" t="str">
        <f>VLOOKUP(Tabla6[[#This Row],['# Vuelo]],'Validacion reclamo de equipaje'!P:Q,2,0)</f>
        <v>MEXICO AEREO</v>
      </c>
      <c r="C2607" s="52">
        <v>0.90069444444444446</v>
      </c>
      <c r="D2607" s="52">
        <v>0.91041666666666676</v>
      </c>
      <c r="E2607" s="53">
        <f>'Reclamo de equipaje rediseñado'!$D2607-'Reclamo de equipaje rediseñado'!$C2607</f>
        <v>9.7222222222222987E-3</v>
      </c>
      <c r="F2607" s="52">
        <v>0.91666666666666663</v>
      </c>
      <c r="G2607" s="53">
        <f t="shared" si="40"/>
        <v>6.2499999999998668E-3</v>
      </c>
      <c r="H2607" s="54">
        <v>41738</v>
      </c>
      <c r="I2607" s="55" t="s">
        <v>561</v>
      </c>
      <c r="J2607" s="55" t="s">
        <v>554</v>
      </c>
      <c r="K2607" s="55">
        <f>VLOOKUP(J2607,'Validacion reclamo de equipaje'!L:M,2,0)</f>
        <v>189</v>
      </c>
      <c r="L2607" s="55" t="str">
        <f>VLOOKUP(I2607,'Validacion reclamo de equipaje'!H:I,2,0)</f>
        <v>Nacional</v>
      </c>
      <c r="M2607" s="55" t="s">
        <v>523</v>
      </c>
    </row>
    <row r="2608" spans="1:13" x14ac:dyDescent="0.25">
      <c r="A2608">
        <v>585</v>
      </c>
      <c r="B2608" s="47" t="str">
        <f>VLOOKUP(Tabla6[[#This Row],['# Vuelo]],'Validacion reclamo de equipaje'!P:Q,2,0)</f>
        <v>MEXICO AEREO</v>
      </c>
      <c r="C2608" s="48">
        <v>0.89583333333333337</v>
      </c>
      <c r="D2608" s="48">
        <v>0.89930555555555547</v>
      </c>
      <c r="E2608" s="49">
        <f>'Reclamo de equipaje rediseñado'!$D2608-'Reclamo de equipaje rediseñado'!$C2608</f>
        <v>3.4722222222220989E-3</v>
      </c>
      <c r="F2608" s="48">
        <v>0.90486111111111101</v>
      </c>
      <c r="G2608" s="49">
        <f t="shared" si="40"/>
        <v>5.5555555555555358E-3</v>
      </c>
      <c r="H2608" s="50">
        <v>41739</v>
      </c>
      <c r="I2608" s="51" t="s">
        <v>561</v>
      </c>
      <c r="J2608" s="51" t="s">
        <v>554</v>
      </c>
      <c r="K2608" s="51">
        <f>VLOOKUP(J2608,'Validacion reclamo de equipaje'!L:M,2,0)</f>
        <v>189</v>
      </c>
      <c r="L2608" s="51" t="str">
        <f>VLOOKUP(I2608,'Validacion reclamo de equipaje'!H:I,2,0)</f>
        <v>Nacional</v>
      </c>
      <c r="M2608" s="51" t="s">
        <v>523</v>
      </c>
    </row>
    <row r="2609" spans="1:13" x14ac:dyDescent="0.25">
      <c r="A2609">
        <v>585</v>
      </c>
      <c r="B2609" s="47" t="str">
        <f>VLOOKUP(Tabla6[[#This Row],['# Vuelo]],'Validacion reclamo de equipaje'!P:Q,2,0)</f>
        <v>MEXICO AEREO</v>
      </c>
      <c r="C2609" s="52">
        <v>0.8833333333333333</v>
      </c>
      <c r="D2609" s="52">
        <v>0.89097222222222217</v>
      </c>
      <c r="E2609" s="53">
        <f>'Reclamo de equipaje rediseñado'!$D2609-'Reclamo de equipaje rediseñado'!$C2609</f>
        <v>7.6388888888888618E-3</v>
      </c>
      <c r="F2609" s="52">
        <v>0.8965277777777777</v>
      </c>
      <c r="G2609" s="53">
        <f t="shared" si="40"/>
        <v>5.5555555555555358E-3</v>
      </c>
      <c r="H2609" s="54">
        <v>41740</v>
      </c>
      <c r="I2609" s="55" t="s">
        <v>561</v>
      </c>
      <c r="J2609" s="55" t="s">
        <v>554</v>
      </c>
      <c r="K2609" s="55">
        <f>VLOOKUP(J2609,'Validacion reclamo de equipaje'!L:M,2,0)</f>
        <v>189</v>
      </c>
      <c r="L2609" s="55" t="str">
        <f>VLOOKUP(I2609,'Validacion reclamo de equipaje'!H:I,2,0)</f>
        <v>Nacional</v>
      </c>
      <c r="M2609" s="55" t="s">
        <v>523</v>
      </c>
    </row>
    <row r="2610" spans="1:13" x14ac:dyDescent="0.25">
      <c r="A2610">
        <v>585</v>
      </c>
      <c r="B2610" s="47" t="str">
        <f>VLOOKUP(Tabla6[[#This Row],['# Vuelo]],'Validacion reclamo de equipaje'!P:Q,2,0)</f>
        <v>MEXICO AEREO</v>
      </c>
      <c r="C2610" s="48">
        <v>0.88680555555555562</v>
      </c>
      <c r="D2610" s="48">
        <v>0.89583333333333337</v>
      </c>
      <c r="E2610" s="49">
        <f>'Reclamo de equipaje rediseñado'!$D2610-'Reclamo de equipaje rediseñado'!$C2610</f>
        <v>9.0277777777777457E-3</v>
      </c>
      <c r="F2610" s="48">
        <v>0.89930555555555547</v>
      </c>
      <c r="G2610" s="49">
        <f t="shared" si="40"/>
        <v>3.4722222222220989E-3</v>
      </c>
      <c r="H2610" s="50">
        <v>41741</v>
      </c>
      <c r="I2610" s="51" t="s">
        <v>561</v>
      </c>
      <c r="J2610" s="51" t="s">
        <v>554</v>
      </c>
      <c r="K2610" s="51">
        <f>VLOOKUP(J2610,'Validacion reclamo de equipaje'!L:M,2,0)</f>
        <v>189</v>
      </c>
      <c r="L2610" s="51" t="str">
        <f>VLOOKUP(I2610,'Validacion reclamo de equipaje'!H:I,2,0)</f>
        <v>Nacional</v>
      </c>
      <c r="M2610" s="51" t="s">
        <v>523</v>
      </c>
    </row>
    <row r="2611" spans="1:13" x14ac:dyDescent="0.25">
      <c r="A2611">
        <v>585</v>
      </c>
      <c r="B2611" s="47" t="str">
        <f>VLOOKUP(Tabla6[[#This Row],['# Vuelo]],'Validacion reclamo de equipaje'!P:Q,2,0)</f>
        <v>MEXICO AEREO</v>
      </c>
      <c r="C2611" s="52">
        <v>0.7006944444444444</v>
      </c>
      <c r="D2611" s="52">
        <v>0.70694444444444438</v>
      </c>
      <c r="E2611" s="53">
        <f>'Reclamo de equipaje rediseñado'!$D2611-'Reclamo de equipaje rediseñado'!$C2611</f>
        <v>6.2499999999999778E-3</v>
      </c>
      <c r="F2611" s="52">
        <v>0.7104166666666667</v>
      </c>
      <c r="G2611" s="53">
        <f t="shared" si="40"/>
        <v>3.4722222222223209E-3</v>
      </c>
      <c r="H2611" s="54">
        <v>41730</v>
      </c>
      <c r="I2611" s="55" t="s">
        <v>561</v>
      </c>
      <c r="J2611" s="55" t="s">
        <v>554</v>
      </c>
      <c r="K2611" s="55">
        <f>VLOOKUP(J2611,'Validacion reclamo de equipaje'!L:M,2,0)</f>
        <v>189</v>
      </c>
      <c r="L2611" s="55" t="str">
        <f>VLOOKUP(I2611,'Validacion reclamo de equipaje'!H:I,2,0)</f>
        <v>Nacional</v>
      </c>
      <c r="M2611" s="55" t="s">
        <v>523</v>
      </c>
    </row>
    <row r="2612" spans="1:13" x14ac:dyDescent="0.25">
      <c r="A2612">
        <v>585</v>
      </c>
      <c r="B2612" s="47" t="str">
        <f>VLOOKUP(Tabla6[[#This Row],['# Vuelo]],'Validacion reclamo de equipaje'!P:Q,2,0)</f>
        <v>MEXICO AEREO</v>
      </c>
      <c r="C2612" s="48">
        <v>0.89930555555555547</v>
      </c>
      <c r="D2612" s="48">
        <v>0.90625</v>
      </c>
      <c r="E2612" s="49">
        <f>'Reclamo de equipaje rediseñado'!$D2612-'Reclamo de equipaje rediseñado'!$C2612</f>
        <v>6.9444444444445308E-3</v>
      </c>
      <c r="F2612" s="48">
        <v>0.92222222222222217</v>
      </c>
      <c r="G2612" s="49">
        <f t="shared" si="40"/>
        <v>1.5972222222222165E-2</v>
      </c>
      <c r="H2612" s="50">
        <v>41730</v>
      </c>
      <c r="I2612" s="51" t="s">
        <v>561</v>
      </c>
      <c r="J2612" s="51" t="s">
        <v>554</v>
      </c>
      <c r="K2612" s="51">
        <f>VLOOKUP(J2612,'Validacion reclamo de equipaje'!L:M,2,0)</f>
        <v>189</v>
      </c>
      <c r="L2612" s="51" t="str">
        <f>VLOOKUP(I2612,'Validacion reclamo de equipaje'!H:I,2,0)</f>
        <v>Nacional</v>
      </c>
      <c r="M2612" s="51" t="s">
        <v>523</v>
      </c>
    </row>
    <row r="2613" spans="1:13" x14ac:dyDescent="0.25">
      <c r="A2613">
        <v>585</v>
      </c>
      <c r="B2613" s="47" t="str">
        <f>VLOOKUP(Tabla6[[#This Row],['# Vuelo]],'Validacion reclamo de equipaje'!P:Q,2,0)</f>
        <v>MEXICO AEREO</v>
      </c>
      <c r="C2613" s="52">
        <v>0.88263888888888886</v>
      </c>
      <c r="D2613" s="52">
        <v>0.89236111111111116</v>
      </c>
      <c r="E2613" s="53">
        <f>'Reclamo de equipaje rediseñado'!$D2613-'Reclamo de equipaje rediseñado'!$C2613</f>
        <v>9.7222222222222987E-3</v>
      </c>
      <c r="F2613" s="52">
        <v>0.89861111111111114</v>
      </c>
      <c r="G2613" s="53">
        <f t="shared" si="40"/>
        <v>6.2499999999999778E-3</v>
      </c>
      <c r="H2613" s="54">
        <v>41732</v>
      </c>
      <c r="I2613" s="55" t="s">
        <v>561</v>
      </c>
      <c r="J2613" s="55" t="s">
        <v>554</v>
      </c>
      <c r="K2613" s="55">
        <f>VLOOKUP(J2613,'Validacion reclamo de equipaje'!L:M,2,0)</f>
        <v>189</v>
      </c>
      <c r="L2613" s="55" t="str">
        <f>VLOOKUP(I2613,'Validacion reclamo de equipaje'!H:I,2,0)</f>
        <v>Nacional</v>
      </c>
      <c r="M2613" s="55" t="s">
        <v>523</v>
      </c>
    </row>
    <row r="2614" spans="1:13" x14ac:dyDescent="0.25">
      <c r="A2614">
        <v>585</v>
      </c>
      <c r="B2614" s="47" t="str">
        <f>VLOOKUP(Tabla6[[#This Row],['# Vuelo]],'Validacion reclamo de equipaje'!P:Q,2,0)</f>
        <v>MEXICO AEREO</v>
      </c>
      <c r="C2614" s="48">
        <v>0.71111111111111114</v>
      </c>
      <c r="D2614" s="48">
        <v>0.71944444444444444</v>
      </c>
      <c r="E2614" s="49">
        <f>'Reclamo de equipaje rediseñado'!$D2614-'Reclamo de equipaje rediseñado'!$C2614</f>
        <v>8.3333333333333037E-3</v>
      </c>
      <c r="F2614" s="48">
        <v>0.72361111111111109</v>
      </c>
      <c r="G2614" s="49">
        <f t="shared" si="40"/>
        <v>4.1666666666666519E-3</v>
      </c>
      <c r="H2614" s="50">
        <v>41733</v>
      </c>
      <c r="I2614" s="51" t="s">
        <v>561</v>
      </c>
      <c r="J2614" s="51" t="s">
        <v>554</v>
      </c>
      <c r="K2614" s="51">
        <f>VLOOKUP(J2614,'Validacion reclamo de equipaje'!L:M,2,0)</f>
        <v>189</v>
      </c>
      <c r="L2614" s="51" t="str">
        <f>VLOOKUP(I2614,'Validacion reclamo de equipaje'!H:I,2,0)</f>
        <v>Nacional</v>
      </c>
      <c r="M2614" s="51" t="s">
        <v>523</v>
      </c>
    </row>
    <row r="2615" spans="1:13" x14ac:dyDescent="0.25">
      <c r="A2615">
        <v>585</v>
      </c>
      <c r="B2615" s="47" t="str">
        <f>VLOOKUP(Tabla6[[#This Row],['# Vuelo]],'Validacion reclamo de equipaje'!P:Q,2,0)</f>
        <v>MEXICO AEREO</v>
      </c>
      <c r="C2615" s="52">
        <v>0.3888888888888889</v>
      </c>
      <c r="D2615" s="52">
        <v>0.39097222222222222</v>
      </c>
      <c r="E2615" s="53">
        <f>'Reclamo de equipaje rediseñado'!$D2615-'Reclamo de equipaje rediseñado'!$C2615</f>
        <v>2.0833333333333259E-3</v>
      </c>
      <c r="F2615" s="52">
        <v>0.39444444444444443</v>
      </c>
      <c r="G2615" s="53">
        <f t="shared" si="40"/>
        <v>3.4722222222222099E-3</v>
      </c>
      <c r="H2615" s="54">
        <v>41735</v>
      </c>
      <c r="I2615" s="55" t="s">
        <v>561</v>
      </c>
      <c r="J2615" s="55" t="s">
        <v>554</v>
      </c>
      <c r="K2615" s="55">
        <f>VLOOKUP(J2615,'Validacion reclamo de equipaje'!L:M,2,0)</f>
        <v>189</v>
      </c>
      <c r="L2615" s="55" t="str">
        <f>VLOOKUP(I2615,'Validacion reclamo de equipaje'!H:I,2,0)</f>
        <v>Nacional</v>
      </c>
      <c r="M2615" s="55" t="s">
        <v>523</v>
      </c>
    </row>
    <row r="2616" spans="1:13" x14ac:dyDescent="0.25">
      <c r="A2616">
        <v>585</v>
      </c>
      <c r="B2616" s="47" t="str">
        <f>VLOOKUP(Tabla6[[#This Row],['# Vuelo]],'Validacion reclamo de equipaje'!P:Q,2,0)</f>
        <v>MEXICO AEREO</v>
      </c>
      <c r="C2616" s="48">
        <v>0.7006944444444444</v>
      </c>
      <c r="D2616" s="48">
        <v>0.70694444444444438</v>
      </c>
      <c r="E2616" s="49">
        <f>'Reclamo de equipaje rediseñado'!$D2616-'Reclamo de equipaje rediseñado'!$C2616</f>
        <v>6.2499999999999778E-3</v>
      </c>
      <c r="F2616" s="48">
        <v>0.7104166666666667</v>
      </c>
      <c r="G2616" s="49">
        <f t="shared" si="40"/>
        <v>3.4722222222223209E-3</v>
      </c>
      <c r="H2616" s="50">
        <v>41742</v>
      </c>
      <c r="I2616" s="51" t="s">
        <v>561</v>
      </c>
      <c r="J2616" s="51" t="s">
        <v>554</v>
      </c>
      <c r="K2616" s="51">
        <f>VLOOKUP(J2616,'Validacion reclamo de equipaje'!L:M,2,0)</f>
        <v>189</v>
      </c>
      <c r="L2616" s="51" t="str">
        <f>VLOOKUP(I2616,'Validacion reclamo de equipaje'!H:I,2,0)</f>
        <v>Nacional</v>
      </c>
      <c r="M2616" s="51" t="s">
        <v>523</v>
      </c>
    </row>
    <row r="2617" spans="1:13" x14ac:dyDescent="0.25">
      <c r="A2617">
        <v>585</v>
      </c>
      <c r="B2617" s="47" t="str">
        <f>VLOOKUP(Tabla6[[#This Row],['# Vuelo]],'Validacion reclamo de equipaje'!P:Q,2,0)</f>
        <v>MEXICO AEREO</v>
      </c>
      <c r="C2617" s="52">
        <v>0.89722222222222225</v>
      </c>
      <c r="D2617" s="52">
        <v>0.90416666666666667</v>
      </c>
      <c r="E2617" s="53">
        <f>'Reclamo de equipaje rediseñado'!$D2617-'Reclamo de equipaje rediseñado'!$C2617</f>
        <v>6.9444444444444198E-3</v>
      </c>
      <c r="F2617" s="52">
        <v>0.91249999999999998</v>
      </c>
      <c r="G2617" s="53">
        <f t="shared" si="40"/>
        <v>8.3333333333333037E-3</v>
      </c>
      <c r="H2617" s="54">
        <v>41743</v>
      </c>
      <c r="I2617" s="55" t="s">
        <v>561</v>
      </c>
      <c r="J2617" s="55" t="s">
        <v>554</v>
      </c>
      <c r="K2617" s="55">
        <f>VLOOKUP(J2617,'Validacion reclamo de equipaje'!L:M,2,0)</f>
        <v>189</v>
      </c>
      <c r="L2617" s="55" t="str">
        <f>VLOOKUP(I2617,'Validacion reclamo de equipaje'!H:I,2,0)</f>
        <v>Nacional</v>
      </c>
      <c r="M2617" s="55" t="s">
        <v>523</v>
      </c>
    </row>
    <row r="2618" spans="1:13" x14ac:dyDescent="0.25">
      <c r="A2618">
        <v>585</v>
      </c>
      <c r="B2618" s="47" t="str">
        <f>VLOOKUP(Tabla6[[#This Row],['# Vuelo]],'Validacion reclamo de equipaje'!P:Q,2,0)</f>
        <v>MEXICO AEREO</v>
      </c>
      <c r="C2618" s="48">
        <v>0.89166666666666661</v>
      </c>
      <c r="D2618" s="48">
        <v>0.90138888888888891</v>
      </c>
      <c r="E2618" s="49">
        <f>'Reclamo de equipaje rediseñado'!$D2618-'Reclamo de equipaje rediseñado'!$C2618</f>
        <v>9.7222222222222987E-3</v>
      </c>
      <c r="F2618" s="48">
        <v>0.90416666666666667</v>
      </c>
      <c r="G2618" s="49">
        <f t="shared" si="40"/>
        <v>2.7777777777777679E-3</v>
      </c>
      <c r="H2618" s="50">
        <v>41745</v>
      </c>
      <c r="I2618" s="51" t="s">
        <v>561</v>
      </c>
      <c r="J2618" s="51" t="s">
        <v>554</v>
      </c>
      <c r="K2618" s="51">
        <f>VLOOKUP(J2618,'Validacion reclamo de equipaje'!L:M,2,0)</f>
        <v>189</v>
      </c>
      <c r="L2618" s="51" t="str">
        <f>VLOOKUP(I2618,'Validacion reclamo de equipaje'!H:I,2,0)</f>
        <v>Nacional</v>
      </c>
      <c r="M2618" s="51" t="s">
        <v>523</v>
      </c>
    </row>
    <row r="2619" spans="1:13" x14ac:dyDescent="0.25">
      <c r="A2619">
        <v>585</v>
      </c>
      <c r="B2619" s="47" t="str">
        <f>VLOOKUP(Tabla6[[#This Row],['# Vuelo]],'Validacion reclamo de equipaje'!P:Q,2,0)</f>
        <v>MEXICO AEREO</v>
      </c>
      <c r="C2619" s="52">
        <v>0.89166666666666661</v>
      </c>
      <c r="D2619" s="52">
        <v>0.90416666666666667</v>
      </c>
      <c r="E2619" s="53">
        <f>'Reclamo de equipaje rediseñado'!$D2619-'Reclamo de equipaje rediseñado'!$C2619</f>
        <v>1.2500000000000067E-2</v>
      </c>
      <c r="F2619" s="52">
        <v>0.90833333333333333</v>
      </c>
      <c r="G2619" s="53">
        <f t="shared" si="40"/>
        <v>4.1666666666666519E-3</v>
      </c>
      <c r="H2619" s="54">
        <v>41744</v>
      </c>
      <c r="I2619" s="55" t="s">
        <v>561</v>
      </c>
      <c r="J2619" s="55" t="s">
        <v>554</v>
      </c>
      <c r="K2619" s="55">
        <f>VLOOKUP(J2619,'Validacion reclamo de equipaje'!L:M,2,0)</f>
        <v>189</v>
      </c>
      <c r="L2619" s="55" t="str">
        <f>VLOOKUP(I2619,'Validacion reclamo de equipaje'!H:I,2,0)</f>
        <v>Nacional</v>
      </c>
      <c r="M2619" s="55" t="s">
        <v>523</v>
      </c>
    </row>
    <row r="2620" spans="1:13" x14ac:dyDescent="0.25">
      <c r="A2620">
        <v>585</v>
      </c>
      <c r="B2620" s="47" t="str">
        <f>VLOOKUP(Tabla6[[#This Row],['# Vuelo]],'Validacion reclamo de equipaje'!P:Q,2,0)</f>
        <v>MEXICO AEREO</v>
      </c>
      <c r="C2620" s="48">
        <v>0.87638888888888899</v>
      </c>
      <c r="D2620" s="48">
        <v>0.88194444444444453</v>
      </c>
      <c r="E2620" s="49">
        <f>'Reclamo de equipaje rediseñado'!$D2620-'Reclamo de equipaje rediseñado'!$C2620</f>
        <v>5.5555555555555358E-3</v>
      </c>
      <c r="F2620" s="48">
        <v>0.88958333333333339</v>
      </c>
      <c r="G2620" s="49">
        <f t="shared" si="40"/>
        <v>7.6388888888888618E-3</v>
      </c>
      <c r="H2620" s="50">
        <v>41746</v>
      </c>
      <c r="I2620" s="51" t="s">
        <v>561</v>
      </c>
      <c r="J2620" s="51" t="s">
        <v>554</v>
      </c>
      <c r="K2620" s="51">
        <f>VLOOKUP(J2620,'Validacion reclamo de equipaje'!L:M,2,0)</f>
        <v>189</v>
      </c>
      <c r="L2620" s="51" t="str">
        <f>VLOOKUP(I2620,'Validacion reclamo de equipaje'!H:I,2,0)</f>
        <v>Nacional</v>
      </c>
      <c r="M2620" s="51" t="s">
        <v>523</v>
      </c>
    </row>
    <row r="2621" spans="1:13" x14ac:dyDescent="0.25">
      <c r="A2621">
        <v>585</v>
      </c>
      <c r="B2621" s="47" t="str">
        <f>VLOOKUP(Tabla6[[#This Row],['# Vuelo]],'Validacion reclamo de equipaje'!P:Q,2,0)</f>
        <v>MEXICO AEREO</v>
      </c>
      <c r="C2621" s="52">
        <v>0.87638888888888899</v>
      </c>
      <c r="D2621" s="52">
        <v>0.88750000000000007</v>
      </c>
      <c r="E2621" s="53">
        <f>'Reclamo de equipaje rediseñado'!$D2621-'Reclamo de equipaje rediseñado'!$C2621</f>
        <v>1.1111111111111072E-2</v>
      </c>
      <c r="F2621" s="52">
        <v>0.89236111111111116</v>
      </c>
      <c r="G2621" s="53">
        <f t="shared" si="40"/>
        <v>4.8611111111110938E-3</v>
      </c>
      <c r="H2621" s="54">
        <v>41749</v>
      </c>
      <c r="I2621" s="55" t="s">
        <v>561</v>
      </c>
      <c r="J2621" s="55" t="s">
        <v>554</v>
      </c>
      <c r="K2621" s="55">
        <f>VLOOKUP(J2621,'Validacion reclamo de equipaje'!L:M,2,0)</f>
        <v>189</v>
      </c>
      <c r="L2621" s="55" t="str">
        <f>VLOOKUP(I2621,'Validacion reclamo de equipaje'!H:I,2,0)</f>
        <v>Nacional</v>
      </c>
      <c r="M2621" s="55" t="s">
        <v>523</v>
      </c>
    </row>
    <row r="2622" spans="1:13" x14ac:dyDescent="0.25">
      <c r="A2622">
        <v>585</v>
      </c>
      <c r="B2622" s="47" t="str">
        <f>VLOOKUP(Tabla6[[#This Row],['# Vuelo]],'Validacion reclamo de equipaje'!P:Q,2,0)</f>
        <v>MEXICO AEREO</v>
      </c>
      <c r="C2622" s="48">
        <v>0.90555555555555556</v>
      </c>
      <c r="D2622" s="48">
        <v>0.9145833333333333</v>
      </c>
      <c r="E2622" s="49">
        <f>'Reclamo de equipaje rediseñado'!$D2622-'Reclamo de equipaje rediseñado'!$C2622</f>
        <v>9.0277777777777457E-3</v>
      </c>
      <c r="F2622" s="48">
        <v>0.92222222222222217</v>
      </c>
      <c r="G2622" s="49">
        <f t="shared" si="40"/>
        <v>7.6388888888888618E-3</v>
      </c>
      <c r="H2622" s="50">
        <v>41749</v>
      </c>
      <c r="I2622" s="51" t="s">
        <v>561</v>
      </c>
      <c r="J2622" s="51" t="s">
        <v>554</v>
      </c>
      <c r="K2622" s="51">
        <f>VLOOKUP(J2622,'Validacion reclamo de equipaje'!L:M,2,0)</f>
        <v>189</v>
      </c>
      <c r="L2622" s="51" t="str">
        <f>VLOOKUP(I2622,'Validacion reclamo de equipaje'!H:I,2,0)</f>
        <v>Nacional</v>
      </c>
      <c r="M2622" s="51" t="s">
        <v>523</v>
      </c>
    </row>
    <row r="2623" spans="1:13" x14ac:dyDescent="0.25">
      <c r="A2623">
        <v>585</v>
      </c>
      <c r="B2623" s="47" t="str">
        <f>VLOOKUP(Tabla6[[#This Row],['# Vuelo]],'Validacion reclamo de equipaje'!P:Q,2,0)</f>
        <v>MEXICO AEREO</v>
      </c>
      <c r="C2623" s="52">
        <v>0.8881944444444444</v>
      </c>
      <c r="D2623" s="52">
        <v>0.89722222222222225</v>
      </c>
      <c r="E2623" s="53">
        <f>'Reclamo de equipaje rediseñado'!$D2623-'Reclamo de equipaje rediseñado'!$C2623</f>
        <v>9.0277777777778567E-3</v>
      </c>
      <c r="F2623" s="52">
        <v>0.90347222222222223</v>
      </c>
      <c r="G2623" s="53">
        <f t="shared" si="40"/>
        <v>6.2499999999999778E-3</v>
      </c>
      <c r="H2623" s="54">
        <v>41753</v>
      </c>
      <c r="I2623" s="55" t="s">
        <v>561</v>
      </c>
      <c r="J2623" s="55" t="s">
        <v>554</v>
      </c>
      <c r="K2623" s="55">
        <f>VLOOKUP(J2623,'Validacion reclamo de equipaje'!L:M,2,0)</f>
        <v>189</v>
      </c>
      <c r="L2623" s="55" t="str">
        <f>VLOOKUP(I2623,'Validacion reclamo de equipaje'!H:I,2,0)</f>
        <v>Nacional</v>
      </c>
      <c r="M2623" s="55" t="s">
        <v>523</v>
      </c>
    </row>
    <row r="2624" spans="1:13" x14ac:dyDescent="0.25">
      <c r="A2624">
        <v>585</v>
      </c>
      <c r="B2624" s="47" t="str">
        <f>VLOOKUP(Tabla6[[#This Row],['# Vuelo]],'Validacion reclamo de equipaje'!P:Q,2,0)</f>
        <v>MEXICO AEREO</v>
      </c>
      <c r="C2624" s="48">
        <v>0.90625</v>
      </c>
      <c r="D2624" s="48">
        <v>0.91805555555555562</v>
      </c>
      <c r="E2624" s="49">
        <f>'Reclamo de equipaje rediseñado'!$D2624-'Reclamo de equipaje rediseñado'!$C2624</f>
        <v>1.1805555555555625E-2</v>
      </c>
      <c r="F2624" s="48">
        <v>0.9243055555555556</v>
      </c>
      <c r="G2624" s="49">
        <f t="shared" si="40"/>
        <v>6.2499999999999778E-3</v>
      </c>
      <c r="H2624" s="50">
        <v>41755</v>
      </c>
      <c r="I2624" s="51" t="s">
        <v>561</v>
      </c>
      <c r="J2624" s="51" t="s">
        <v>554</v>
      </c>
      <c r="K2624" s="51">
        <f>VLOOKUP(J2624,'Validacion reclamo de equipaje'!L:M,2,0)</f>
        <v>189</v>
      </c>
      <c r="L2624" s="51" t="str">
        <f>VLOOKUP(I2624,'Validacion reclamo de equipaje'!H:I,2,0)</f>
        <v>Nacional</v>
      </c>
      <c r="M2624" s="51" t="s">
        <v>523</v>
      </c>
    </row>
    <row r="2625" spans="1:13" x14ac:dyDescent="0.25">
      <c r="A2625">
        <v>585</v>
      </c>
      <c r="B2625" s="47" t="str">
        <f>VLOOKUP(Tabla6[[#This Row],['# Vuelo]],'Validacion reclamo de equipaje'!P:Q,2,0)</f>
        <v>MEXICO AEREO</v>
      </c>
      <c r="C2625" s="52">
        <v>0.90138888888888891</v>
      </c>
      <c r="D2625" s="52">
        <v>0.91388888888888886</v>
      </c>
      <c r="E2625" s="53">
        <f>'Reclamo de equipaje rediseñado'!$D2625-'Reclamo de equipaje rediseñado'!$C2625</f>
        <v>1.2499999999999956E-2</v>
      </c>
      <c r="F2625" s="52">
        <v>0.9194444444444444</v>
      </c>
      <c r="G2625" s="53">
        <f t="shared" si="40"/>
        <v>5.5555555555555358E-3</v>
      </c>
      <c r="H2625" s="54">
        <v>41757</v>
      </c>
      <c r="I2625" s="55" t="s">
        <v>561</v>
      </c>
      <c r="J2625" s="55" t="s">
        <v>554</v>
      </c>
      <c r="K2625" s="55">
        <f>VLOOKUP(J2625,'Validacion reclamo de equipaje'!L:M,2,0)</f>
        <v>189</v>
      </c>
      <c r="L2625" s="55" t="str">
        <f>VLOOKUP(I2625,'Validacion reclamo de equipaje'!H:I,2,0)</f>
        <v>Nacional</v>
      </c>
      <c r="M2625" s="55" t="s">
        <v>523</v>
      </c>
    </row>
    <row r="2626" spans="1:13" x14ac:dyDescent="0.25">
      <c r="A2626">
        <v>585</v>
      </c>
      <c r="B2626" s="47" t="str">
        <f>VLOOKUP(Tabla6[[#This Row],['# Vuelo]],'Validacion reclamo de equipaje'!P:Q,2,0)</f>
        <v>MEXICO AEREO</v>
      </c>
      <c r="C2626" s="48">
        <v>0.71111111111111114</v>
      </c>
      <c r="D2626" s="48">
        <v>0.72361111111111109</v>
      </c>
      <c r="E2626" s="49">
        <f>'Reclamo de equipaje rediseñado'!$D2626-'Reclamo de equipaje rediseñado'!$C2626</f>
        <v>1.2499999999999956E-2</v>
      </c>
      <c r="F2626" s="48">
        <v>0.72916666666666663</v>
      </c>
      <c r="G2626" s="49">
        <f t="shared" si="40"/>
        <v>5.5555555555555358E-3</v>
      </c>
      <c r="H2626" s="50">
        <v>41758</v>
      </c>
      <c r="I2626" s="51" t="s">
        <v>561</v>
      </c>
      <c r="J2626" s="51" t="s">
        <v>554</v>
      </c>
      <c r="K2626" s="51">
        <f>VLOOKUP(J2626,'Validacion reclamo de equipaje'!L:M,2,0)</f>
        <v>189</v>
      </c>
      <c r="L2626" s="51" t="str">
        <f>VLOOKUP(I2626,'Validacion reclamo de equipaje'!H:I,2,0)</f>
        <v>Nacional</v>
      </c>
      <c r="M2626" s="51" t="s">
        <v>523</v>
      </c>
    </row>
    <row r="2627" spans="1:13" x14ac:dyDescent="0.25">
      <c r="A2627">
        <v>585</v>
      </c>
      <c r="B2627" s="47" t="str">
        <f>VLOOKUP(Tabla6[[#This Row],['# Vuelo]],'Validacion reclamo de equipaje'!P:Q,2,0)</f>
        <v>MEXICO AEREO</v>
      </c>
      <c r="C2627" s="52">
        <v>0.92361111111111116</v>
      </c>
      <c r="D2627" s="52">
        <v>0.93055555555555547</v>
      </c>
      <c r="E2627" s="53">
        <f>'Reclamo de equipaje rediseñado'!$D2627-'Reclamo de equipaje rediseñado'!$C2627</f>
        <v>6.9444444444443088E-3</v>
      </c>
      <c r="F2627" s="52">
        <v>0.9375</v>
      </c>
      <c r="G2627" s="53">
        <f t="shared" ref="G2627:G2690" si="41">F2627-D2627</f>
        <v>6.9444444444445308E-3</v>
      </c>
      <c r="H2627" s="54">
        <v>41759</v>
      </c>
      <c r="I2627" s="55" t="s">
        <v>561</v>
      </c>
      <c r="J2627" s="55" t="s">
        <v>554</v>
      </c>
      <c r="K2627" s="55">
        <f>VLOOKUP(J2627,'Validacion reclamo de equipaje'!L:M,2,0)</f>
        <v>189</v>
      </c>
      <c r="L2627" s="55" t="str">
        <f>VLOOKUP(I2627,'Validacion reclamo de equipaje'!H:I,2,0)</f>
        <v>Nacional</v>
      </c>
      <c r="M2627" s="55" t="s">
        <v>523</v>
      </c>
    </row>
    <row r="2628" spans="1:13" x14ac:dyDescent="0.25">
      <c r="A2628">
        <v>585</v>
      </c>
      <c r="B2628" s="47" t="str">
        <f>VLOOKUP(Tabla6[[#This Row],['# Vuelo]],'Validacion reclamo de equipaje'!P:Q,2,0)</f>
        <v>MEXICO AEREO</v>
      </c>
      <c r="C2628" s="48">
        <v>0.8965277777777777</v>
      </c>
      <c r="D2628" s="48">
        <v>0.90486111111111101</v>
      </c>
      <c r="E2628" s="49">
        <f>'Reclamo de equipaje rediseñado'!$D2628-'Reclamo de equipaje rediseñado'!$C2628</f>
        <v>8.3333333333333037E-3</v>
      </c>
      <c r="F2628" s="48">
        <v>0.91180555555555554</v>
      </c>
      <c r="G2628" s="49">
        <f t="shared" si="41"/>
        <v>6.9444444444445308E-3</v>
      </c>
      <c r="H2628" s="50">
        <v>41736</v>
      </c>
      <c r="I2628" s="51" t="s">
        <v>561</v>
      </c>
      <c r="J2628" s="51" t="s">
        <v>554</v>
      </c>
      <c r="K2628" s="51">
        <f>VLOOKUP(J2628,'Validacion reclamo de equipaje'!L:M,2,0)</f>
        <v>189</v>
      </c>
      <c r="L2628" s="51" t="str">
        <f>VLOOKUP(I2628,'Validacion reclamo de equipaje'!H:I,2,0)</f>
        <v>Nacional</v>
      </c>
      <c r="M2628" s="51" t="s">
        <v>523</v>
      </c>
    </row>
    <row r="2629" spans="1:13" x14ac:dyDescent="0.25">
      <c r="A2629">
        <v>21</v>
      </c>
      <c r="B2629" s="47" t="str">
        <f>VLOOKUP(Tabla6[[#This Row],['# Vuelo]],'Validacion reclamo de equipaje'!P:Q,2,0)</f>
        <v>TOR</v>
      </c>
      <c r="C2629" s="52">
        <v>0.35416666666666669</v>
      </c>
      <c r="D2629" s="52">
        <v>0.3576388888888889</v>
      </c>
      <c r="E2629" s="53">
        <f>'Reclamo de equipaje rediseñado'!$D2629-'Reclamo de equipaje rediseñado'!$C2629</f>
        <v>3.4722222222222099E-3</v>
      </c>
      <c r="F2629" s="52">
        <v>0.35902777777777778</v>
      </c>
      <c r="G2629" s="53">
        <f t="shared" si="41"/>
        <v>1.388888888888884E-3</v>
      </c>
      <c r="H2629" s="54">
        <v>41737</v>
      </c>
      <c r="I2629" s="55" t="s">
        <v>539</v>
      </c>
      <c r="J2629" s="55" t="s">
        <v>604</v>
      </c>
      <c r="K2629" s="55">
        <f>VLOOKUP(J2629,'Validacion reclamo de equipaje'!L:M,2,0)</f>
        <v>50</v>
      </c>
      <c r="L2629" s="55" t="str">
        <f>VLOOKUP(I2629,'Validacion reclamo de equipaje'!H:I,2,0)</f>
        <v>Nacional</v>
      </c>
      <c r="M2629" s="55" t="s">
        <v>523</v>
      </c>
    </row>
    <row r="2630" spans="1:13" x14ac:dyDescent="0.25">
      <c r="A2630">
        <v>21</v>
      </c>
      <c r="B2630" s="47" t="str">
        <f>VLOOKUP(Tabla6[[#This Row],['# Vuelo]],'Validacion reclamo de equipaje'!P:Q,2,0)</f>
        <v>TOR</v>
      </c>
      <c r="C2630" s="48">
        <v>0.3520833333333333</v>
      </c>
      <c r="D2630" s="48">
        <v>0.35972222222222222</v>
      </c>
      <c r="E2630" s="49">
        <f>'Reclamo de equipaje rediseñado'!$D2630-'Reclamo de equipaje rediseñado'!$C2630</f>
        <v>7.6388888888889173E-3</v>
      </c>
      <c r="F2630" s="48">
        <v>0.36041666666666666</v>
      </c>
      <c r="G2630" s="49">
        <f t="shared" si="41"/>
        <v>6.9444444444444198E-4</v>
      </c>
      <c r="H2630" s="50">
        <v>41742</v>
      </c>
      <c r="I2630" s="51" t="s">
        <v>539</v>
      </c>
      <c r="J2630" s="51" t="s">
        <v>604</v>
      </c>
      <c r="K2630" s="51">
        <f>VLOOKUP(J2630,'Validacion reclamo de equipaje'!L:M,2,0)</f>
        <v>50</v>
      </c>
      <c r="L2630" s="51" t="str">
        <f>VLOOKUP(I2630,'Validacion reclamo de equipaje'!H:I,2,0)</f>
        <v>Nacional</v>
      </c>
      <c r="M2630" s="51" t="s">
        <v>523</v>
      </c>
    </row>
    <row r="2631" spans="1:13" x14ac:dyDescent="0.25">
      <c r="A2631">
        <v>25</v>
      </c>
      <c r="B2631" s="47" t="str">
        <f>VLOOKUP(Tabla6[[#This Row],['# Vuelo]],'Validacion reclamo de equipaje'!P:Q,2,0)</f>
        <v>TOR</v>
      </c>
      <c r="C2631" s="52">
        <v>0.5541666666666667</v>
      </c>
      <c r="D2631" s="52">
        <v>0.55555555555555558</v>
      </c>
      <c r="E2631" s="53">
        <f>'Reclamo de equipaje rediseñado'!$D2631-'Reclamo de equipaje rediseñado'!$C2631</f>
        <v>1.388888888888884E-3</v>
      </c>
      <c r="F2631" s="52">
        <v>0.55833333333333335</v>
      </c>
      <c r="G2631" s="53">
        <f t="shared" si="41"/>
        <v>2.7777777777777679E-3</v>
      </c>
      <c r="H2631" s="54">
        <v>41738</v>
      </c>
      <c r="I2631" s="55" t="s">
        <v>539</v>
      </c>
      <c r="J2631" s="55" t="s">
        <v>604</v>
      </c>
      <c r="K2631" s="55">
        <f>VLOOKUP(J2631,'Validacion reclamo de equipaje'!L:M,2,0)</f>
        <v>50</v>
      </c>
      <c r="L2631" s="55" t="str">
        <f>VLOOKUP(I2631,'Validacion reclamo de equipaje'!H:I,2,0)</f>
        <v>Nacional</v>
      </c>
      <c r="M2631" s="55" t="s">
        <v>523</v>
      </c>
    </row>
    <row r="2632" spans="1:13" x14ac:dyDescent="0.25">
      <c r="A2632">
        <v>25</v>
      </c>
      <c r="B2632" s="47" t="str">
        <f>VLOOKUP(Tabla6[[#This Row],['# Vuelo]],'Validacion reclamo de equipaje'!P:Q,2,0)</f>
        <v>TOR</v>
      </c>
      <c r="C2632" s="48">
        <v>0.57638888888888895</v>
      </c>
      <c r="D2632" s="48">
        <v>0.58680555555555558</v>
      </c>
      <c r="E2632" s="49">
        <f>'Reclamo de equipaje rediseñado'!$D2632-'Reclamo de equipaje rediseñado'!$C2632</f>
        <v>1.041666666666663E-2</v>
      </c>
      <c r="F2632" s="48">
        <v>0.58750000000000002</v>
      </c>
      <c r="G2632" s="49">
        <f t="shared" si="41"/>
        <v>6.9444444444444198E-4</v>
      </c>
      <c r="H2632" s="50">
        <v>41741</v>
      </c>
      <c r="I2632" s="51" t="s">
        <v>539</v>
      </c>
      <c r="J2632" s="51" t="s">
        <v>604</v>
      </c>
      <c r="K2632" s="51">
        <f>VLOOKUP(J2632,'Validacion reclamo de equipaje'!L:M,2,0)</f>
        <v>50</v>
      </c>
      <c r="L2632" s="51" t="str">
        <f>VLOOKUP(I2632,'Validacion reclamo de equipaje'!H:I,2,0)</f>
        <v>Nacional</v>
      </c>
      <c r="M2632" s="51" t="s">
        <v>523</v>
      </c>
    </row>
    <row r="2633" spans="1:13" x14ac:dyDescent="0.25">
      <c r="A2633">
        <v>25</v>
      </c>
      <c r="B2633" s="47" t="str">
        <f>VLOOKUP(Tabla6[[#This Row],['# Vuelo]],'Validacion reclamo de equipaje'!P:Q,2,0)</f>
        <v>TOR</v>
      </c>
      <c r="C2633" s="52">
        <v>0.40972222222222227</v>
      </c>
      <c r="D2633" s="52">
        <v>0.41319444444444442</v>
      </c>
      <c r="E2633" s="53">
        <f>'Reclamo de equipaje rediseñado'!$D2633-'Reclamo de equipaje rediseñado'!$C2633</f>
        <v>3.4722222222221544E-3</v>
      </c>
      <c r="F2633" s="52">
        <v>0.4152777777777778</v>
      </c>
      <c r="G2633" s="53">
        <f t="shared" si="41"/>
        <v>2.0833333333333814E-3</v>
      </c>
      <c r="H2633" s="54">
        <v>41746</v>
      </c>
      <c r="I2633" s="55" t="s">
        <v>539</v>
      </c>
      <c r="J2633" s="55" t="s">
        <v>604</v>
      </c>
      <c r="K2633" s="55">
        <f>VLOOKUP(J2633,'Validacion reclamo de equipaje'!L:M,2,0)</f>
        <v>50</v>
      </c>
      <c r="L2633" s="55" t="str">
        <f>VLOOKUP(I2633,'Validacion reclamo de equipaje'!H:I,2,0)</f>
        <v>Nacional</v>
      </c>
      <c r="M2633" s="55" t="s">
        <v>523</v>
      </c>
    </row>
    <row r="2634" spans="1:13" x14ac:dyDescent="0.25">
      <c r="A2634">
        <v>25</v>
      </c>
      <c r="B2634" s="47" t="str">
        <f>VLOOKUP(Tabla6[[#This Row],['# Vuelo]],'Validacion reclamo de equipaje'!P:Q,2,0)</f>
        <v>TOR</v>
      </c>
      <c r="C2634" s="48">
        <v>0.40972222222222227</v>
      </c>
      <c r="D2634" s="48">
        <v>0.41250000000000003</v>
      </c>
      <c r="E2634" s="49">
        <f>'Reclamo de equipaje rediseñado'!$D2634-'Reclamo de equipaje rediseñado'!$C2634</f>
        <v>2.7777777777777679E-3</v>
      </c>
      <c r="F2634" s="48">
        <v>0.41944444444444445</v>
      </c>
      <c r="G2634" s="49">
        <f t="shared" si="41"/>
        <v>6.9444444444444198E-3</v>
      </c>
      <c r="H2634" s="50">
        <v>41747</v>
      </c>
      <c r="I2634" s="51" t="s">
        <v>539</v>
      </c>
      <c r="J2634" s="51" t="s">
        <v>604</v>
      </c>
      <c r="K2634" s="51">
        <f>VLOOKUP(J2634,'Validacion reclamo de equipaje'!L:M,2,0)</f>
        <v>50</v>
      </c>
      <c r="L2634" s="51" t="str">
        <f>VLOOKUP(I2634,'Validacion reclamo de equipaje'!H:I,2,0)</f>
        <v>Nacional</v>
      </c>
      <c r="M2634" s="51" t="s">
        <v>523</v>
      </c>
    </row>
    <row r="2635" spans="1:13" x14ac:dyDescent="0.25">
      <c r="A2635">
        <v>25</v>
      </c>
      <c r="B2635" s="47" t="str">
        <f>VLOOKUP(Tabla6[[#This Row],['# Vuelo]],'Validacion reclamo de equipaje'!P:Q,2,0)</f>
        <v>TOR</v>
      </c>
      <c r="C2635" s="52">
        <v>0.4055555555555555</v>
      </c>
      <c r="D2635" s="52">
        <v>0.40972222222222227</v>
      </c>
      <c r="E2635" s="53">
        <f>'Reclamo de equipaje rediseñado'!$D2635-'Reclamo de equipaje rediseñado'!$C2635</f>
        <v>4.1666666666667629E-3</v>
      </c>
      <c r="F2635" s="52">
        <v>0.41180555555555554</v>
      </c>
      <c r="G2635" s="53">
        <f t="shared" si="41"/>
        <v>2.0833333333332704E-3</v>
      </c>
      <c r="H2635" s="54">
        <v>41748</v>
      </c>
      <c r="I2635" s="55" t="s">
        <v>539</v>
      </c>
      <c r="J2635" s="55" t="s">
        <v>604</v>
      </c>
      <c r="K2635" s="55">
        <f>VLOOKUP(J2635,'Validacion reclamo de equipaje'!L:M,2,0)</f>
        <v>50</v>
      </c>
      <c r="L2635" s="55" t="str">
        <f>VLOOKUP(I2635,'Validacion reclamo de equipaje'!H:I,2,0)</f>
        <v>Nacional</v>
      </c>
      <c r="M2635" s="55" t="s">
        <v>523</v>
      </c>
    </row>
    <row r="2636" spans="1:13" x14ac:dyDescent="0.25">
      <c r="A2636">
        <v>25</v>
      </c>
      <c r="B2636" s="47" t="str">
        <f>VLOOKUP(Tabla6[[#This Row],['# Vuelo]],'Validacion reclamo de equipaje'!P:Q,2,0)</f>
        <v>TOR</v>
      </c>
      <c r="C2636" s="48">
        <v>0.41250000000000003</v>
      </c>
      <c r="D2636" s="48">
        <v>0.4201388888888889</v>
      </c>
      <c r="E2636" s="49">
        <f>'Reclamo de equipaje rediseñado'!$D2636-'Reclamo de equipaje rediseñado'!$C2636</f>
        <v>7.6388888888888618E-3</v>
      </c>
      <c r="F2636" s="48">
        <v>0.4236111111111111</v>
      </c>
      <c r="G2636" s="49">
        <f t="shared" si="41"/>
        <v>3.4722222222222099E-3</v>
      </c>
      <c r="H2636" s="50">
        <v>41750</v>
      </c>
      <c r="I2636" s="51" t="s">
        <v>539</v>
      </c>
      <c r="J2636" s="51" t="s">
        <v>604</v>
      </c>
      <c r="K2636" s="51">
        <f>VLOOKUP(J2636,'Validacion reclamo de equipaje'!L:M,2,0)</f>
        <v>50</v>
      </c>
      <c r="L2636" s="51" t="str">
        <f>VLOOKUP(I2636,'Validacion reclamo de equipaje'!H:I,2,0)</f>
        <v>Nacional</v>
      </c>
      <c r="M2636" s="51" t="s">
        <v>523</v>
      </c>
    </row>
    <row r="2637" spans="1:13" x14ac:dyDescent="0.25">
      <c r="A2637">
        <v>25</v>
      </c>
      <c r="B2637" s="47" t="str">
        <f>VLOOKUP(Tabla6[[#This Row],['# Vuelo]],'Validacion reclamo de equipaje'!P:Q,2,0)</f>
        <v>TOR</v>
      </c>
      <c r="C2637" s="52">
        <v>0.24374999999999999</v>
      </c>
      <c r="D2637" s="52">
        <v>0.41666666666666669</v>
      </c>
      <c r="E2637" s="53">
        <f>'Reclamo de equipaje rediseñado'!$D2637-'Reclamo de equipaje rediseñado'!$C2637</f>
        <v>0.17291666666666669</v>
      </c>
      <c r="F2637" s="52">
        <v>0.42569444444444443</v>
      </c>
      <c r="G2637" s="53">
        <f t="shared" si="41"/>
        <v>9.0277777777777457E-3</v>
      </c>
      <c r="H2637" s="54">
        <v>41753</v>
      </c>
      <c r="I2637" s="55" t="s">
        <v>539</v>
      </c>
      <c r="J2637" s="55" t="s">
        <v>604</v>
      </c>
      <c r="K2637" s="55">
        <f>VLOOKUP(J2637,'Validacion reclamo de equipaje'!L:M,2,0)</f>
        <v>50</v>
      </c>
      <c r="L2637" s="55" t="str">
        <f>VLOOKUP(I2637,'Validacion reclamo de equipaje'!H:I,2,0)</f>
        <v>Nacional</v>
      </c>
      <c r="M2637" s="55" t="s">
        <v>523</v>
      </c>
    </row>
    <row r="2638" spans="1:13" x14ac:dyDescent="0.25">
      <c r="A2638">
        <v>25</v>
      </c>
      <c r="B2638" s="47" t="str">
        <f>VLOOKUP(Tabla6[[#This Row],['# Vuelo]],'Validacion reclamo de equipaje'!P:Q,2,0)</f>
        <v>TOR</v>
      </c>
      <c r="C2638" s="48">
        <v>0.40069444444444446</v>
      </c>
      <c r="D2638" s="48">
        <v>0.40625</v>
      </c>
      <c r="E2638" s="49">
        <f>'Reclamo de equipaje rediseñado'!$D2638-'Reclamo de equipaje rediseñado'!$C2638</f>
        <v>5.5555555555555358E-3</v>
      </c>
      <c r="F2638" s="48">
        <v>0.40833333333333338</v>
      </c>
      <c r="G2638" s="49">
        <f t="shared" si="41"/>
        <v>2.0833333333333814E-3</v>
      </c>
      <c r="H2638" s="50">
        <v>41754</v>
      </c>
      <c r="I2638" s="51" t="s">
        <v>539</v>
      </c>
      <c r="J2638" s="51" t="s">
        <v>604</v>
      </c>
      <c r="K2638" s="51">
        <f>VLOOKUP(J2638,'Validacion reclamo de equipaje'!L:M,2,0)</f>
        <v>50</v>
      </c>
      <c r="L2638" s="51" t="str">
        <f>VLOOKUP(I2638,'Validacion reclamo de equipaje'!H:I,2,0)</f>
        <v>Nacional</v>
      </c>
      <c r="M2638" s="51" t="s">
        <v>523</v>
      </c>
    </row>
    <row r="2639" spans="1:13" x14ac:dyDescent="0.25">
      <c r="A2639">
        <v>25</v>
      </c>
      <c r="B2639" s="47" t="str">
        <f>VLOOKUP(Tabla6[[#This Row],['# Vuelo]],'Validacion reclamo de equipaje'!P:Q,2,0)</f>
        <v>TOR</v>
      </c>
      <c r="C2639" s="52">
        <v>0.40486111111111112</v>
      </c>
      <c r="D2639" s="52">
        <v>0.41111111111111115</v>
      </c>
      <c r="E2639" s="53">
        <f>'Reclamo de equipaje rediseñado'!$D2639-'Reclamo de equipaje rediseñado'!$C2639</f>
        <v>6.2500000000000333E-3</v>
      </c>
      <c r="F2639" s="52">
        <v>0.41319444444444442</v>
      </c>
      <c r="G2639" s="53">
        <f t="shared" si="41"/>
        <v>2.0833333333332704E-3</v>
      </c>
      <c r="H2639" s="54">
        <v>41757</v>
      </c>
      <c r="I2639" s="55" t="s">
        <v>539</v>
      </c>
      <c r="J2639" s="55" t="s">
        <v>604</v>
      </c>
      <c r="K2639" s="55">
        <f>VLOOKUP(J2639,'Validacion reclamo de equipaje'!L:M,2,0)</f>
        <v>50</v>
      </c>
      <c r="L2639" s="55" t="str">
        <f>VLOOKUP(I2639,'Validacion reclamo de equipaje'!H:I,2,0)</f>
        <v>Nacional</v>
      </c>
      <c r="M2639" s="55" t="s">
        <v>523</v>
      </c>
    </row>
    <row r="2640" spans="1:13" x14ac:dyDescent="0.25">
      <c r="A2640">
        <v>26</v>
      </c>
      <c r="B2640" s="47" t="str">
        <f>VLOOKUP(Tabla6[[#This Row],['# Vuelo]],'Validacion reclamo de equipaje'!P:Q,2,0)</f>
        <v>TOR</v>
      </c>
      <c r="C2640" s="48">
        <v>0.72222222222222221</v>
      </c>
      <c r="D2640" s="48">
        <v>0.72916666666666663</v>
      </c>
      <c r="E2640" s="49">
        <f>'Reclamo de equipaje rediseñado'!$D2640-'Reclamo de equipaje rediseñado'!$C2640</f>
        <v>6.9444444444444198E-3</v>
      </c>
      <c r="F2640" s="48">
        <v>0.73472222222222217</v>
      </c>
      <c r="G2640" s="49">
        <f t="shared" si="41"/>
        <v>5.5555555555555358E-3</v>
      </c>
      <c r="H2640" s="50">
        <v>41735</v>
      </c>
      <c r="I2640" s="51" t="s">
        <v>544</v>
      </c>
      <c r="J2640" s="51" t="s">
        <v>604</v>
      </c>
      <c r="K2640" s="51">
        <f>VLOOKUP(J2640,'Validacion reclamo de equipaje'!L:M,2,0)</f>
        <v>50</v>
      </c>
      <c r="L2640" s="51" t="str">
        <f>VLOOKUP(I2640,'Validacion reclamo de equipaje'!H:I,2,0)</f>
        <v>Nacional</v>
      </c>
      <c r="M2640" s="51" t="s">
        <v>523</v>
      </c>
    </row>
    <row r="2641" spans="1:13" x14ac:dyDescent="0.25">
      <c r="A2641">
        <v>26</v>
      </c>
      <c r="B2641" s="47" t="str">
        <f>VLOOKUP(Tabla6[[#This Row],['# Vuelo]],'Validacion reclamo de equipaje'!P:Q,2,0)</f>
        <v>TOR</v>
      </c>
      <c r="C2641" s="52">
        <v>0.72430555555555554</v>
      </c>
      <c r="D2641" s="52">
        <v>0.73263888888888884</v>
      </c>
      <c r="E2641" s="53">
        <f>'Reclamo de equipaje rediseñado'!$D2641-'Reclamo de equipaje rediseñado'!$C2641</f>
        <v>8.3333333333333037E-3</v>
      </c>
      <c r="F2641" s="52">
        <v>0.73472222222222217</v>
      </c>
      <c r="G2641" s="53">
        <f t="shared" si="41"/>
        <v>2.0833333333333259E-3</v>
      </c>
      <c r="H2641" s="54">
        <v>41736</v>
      </c>
      <c r="I2641" s="55" t="s">
        <v>544</v>
      </c>
      <c r="J2641" s="55" t="s">
        <v>604</v>
      </c>
      <c r="K2641" s="55">
        <f>VLOOKUP(J2641,'Validacion reclamo de equipaje'!L:M,2,0)</f>
        <v>50</v>
      </c>
      <c r="L2641" s="55" t="str">
        <f>VLOOKUP(I2641,'Validacion reclamo de equipaje'!H:I,2,0)</f>
        <v>Nacional</v>
      </c>
      <c r="M2641" s="55" t="s">
        <v>523</v>
      </c>
    </row>
    <row r="2642" spans="1:13" x14ac:dyDescent="0.25">
      <c r="A2642">
        <v>26</v>
      </c>
      <c r="B2642" s="47" t="str">
        <f>VLOOKUP(Tabla6[[#This Row],['# Vuelo]],'Validacion reclamo de equipaje'!P:Q,2,0)</f>
        <v>TOR</v>
      </c>
      <c r="C2642" s="48">
        <v>0.72222222222222221</v>
      </c>
      <c r="D2642" s="48">
        <v>0.72361111111111109</v>
      </c>
      <c r="E2642" s="49">
        <f>'Reclamo de equipaje rediseñado'!$D2642-'Reclamo de equipaje rediseñado'!$C2642</f>
        <v>1.388888888888884E-3</v>
      </c>
      <c r="F2642" s="48">
        <v>0.72569444444444453</v>
      </c>
      <c r="G2642" s="49">
        <f t="shared" si="41"/>
        <v>2.083333333333437E-3</v>
      </c>
      <c r="H2642" s="50">
        <v>41738</v>
      </c>
      <c r="I2642" s="51" t="s">
        <v>544</v>
      </c>
      <c r="J2642" s="51" t="s">
        <v>604</v>
      </c>
      <c r="K2642" s="51">
        <f>VLOOKUP(J2642,'Validacion reclamo de equipaje'!L:M,2,0)</f>
        <v>50</v>
      </c>
      <c r="L2642" s="51" t="str">
        <f>VLOOKUP(I2642,'Validacion reclamo de equipaje'!H:I,2,0)</f>
        <v>Nacional</v>
      </c>
      <c r="M2642" s="51" t="s">
        <v>523</v>
      </c>
    </row>
    <row r="2643" spans="1:13" x14ac:dyDescent="0.25">
      <c r="A2643">
        <v>26</v>
      </c>
      <c r="B2643" s="47" t="str">
        <f>VLOOKUP(Tabla6[[#This Row],['# Vuelo]],'Validacion reclamo de equipaje'!P:Q,2,0)</f>
        <v>TOR</v>
      </c>
      <c r="C2643" s="52">
        <v>0.72916666666666663</v>
      </c>
      <c r="D2643" s="52">
        <v>0.73263888888888884</v>
      </c>
      <c r="E2643" s="53">
        <f>'Reclamo de equipaje rediseñado'!$D2643-'Reclamo de equipaje rediseñado'!$C2643</f>
        <v>3.4722222222222099E-3</v>
      </c>
      <c r="F2643" s="52">
        <v>0.73611111111111116</v>
      </c>
      <c r="G2643" s="53">
        <f t="shared" si="41"/>
        <v>3.4722222222223209E-3</v>
      </c>
      <c r="H2643" s="54">
        <v>41741</v>
      </c>
      <c r="I2643" s="55" t="s">
        <v>544</v>
      </c>
      <c r="J2643" s="55" t="s">
        <v>604</v>
      </c>
      <c r="K2643" s="55">
        <f>VLOOKUP(J2643,'Validacion reclamo de equipaje'!L:M,2,0)</f>
        <v>50</v>
      </c>
      <c r="L2643" s="55" t="str">
        <f>VLOOKUP(I2643,'Validacion reclamo de equipaje'!H:I,2,0)</f>
        <v>Nacional</v>
      </c>
      <c r="M2643" s="55" t="s">
        <v>523</v>
      </c>
    </row>
    <row r="2644" spans="1:13" x14ac:dyDescent="0.25">
      <c r="A2644">
        <v>26</v>
      </c>
      <c r="B2644" s="47" t="str">
        <f>VLOOKUP(Tabla6[[#This Row],['# Vuelo]],'Validacion reclamo de equipaje'!P:Q,2,0)</f>
        <v>TOR</v>
      </c>
      <c r="C2644" s="48">
        <v>0.5805555555555556</v>
      </c>
      <c r="D2644" s="48">
        <v>0.58750000000000002</v>
      </c>
      <c r="E2644" s="49">
        <f>'Reclamo de equipaje rediseñado'!$D2644-'Reclamo de equipaje rediseñado'!$C2644</f>
        <v>6.9444444444444198E-3</v>
      </c>
      <c r="F2644" s="48">
        <v>0.59027777777777779</v>
      </c>
      <c r="G2644" s="49">
        <f t="shared" si="41"/>
        <v>2.7777777777777679E-3</v>
      </c>
      <c r="H2644" s="50">
        <v>41743</v>
      </c>
      <c r="I2644" s="51" t="s">
        <v>544</v>
      </c>
      <c r="J2644" s="51" t="s">
        <v>604</v>
      </c>
      <c r="K2644" s="51">
        <f>VLOOKUP(J2644,'Validacion reclamo de equipaje'!L:M,2,0)</f>
        <v>50</v>
      </c>
      <c r="L2644" s="51" t="str">
        <f>VLOOKUP(I2644,'Validacion reclamo de equipaje'!H:I,2,0)</f>
        <v>Nacional</v>
      </c>
      <c r="M2644" s="51" t="s">
        <v>523</v>
      </c>
    </row>
    <row r="2645" spans="1:13" x14ac:dyDescent="0.25">
      <c r="A2645">
        <v>26</v>
      </c>
      <c r="B2645" s="47" t="str">
        <f>VLOOKUP(Tabla6[[#This Row],['# Vuelo]],'Validacion reclamo de equipaje'!P:Q,2,0)</f>
        <v>TOR</v>
      </c>
      <c r="C2645" s="52">
        <v>0.56944444444444442</v>
      </c>
      <c r="D2645" s="52">
        <v>0.57638888888888895</v>
      </c>
      <c r="E2645" s="53">
        <f>'Reclamo de equipaje rediseñado'!$D2645-'Reclamo de equipaje rediseñado'!$C2645</f>
        <v>6.9444444444445308E-3</v>
      </c>
      <c r="F2645" s="52">
        <v>0.57986111111111105</v>
      </c>
      <c r="G2645" s="53">
        <f t="shared" si="41"/>
        <v>3.4722222222220989E-3</v>
      </c>
      <c r="H2645" s="54">
        <v>41746</v>
      </c>
      <c r="I2645" s="55" t="s">
        <v>544</v>
      </c>
      <c r="J2645" s="55" t="s">
        <v>604</v>
      </c>
      <c r="K2645" s="55">
        <f>VLOOKUP(J2645,'Validacion reclamo de equipaje'!L:M,2,0)</f>
        <v>50</v>
      </c>
      <c r="L2645" s="55" t="str">
        <f>VLOOKUP(I2645,'Validacion reclamo de equipaje'!H:I,2,0)</f>
        <v>Nacional</v>
      </c>
      <c r="M2645" s="55" t="s">
        <v>523</v>
      </c>
    </row>
    <row r="2646" spans="1:13" x14ac:dyDescent="0.25">
      <c r="A2646">
        <v>26</v>
      </c>
      <c r="B2646" s="47" t="str">
        <f>VLOOKUP(Tabla6[[#This Row],['# Vuelo]],'Validacion reclamo de equipaje'!P:Q,2,0)</f>
        <v>TOR</v>
      </c>
      <c r="C2646" s="48">
        <v>0.57430555555555551</v>
      </c>
      <c r="D2646" s="48">
        <v>0.57986111111111105</v>
      </c>
      <c r="E2646" s="49">
        <f>'Reclamo de equipaje rediseñado'!$D2646-'Reclamo de equipaje rediseñado'!$C2646</f>
        <v>5.5555555555555358E-3</v>
      </c>
      <c r="F2646" s="48">
        <v>0.58263888888888882</v>
      </c>
      <c r="G2646" s="49">
        <f t="shared" si="41"/>
        <v>2.7777777777777679E-3</v>
      </c>
      <c r="H2646" s="50">
        <v>41747</v>
      </c>
      <c r="I2646" s="51" t="s">
        <v>544</v>
      </c>
      <c r="J2646" s="51" t="s">
        <v>604</v>
      </c>
      <c r="K2646" s="51">
        <f>VLOOKUP(J2646,'Validacion reclamo de equipaje'!L:M,2,0)</f>
        <v>50</v>
      </c>
      <c r="L2646" s="51" t="str">
        <f>VLOOKUP(I2646,'Validacion reclamo de equipaje'!H:I,2,0)</f>
        <v>Nacional</v>
      </c>
      <c r="M2646" s="51" t="s">
        <v>523</v>
      </c>
    </row>
    <row r="2647" spans="1:13" x14ac:dyDescent="0.25">
      <c r="A2647">
        <v>26</v>
      </c>
      <c r="B2647" s="47" t="str">
        <f>VLOOKUP(Tabla6[[#This Row],['# Vuelo]],'Validacion reclamo de equipaje'!P:Q,2,0)</f>
        <v>TOR</v>
      </c>
      <c r="C2647" s="52">
        <v>0.5708333333333333</v>
      </c>
      <c r="D2647" s="52">
        <v>0.57986111111111105</v>
      </c>
      <c r="E2647" s="53">
        <f>'Reclamo de equipaje rediseñado'!$D2647-'Reclamo de equipaje rediseñado'!$C2647</f>
        <v>9.0277777777777457E-3</v>
      </c>
      <c r="F2647" s="52">
        <v>0.58402777777777781</v>
      </c>
      <c r="G2647" s="53">
        <f t="shared" si="41"/>
        <v>4.1666666666667629E-3</v>
      </c>
      <c r="H2647" s="54">
        <v>41748</v>
      </c>
      <c r="I2647" s="55" t="s">
        <v>544</v>
      </c>
      <c r="J2647" s="55" t="s">
        <v>604</v>
      </c>
      <c r="K2647" s="55">
        <f>VLOOKUP(J2647,'Validacion reclamo de equipaje'!L:M,2,0)</f>
        <v>50</v>
      </c>
      <c r="L2647" s="55" t="str">
        <f>VLOOKUP(I2647,'Validacion reclamo de equipaje'!H:I,2,0)</f>
        <v>Nacional</v>
      </c>
      <c r="M2647" s="55" t="s">
        <v>523</v>
      </c>
    </row>
    <row r="2648" spans="1:13" x14ac:dyDescent="0.25">
      <c r="A2648">
        <v>26</v>
      </c>
      <c r="B2648" s="47" t="str">
        <f>VLOOKUP(Tabla6[[#This Row],['# Vuelo]],'Validacion reclamo de equipaje'!P:Q,2,0)</f>
        <v>TOR</v>
      </c>
      <c r="C2648" s="48">
        <v>0.5625</v>
      </c>
      <c r="D2648" s="48">
        <v>0.56944444444444442</v>
      </c>
      <c r="E2648" s="49">
        <f>'Reclamo de equipaje rediseñado'!$D2648-'Reclamo de equipaje rediseñado'!$C2648</f>
        <v>6.9444444444444198E-3</v>
      </c>
      <c r="F2648" s="48">
        <v>0.57638888888888895</v>
      </c>
      <c r="G2648" s="49">
        <f t="shared" si="41"/>
        <v>6.9444444444445308E-3</v>
      </c>
      <c r="H2648" s="50">
        <v>41750</v>
      </c>
      <c r="I2648" s="51" t="s">
        <v>544</v>
      </c>
      <c r="J2648" s="51" t="s">
        <v>604</v>
      </c>
      <c r="K2648" s="51">
        <f>VLOOKUP(J2648,'Validacion reclamo de equipaje'!L:M,2,0)</f>
        <v>50</v>
      </c>
      <c r="L2648" s="51" t="str">
        <f>VLOOKUP(I2648,'Validacion reclamo de equipaje'!H:I,2,0)</f>
        <v>Nacional</v>
      </c>
      <c r="M2648" s="51" t="s">
        <v>523</v>
      </c>
    </row>
    <row r="2649" spans="1:13" x14ac:dyDescent="0.25">
      <c r="A2649">
        <v>26</v>
      </c>
      <c r="B2649" s="47" t="str">
        <f>VLOOKUP(Tabla6[[#This Row],['# Vuelo]],'Validacion reclamo de equipaje'!P:Q,2,0)</f>
        <v>TOR</v>
      </c>
      <c r="C2649" s="52">
        <v>0.57361111111111118</v>
      </c>
      <c r="D2649" s="52">
        <v>0.58333333333333337</v>
      </c>
      <c r="E2649" s="53">
        <f>'Reclamo de equipaje rediseñado'!$D2649-'Reclamo de equipaje rediseñado'!$C2649</f>
        <v>9.7222222222221877E-3</v>
      </c>
      <c r="F2649" s="52">
        <v>0.59097222222222223</v>
      </c>
      <c r="G2649" s="53">
        <f t="shared" si="41"/>
        <v>7.6388888888888618E-3</v>
      </c>
      <c r="H2649" s="54">
        <v>41753</v>
      </c>
      <c r="I2649" s="55" t="s">
        <v>544</v>
      </c>
      <c r="J2649" s="55" t="s">
        <v>604</v>
      </c>
      <c r="K2649" s="55">
        <f>VLOOKUP(J2649,'Validacion reclamo de equipaje'!L:M,2,0)</f>
        <v>50</v>
      </c>
      <c r="L2649" s="55" t="str">
        <f>VLOOKUP(I2649,'Validacion reclamo de equipaje'!H:I,2,0)</f>
        <v>Nacional</v>
      </c>
      <c r="M2649" s="55" t="s">
        <v>523</v>
      </c>
    </row>
    <row r="2650" spans="1:13" x14ac:dyDescent="0.25">
      <c r="A2650">
        <v>26</v>
      </c>
      <c r="B2650" s="47" t="str">
        <f>VLOOKUP(Tabla6[[#This Row],['# Vuelo]],'Validacion reclamo de equipaje'!P:Q,2,0)</f>
        <v>TOR</v>
      </c>
      <c r="C2650" s="48">
        <v>0.56944444444444442</v>
      </c>
      <c r="D2650" s="48">
        <v>0.5756944444444444</v>
      </c>
      <c r="E2650" s="49">
        <f>'Reclamo de equipaje rediseñado'!$D2650-'Reclamo de equipaje rediseñado'!$C2650</f>
        <v>6.2499999999999778E-3</v>
      </c>
      <c r="F2650" s="48">
        <v>0.57777777777777783</v>
      </c>
      <c r="G2650" s="49">
        <f t="shared" si="41"/>
        <v>2.083333333333437E-3</v>
      </c>
      <c r="H2650" s="50">
        <v>41754</v>
      </c>
      <c r="I2650" s="51" t="s">
        <v>544</v>
      </c>
      <c r="J2650" s="51" t="s">
        <v>604</v>
      </c>
      <c r="K2650" s="51">
        <f>VLOOKUP(J2650,'Validacion reclamo de equipaje'!L:M,2,0)</f>
        <v>50</v>
      </c>
      <c r="L2650" s="51" t="str">
        <f>VLOOKUP(I2650,'Validacion reclamo de equipaje'!H:I,2,0)</f>
        <v>Nacional</v>
      </c>
      <c r="M2650" s="51" t="s">
        <v>523</v>
      </c>
    </row>
    <row r="2651" spans="1:13" x14ac:dyDescent="0.25">
      <c r="A2651">
        <v>26</v>
      </c>
      <c r="B2651" s="47" t="str">
        <f>VLOOKUP(Tabla6[[#This Row],['# Vuelo]],'Validacion reclamo de equipaje'!P:Q,2,0)</f>
        <v>TOR</v>
      </c>
      <c r="C2651" s="52">
        <v>0.5756944444444444</v>
      </c>
      <c r="D2651" s="52">
        <v>0.58472222222222225</v>
      </c>
      <c r="E2651" s="53">
        <f>'Reclamo de equipaje rediseñado'!$D2651-'Reclamo de equipaje rediseñado'!$C2651</f>
        <v>9.0277777777778567E-3</v>
      </c>
      <c r="F2651" s="52">
        <v>0.59027777777777779</v>
      </c>
      <c r="G2651" s="53">
        <f t="shared" si="41"/>
        <v>5.5555555555555358E-3</v>
      </c>
      <c r="H2651" s="54">
        <v>41756</v>
      </c>
      <c r="I2651" s="55" t="s">
        <v>544</v>
      </c>
      <c r="J2651" s="55" t="s">
        <v>604</v>
      </c>
      <c r="K2651" s="55">
        <f>VLOOKUP(J2651,'Validacion reclamo de equipaje'!L:M,2,0)</f>
        <v>50</v>
      </c>
      <c r="L2651" s="55" t="str">
        <f>VLOOKUP(I2651,'Validacion reclamo de equipaje'!H:I,2,0)</f>
        <v>Nacional</v>
      </c>
      <c r="M2651" s="55" t="s">
        <v>523</v>
      </c>
    </row>
    <row r="2652" spans="1:13" x14ac:dyDescent="0.25">
      <c r="A2652">
        <v>26</v>
      </c>
      <c r="B2652" s="47" t="str">
        <f>VLOOKUP(Tabla6[[#This Row],['# Vuelo]],'Validacion reclamo de equipaje'!P:Q,2,0)</f>
        <v>TOR</v>
      </c>
      <c r="C2652" s="48">
        <v>0.56736111111111109</v>
      </c>
      <c r="D2652" s="48">
        <v>0.5756944444444444</v>
      </c>
      <c r="E2652" s="49">
        <f>'Reclamo de equipaje rediseñado'!$D2652-'Reclamo de equipaje rediseñado'!$C2652</f>
        <v>8.3333333333333037E-3</v>
      </c>
      <c r="F2652" s="48">
        <v>0.57777777777777783</v>
      </c>
      <c r="G2652" s="49">
        <f t="shared" si="41"/>
        <v>2.083333333333437E-3</v>
      </c>
      <c r="H2652" s="50">
        <v>41757</v>
      </c>
      <c r="I2652" s="51" t="s">
        <v>544</v>
      </c>
      <c r="J2652" s="51" t="s">
        <v>604</v>
      </c>
      <c r="K2652" s="51">
        <f>VLOOKUP(J2652,'Validacion reclamo de equipaje'!L:M,2,0)</f>
        <v>50</v>
      </c>
      <c r="L2652" s="51" t="str">
        <f>VLOOKUP(I2652,'Validacion reclamo de equipaje'!H:I,2,0)</f>
        <v>Nacional</v>
      </c>
      <c r="M2652" s="51" t="s">
        <v>523</v>
      </c>
    </row>
    <row r="2653" spans="1:13" x14ac:dyDescent="0.25">
      <c r="A2653">
        <v>28</v>
      </c>
      <c r="B2653" s="47" t="str">
        <f>VLOOKUP(Tabla6[[#This Row],['# Vuelo]],'Validacion reclamo de equipaje'!P:Q,2,0)</f>
        <v>TOR</v>
      </c>
      <c r="C2653" s="52">
        <v>0.54513888888888895</v>
      </c>
      <c r="D2653" s="52">
        <v>0.54583333333333328</v>
      </c>
      <c r="E2653" s="53">
        <f>'Reclamo de equipaje rediseñado'!$D2653-'Reclamo de equipaje rediseñado'!$C2653</f>
        <v>6.9444444444433095E-4</v>
      </c>
      <c r="F2653" s="52">
        <v>0.54722222222222217</v>
      </c>
      <c r="G2653" s="53">
        <f t="shared" si="41"/>
        <v>1.388888888888884E-3</v>
      </c>
      <c r="H2653" s="54">
        <v>41732</v>
      </c>
      <c r="I2653" s="55" t="s">
        <v>544</v>
      </c>
      <c r="J2653" s="55" t="s">
        <v>604</v>
      </c>
      <c r="K2653" s="55">
        <f>VLOOKUP(J2653,'Validacion reclamo de equipaje'!L:M,2,0)</f>
        <v>50</v>
      </c>
      <c r="L2653" s="55" t="str">
        <f>VLOOKUP(I2653,'Validacion reclamo de equipaje'!H:I,2,0)</f>
        <v>Nacional</v>
      </c>
      <c r="M2653" s="55" t="s">
        <v>523</v>
      </c>
    </row>
    <row r="2654" spans="1:13" x14ac:dyDescent="0.25">
      <c r="A2654">
        <v>28</v>
      </c>
      <c r="B2654" s="47" t="str">
        <f>VLOOKUP(Tabla6[[#This Row],['# Vuelo]],'Validacion reclamo de equipaje'!P:Q,2,0)</f>
        <v>TOR</v>
      </c>
      <c r="C2654" s="48">
        <v>0.54097222222222219</v>
      </c>
      <c r="D2654" s="48">
        <v>0.54791666666666672</v>
      </c>
      <c r="E2654" s="49">
        <f>'Reclamo de equipaje rediseñado'!$D2654-'Reclamo de equipaje rediseñado'!$C2654</f>
        <v>6.9444444444445308E-3</v>
      </c>
      <c r="F2654" s="48">
        <v>0.54999999999999993</v>
      </c>
      <c r="G2654" s="49">
        <f t="shared" si="41"/>
        <v>2.0833333333332149E-3</v>
      </c>
      <c r="H2654" s="50">
        <v>41733</v>
      </c>
      <c r="I2654" s="51" t="s">
        <v>544</v>
      </c>
      <c r="J2654" s="51" t="s">
        <v>604</v>
      </c>
      <c r="K2654" s="51">
        <f>VLOOKUP(J2654,'Validacion reclamo de equipaje'!L:M,2,0)</f>
        <v>50</v>
      </c>
      <c r="L2654" s="51" t="str">
        <f>VLOOKUP(I2654,'Validacion reclamo de equipaje'!H:I,2,0)</f>
        <v>Nacional</v>
      </c>
      <c r="M2654" s="51" t="s">
        <v>523</v>
      </c>
    </row>
    <row r="2655" spans="1:13" x14ac:dyDescent="0.25">
      <c r="A2655">
        <v>28</v>
      </c>
      <c r="B2655" s="47" t="str">
        <f>VLOOKUP(Tabla6[[#This Row],['# Vuelo]],'Validacion reclamo de equipaje'!P:Q,2,0)</f>
        <v>TOR</v>
      </c>
      <c r="C2655" s="52">
        <v>0.55138888888888882</v>
      </c>
      <c r="D2655" s="52">
        <v>0.55555555555555558</v>
      </c>
      <c r="E2655" s="53">
        <f>'Reclamo de equipaje rediseñado'!$D2655-'Reclamo de equipaje rediseñado'!$C2655</f>
        <v>4.1666666666667629E-3</v>
      </c>
      <c r="F2655" s="52">
        <v>0.55694444444444446</v>
      </c>
      <c r="G2655" s="53">
        <f t="shared" si="41"/>
        <v>1.388888888888884E-3</v>
      </c>
      <c r="H2655" s="54">
        <v>41739</v>
      </c>
      <c r="I2655" s="55" t="s">
        <v>544</v>
      </c>
      <c r="J2655" s="55" t="s">
        <v>604</v>
      </c>
      <c r="K2655" s="55">
        <f>VLOOKUP(J2655,'Validacion reclamo de equipaje'!L:M,2,0)</f>
        <v>50</v>
      </c>
      <c r="L2655" s="55" t="str">
        <f>VLOOKUP(I2655,'Validacion reclamo de equipaje'!H:I,2,0)</f>
        <v>Nacional</v>
      </c>
      <c r="M2655" s="55" t="s">
        <v>523</v>
      </c>
    </row>
    <row r="2656" spans="1:13" x14ac:dyDescent="0.25">
      <c r="A2656">
        <v>28</v>
      </c>
      <c r="B2656" s="47" t="str">
        <f>VLOOKUP(Tabla6[[#This Row],['# Vuelo]],'Validacion reclamo de equipaje'!P:Q,2,0)</f>
        <v>TOR</v>
      </c>
      <c r="C2656" s="48">
        <v>0.64027777777777783</v>
      </c>
      <c r="D2656" s="48">
        <v>0.64583333333333337</v>
      </c>
      <c r="E2656" s="49">
        <f>'Reclamo de equipaje rediseñado'!$D2656-'Reclamo de equipaje rediseñado'!$C2656</f>
        <v>5.5555555555555358E-3</v>
      </c>
      <c r="F2656" s="48">
        <v>0.65</v>
      </c>
      <c r="G2656" s="49">
        <f t="shared" si="41"/>
        <v>4.1666666666666519E-3</v>
      </c>
      <c r="H2656" s="50">
        <v>41741</v>
      </c>
      <c r="I2656" s="51" t="s">
        <v>544</v>
      </c>
      <c r="J2656" s="51" t="s">
        <v>604</v>
      </c>
      <c r="K2656" s="51">
        <f>VLOOKUP(J2656,'Validacion reclamo de equipaje'!L:M,2,0)</f>
        <v>50</v>
      </c>
      <c r="L2656" s="51" t="str">
        <f>VLOOKUP(I2656,'Validacion reclamo de equipaje'!H:I,2,0)</f>
        <v>Nacional</v>
      </c>
      <c r="M2656" s="51" t="s">
        <v>523</v>
      </c>
    </row>
    <row r="2657" spans="1:13" x14ac:dyDescent="0.25">
      <c r="A2657">
        <v>28</v>
      </c>
      <c r="B2657" s="47" t="str">
        <f>VLOOKUP(Tabla6[[#This Row],['# Vuelo]],'Validacion reclamo de equipaje'!P:Q,2,0)</f>
        <v>TOR</v>
      </c>
      <c r="C2657" s="52">
        <v>0.63472222222222219</v>
      </c>
      <c r="D2657" s="52">
        <v>0.63888888888888895</v>
      </c>
      <c r="E2657" s="53">
        <f>'Reclamo de equipaje rediseñado'!$D2657-'Reclamo de equipaje rediseñado'!$C2657</f>
        <v>4.1666666666667629E-3</v>
      </c>
      <c r="F2657" s="52">
        <v>0.64583333333333337</v>
      </c>
      <c r="G2657" s="53">
        <f t="shared" si="41"/>
        <v>6.9444444444444198E-3</v>
      </c>
      <c r="H2657" s="54">
        <v>41747</v>
      </c>
      <c r="I2657" s="55" t="s">
        <v>544</v>
      </c>
      <c r="J2657" s="55" t="s">
        <v>604</v>
      </c>
      <c r="K2657" s="55">
        <f>VLOOKUP(J2657,'Validacion reclamo de equipaje'!L:M,2,0)</f>
        <v>50</v>
      </c>
      <c r="L2657" s="55" t="str">
        <f>VLOOKUP(I2657,'Validacion reclamo de equipaje'!H:I,2,0)</f>
        <v>Nacional</v>
      </c>
      <c r="M2657" s="55" t="s">
        <v>523</v>
      </c>
    </row>
    <row r="2658" spans="1:13" x14ac:dyDescent="0.25">
      <c r="A2658">
        <v>29</v>
      </c>
      <c r="B2658" s="47" t="str">
        <f>VLOOKUP(Tabla6[[#This Row],['# Vuelo]],'Validacion reclamo de equipaje'!P:Q,2,0)</f>
        <v>TOR</v>
      </c>
      <c r="C2658" s="48">
        <v>0.40416666666666662</v>
      </c>
      <c r="D2658" s="48">
        <v>0.41875000000000001</v>
      </c>
      <c r="E2658" s="49">
        <f>'Reclamo de equipaje rediseñado'!$D2658-'Reclamo de equipaje rediseñado'!$C2658</f>
        <v>1.4583333333333393E-2</v>
      </c>
      <c r="F2658" s="48">
        <v>0.4201388888888889</v>
      </c>
      <c r="G2658" s="49">
        <f t="shared" si="41"/>
        <v>1.388888888888884E-3</v>
      </c>
      <c r="H2658" s="50">
        <v>41732</v>
      </c>
      <c r="I2658" s="51" t="s">
        <v>539</v>
      </c>
      <c r="J2658" s="51" t="s">
        <v>604</v>
      </c>
      <c r="K2658" s="51">
        <f>VLOOKUP(J2658,'Validacion reclamo de equipaje'!L:M,2,0)</f>
        <v>50</v>
      </c>
      <c r="L2658" s="51" t="str">
        <f>VLOOKUP(I2658,'Validacion reclamo de equipaje'!H:I,2,0)</f>
        <v>Nacional</v>
      </c>
      <c r="M2658" s="51" t="s">
        <v>523</v>
      </c>
    </row>
    <row r="2659" spans="1:13" x14ac:dyDescent="0.25">
      <c r="A2659">
        <v>29</v>
      </c>
      <c r="B2659" s="47" t="str">
        <f>VLOOKUP(Tabla6[[#This Row],['# Vuelo]],'Validacion reclamo de equipaje'!P:Q,2,0)</f>
        <v>TOR</v>
      </c>
      <c r="C2659" s="52">
        <v>0.40277777777777773</v>
      </c>
      <c r="D2659" s="52">
        <v>0.40763888888888888</v>
      </c>
      <c r="E2659" s="53">
        <f>'Reclamo de equipaje rediseñado'!$D2659-'Reclamo de equipaje rediseñado'!$C2659</f>
        <v>4.8611111111111494E-3</v>
      </c>
      <c r="F2659" s="52">
        <v>0.40972222222222227</v>
      </c>
      <c r="G2659" s="53">
        <f t="shared" si="41"/>
        <v>2.0833333333333814E-3</v>
      </c>
      <c r="H2659" s="54">
        <v>41733</v>
      </c>
      <c r="I2659" s="55" t="s">
        <v>539</v>
      </c>
      <c r="J2659" s="55" t="s">
        <v>604</v>
      </c>
      <c r="K2659" s="55">
        <f>VLOOKUP(J2659,'Validacion reclamo de equipaje'!L:M,2,0)</f>
        <v>50</v>
      </c>
      <c r="L2659" s="55" t="str">
        <f>VLOOKUP(I2659,'Validacion reclamo de equipaje'!H:I,2,0)</f>
        <v>Nacional</v>
      </c>
      <c r="M2659" s="55" t="s">
        <v>523</v>
      </c>
    </row>
    <row r="2660" spans="1:13" x14ac:dyDescent="0.25">
      <c r="A2660">
        <v>29</v>
      </c>
      <c r="B2660" s="47" t="str">
        <f>VLOOKUP(Tabla6[[#This Row],['# Vuelo]],'Validacion reclamo de equipaje'!P:Q,2,0)</f>
        <v>TOR</v>
      </c>
      <c r="C2660" s="48">
        <v>0.4597222222222222</v>
      </c>
      <c r="D2660" s="48">
        <v>0.46527777777777773</v>
      </c>
      <c r="E2660" s="49">
        <f>'Reclamo de equipaje rediseñado'!$D2660-'Reclamo de equipaje rediseñado'!$C2660</f>
        <v>5.5555555555555358E-3</v>
      </c>
      <c r="F2660" s="48">
        <v>0.46736111111111112</v>
      </c>
      <c r="G2660" s="49">
        <f t="shared" si="41"/>
        <v>2.0833333333333814E-3</v>
      </c>
      <c r="H2660" s="50">
        <v>41739</v>
      </c>
      <c r="I2660" s="51" t="s">
        <v>539</v>
      </c>
      <c r="J2660" s="51" t="s">
        <v>604</v>
      </c>
      <c r="K2660" s="51">
        <f>VLOOKUP(J2660,'Validacion reclamo de equipaje'!L:M,2,0)</f>
        <v>50</v>
      </c>
      <c r="L2660" s="51" t="str">
        <f>VLOOKUP(I2660,'Validacion reclamo de equipaje'!H:I,2,0)</f>
        <v>Nacional</v>
      </c>
      <c r="M2660" s="51" t="s">
        <v>523</v>
      </c>
    </row>
    <row r="2661" spans="1:13" x14ac:dyDescent="0.25">
      <c r="A2661">
        <v>201</v>
      </c>
      <c r="B2661" s="47" t="str">
        <f>VLOOKUP(Tabla6[[#This Row],['# Vuelo]],'Validacion reclamo de equipaje'!P:Q,2,0)</f>
        <v>AEROLÍNEA TOR</v>
      </c>
      <c r="C2661" s="52">
        <v>0.84166666666666667</v>
      </c>
      <c r="D2661" s="52">
        <v>0.84861111111111109</v>
      </c>
      <c r="E2661" s="53">
        <f>'Reclamo de equipaje rediseñado'!$D2661-'Reclamo de equipaje rediseñado'!$C2661</f>
        <v>6.9444444444444198E-3</v>
      </c>
      <c r="F2661" s="52">
        <v>0.85</v>
      </c>
      <c r="G2661" s="53">
        <f t="shared" si="41"/>
        <v>1.388888888888884E-3</v>
      </c>
      <c r="H2661" s="54">
        <v>41732</v>
      </c>
      <c r="I2661" s="55" t="s">
        <v>608</v>
      </c>
      <c r="J2661" s="55" t="s">
        <v>535</v>
      </c>
      <c r="K2661" s="55">
        <f>VLOOKUP(J2661,'Validacion reclamo de equipaje'!L:M,2,0)</f>
        <v>50</v>
      </c>
      <c r="L2661" s="55" t="str">
        <f>VLOOKUP(I2661,'Validacion reclamo de equipaje'!H:I,2,0)</f>
        <v>Nacional</v>
      </c>
      <c r="M2661" s="55" t="s">
        <v>523</v>
      </c>
    </row>
    <row r="2662" spans="1:13" x14ac:dyDescent="0.25">
      <c r="A2662">
        <v>201</v>
      </c>
      <c r="B2662" s="47" t="str">
        <f>VLOOKUP(Tabla6[[#This Row],['# Vuelo]],'Validacion reclamo de equipaje'!P:Q,2,0)</f>
        <v>AEROLÍNEA TOR</v>
      </c>
      <c r="C2662" s="48">
        <v>0.84236111111111101</v>
      </c>
      <c r="D2662" s="48">
        <v>0.84583333333333333</v>
      </c>
      <c r="E2662" s="49">
        <f>'Reclamo de equipaje rediseñado'!$D2662-'Reclamo de equipaje rediseñado'!$C2662</f>
        <v>3.4722222222223209E-3</v>
      </c>
      <c r="F2662" s="48">
        <v>0.84861111111111109</v>
      </c>
      <c r="G2662" s="49">
        <f t="shared" si="41"/>
        <v>2.7777777777777679E-3</v>
      </c>
      <c r="H2662" s="50">
        <v>41736</v>
      </c>
      <c r="I2662" s="51" t="s">
        <v>608</v>
      </c>
      <c r="J2662" s="51" t="s">
        <v>535</v>
      </c>
      <c r="K2662" s="51">
        <f>VLOOKUP(J2662,'Validacion reclamo de equipaje'!L:M,2,0)</f>
        <v>50</v>
      </c>
      <c r="L2662" s="51" t="str">
        <f>VLOOKUP(I2662,'Validacion reclamo de equipaje'!H:I,2,0)</f>
        <v>Nacional</v>
      </c>
      <c r="M2662" s="51" t="s">
        <v>523</v>
      </c>
    </row>
    <row r="2663" spans="1:13" x14ac:dyDescent="0.25">
      <c r="A2663">
        <v>201</v>
      </c>
      <c r="B2663" s="47" t="str">
        <f>VLOOKUP(Tabla6[[#This Row],['# Vuelo]],'Validacion reclamo de equipaje'!P:Q,2,0)</f>
        <v>AEROLÍNEA TOR</v>
      </c>
      <c r="C2663" s="52">
        <v>0.69166666666666676</v>
      </c>
      <c r="D2663" s="52">
        <v>0.69444444444444453</v>
      </c>
      <c r="E2663" s="53">
        <f>'Reclamo de equipaje rediseñado'!$D2663-'Reclamo de equipaje rediseñado'!$C2663</f>
        <v>2.7777777777777679E-3</v>
      </c>
      <c r="F2663" s="52">
        <v>0.6972222222222223</v>
      </c>
      <c r="G2663" s="53">
        <f t="shared" si="41"/>
        <v>2.7777777777777679E-3</v>
      </c>
      <c r="H2663" s="54">
        <v>41747</v>
      </c>
      <c r="I2663" s="55" t="s">
        <v>608</v>
      </c>
      <c r="J2663" s="55" t="s">
        <v>535</v>
      </c>
      <c r="K2663" s="55">
        <f>VLOOKUP(J2663,'Validacion reclamo de equipaje'!L:M,2,0)</f>
        <v>50</v>
      </c>
      <c r="L2663" s="55" t="str">
        <f>VLOOKUP(I2663,'Validacion reclamo de equipaje'!H:I,2,0)</f>
        <v>Nacional</v>
      </c>
      <c r="M2663" s="55" t="s">
        <v>523</v>
      </c>
    </row>
    <row r="2664" spans="1:13" x14ac:dyDescent="0.25">
      <c r="A2664">
        <v>201</v>
      </c>
      <c r="B2664" s="47" t="str">
        <f>VLOOKUP(Tabla6[[#This Row],['# Vuelo]],'Validacion reclamo de equipaje'!P:Q,2,0)</f>
        <v>AEROLÍNEA TOR</v>
      </c>
      <c r="C2664" s="48">
        <v>0.76250000000000007</v>
      </c>
      <c r="D2664" s="48">
        <v>0.77013888888888893</v>
      </c>
      <c r="E2664" s="49">
        <f>'Reclamo de equipaje rediseñado'!$D2664-'Reclamo de equipaje rediseñado'!$C2664</f>
        <v>7.6388888888888618E-3</v>
      </c>
      <c r="F2664" s="48">
        <v>0.7715277777777777</v>
      </c>
      <c r="G2664" s="49">
        <f t="shared" si="41"/>
        <v>1.3888888888887729E-3</v>
      </c>
      <c r="H2664" s="50">
        <v>41749</v>
      </c>
      <c r="I2664" s="51" t="s">
        <v>608</v>
      </c>
      <c r="J2664" s="51" t="s">
        <v>535</v>
      </c>
      <c r="K2664" s="51">
        <f>VLOOKUP(J2664,'Validacion reclamo de equipaje'!L:M,2,0)</f>
        <v>50</v>
      </c>
      <c r="L2664" s="51" t="str">
        <f>VLOOKUP(I2664,'Validacion reclamo de equipaje'!H:I,2,0)</f>
        <v>Nacional</v>
      </c>
      <c r="M2664" s="51" t="s">
        <v>523</v>
      </c>
    </row>
    <row r="2665" spans="1:13" x14ac:dyDescent="0.25">
      <c r="A2665">
        <v>201</v>
      </c>
      <c r="B2665" s="47" t="str">
        <f>VLOOKUP(Tabla6[[#This Row],['# Vuelo]],'Validacion reclamo de equipaje'!P:Q,2,0)</f>
        <v>AEROLÍNEA TOR</v>
      </c>
      <c r="C2665" s="52">
        <v>0.70486111111111116</v>
      </c>
      <c r="D2665" s="52">
        <v>0.71250000000000002</v>
      </c>
      <c r="E2665" s="53">
        <f>'Reclamo de equipaje rediseñado'!$D2665-'Reclamo de equipaje rediseñado'!$C2665</f>
        <v>7.6388888888888618E-3</v>
      </c>
      <c r="F2665" s="52">
        <v>0.71458333333333324</v>
      </c>
      <c r="G2665" s="53">
        <f t="shared" si="41"/>
        <v>2.0833333333332149E-3</v>
      </c>
      <c r="H2665" s="54">
        <v>41754</v>
      </c>
      <c r="I2665" s="55" t="s">
        <v>608</v>
      </c>
      <c r="J2665" s="55" t="s">
        <v>535</v>
      </c>
      <c r="K2665" s="55">
        <f>VLOOKUP(J2665,'Validacion reclamo de equipaje'!L:M,2,0)</f>
        <v>50</v>
      </c>
      <c r="L2665" s="55" t="str">
        <f>VLOOKUP(I2665,'Validacion reclamo de equipaje'!H:I,2,0)</f>
        <v>Nacional</v>
      </c>
      <c r="M2665" s="55" t="s">
        <v>523</v>
      </c>
    </row>
    <row r="2666" spans="1:13" x14ac:dyDescent="0.25">
      <c r="A2666">
        <v>201</v>
      </c>
      <c r="B2666" s="47" t="str">
        <f>VLOOKUP(Tabla6[[#This Row],['# Vuelo]],'Validacion reclamo de equipaje'!P:Q,2,0)</f>
        <v>AEROLÍNEA TOR</v>
      </c>
      <c r="C2666" s="48">
        <v>0.69652777777777775</v>
      </c>
      <c r="D2666" s="48">
        <v>0.70000000000000007</v>
      </c>
      <c r="E2666" s="49">
        <f>'Reclamo de equipaje rediseñado'!$D2666-'Reclamo de equipaje rediseñado'!$C2666</f>
        <v>3.4722222222223209E-3</v>
      </c>
      <c r="F2666" s="48">
        <v>0.70208333333333339</v>
      </c>
      <c r="G2666" s="49">
        <f t="shared" si="41"/>
        <v>2.0833333333333259E-3</v>
      </c>
      <c r="H2666" s="50">
        <v>41756</v>
      </c>
      <c r="I2666" s="51" t="s">
        <v>608</v>
      </c>
      <c r="J2666" s="51" t="s">
        <v>535</v>
      </c>
      <c r="K2666" s="51">
        <f>VLOOKUP(J2666,'Validacion reclamo de equipaje'!L:M,2,0)</f>
        <v>50</v>
      </c>
      <c r="L2666" s="51" t="str">
        <f>VLOOKUP(I2666,'Validacion reclamo de equipaje'!H:I,2,0)</f>
        <v>Nacional</v>
      </c>
      <c r="M2666" s="51" t="s">
        <v>523</v>
      </c>
    </row>
    <row r="2667" spans="1:13" x14ac:dyDescent="0.25">
      <c r="A2667">
        <v>201</v>
      </c>
      <c r="B2667" s="47" t="str">
        <f>VLOOKUP(Tabla6[[#This Row],['# Vuelo]],'Validacion reclamo de equipaje'!P:Q,2,0)</f>
        <v>AEROLÍNEA TOR</v>
      </c>
      <c r="C2667" s="52">
        <v>0.69305555555555554</v>
      </c>
      <c r="D2667" s="52">
        <v>0.69861111111111107</v>
      </c>
      <c r="E2667" s="53">
        <f>'Reclamo de equipaje rediseñado'!$D2667-'Reclamo de equipaje rediseñado'!$C2667</f>
        <v>5.5555555555555358E-3</v>
      </c>
      <c r="F2667" s="52">
        <v>0.7006944444444444</v>
      </c>
      <c r="G2667" s="53">
        <f t="shared" si="41"/>
        <v>2.0833333333333259E-3</v>
      </c>
      <c r="H2667" s="54">
        <v>41757</v>
      </c>
      <c r="I2667" s="55" t="s">
        <v>608</v>
      </c>
      <c r="J2667" s="55" t="s">
        <v>535</v>
      </c>
      <c r="K2667" s="55">
        <f>VLOOKUP(J2667,'Validacion reclamo de equipaje'!L:M,2,0)</f>
        <v>50</v>
      </c>
      <c r="L2667" s="55" t="str">
        <f>VLOOKUP(I2667,'Validacion reclamo de equipaje'!H:I,2,0)</f>
        <v>Nacional</v>
      </c>
      <c r="M2667" s="55" t="s">
        <v>523</v>
      </c>
    </row>
    <row r="2668" spans="1:13" x14ac:dyDescent="0.25">
      <c r="A2668">
        <v>2121</v>
      </c>
      <c r="B2668" s="47" t="str">
        <f>VLOOKUP(Tabla6[[#This Row],['# Vuelo]],'Validacion reclamo de equipaje'!P:Q,2,0)</f>
        <v>MEXICO AEREO</v>
      </c>
      <c r="C2668" s="48">
        <v>0.84097222222222223</v>
      </c>
      <c r="D2668" s="48">
        <v>0.87430555555555556</v>
      </c>
      <c r="E2668" s="49">
        <f>'Reclamo de equipaje rediseñado'!$D2668-'Reclamo de equipaje rediseñado'!$C2668</f>
        <v>3.3333333333333326E-2</v>
      </c>
      <c r="F2668" s="48">
        <v>0.875</v>
      </c>
      <c r="G2668" s="49">
        <f t="shared" si="41"/>
        <v>6.9444444444444198E-4</v>
      </c>
      <c r="H2668" s="50">
        <v>41734</v>
      </c>
      <c r="I2668" s="51" t="s">
        <v>550</v>
      </c>
      <c r="J2668" s="51" t="s">
        <v>535</v>
      </c>
      <c r="K2668" s="51">
        <f>VLOOKUP(J2668,'Validacion reclamo de equipaje'!L:M,2,0)</f>
        <v>50</v>
      </c>
      <c r="L2668" s="51" t="str">
        <f>VLOOKUP(I2668,'Validacion reclamo de equipaje'!H:I,2,0)</f>
        <v>Nacional</v>
      </c>
      <c r="M2668" s="51" t="s">
        <v>523</v>
      </c>
    </row>
    <row r="2669" spans="1:13" x14ac:dyDescent="0.25">
      <c r="A2669">
        <v>8026</v>
      </c>
      <c r="B2669" s="47" t="str">
        <f>VLOOKUP(Tabla6[[#This Row],['# Vuelo]],'Validacion reclamo de equipaje'!P:Q,2,0)</f>
        <v>AEROLÍNEA TOR</v>
      </c>
      <c r="C2669" s="52">
        <v>0.4916666666666667</v>
      </c>
      <c r="D2669" s="52">
        <v>0.49305555555555558</v>
      </c>
      <c r="E2669" s="53">
        <f>'Reclamo de equipaje rediseñado'!$D2669-'Reclamo de equipaje rediseñado'!$C2669</f>
        <v>1.388888888888884E-3</v>
      </c>
      <c r="F2669" s="52">
        <v>0.49444444444444446</v>
      </c>
      <c r="G2669" s="53">
        <f t="shared" si="41"/>
        <v>1.388888888888884E-3</v>
      </c>
      <c r="H2669" s="54">
        <v>41749</v>
      </c>
      <c r="I2669" s="55" t="s">
        <v>544</v>
      </c>
      <c r="J2669" s="55" t="s">
        <v>535</v>
      </c>
      <c r="K2669" s="55">
        <f>VLOOKUP(J2669,'Validacion reclamo de equipaje'!L:M,2,0)</f>
        <v>50</v>
      </c>
      <c r="L2669" s="55" t="str">
        <f>VLOOKUP(I2669,'Validacion reclamo de equipaje'!H:I,2,0)</f>
        <v>Nacional</v>
      </c>
      <c r="M2669" s="55" t="s">
        <v>523</v>
      </c>
    </row>
    <row r="2670" spans="1:13" x14ac:dyDescent="0.25">
      <c r="A2670">
        <v>221</v>
      </c>
      <c r="B2670" s="47" t="str">
        <f>VLOOKUP(Tabla6[[#This Row],['# Vuelo]],'Validacion reclamo de equipaje'!P:Q,2,0)</f>
        <v>INTERAVIÓN</v>
      </c>
      <c r="C2670" s="48">
        <v>0.51111111111111118</v>
      </c>
      <c r="D2670" s="48">
        <v>0.5229166666666667</v>
      </c>
      <c r="E2670" s="49">
        <f>'Reclamo de equipaje rediseñado'!$D2670-'Reclamo de equipaje rediseñado'!$C2670</f>
        <v>1.1805555555555514E-2</v>
      </c>
      <c r="F2670" s="48">
        <v>0.53402777777777777</v>
      </c>
      <c r="G2670" s="49">
        <f t="shared" si="41"/>
        <v>1.1111111111111072E-2</v>
      </c>
      <c r="H2670" s="50">
        <v>41730</v>
      </c>
      <c r="I2670" s="51" t="s">
        <v>555</v>
      </c>
      <c r="J2670" s="51">
        <v>320</v>
      </c>
      <c r="K2670" s="51">
        <f>VLOOKUP(J2670,'Validacion reclamo de equipaje'!L:M,2,0)</f>
        <v>179</v>
      </c>
      <c r="L2670" s="51" t="str">
        <f>VLOOKUP(I2670,'Validacion reclamo de equipaje'!H:I,2,0)</f>
        <v>Internacional</v>
      </c>
      <c r="M2670" s="51" t="s">
        <v>523</v>
      </c>
    </row>
    <row r="2671" spans="1:13" x14ac:dyDescent="0.25">
      <c r="A2671">
        <v>221</v>
      </c>
      <c r="B2671" s="47" t="str">
        <f>VLOOKUP(Tabla6[[#This Row],['# Vuelo]],'Validacion reclamo de equipaje'!P:Q,2,0)</f>
        <v>INTERAVIÓN</v>
      </c>
      <c r="C2671" s="52">
        <v>0.5083333333333333</v>
      </c>
      <c r="D2671" s="52">
        <v>0.52222222222222225</v>
      </c>
      <c r="E2671" s="53">
        <f>'Reclamo de equipaje rediseñado'!$D2671-'Reclamo de equipaje rediseñado'!$C2671</f>
        <v>1.3888888888888951E-2</v>
      </c>
      <c r="F2671" s="52">
        <v>0.52708333333333335</v>
      </c>
      <c r="G2671" s="53">
        <f t="shared" si="41"/>
        <v>4.8611111111110938E-3</v>
      </c>
      <c r="H2671" s="54">
        <v>41731</v>
      </c>
      <c r="I2671" s="55" t="s">
        <v>555</v>
      </c>
      <c r="J2671" s="55">
        <v>320</v>
      </c>
      <c r="K2671" s="55">
        <f>VLOOKUP(J2671,'Validacion reclamo de equipaje'!L:M,2,0)</f>
        <v>179</v>
      </c>
      <c r="L2671" s="55" t="str">
        <f>VLOOKUP(I2671,'Validacion reclamo de equipaje'!H:I,2,0)</f>
        <v>Internacional</v>
      </c>
      <c r="M2671" s="55" t="s">
        <v>523</v>
      </c>
    </row>
    <row r="2672" spans="1:13" x14ac:dyDescent="0.25">
      <c r="A2672">
        <v>221</v>
      </c>
      <c r="B2672" s="47" t="str">
        <f>VLOOKUP(Tabla6[[#This Row],['# Vuelo]],'Validacion reclamo de equipaje'!P:Q,2,0)</f>
        <v>INTERAVIÓN</v>
      </c>
      <c r="C2672" s="48">
        <v>0.5083333333333333</v>
      </c>
      <c r="D2672" s="48">
        <v>0.52222222222222225</v>
      </c>
      <c r="E2672" s="49">
        <f>'Reclamo de equipaje rediseñado'!$D2672-'Reclamo de equipaje rediseñado'!$C2672</f>
        <v>1.3888888888888951E-2</v>
      </c>
      <c r="F2672" s="48">
        <v>0.52708333333333335</v>
      </c>
      <c r="G2672" s="49">
        <f t="shared" si="41"/>
        <v>4.8611111111110938E-3</v>
      </c>
      <c r="H2672" s="50">
        <v>41731</v>
      </c>
      <c r="I2672" s="51" t="s">
        <v>555</v>
      </c>
      <c r="J2672" s="51">
        <v>320</v>
      </c>
      <c r="K2672" s="51">
        <f>VLOOKUP(J2672,'Validacion reclamo de equipaje'!L:M,2,0)</f>
        <v>179</v>
      </c>
      <c r="L2672" s="51" t="str">
        <f>VLOOKUP(I2672,'Validacion reclamo de equipaje'!H:I,2,0)</f>
        <v>Internacional</v>
      </c>
      <c r="M2672" s="51" t="s">
        <v>523</v>
      </c>
    </row>
    <row r="2673" spans="1:13" x14ac:dyDescent="0.25">
      <c r="A2673">
        <v>221</v>
      </c>
      <c r="B2673" s="47" t="str">
        <f>VLOOKUP(Tabla6[[#This Row],['# Vuelo]],'Validacion reclamo de equipaje'!P:Q,2,0)</f>
        <v>INTERAVIÓN</v>
      </c>
      <c r="C2673" s="52">
        <v>0.52569444444444446</v>
      </c>
      <c r="D2673" s="52">
        <v>0.53402777777777777</v>
      </c>
      <c r="E2673" s="53">
        <f>'Reclamo de equipaje rediseñado'!$D2673-'Reclamo de equipaje rediseñado'!$C2673</f>
        <v>8.3333333333333037E-3</v>
      </c>
      <c r="F2673" s="52">
        <v>0.54236111111111118</v>
      </c>
      <c r="G2673" s="53">
        <f t="shared" si="41"/>
        <v>8.3333333333334147E-3</v>
      </c>
      <c r="H2673" s="54">
        <v>41732</v>
      </c>
      <c r="I2673" s="55" t="s">
        <v>555</v>
      </c>
      <c r="J2673" s="55">
        <v>320</v>
      </c>
      <c r="K2673" s="55">
        <f>VLOOKUP(J2673,'Validacion reclamo de equipaje'!L:M,2,0)</f>
        <v>179</v>
      </c>
      <c r="L2673" s="55" t="str">
        <f>VLOOKUP(I2673,'Validacion reclamo de equipaje'!H:I,2,0)</f>
        <v>Internacional</v>
      </c>
      <c r="M2673" s="55" t="s">
        <v>523</v>
      </c>
    </row>
    <row r="2674" spans="1:13" x14ac:dyDescent="0.25">
      <c r="A2674">
        <v>221</v>
      </c>
      <c r="B2674" s="47" t="str">
        <f>VLOOKUP(Tabla6[[#This Row],['# Vuelo]],'Validacion reclamo de equipaje'!P:Q,2,0)</f>
        <v>INTERAVIÓN</v>
      </c>
      <c r="C2674" s="48">
        <v>0.5180555555555556</v>
      </c>
      <c r="D2674" s="48">
        <v>0.53402777777777777</v>
      </c>
      <c r="E2674" s="49">
        <f>'Reclamo de equipaje rediseñado'!$D2674-'Reclamo de equipaje rediseñado'!$C2674</f>
        <v>1.5972222222222165E-2</v>
      </c>
      <c r="F2674" s="48">
        <v>0.54236111111111118</v>
      </c>
      <c r="G2674" s="49">
        <f t="shared" si="41"/>
        <v>8.3333333333334147E-3</v>
      </c>
      <c r="H2674" s="50">
        <v>41733</v>
      </c>
      <c r="I2674" s="51" t="s">
        <v>555</v>
      </c>
      <c r="J2674" s="51">
        <v>320</v>
      </c>
      <c r="K2674" s="51">
        <f>VLOOKUP(J2674,'Validacion reclamo de equipaje'!L:M,2,0)</f>
        <v>179</v>
      </c>
      <c r="L2674" s="51" t="str">
        <f>VLOOKUP(I2674,'Validacion reclamo de equipaje'!H:I,2,0)</f>
        <v>Internacional</v>
      </c>
      <c r="M2674" s="51" t="s">
        <v>523</v>
      </c>
    </row>
    <row r="2675" spans="1:13" x14ac:dyDescent="0.25">
      <c r="A2675">
        <v>221</v>
      </c>
      <c r="B2675" s="47" t="str">
        <f>VLOOKUP(Tabla6[[#This Row],['# Vuelo]],'Validacion reclamo de equipaje'!P:Q,2,0)</f>
        <v>INTERAVIÓN</v>
      </c>
      <c r="C2675" s="52">
        <v>0.51597222222222217</v>
      </c>
      <c r="D2675" s="52">
        <v>0.52777777777777779</v>
      </c>
      <c r="E2675" s="53">
        <f>'Reclamo de equipaje rediseñado'!$D2675-'Reclamo de equipaje rediseñado'!$C2675</f>
        <v>1.1805555555555625E-2</v>
      </c>
      <c r="F2675" s="52">
        <v>0.53541666666666665</v>
      </c>
      <c r="G2675" s="53">
        <f t="shared" si="41"/>
        <v>7.6388888888888618E-3</v>
      </c>
      <c r="H2675" s="54">
        <v>41734</v>
      </c>
      <c r="I2675" s="55" t="s">
        <v>555</v>
      </c>
      <c r="J2675" s="55">
        <v>320</v>
      </c>
      <c r="K2675" s="55">
        <f>VLOOKUP(J2675,'Validacion reclamo de equipaje'!L:M,2,0)</f>
        <v>179</v>
      </c>
      <c r="L2675" s="55" t="str">
        <f>VLOOKUP(I2675,'Validacion reclamo de equipaje'!H:I,2,0)</f>
        <v>Internacional</v>
      </c>
      <c r="M2675" s="55" t="s">
        <v>523</v>
      </c>
    </row>
    <row r="2676" spans="1:13" x14ac:dyDescent="0.25">
      <c r="A2676">
        <v>221</v>
      </c>
      <c r="B2676" s="47" t="str">
        <f>VLOOKUP(Tabla6[[#This Row],['# Vuelo]],'Validacion reclamo de equipaje'!P:Q,2,0)</f>
        <v>INTERAVIÓN</v>
      </c>
      <c r="C2676" s="48">
        <v>0.55972222222222223</v>
      </c>
      <c r="D2676" s="48">
        <v>0.57222222222222219</v>
      </c>
      <c r="E2676" s="49">
        <f>'Reclamo de equipaje rediseñado'!$D2676-'Reclamo de equipaje rediseñado'!$C2676</f>
        <v>1.2499999999999956E-2</v>
      </c>
      <c r="F2676" s="48">
        <v>0.57777777777777783</v>
      </c>
      <c r="G2676" s="49">
        <f t="shared" si="41"/>
        <v>5.5555555555556468E-3</v>
      </c>
      <c r="H2676" s="50">
        <v>41735</v>
      </c>
      <c r="I2676" s="51" t="s">
        <v>555</v>
      </c>
      <c r="J2676" s="51">
        <v>320</v>
      </c>
      <c r="K2676" s="51">
        <f>VLOOKUP(J2676,'Validacion reclamo de equipaje'!L:M,2,0)</f>
        <v>179</v>
      </c>
      <c r="L2676" s="51" t="str">
        <f>VLOOKUP(I2676,'Validacion reclamo de equipaje'!H:I,2,0)</f>
        <v>Internacional</v>
      </c>
      <c r="M2676" s="51" t="s">
        <v>523</v>
      </c>
    </row>
    <row r="2677" spans="1:13" x14ac:dyDescent="0.25">
      <c r="A2677">
        <v>221</v>
      </c>
      <c r="B2677" s="47" t="str">
        <f>VLOOKUP(Tabla6[[#This Row],['# Vuelo]],'Validacion reclamo de equipaje'!P:Q,2,0)</f>
        <v>INTERAVIÓN</v>
      </c>
      <c r="C2677" s="52">
        <v>0.55277777777777781</v>
      </c>
      <c r="D2677" s="52">
        <v>0.56319444444444444</v>
      </c>
      <c r="E2677" s="53">
        <f>'Reclamo de equipaje rediseñado'!$D2677-'Reclamo de equipaje rediseñado'!$C2677</f>
        <v>1.041666666666663E-2</v>
      </c>
      <c r="F2677" s="52">
        <v>0.56805555555555554</v>
      </c>
      <c r="G2677" s="53">
        <f t="shared" si="41"/>
        <v>4.8611111111110938E-3</v>
      </c>
      <c r="H2677" s="54">
        <v>41736</v>
      </c>
      <c r="I2677" s="55" t="s">
        <v>555</v>
      </c>
      <c r="J2677" s="55">
        <v>320</v>
      </c>
      <c r="K2677" s="55">
        <f>VLOOKUP(J2677,'Validacion reclamo de equipaje'!L:M,2,0)</f>
        <v>179</v>
      </c>
      <c r="L2677" s="55" t="str">
        <f>VLOOKUP(I2677,'Validacion reclamo de equipaje'!H:I,2,0)</f>
        <v>Internacional</v>
      </c>
      <c r="M2677" s="55" t="s">
        <v>523</v>
      </c>
    </row>
    <row r="2678" spans="1:13" x14ac:dyDescent="0.25">
      <c r="A2678">
        <v>221</v>
      </c>
      <c r="B2678" s="47" t="str">
        <f>VLOOKUP(Tabla6[[#This Row],['# Vuelo]],'Validacion reclamo de equipaje'!P:Q,2,0)</f>
        <v>INTERAVIÓN</v>
      </c>
      <c r="C2678" s="48">
        <v>0.5541666666666667</v>
      </c>
      <c r="D2678" s="48">
        <v>0.55763888888888891</v>
      </c>
      <c r="E2678" s="49">
        <f>'Reclamo de equipaje rediseñado'!$D2678-'Reclamo de equipaje rediseñado'!$C2678</f>
        <v>3.4722222222222099E-3</v>
      </c>
      <c r="F2678" s="48">
        <v>0.56319444444444444</v>
      </c>
      <c r="G2678" s="49">
        <f t="shared" si="41"/>
        <v>5.5555555555555358E-3</v>
      </c>
      <c r="H2678" s="50">
        <v>41739</v>
      </c>
      <c r="I2678" s="51" t="s">
        <v>555</v>
      </c>
      <c r="J2678" s="51">
        <v>320</v>
      </c>
      <c r="K2678" s="51">
        <f>VLOOKUP(J2678,'Validacion reclamo de equipaje'!L:M,2,0)</f>
        <v>179</v>
      </c>
      <c r="L2678" s="51" t="str">
        <f>VLOOKUP(I2678,'Validacion reclamo de equipaje'!H:I,2,0)</f>
        <v>Internacional</v>
      </c>
      <c r="M2678" s="51" t="s">
        <v>523</v>
      </c>
    </row>
    <row r="2679" spans="1:13" x14ac:dyDescent="0.25">
      <c r="A2679">
        <v>221</v>
      </c>
      <c r="B2679" s="47" t="str">
        <f>VLOOKUP(Tabla6[[#This Row],['# Vuelo]],'Validacion reclamo de equipaje'!P:Q,2,0)</f>
        <v>INTERAVIÓN</v>
      </c>
      <c r="C2679" s="52">
        <v>0.54166666666666663</v>
      </c>
      <c r="D2679" s="52">
        <v>0.55555555555555558</v>
      </c>
      <c r="E2679" s="53">
        <f>'Reclamo de equipaje rediseñado'!$D2679-'Reclamo de equipaje rediseñado'!$C2679</f>
        <v>1.3888888888888951E-2</v>
      </c>
      <c r="F2679" s="52">
        <v>0.56458333333333333</v>
      </c>
      <c r="G2679" s="53">
        <f t="shared" si="41"/>
        <v>9.0277777777777457E-3</v>
      </c>
      <c r="H2679" s="54">
        <v>41741</v>
      </c>
      <c r="I2679" s="55" t="s">
        <v>555</v>
      </c>
      <c r="J2679" s="55">
        <v>320</v>
      </c>
      <c r="K2679" s="55">
        <f>VLOOKUP(J2679,'Validacion reclamo de equipaje'!L:M,2,0)</f>
        <v>179</v>
      </c>
      <c r="L2679" s="55" t="str">
        <f>VLOOKUP(I2679,'Validacion reclamo de equipaje'!H:I,2,0)</f>
        <v>Internacional</v>
      </c>
      <c r="M2679" s="55" t="s">
        <v>523</v>
      </c>
    </row>
    <row r="2680" spans="1:13" x14ac:dyDescent="0.25">
      <c r="A2680">
        <v>221</v>
      </c>
      <c r="B2680" s="47" t="str">
        <f>VLOOKUP(Tabla6[[#This Row],['# Vuelo]],'Validacion reclamo de equipaje'!P:Q,2,0)</f>
        <v>INTERAVIÓN</v>
      </c>
      <c r="C2680" s="48">
        <v>0.54652777777777783</v>
      </c>
      <c r="D2680" s="48">
        <v>0.55833333333333335</v>
      </c>
      <c r="E2680" s="49">
        <f>'Reclamo de equipaje rediseñado'!$D2680-'Reclamo de equipaje rediseñado'!$C2680</f>
        <v>1.1805555555555514E-2</v>
      </c>
      <c r="F2680" s="48">
        <v>0.56597222222222221</v>
      </c>
      <c r="G2680" s="49">
        <f t="shared" si="41"/>
        <v>7.6388888888888618E-3</v>
      </c>
      <c r="H2680" s="50">
        <v>41743</v>
      </c>
      <c r="I2680" s="51" t="s">
        <v>555</v>
      </c>
      <c r="J2680" s="51">
        <v>320</v>
      </c>
      <c r="K2680" s="51">
        <f>VLOOKUP(J2680,'Validacion reclamo de equipaje'!L:M,2,0)</f>
        <v>179</v>
      </c>
      <c r="L2680" s="51" t="str">
        <f>VLOOKUP(I2680,'Validacion reclamo de equipaje'!H:I,2,0)</f>
        <v>Internacional</v>
      </c>
      <c r="M2680" s="51" t="s">
        <v>523</v>
      </c>
    </row>
    <row r="2681" spans="1:13" x14ac:dyDescent="0.25">
      <c r="A2681">
        <v>221</v>
      </c>
      <c r="B2681" s="47" t="str">
        <f>VLOOKUP(Tabla6[[#This Row],['# Vuelo]],'Validacion reclamo de equipaje'!P:Q,2,0)</f>
        <v>INTERAVIÓN</v>
      </c>
      <c r="C2681" s="52">
        <v>0.53402777777777777</v>
      </c>
      <c r="D2681" s="52">
        <v>0.5444444444444444</v>
      </c>
      <c r="E2681" s="53">
        <f>'Reclamo de equipaje rediseñado'!$D2681-'Reclamo de equipaje rediseñado'!$C2681</f>
        <v>1.041666666666663E-2</v>
      </c>
      <c r="F2681" s="52">
        <v>0.5541666666666667</v>
      </c>
      <c r="G2681" s="53">
        <f t="shared" si="41"/>
        <v>9.7222222222222987E-3</v>
      </c>
      <c r="H2681" s="54">
        <v>41744</v>
      </c>
      <c r="I2681" s="55" t="s">
        <v>555</v>
      </c>
      <c r="J2681" s="55">
        <v>320</v>
      </c>
      <c r="K2681" s="55">
        <f>VLOOKUP(J2681,'Validacion reclamo de equipaje'!L:M,2,0)</f>
        <v>179</v>
      </c>
      <c r="L2681" s="55" t="str">
        <f>VLOOKUP(I2681,'Validacion reclamo de equipaje'!H:I,2,0)</f>
        <v>Internacional</v>
      </c>
      <c r="M2681" s="55" t="s">
        <v>523</v>
      </c>
    </row>
    <row r="2682" spans="1:13" x14ac:dyDescent="0.25">
      <c r="A2682">
        <v>221</v>
      </c>
      <c r="B2682" s="47" t="str">
        <f>VLOOKUP(Tabla6[[#This Row],['# Vuelo]],'Validacion reclamo de equipaje'!P:Q,2,0)</f>
        <v>INTERAVIÓN</v>
      </c>
      <c r="C2682" s="48">
        <v>0.54722222222222217</v>
      </c>
      <c r="D2682" s="48">
        <v>0.55763888888888891</v>
      </c>
      <c r="E2682" s="49">
        <f>'Reclamo de equipaje rediseñado'!$D2682-'Reclamo de equipaje rediseñado'!$C2682</f>
        <v>1.0416666666666741E-2</v>
      </c>
      <c r="F2682" s="48">
        <v>0.56666666666666665</v>
      </c>
      <c r="G2682" s="49">
        <f t="shared" si="41"/>
        <v>9.0277777777777457E-3</v>
      </c>
      <c r="H2682" s="50">
        <v>41745</v>
      </c>
      <c r="I2682" s="51" t="s">
        <v>555</v>
      </c>
      <c r="J2682" s="51">
        <v>320</v>
      </c>
      <c r="K2682" s="51">
        <f>VLOOKUP(J2682,'Validacion reclamo de equipaje'!L:M,2,0)</f>
        <v>179</v>
      </c>
      <c r="L2682" s="51" t="str">
        <f>VLOOKUP(I2682,'Validacion reclamo de equipaje'!H:I,2,0)</f>
        <v>Internacional</v>
      </c>
      <c r="M2682" s="51" t="s">
        <v>523</v>
      </c>
    </row>
    <row r="2683" spans="1:13" x14ac:dyDescent="0.25">
      <c r="A2683">
        <v>221</v>
      </c>
      <c r="B2683" s="47" t="str">
        <f>VLOOKUP(Tabla6[[#This Row],['# Vuelo]],'Validacion reclamo de equipaje'!P:Q,2,0)</f>
        <v>INTERAVIÓN</v>
      </c>
      <c r="C2683" s="52">
        <v>0.55138888888888882</v>
      </c>
      <c r="D2683" s="52">
        <v>0.56458333333333333</v>
      </c>
      <c r="E2683" s="53">
        <f>'Reclamo de equipaje rediseñado'!$D2683-'Reclamo de equipaje rediseñado'!$C2683</f>
        <v>1.3194444444444509E-2</v>
      </c>
      <c r="F2683" s="52">
        <v>0.57638888888888895</v>
      </c>
      <c r="G2683" s="53">
        <f t="shared" si="41"/>
        <v>1.1805555555555625E-2</v>
      </c>
      <c r="H2683" s="54">
        <v>41746</v>
      </c>
      <c r="I2683" s="55" t="s">
        <v>555</v>
      </c>
      <c r="J2683" s="55">
        <v>320</v>
      </c>
      <c r="K2683" s="55">
        <f>VLOOKUP(J2683,'Validacion reclamo de equipaje'!L:M,2,0)</f>
        <v>179</v>
      </c>
      <c r="L2683" s="55" t="str">
        <f>VLOOKUP(I2683,'Validacion reclamo de equipaje'!H:I,2,0)</f>
        <v>Internacional</v>
      </c>
      <c r="M2683" s="55" t="s">
        <v>523</v>
      </c>
    </row>
    <row r="2684" spans="1:13" x14ac:dyDescent="0.25">
      <c r="A2684">
        <v>221</v>
      </c>
      <c r="B2684" s="47" t="str">
        <f>VLOOKUP(Tabla6[[#This Row],['# Vuelo]],'Validacion reclamo de equipaje'!P:Q,2,0)</f>
        <v>INTERAVIÓN</v>
      </c>
      <c r="C2684" s="48">
        <v>0.56597222222222221</v>
      </c>
      <c r="D2684" s="48">
        <v>0.58194444444444449</v>
      </c>
      <c r="E2684" s="49">
        <f>'Reclamo de equipaje rediseñado'!$D2684-'Reclamo de equipaje rediseñado'!$C2684</f>
        <v>1.5972222222222276E-2</v>
      </c>
      <c r="F2684" s="48">
        <v>0.59375</v>
      </c>
      <c r="G2684" s="49">
        <f t="shared" si="41"/>
        <v>1.1805555555555514E-2</v>
      </c>
      <c r="H2684" s="50">
        <v>41747</v>
      </c>
      <c r="I2684" s="51" t="s">
        <v>555</v>
      </c>
      <c r="J2684" s="51">
        <v>320</v>
      </c>
      <c r="K2684" s="51">
        <f>VLOOKUP(J2684,'Validacion reclamo de equipaje'!L:M,2,0)</f>
        <v>179</v>
      </c>
      <c r="L2684" s="51" t="str">
        <f>VLOOKUP(I2684,'Validacion reclamo de equipaje'!H:I,2,0)</f>
        <v>Internacional</v>
      </c>
      <c r="M2684" s="51" t="s">
        <v>523</v>
      </c>
    </row>
    <row r="2685" spans="1:13" x14ac:dyDescent="0.25">
      <c r="A2685">
        <v>221</v>
      </c>
      <c r="B2685" s="47" t="str">
        <f>VLOOKUP(Tabla6[[#This Row],['# Vuelo]],'Validacion reclamo de equipaje'!P:Q,2,0)</f>
        <v>INTERAVIÓN</v>
      </c>
      <c r="C2685" s="52">
        <v>0.54791666666666672</v>
      </c>
      <c r="D2685" s="52">
        <v>0.5625</v>
      </c>
      <c r="E2685" s="53">
        <f>'Reclamo de equipaje rediseñado'!$D2685-'Reclamo de equipaje rediseñado'!$C2685</f>
        <v>1.4583333333333282E-2</v>
      </c>
      <c r="F2685" s="52">
        <v>0.56944444444444442</v>
      </c>
      <c r="G2685" s="53">
        <f t="shared" si="41"/>
        <v>6.9444444444444198E-3</v>
      </c>
      <c r="H2685" s="54">
        <v>41748</v>
      </c>
      <c r="I2685" s="55" t="s">
        <v>555</v>
      </c>
      <c r="J2685" s="55">
        <v>320</v>
      </c>
      <c r="K2685" s="55">
        <f>VLOOKUP(J2685,'Validacion reclamo de equipaje'!L:M,2,0)</f>
        <v>179</v>
      </c>
      <c r="L2685" s="55" t="str">
        <f>VLOOKUP(I2685,'Validacion reclamo de equipaje'!H:I,2,0)</f>
        <v>Internacional</v>
      </c>
      <c r="M2685" s="55" t="s">
        <v>523</v>
      </c>
    </row>
    <row r="2686" spans="1:13" x14ac:dyDescent="0.25">
      <c r="A2686">
        <v>221</v>
      </c>
      <c r="B2686" s="47" t="str">
        <f>VLOOKUP(Tabla6[[#This Row],['# Vuelo]],'Validacion reclamo de equipaje'!P:Q,2,0)</f>
        <v>INTERAVIÓN</v>
      </c>
      <c r="C2686" s="48">
        <v>0.55486111111111114</v>
      </c>
      <c r="D2686" s="48">
        <v>0.56666666666666665</v>
      </c>
      <c r="E2686" s="49">
        <f>'Reclamo de equipaje rediseñado'!$D2686-'Reclamo de equipaje rediseñado'!$C2686</f>
        <v>1.1805555555555514E-2</v>
      </c>
      <c r="F2686" s="48">
        <v>0.57986111111111105</v>
      </c>
      <c r="G2686" s="49">
        <f t="shared" si="41"/>
        <v>1.3194444444444398E-2</v>
      </c>
      <c r="H2686" s="50">
        <v>41749</v>
      </c>
      <c r="I2686" s="51" t="s">
        <v>555</v>
      </c>
      <c r="J2686" s="51">
        <v>320</v>
      </c>
      <c r="K2686" s="51">
        <f>VLOOKUP(J2686,'Validacion reclamo de equipaje'!L:M,2,0)</f>
        <v>179</v>
      </c>
      <c r="L2686" s="51" t="str">
        <f>VLOOKUP(I2686,'Validacion reclamo de equipaje'!H:I,2,0)</f>
        <v>Internacional</v>
      </c>
      <c r="M2686" s="51" t="s">
        <v>523</v>
      </c>
    </row>
    <row r="2687" spans="1:13" x14ac:dyDescent="0.25">
      <c r="A2687">
        <v>221</v>
      </c>
      <c r="B2687" s="47" t="str">
        <f>VLOOKUP(Tabla6[[#This Row],['# Vuelo]],'Validacion reclamo de equipaje'!P:Q,2,0)</f>
        <v>INTERAVIÓN</v>
      </c>
      <c r="C2687" s="52">
        <v>0.55972222222222223</v>
      </c>
      <c r="D2687" s="52">
        <v>0.57152777777777775</v>
      </c>
      <c r="E2687" s="53">
        <f>'Reclamo de equipaje rediseñado'!$D2687-'Reclamo de equipaje rediseñado'!$C2687</f>
        <v>1.1805555555555514E-2</v>
      </c>
      <c r="F2687" s="52">
        <v>0.58333333333333337</v>
      </c>
      <c r="G2687" s="53">
        <f t="shared" si="41"/>
        <v>1.1805555555555625E-2</v>
      </c>
      <c r="H2687" s="54">
        <v>41750</v>
      </c>
      <c r="I2687" s="55" t="s">
        <v>555</v>
      </c>
      <c r="J2687" s="55">
        <v>320</v>
      </c>
      <c r="K2687" s="55">
        <f>VLOOKUP(J2687,'Validacion reclamo de equipaje'!L:M,2,0)</f>
        <v>179</v>
      </c>
      <c r="L2687" s="55" t="str">
        <f>VLOOKUP(I2687,'Validacion reclamo de equipaje'!H:I,2,0)</f>
        <v>Internacional</v>
      </c>
      <c r="M2687" s="55" t="s">
        <v>523</v>
      </c>
    </row>
    <row r="2688" spans="1:13" x14ac:dyDescent="0.25">
      <c r="A2688">
        <v>221</v>
      </c>
      <c r="B2688" s="47" t="str">
        <f>VLOOKUP(Tabla6[[#This Row],['# Vuelo]],'Validacion reclamo de equipaje'!P:Q,2,0)</f>
        <v>INTERAVIÓN</v>
      </c>
      <c r="C2688" s="48">
        <v>0.55763888888888891</v>
      </c>
      <c r="D2688" s="48">
        <v>0.56944444444444442</v>
      </c>
      <c r="E2688" s="49">
        <f>'Reclamo de equipaje rediseñado'!$D2688-'Reclamo de equipaje rediseñado'!$C2688</f>
        <v>1.1805555555555514E-2</v>
      </c>
      <c r="F2688" s="48">
        <v>0.5805555555555556</v>
      </c>
      <c r="G2688" s="49">
        <f t="shared" si="41"/>
        <v>1.1111111111111183E-2</v>
      </c>
      <c r="H2688" s="50">
        <v>41751</v>
      </c>
      <c r="I2688" s="51" t="s">
        <v>555</v>
      </c>
      <c r="J2688" s="51">
        <v>320</v>
      </c>
      <c r="K2688" s="51">
        <f>VLOOKUP(J2688,'Validacion reclamo de equipaje'!L:M,2,0)</f>
        <v>179</v>
      </c>
      <c r="L2688" s="51" t="str">
        <f>VLOOKUP(I2688,'Validacion reclamo de equipaje'!H:I,2,0)</f>
        <v>Internacional</v>
      </c>
      <c r="M2688" s="51" t="s">
        <v>523</v>
      </c>
    </row>
    <row r="2689" spans="1:13" x14ac:dyDescent="0.25">
      <c r="A2689">
        <v>221</v>
      </c>
      <c r="B2689" s="47" t="str">
        <f>VLOOKUP(Tabla6[[#This Row],['# Vuelo]],'Validacion reclamo de equipaje'!P:Q,2,0)</f>
        <v>INTERAVIÓN</v>
      </c>
      <c r="C2689" s="52">
        <v>0.55763888888888891</v>
      </c>
      <c r="D2689" s="52">
        <v>0.56944444444444442</v>
      </c>
      <c r="E2689" s="53">
        <f>'Reclamo de equipaje rediseñado'!$D2689-'Reclamo de equipaje rediseñado'!$C2689</f>
        <v>1.1805555555555514E-2</v>
      </c>
      <c r="F2689" s="52">
        <v>0.5805555555555556</v>
      </c>
      <c r="G2689" s="53">
        <f t="shared" si="41"/>
        <v>1.1111111111111183E-2</v>
      </c>
      <c r="H2689" s="54">
        <v>41751</v>
      </c>
      <c r="I2689" s="55" t="s">
        <v>555</v>
      </c>
      <c r="J2689" s="55">
        <v>320</v>
      </c>
      <c r="K2689" s="55">
        <f>VLOOKUP(J2689,'Validacion reclamo de equipaje'!L:M,2,0)</f>
        <v>179</v>
      </c>
      <c r="L2689" s="55" t="str">
        <f>VLOOKUP(I2689,'Validacion reclamo de equipaje'!H:I,2,0)</f>
        <v>Internacional</v>
      </c>
      <c r="M2689" s="55" t="s">
        <v>523</v>
      </c>
    </row>
    <row r="2690" spans="1:13" x14ac:dyDescent="0.25">
      <c r="A2690">
        <v>221</v>
      </c>
      <c r="B2690" s="47" t="str">
        <f>VLOOKUP(Tabla6[[#This Row],['# Vuelo]],'Validacion reclamo de equipaje'!P:Q,2,0)</f>
        <v>INTERAVIÓN</v>
      </c>
      <c r="C2690" s="48">
        <v>0.54722222222222217</v>
      </c>
      <c r="D2690" s="48">
        <v>0.5625</v>
      </c>
      <c r="E2690" s="49">
        <f>'Reclamo de equipaje rediseñado'!$D2690-'Reclamo de equipaje rediseñado'!$C2690</f>
        <v>1.5277777777777835E-2</v>
      </c>
      <c r="F2690" s="48">
        <v>0.57500000000000007</v>
      </c>
      <c r="G2690" s="49">
        <f t="shared" si="41"/>
        <v>1.2500000000000067E-2</v>
      </c>
      <c r="H2690" s="50">
        <v>41753</v>
      </c>
      <c r="I2690" s="51" t="s">
        <v>555</v>
      </c>
      <c r="J2690" s="51">
        <v>320</v>
      </c>
      <c r="K2690" s="51">
        <f>VLOOKUP(J2690,'Validacion reclamo de equipaje'!L:M,2,0)</f>
        <v>179</v>
      </c>
      <c r="L2690" s="51" t="str">
        <f>VLOOKUP(I2690,'Validacion reclamo de equipaje'!H:I,2,0)</f>
        <v>Internacional</v>
      </c>
      <c r="M2690" s="51" t="s">
        <v>523</v>
      </c>
    </row>
    <row r="2691" spans="1:13" x14ac:dyDescent="0.25">
      <c r="A2691">
        <v>221</v>
      </c>
      <c r="B2691" s="47" t="str">
        <f>VLOOKUP(Tabla6[[#This Row],['# Vuelo]],'Validacion reclamo de equipaje'!P:Q,2,0)</f>
        <v>INTERAVIÓN</v>
      </c>
      <c r="C2691" s="52">
        <v>0.55694444444444446</v>
      </c>
      <c r="D2691" s="52">
        <v>0.56944444444444442</v>
      </c>
      <c r="E2691" s="53">
        <f>'Reclamo de equipaje rediseñado'!$D2691-'Reclamo de equipaje rediseñado'!$C2691</f>
        <v>1.2499999999999956E-2</v>
      </c>
      <c r="F2691" s="52">
        <v>0.5805555555555556</v>
      </c>
      <c r="G2691" s="53">
        <f t="shared" ref="G2691:G2754" si="42">F2691-D2691</f>
        <v>1.1111111111111183E-2</v>
      </c>
      <c r="H2691" s="54">
        <v>41754</v>
      </c>
      <c r="I2691" s="55" t="s">
        <v>555</v>
      </c>
      <c r="J2691" s="55">
        <v>320</v>
      </c>
      <c r="K2691" s="55">
        <f>VLOOKUP(J2691,'Validacion reclamo de equipaje'!L:M,2,0)</f>
        <v>179</v>
      </c>
      <c r="L2691" s="55" t="str">
        <f>VLOOKUP(I2691,'Validacion reclamo de equipaje'!H:I,2,0)</f>
        <v>Internacional</v>
      </c>
      <c r="M2691" s="55" t="s">
        <v>523</v>
      </c>
    </row>
    <row r="2692" spans="1:13" x14ac:dyDescent="0.25">
      <c r="A2692">
        <v>221</v>
      </c>
      <c r="B2692" s="47" t="str">
        <f>VLOOKUP(Tabla6[[#This Row],['# Vuelo]],'Validacion reclamo de equipaje'!P:Q,2,0)</f>
        <v>INTERAVIÓN</v>
      </c>
      <c r="C2692" s="48">
        <v>0.54513888888888895</v>
      </c>
      <c r="D2692" s="48">
        <v>0.55833333333333335</v>
      </c>
      <c r="E2692" s="49">
        <f>'Reclamo de equipaje rediseñado'!$D2692-'Reclamo de equipaje rediseñado'!$C2692</f>
        <v>1.3194444444444398E-2</v>
      </c>
      <c r="F2692" s="48">
        <v>0.57013888888888886</v>
      </c>
      <c r="G2692" s="49">
        <f t="shared" si="42"/>
        <v>1.1805555555555514E-2</v>
      </c>
      <c r="H2692" s="50">
        <v>41756</v>
      </c>
      <c r="I2692" s="51" t="s">
        <v>555</v>
      </c>
      <c r="J2692" s="51">
        <v>320</v>
      </c>
      <c r="K2692" s="51">
        <f>VLOOKUP(J2692,'Validacion reclamo de equipaje'!L:M,2,0)</f>
        <v>179</v>
      </c>
      <c r="L2692" s="51" t="str">
        <f>VLOOKUP(I2692,'Validacion reclamo de equipaje'!H:I,2,0)</f>
        <v>Internacional</v>
      </c>
      <c r="M2692" s="51" t="s">
        <v>523</v>
      </c>
    </row>
    <row r="2693" spans="1:13" x14ac:dyDescent="0.25">
      <c r="A2693">
        <v>221</v>
      </c>
      <c r="B2693" s="47" t="str">
        <f>VLOOKUP(Tabla6[[#This Row],['# Vuelo]],'Validacion reclamo de equipaje'!P:Q,2,0)</f>
        <v>INTERAVIÓN</v>
      </c>
      <c r="C2693" s="52">
        <v>0.55486111111111114</v>
      </c>
      <c r="D2693" s="52">
        <v>0.56736111111111109</v>
      </c>
      <c r="E2693" s="53">
        <f>'Reclamo de equipaje rediseñado'!$D2693-'Reclamo de equipaje rediseñado'!$C2693</f>
        <v>1.2499999999999956E-2</v>
      </c>
      <c r="F2693" s="52">
        <v>0.57986111111111105</v>
      </c>
      <c r="G2693" s="53">
        <f t="shared" si="42"/>
        <v>1.2499999999999956E-2</v>
      </c>
      <c r="H2693" s="54">
        <v>41757</v>
      </c>
      <c r="I2693" s="55" t="s">
        <v>555</v>
      </c>
      <c r="J2693" s="55">
        <v>320</v>
      </c>
      <c r="K2693" s="55">
        <f>VLOOKUP(J2693,'Validacion reclamo de equipaje'!L:M,2,0)</f>
        <v>179</v>
      </c>
      <c r="L2693" s="55" t="str">
        <f>VLOOKUP(I2693,'Validacion reclamo de equipaje'!H:I,2,0)</f>
        <v>Internacional</v>
      </c>
      <c r="M2693" s="55" t="s">
        <v>523</v>
      </c>
    </row>
    <row r="2694" spans="1:13" x14ac:dyDescent="0.25">
      <c r="A2694">
        <v>221</v>
      </c>
      <c r="B2694" s="47" t="str">
        <f>VLOOKUP(Tabla6[[#This Row],['# Vuelo]],'Validacion reclamo de equipaje'!P:Q,2,0)</f>
        <v>INTERAVIÓN</v>
      </c>
      <c r="C2694" s="48">
        <v>0.56527777777777777</v>
      </c>
      <c r="D2694" s="48">
        <v>0.57986111111111105</v>
      </c>
      <c r="E2694" s="49">
        <f>'Reclamo de equipaje rediseñado'!$D2694-'Reclamo de equipaje rediseñado'!$C2694</f>
        <v>1.4583333333333282E-2</v>
      </c>
      <c r="F2694" s="48">
        <v>0.59444444444444444</v>
      </c>
      <c r="G2694" s="49">
        <f t="shared" si="42"/>
        <v>1.4583333333333393E-2</v>
      </c>
      <c r="H2694" s="50">
        <v>41758</v>
      </c>
      <c r="I2694" s="51" t="s">
        <v>555</v>
      </c>
      <c r="J2694" s="51">
        <v>320</v>
      </c>
      <c r="K2694" s="51">
        <f>VLOOKUP(J2694,'Validacion reclamo de equipaje'!L:M,2,0)</f>
        <v>179</v>
      </c>
      <c r="L2694" s="51" t="str">
        <f>VLOOKUP(I2694,'Validacion reclamo de equipaje'!H:I,2,0)</f>
        <v>Internacional</v>
      </c>
      <c r="M2694" s="51" t="s">
        <v>523</v>
      </c>
    </row>
    <row r="2695" spans="1:13" x14ac:dyDescent="0.25">
      <c r="A2695">
        <v>221</v>
      </c>
      <c r="B2695" s="47" t="str">
        <f>VLOOKUP(Tabla6[[#This Row],['# Vuelo]],'Validacion reclamo de equipaje'!P:Q,2,0)</f>
        <v>INTERAVIÓN</v>
      </c>
      <c r="C2695" s="52">
        <v>0.55763888888888891</v>
      </c>
      <c r="D2695" s="52">
        <v>0.57222222222222219</v>
      </c>
      <c r="E2695" s="53">
        <f>'Reclamo de equipaje rediseñado'!$D2695-'Reclamo de equipaje rediseñado'!$C2695</f>
        <v>1.4583333333333282E-2</v>
      </c>
      <c r="F2695" s="52">
        <v>0.59444444444444444</v>
      </c>
      <c r="G2695" s="53">
        <f t="shared" si="42"/>
        <v>2.2222222222222254E-2</v>
      </c>
      <c r="H2695" s="54">
        <v>41759</v>
      </c>
      <c r="I2695" s="55" t="s">
        <v>555</v>
      </c>
      <c r="J2695" s="55">
        <v>320</v>
      </c>
      <c r="K2695" s="55">
        <f>VLOOKUP(J2695,'Validacion reclamo de equipaje'!L:M,2,0)</f>
        <v>179</v>
      </c>
      <c r="L2695" s="55" t="str">
        <f>VLOOKUP(I2695,'Validacion reclamo de equipaje'!H:I,2,0)</f>
        <v>Internacional</v>
      </c>
      <c r="M2695" s="55" t="s">
        <v>523</v>
      </c>
    </row>
    <row r="2696" spans="1:13" x14ac:dyDescent="0.25">
      <c r="A2696">
        <v>221</v>
      </c>
      <c r="B2696" s="47" t="str">
        <f>VLOOKUP(Tabla6[[#This Row],['# Vuelo]],'Validacion reclamo de equipaje'!P:Q,2,0)</f>
        <v>INTERAVIÓN</v>
      </c>
      <c r="C2696" s="48">
        <v>0.22430555555555556</v>
      </c>
      <c r="D2696" s="48">
        <v>0.24583333333333335</v>
      </c>
      <c r="E2696" s="49">
        <f>'Reclamo de equipaje rediseñado'!$D2696-'Reclamo de equipaje rediseñado'!$C2696</f>
        <v>2.1527777777777785E-2</v>
      </c>
      <c r="F2696" s="48">
        <v>0.26666666666666666</v>
      </c>
      <c r="G2696" s="49">
        <f t="shared" si="42"/>
        <v>2.0833333333333315E-2</v>
      </c>
      <c r="H2696" s="50">
        <v>41758</v>
      </c>
      <c r="I2696" s="51" t="s">
        <v>555</v>
      </c>
      <c r="J2696" s="51">
        <v>320</v>
      </c>
      <c r="K2696" s="51">
        <f>VLOOKUP(J2696,'Validacion reclamo de equipaje'!L:M,2,0)</f>
        <v>179</v>
      </c>
      <c r="L2696" s="51" t="str">
        <f>VLOOKUP(I2696,'Validacion reclamo de equipaje'!H:I,2,0)</f>
        <v>Internacional</v>
      </c>
      <c r="M2696" s="51" t="s">
        <v>523</v>
      </c>
    </row>
    <row r="2697" spans="1:13" x14ac:dyDescent="0.25">
      <c r="A2697">
        <v>221</v>
      </c>
      <c r="B2697" s="47" t="str">
        <f>VLOOKUP(Tabla6[[#This Row],['# Vuelo]],'Validacion reclamo de equipaje'!P:Q,2,0)</f>
        <v>INTERAVIÓN</v>
      </c>
      <c r="C2697" s="52">
        <v>0.55347222222222225</v>
      </c>
      <c r="D2697" s="52">
        <v>0.5625</v>
      </c>
      <c r="E2697" s="53">
        <f>'Reclamo de equipaje rediseñado'!$D2697-'Reclamo de equipaje rediseñado'!$C2697</f>
        <v>9.0277777777777457E-3</v>
      </c>
      <c r="F2697" s="52">
        <v>0.57222222222222219</v>
      </c>
      <c r="G2697" s="53">
        <f t="shared" si="42"/>
        <v>9.7222222222221877E-3</v>
      </c>
      <c r="H2697" s="54">
        <v>41754</v>
      </c>
      <c r="I2697" s="55" t="s">
        <v>555</v>
      </c>
      <c r="J2697" s="55">
        <v>320</v>
      </c>
      <c r="K2697" s="55">
        <f>VLOOKUP(J2697,'Validacion reclamo de equipaje'!L:M,2,0)</f>
        <v>179</v>
      </c>
      <c r="L2697" s="55" t="str">
        <f>VLOOKUP(I2697,'Validacion reclamo de equipaje'!H:I,2,0)</f>
        <v>Internacional</v>
      </c>
      <c r="M2697" s="55" t="s">
        <v>523</v>
      </c>
    </row>
    <row r="2698" spans="1:13" x14ac:dyDescent="0.25">
      <c r="A2698">
        <v>322</v>
      </c>
      <c r="B2698" s="47" t="str">
        <f>VLOOKUP(Tabla6[[#This Row],['# Vuelo]],'Validacion reclamo de equipaje'!P:Q,2,0)</f>
        <v>UNIDOS VOLAMOS AIRLINES</v>
      </c>
      <c r="C2698" s="48">
        <v>0.58611111111111114</v>
      </c>
      <c r="D2698" s="48">
        <v>0.60416666666666663</v>
      </c>
      <c r="E2698" s="49">
        <f>'Reclamo de equipaje rediseñado'!$D2698-'Reclamo de equipaje rediseñado'!$C2698</f>
        <v>1.8055555555555491E-2</v>
      </c>
      <c r="F2698" s="48">
        <v>0.61041666666666672</v>
      </c>
      <c r="G2698" s="49">
        <f t="shared" si="42"/>
        <v>6.2500000000000888E-3</v>
      </c>
      <c r="H2698" s="50">
        <v>41754</v>
      </c>
      <c r="I2698" s="51" t="s">
        <v>558</v>
      </c>
      <c r="J2698" s="51">
        <v>320</v>
      </c>
      <c r="K2698" s="51">
        <f>VLOOKUP(J2698,'Validacion reclamo de equipaje'!L:M,2,0)</f>
        <v>179</v>
      </c>
      <c r="L2698" s="51" t="str">
        <f>VLOOKUP(I2698,'Validacion reclamo de equipaje'!H:I,2,0)</f>
        <v>Internacional</v>
      </c>
      <c r="M2698" s="51" t="s">
        <v>523</v>
      </c>
    </row>
    <row r="2699" spans="1:13" x14ac:dyDescent="0.25">
      <c r="A2699">
        <v>322</v>
      </c>
      <c r="B2699" s="47" t="str">
        <f>VLOOKUP(Tabla6[[#This Row],['# Vuelo]],'Validacion reclamo de equipaje'!P:Q,2,0)</f>
        <v>UNIDOS VOLAMOS AIRLINES</v>
      </c>
      <c r="C2699" s="52">
        <v>0.55347222222222225</v>
      </c>
      <c r="D2699" s="52">
        <v>0.56874999999999998</v>
      </c>
      <c r="E2699" s="53">
        <f>'Reclamo de equipaje rediseñado'!$D2699-'Reclamo de equipaje rediseñado'!$C2699</f>
        <v>1.5277777777777724E-2</v>
      </c>
      <c r="F2699" s="52">
        <v>0.5708333333333333</v>
      </c>
      <c r="G2699" s="53">
        <f t="shared" si="42"/>
        <v>2.0833333333333259E-3</v>
      </c>
      <c r="H2699" s="54">
        <v>41730</v>
      </c>
      <c r="I2699" s="55" t="s">
        <v>558</v>
      </c>
      <c r="J2699" s="55">
        <v>320</v>
      </c>
      <c r="K2699" s="55">
        <f>VLOOKUP(J2699,'Validacion reclamo de equipaje'!L:M,2,0)</f>
        <v>179</v>
      </c>
      <c r="L2699" s="55" t="str">
        <f>VLOOKUP(I2699,'Validacion reclamo de equipaje'!H:I,2,0)</f>
        <v>Internacional</v>
      </c>
      <c r="M2699" s="55" t="s">
        <v>523</v>
      </c>
    </row>
    <row r="2700" spans="1:13" x14ac:dyDescent="0.25">
      <c r="A2700">
        <v>322</v>
      </c>
      <c r="B2700" s="47" t="str">
        <f>VLOOKUP(Tabla6[[#This Row],['# Vuelo]],'Validacion reclamo de equipaje'!P:Q,2,0)</f>
        <v>UNIDOS VOLAMOS AIRLINES</v>
      </c>
      <c r="C2700" s="48">
        <v>0.57638888888888895</v>
      </c>
      <c r="D2700" s="48">
        <v>0.58333333333333337</v>
      </c>
      <c r="E2700" s="49">
        <f>'Reclamo de equipaje rediseñado'!$D2700-'Reclamo de equipaje rediseñado'!$C2700</f>
        <v>6.9444444444444198E-3</v>
      </c>
      <c r="F2700" s="48">
        <v>0.58958333333333335</v>
      </c>
      <c r="G2700" s="49">
        <f t="shared" si="42"/>
        <v>6.2499999999999778E-3</v>
      </c>
      <c r="H2700" s="50">
        <v>41731</v>
      </c>
      <c r="I2700" s="51" t="s">
        <v>558</v>
      </c>
      <c r="J2700" s="51">
        <v>320</v>
      </c>
      <c r="K2700" s="51">
        <f>VLOOKUP(J2700,'Validacion reclamo de equipaje'!L:M,2,0)</f>
        <v>179</v>
      </c>
      <c r="L2700" s="51" t="str">
        <f>VLOOKUP(I2700,'Validacion reclamo de equipaje'!H:I,2,0)</f>
        <v>Internacional</v>
      </c>
      <c r="M2700" s="51" t="s">
        <v>523</v>
      </c>
    </row>
    <row r="2701" spans="1:13" x14ac:dyDescent="0.25">
      <c r="A2701">
        <v>322</v>
      </c>
      <c r="B2701" s="47" t="str">
        <f>VLOOKUP(Tabla6[[#This Row],['# Vuelo]],'Validacion reclamo de equipaje'!P:Q,2,0)</f>
        <v>UNIDOS VOLAMOS AIRLINES</v>
      </c>
      <c r="C2701" s="52">
        <v>0.57638888888888895</v>
      </c>
      <c r="D2701" s="52">
        <v>0.58333333333333337</v>
      </c>
      <c r="E2701" s="53">
        <f>'Reclamo de equipaje rediseñado'!$D2701-'Reclamo de equipaje rediseñado'!$C2701</f>
        <v>6.9444444444444198E-3</v>
      </c>
      <c r="F2701" s="52">
        <v>0.58958333333333335</v>
      </c>
      <c r="G2701" s="53">
        <f t="shared" si="42"/>
        <v>6.2499999999999778E-3</v>
      </c>
      <c r="H2701" s="54">
        <v>41731</v>
      </c>
      <c r="I2701" s="55" t="s">
        <v>558</v>
      </c>
      <c r="J2701" s="55">
        <v>320</v>
      </c>
      <c r="K2701" s="55">
        <f>VLOOKUP(J2701,'Validacion reclamo de equipaje'!L:M,2,0)</f>
        <v>179</v>
      </c>
      <c r="L2701" s="55" t="str">
        <f>VLOOKUP(I2701,'Validacion reclamo de equipaje'!H:I,2,0)</f>
        <v>Internacional</v>
      </c>
      <c r="M2701" s="55" t="s">
        <v>523</v>
      </c>
    </row>
    <row r="2702" spans="1:13" x14ac:dyDescent="0.25">
      <c r="A2702">
        <v>322</v>
      </c>
      <c r="B2702" s="47" t="str">
        <f>VLOOKUP(Tabla6[[#This Row],['# Vuelo]],'Validacion reclamo de equipaje'!P:Q,2,0)</f>
        <v>UNIDOS VOLAMOS AIRLINES</v>
      </c>
      <c r="C2702" s="48">
        <v>0.55069444444444449</v>
      </c>
      <c r="D2702" s="48">
        <v>0.56180555555555556</v>
      </c>
      <c r="E2702" s="49">
        <f>'Reclamo de equipaje rediseñado'!$D2702-'Reclamo de equipaje rediseñado'!$C2702</f>
        <v>1.1111111111111072E-2</v>
      </c>
      <c r="F2702" s="48">
        <v>0.57986111111111105</v>
      </c>
      <c r="G2702" s="49">
        <f t="shared" si="42"/>
        <v>1.8055555555555491E-2</v>
      </c>
      <c r="H2702" s="50">
        <v>41732</v>
      </c>
      <c r="I2702" s="51" t="s">
        <v>558</v>
      </c>
      <c r="J2702" s="51">
        <v>320</v>
      </c>
      <c r="K2702" s="51">
        <f>VLOOKUP(J2702,'Validacion reclamo de equipaje'!L:M,2,0)</f>
        <v>179</v>
      </c>
      <c r="L2702" s="51" t="str">
        <f>VLOOKUP(I2702,'Validacion reclamo de equipaje'!H:I,2,0)</f>
        <v>Internacional</v>
      </c>
      <c r="M2702" s="51" t="s">
        <v>523</v>
      </c>
    </row>
    <row r="2703" spans="1:13" x14ac:dyDescent="0.25">
      <c r="A2703">
        <v>322</v>
      </c>
      <c r="B2703" s="47" t="str">
        <f>VLOOKUP(Tabla6[[#This Row],['# Vuelo]],'Validacion reclamo de equipaje'!P:Q,2,0)</f>
        <v>UNIDOS VOLAMOS AIRLINES</v>
      </c>
      <c r="C2703" s="52">
        <v>0.55625000000000002</v>
      </c>
      <c r="D2703" s="52">
        <v>0.57152777777777775</v>
      </c>
      <c r="E2703" s="53">
        <f>'Reclamo de equipaje rediseñado'!$D2703-'Reclamo de equipaje rediseñado'!$C2703</f>
        <v>1.5277777777777724E-2</v>
      </c>
      <c r="F2703" s="52">
        <v>0.57986111111111105</v>
      </c>
      <c r="G2703" s="53">
        <f t="shared" si="42"/>
        <v>8.3333333333333037E-3</v>
      </c>
      <c r="H2703" s="54">
        <v>41733</v>
      </c>
      <c r="I2703" s="55" t="s">
        <v>558</v>
      </c>
      <c r="J2703" s="55">
        <v>320</v>
      </c>
      <c r="K2703" s="55">
        <f>VLOOKUP(J2703,'Validacion reclamo de equipaje'!L:M,2,0)</f>
        <v>179</v>
      </c>
      <c r="L2703" s="55" t="str">
        <f>VLOOKUP(I2703,'Validacion reclamo de equipaje'!H:I,2,0)</f>
        <v>Internacional</v>
      </c>
      <c r="M2703" s="55" t="s">
        <v>523</v>
      </c>
    </row>
    <row r="2704" spans="1:13" x14ac:dyDescent="0.25">
      <c r="A2704">
        <v>322</v>
      </c>
      <c r="B2704" s="47" t="str">
        <f>VLOOKUP(Tabla6[[#This Row],['# Vuelo]],'Validacion reclamo de equipaje'!P:Q,2,0)</f>
        <v>UNIDOS VOLAMOS AIRLINES</v>
      </c>
      <c r="C2704" s="48">
        <v>0.55486111111111114</v>
      </c>
      <c r="D2704" s="48">
        <v>0.56805555555555554</v>
      </c>
      <c r="E2704" s="49">
        <f>'Reclamo de equipaje rediseñado'!$D2704-'Reclamo de equipaje rediseñado'!$C2704</f>
        <v>1.3194444444444398E-2</v>
      </c>
      <c r="F2704" s="48">
        <v>0.57361111111111118</v>
      </c>
      <c r="G2704" s="49">
        <f t="shared" si="42"/>
        <v>5.5555555555556468E-3</v>
      </c>
      <c r="H2704" s="50">
        <v>41734</v>
      </c>
      <c r="I2704" s="51" t="s">
        <v>558</v>
      </c>
      <c r="J2704" s="51">
        <v>320</v>
      </c>
      <c r="K2704" s="51">
        <f>VLOOKUP(J2704,'Validacion reclamo de equipaje'!L:M,2,0)</f>
        <v>179</v>
      </c>
      <c r="L2704" s="51" t="str">
        <f>VLOOKUP(I2704,'Validacion reclamo de equipaje'!H:I,2,0)</f>
        <v>Internacional</v>
      </c>
      <c r="M2704" s="51" t="s">
        <v>523</v>
      </c>
    </row>
    <row r="2705" spans="1:13" x14ac:dyDescent="0.25">
      <c r="A2705">
        <v>322</v>
      </c>
      <c r="B2705" s="47" t="str">
        <f>VLOOKUP(Tabla6[[#This Row],['# Vuelo]],'Validacion reclamo de equipaje'!P:Q,2,0)</f>
        <v>UNIDOS VOLAMOS AIRLINES</v>
      </c>
      <c r="C2705" s="52">
        <v>0.61597222222222225</v>
      </c>
      <c r="D2705" s="52">
        <v>0.63194444444444442</v>
      </c>
      <c r="E2705" s="53">
        <f>'Reclamo de equipaje rediseñado'!$D2705-'Reclamo de equipaje rediseñado'!$C2705</f>
        <v>1.5972222222222165E-2</v>
      </c>
      <c r="F2705" s="52">
        <v>0.63541666666666663</v>
      </c>
      <c r="G2705" s="53">
        <f t="shared" si="42"/>
        <v>3.4722222222222099E-3</v>
      </c>
      <c r="H2705" s="54">
        <v>41735</v>
      </c>
      <c r="I2705" s="55" t="s">
        <v>558</v>
      </c>
      <c r="J2705" s="55">
        <v>320</v>
      </c>
      <c r="K2705" s="55">
        <f>VLOOKUP(J2705,'Validacion reclamo de equipaje'!L:M,2,0)</f>
        <v>179</v>
      </c>
      <c r="L2705" s="55" t="str">
        <f>VLOOKUP(I2705,'Validacion reclamo de equipaje'!H:I,2,0)</f>
        <v>Internacional</v>
      </c>
      <c r="M2705" s="55" t="s">
        <v>523</v>
      </c>
    </row>
    <row r="2706" spans="1:13" x14ac:dyDescent="0.25">
      <c r="A2706">
        <v>322</v>
      </c>
      <c r="B2706" s="47" t="str">
        <f>VLOOKUP(Tabla6[[#This Row],['# Vuelo]],'Validacion reclamo de equipaje'!P:Q,2,0)</f>
        <v>UNIDOS VOLAMOS AIRLINES</v>
      </c>
      <c r="C2706" s="48">
        <v>0.60555555555555551</v>
      </c>
      <c r="D2706" s="48">
        <v>0.62152777777777779</v>
      </c>
      <c r="E2706" s="49">
        <f>'Reclamo de equipaje rediseñado'!$D2706-'Reclamo de equipaje rediseñado'!$C2706</f>
        <v>1.5972222222222276E-2</v>
      </c>
      <c r="F2706" s="48">
        <v>0.62777777777777777</v>
      </c>
      <c r="G2706" s="49">
        <f t="shared" si="42"/>
        <v>6.2499999999999778E-3</v>
      </c>
      <c r="H2706" s="50">
        <v>41736</v>
      </c>
      <c r="I2706" s="51" t="s">
        <v>558</v>
      </c>
      <c r="J2706" s="51">
        <v>320</v>
      </c>
      <c r="K2706" s="51">
        <f>VLOOKUP(J2706,'Validacion reclamo de equipaje'!L:M,2,0)</f>
        <v>179</v>
      </c>
      <c r="L2706" s="51" t="str">
        <f>VLOOKUP(I2706,'Validacion reclamo de equipaje'!H:I,2,0)</f>
        <v>Internacional</v>
      </c>
      <c r="M2706" s="51" t="s">
        <v>523</v>
      </c>
    </row>
    <row r="2707" spans="1:13" x14ac:dyDescent="0.25">
      <c r="A2707">
        <v>322</v>
      </c>
      <c r="B2707" s="47" t="str">
        <f>VLOOKUP(Tabla6[[#This Row],['# Vuelo]],'Validacion reclamo de equipaje'!P:Q,2,0)</f>
        <v>UNIDOS VOLAMOS AIRLINES</v>
      </c>
      <c r="C2707" s="52">
        <v>0.58888888888888891</v>
      </c>
      <c r="D2707" s="52">
        <v>0.60625000000000007</v>
      </c>
      <c r="E2707" s="53">
        <f>'Reclamo de equipaje rediseñado'!$D2707-'Reclamo de equipaje rediseñado'!$C2707</f>
        <v>1.736111111111116E-2</v>
      </c>
      <c r="F2707" s="52">
        <v>0.61388888888888882</v>
      </c>
      <c r="G2707" s="53">
        <f t="shared" si="42"/>
        <v>7.6388888888887507E-3</v>
      </c>
      <c r="H2707" s="54">
        <v>41739</v>
      </c>
      <c r="I2707" s="55" t="s">
        <v>558</v>
      </c>
      <c r="J2707" s="55">
        <v>320</v>
      </c>
      <c r="K2707" s="55">
        <f>VLOOKUP(J2707,'Validacion reclamo de equipaje'!L:M,2,0)</f>
        <v>179</v>
      </c>
      <c r="L2707" s="55" t="str">
        <f>VLOOKUP(I2707,'Validacion reclamo de equipaje'!H:I,2,0)</f>
        <v>Internacional</v>
      </c>
      <c r="M2707" s="55" t="s">
        <v>523</v>
      </c>
    </row>
    <row r="2708" spans="1:13" x14ac:dyDescent="0.25">
      <c r="A2708">
        <v>322</v>
      </c>
      <c r="B2708" s="47" t="str">
        <f>VLOOKUP(Tabla6[[#This Row],['# Vuelo]],'Validacion reclamo de equipaje'!P:Q,2,0)</f>
        <v>UNIDOS VOLAMOS AIRLINES</v>
      </c>
      <c r="C2708" s="48">
        <v>0.58402777777777781</v>
      </c>
      <c r="D2708" s="48">
        <v>0.60069444444444442</v>
      </c>
      <c r="E2708" s="49">
        <f>'Reclamo de equipaje rediseñado'!$D2708-'Reclamo de equipaje rediseñado'!$C2708</f>
        <v>1.6666666666666607E-2</v>
      </c>
      <c r="F2708" s="48">
        <v>0.60972222222222217</v>
      </c>
      <c r="G2708" s="49">
        <f t="shared" si="42"/>
        <v>9.0277777777777457E-3</v>
      </c>
      <c r="H2708" s="50">
        <v>41741</v>
      </c>
      <c r="I2708" s="51" t="s">
        <v>558</v>
      </c>
      <c r="J2708" s="51">
        <v>320</v>
      </c>
      <c r="K2708" s="51">
        <f>VLOOKUP(J2708,'Validacion reclamo de equipaje'!L:M,2,0)</f>
        <v>179</v>
      </c>
      <c r="L2708" s="51" t="str">
        <f>VLOOKUP(I2708,'Validacion reclamo de equipaje'!H:I,2,0)</f>
        <v>Internacional</v>
      </c>
      <c r="M2708" s="51" t="s">
        <v>523</v>
      </c>
    </row>
    <row r="2709" spans="1:13" x14ac:dyDescent="0.25">
      <c r="A2709">
        <v>322</v>
      </c>
      <c r="B2709" s="47" t="str">
        <f>VLOOKUP(Tabla6[[#This Row],['# Vuelo]],'Validacion reclamo de equipaje'!P:Q,2,0)</f>
        <v>UNIDOS VOLAMOS AIRLINES</v>
      </c>
      <c r="C2709" s="52">
        <v>0.60486111111111118</v>
      </c>
      <c r="D2709" s="52">
        <v>0.61875000000000002</v>
      </c>
      <c r="E2709" s="53">
        <f>'Reclamo de equipaje rediseñado'!$D2709-'Reclamo de equipaje rediseñado'!$C2709</f>
        <v>1.388888888888884E-2</v>
      </c>
      <c r="F2709" s="52">
        <v>0.62708333333333333</v>
      </c>
      <c r="G2709" s="53">
        <f t="shared" si="42"/>
        <v>8.3333333333333037E-3</v>
      </c>
      <c r="H2709" s="54">
        <v>41744</v>
      </c>
      <c r="I2709" s="55" t="s">
        <v>558</v>
      </c>
      <c r="J2709" s="55">
        <v>320</v>
      </c>
      <c r="K2709" s="55">
        <f>VLOOKUP(J2709,'Validacion reclamo de equipaje'!L:M,2,0)</f>
        <v>179</v>
      </c>
      <c r="L2709" s="55" t="str">
        <f>VLOOKUP(I2709,'Validacion reclamo de equipaje'!H:I,2,0)</f>
        <v>Internacional</v>
      </c>
      <c r="M2709" s="55" t="s">
        <v>523</v>
      </c>
    </row>
    <row r="2710" spans="1:13" x14ac:dyDescent="0.25">
      <c r="A2710">
        <v>322</v>
      </c>
      <c r="B2710" s="47" t="str">
        <f>VLOOKUP(Tabla6[[#This Row],['# Vuelo]],'Validacion reclamo de equipaje'!P:Q,2,0)</f>
        <v>UNIDOS VOLAMOS AIRLINES</v>
      </c>
      <c r="C2710" s="48">
        <v>0.61944444444444446</v>
      </c>
      <c r="D2710" s="48">
        <v>0.6333333333333333</v>
      </c>
      <c r="E2710" s="49">
        <f>'Reclamo de equipaje rediseñado'!$D2710-'Reclamo de equipaje rediseñado'!$C2710</f>
        <v>1.388888888888884E-2</v>
      </c>
      <c r="F2710" s="48">
        <v>0.6430555555555556</v>
      </c>
      <c r="G2710" s="49">
        <f t="shared" si="42"/>
        <v>9.7222222222222987E-3</v>
      </c>
      <c r="H2710" s="50">
        <v>41745</v>
      </c>
      <c r="I2710" s="51" t="s">
        <v>558</v>
      </c>
      <c r="J2710" s="51">
        <v>320</v>
      </c>
      <c r="K2710" s="51">
        <f>VLOOKUP(J2710,'Validacion reclamo de equipaje'!L:M,2,0)</f>
        <v>179</v>
      </c>
      <c r="L2710" s="51" t="str">
        <f>VLOOKUP(I2710,'Validacion reclamo de equipaje'!H:I,2,0)</f>
        <v>Internacional</v>
      </c>
      <c r="M2710" s="51" t="s">
        <v>523</v>
      </c>
    </row>
    <row r="2711" spans="1:13" x14ac:dyDescent="0.25">
      <c r="A2711">
        <v>322</v>
      </c>
      <c r="B2711" s="47" t="str">
        <f>VLOOKUP(Tabla6[[#This Row],['# Vuelo]],'Validacion reclamo de equipaje'!P:Q,2,0)</f>
        <v>UNIDOS VOLAMOS AIRLINES</v>
      </c>
      <c r="C2711" s="52">
        <v>0.59583333333333333</v>
      </c>
      <c r="D2711" s="52">
        <v>0.61111111111111105</v>
      </c>
      <c r="E2711" s="53">
        <f>'Reclamo de equipaje rediseñado'!$D2711-'Reclamo de equipaje rediseñado'!$C2711</f>
        <v>1.5277777777777724E-2</v>
      </c>
      <c r="F2711" s="52">
        <v>0.61944444444444446</v>
      </c>
      <c r="G2711" s="53">
        <f t="shared" si="42"/>
        <v>8.3333333333334147E-3</v>
      </c>
      <c r="H2711" s="54">
        <v>41746</v>
      </c>
      <c r="I2711" s="55" t="s">
        <v>558</v>
      </c>
      <c r="J2711" s="55">
        <v>320</v>
      </c>
      <c r="K2711" s="55">
        <f>VLOOKUP(J2711,'Validacion reclamo de equipaje'!L:M,2,0)</f>
        <v>179</v>
      </c>
      <c r="L2711" s="55" t="str">
        <f>VLOOKUP(I2711,'Validacion reclamo de equipaje'!H:I,2,0)</f>
        <v>Internacional</v>
      </c>
      <c r="M2711" s="55" t="s">
        <v>523</v>
      </c>
    </row>
    <row r="2712" spans="1:13" x14ac:dyDescent="0.25">
      <c r="A2712">
        <v>322</v>
      </c>
      <c r="B2712" s="47" t="str">
        <f>VLOOKUP(Tabla6[[#This Row],['# Vuelo]],'Validacion reclamo de equipaje'!P:Q,2,0)</f>
        <v>UNIDOS VOLAMOS AIRLINES</v>
      </c>
      <c r="C2712" s="48">
        <v>0.58611111111111114</v>
      </c>
      <c r="D2712" s="48">
        <v>0.60486111111111118</v>
      </c>
      <c r="E2712" s="49">
        <f>'Reclamo de equipaje rediseñado'!$D2712-'Reclamo de equipaje rediseñado'!$C2712</f>
        <v>1.8750000000000044E-2</v>
      </c>
      <c r="F2712" s="48">
        <v>0.61041666666666672</v>
      </c>
      <c r="G2712" s="49">
        <f t="shared" si="42"/>
        <v>5.5555555555555358E-3</v>
      </c>
      <c r="H2712" s="50">
        <v>41747</v>
      </c>
      <c r="I2712" s="51" t="s">
        <v>558</v>
      </c>
      <c r="J2712" s="51">
        <v>320</v>
      </c>
      <c r="K2712" s="51">
        <f>VLOOKUP(J2712,'Validacion reclamo de equipaje'!L:M,2,0)</f>
        <v>179</v>
      </c>
      <c r="L2712" s="51" t="str">
        <f>VLOOKUP(I2712,'Validacion reclamo de equipaje'!H:I,2,0)</f>
        <v>Internacional</v>
      </c>
      <c r="M2712" s="51" t="s">
        <v>523</v>
      </c>
    </row>
    <row r="2713" spans="1:13" x14ac:dyDescent="0.25">
      <c r="A2713">
        <v>322</v>
      </c>
      <c r="B2713" s="47" t="str">
        <f>VLOOKUP(Tabla6[[#This Row],['# Vuelo]],'Validacion reclamo de equipaje'!P:Q,2,0)</f>
        <v>UNIDOS VOLAMOS AIRLINES</v>
      </c>
      <c r="C2713" s="52">
        <v>0.6</v>
      </c>
      <c r="D2713" s="52">
        <v>0.62361111111111112</v>
      </c>
      <c r="E2713" s="53">
        <f>'Reclamo de equipaje rediseñado'!$D2713-'Reclamo de equipaje rediseñado'!$C2713</f>
        <v>2.3611111111111138E-2</v>
      </c>
      <c r="F2713" s="52">
        <v>0.63194444444444442</v>
      </c>
      <c r="G2713" s="53">
        <f t="shared" si="42"/>
        <v>8.3333333333333037E-3</v>
      </c>
      <c r="H2713" s="54">
        <v>41748</v>
      </c>
      <c r="I2713" s="55" t="s">
        <v>558</v>
      </c>
      <c r="J2713" s="55">
        <v>320</v>
      </c>
      <c r="K2713" s="55">
        <f>VLOOKUP(J2713,'Validacion reclamo de equipaje'!L:M,2,0)</f>
        <v>179</v>
      </c>
      <c r="L2713" s="55" t="str">
        <f>VLOOKUP(I2713,'Validacion reclamo de equipaje'!H:I,2,0)</f>
        <v>Internacional</v>
      </c>
      <c r="M2713" s="55" t="s">
        <v>523</v>
      </c>
    </row>
    <row r="2714" spans="1:13" x14ac:dyDescent="0.25">
      <c r="A2714">
        <v>322</v>
      </c>
      <c r="B2714" s="47" t="str">
        <f>VLOOKUP(Tabla6[[#This Row],['# Vuelo]],'Validacion reclamo de equipaje'!P:Q,2,0)</f>
        <v>UNIDOS VOLAMOS AIRLINES</v>
      </c>
      <c r="C2714" s="48">
        <v>0.58472222222222225</v>
      </c>
      <c r="D2714" s="48">
        <v>0.60138888888888886</v>
      </c>
      <c r="E2714" s="49">
        <f>'Reclamo de equipaje rediseñado'!$D2714-'Reclamo de equipaje rediseñado'!$C2714</f>
        <v>1.6666666666666607E-2</v>
      </c>
      <c r="F2714" s="48">
        <v>0.60972222222222217</v>
      </c>
      <c r="G2714" s="49">
        <f t="shared" si="42"/>
        <v>8.3333333333333037E-3</v>
      </c>
      <c r="H2714" s="50">
        <v>41749</v>
      </c>
      <c r="I2714" s="51" t="s">
        <v>558</v>
      </c>
      <c r="J2714" s="51">
        <v>320</v>
      </c>
      <c r="K2714" s="51">
        <f>VLOOKUP(J2714,'Validacion reclamo de equipaje'!L:M,2,0)</f>
        <v>179</v>
      </c>
      <c r="L2714" s="51" t="str">
        <f>VLOOKUP(I2714,'Validacion reclamo de equipaje'!H:I,2,0)</f>
        <v>Internacional</v>
      </c>
      <c r="M2714" s="51" t="s">
        <v>523</v>
      </c>
    </row>
    <row r="2715" spans="1:13" x14ac:dyDescent="0.25">
      <c r="A2715">
        <v>322</v>
      </c>
      <c r="B2715" s="47" t="str">
        <f>VLOOKUP(Tabla6[[#This Row],['# Vuelo]],'Validacion reclamo de equipaje'!P:Q,2,0)</f>
        <v>UNIDOS VOLAMOS AIRLINES</v>
      </c>
      <c r="C2715" s="52">
        <v>0.60416666666666663</v>
      </c>
      <c r="D2715" s="52">
        <v>0.6166666666666667</v>
      </c>
      <c r="E2715" s="53">
        <f>'Reclamo de equipaje rediseñado'!$D2715-'Reclamo de equipaje rediseñado'!$C2715</f>
        <v>1.2500000000000067E-2</v>
      </c>
      <c r="F2715" s="52">
        <v>0.62986111111111109</v>
      </c>
      <c r="G2715" s="53">
        <f t="shared" si="42"/>
        <v>1.3194444444444398E-2</v>
      </c>
      <c r="H2715" s="54">
        <v>41750</v>
      </c>
      <c r="I2715" s="55" t="s">
        <v>558</v>
      </c>
      <c r="J2715" s="55">
        <v>320</v>
      </c>
      <c r="K2715" s="55">
        <f>VLOOKUP(J2715,'Validacion reclamo de equipaje'!L:M,2,0)</f>
        <v>179</v>
      </c>
      <c r="L2715" s="55" t="str">
        <f>VLOOKUP(I2715,'Validacion reclamo de equipaje'!H:I,2,0)</f>
        <v>Internacional</v>
      </c>
      <c r="M2715" s="55" t="s">
        <v>523</v>
      </c>
    </row>
    <row r="2716" spans="1:13" x14ac:dyDescent="0.25">
      <c r="A2716">
        <v>322</v>
      </c>
      <c r="B2716" s="47" t="str">
        <f>VLOOKUP(Tabla6[[#This Row],['# Vuelo]],'Validacion reclamo de equipaje'!P:Q,2,0)</f>
        <v>UNIDOS VOLAMOS AIRLINES</v>
      </c>
      <c r="C2716" s="48">
        <v>0.60069444444444442</v>
      </c>
      <c r="D2716" s="48">
        <v>0.62083333333333335</v>
      </c>
      <c r="E2716" s="49">
        <f>'Reclamo de equipaje rediseñado'!$D2716-'Reclamo de equipaje rediseñado'!$C2716</f>
        <v>2.0138888888888928E-2</v>
      </c>
      <c r="F2716" s="48">
        <v>0.62986111111111109</v>
      </c>
      <c r="G2716" s="49">
        <f t="shared" si="42"/>
        <v>9.0277777777777457E-3</v>
      </c>
      <c r="H2716" s="50">
        <v>41751</v>
      </c>
      <c r="I2716" s="51" t="s">
        <v>558</v>
      </c>
      <c r="J2716" s="51">
        <v>320</v>
      </c>
      <c r="K2716" s="51">
        <f>VLOOKUP(J2716,'Validacion reclamo de equipaje'!L:M,2,0)</f>
        <v>179</v>
      </c>
      <c r="L2716" s="51" t="str">
        <f>VLOOKUP(I2716,'Validacion reclamo de equipaje'!H:I,2,0)</f>
        <v>Internacional</v>
      </c>
      <c r="M2716" s="51" t="s">
        <v>523</v>
      </c>
    </row>
    <row r="2717" spans="1:13" x14ac:dyDescent="0.25">
      <c r="A2717">
        <v>322</v>
      </c>
      <c r="B2717" s="47" t="str">
        <f>VLOOKUP(Tabla6[[#This Row],['# Vuelo]],'Validacion reclamo de equipaje'!P:Q,2,0)</f>
        <v>UNIDOS VOLAMOS AIRLINES</v>
      </c>
      <c r="C2717" s="52">
        <v>0.60069444444444442</v>
      </c>
      <c r="D2717" s="52">
        <v>0.62083333333333335</v>
      </c>
      <c r="E2717" s="53">
        <f>'Reclamo de equipaje rediseñado'!$D2717-'Reclamo de equipaje rediseñado'!$C2717</f>
        <v>2.0138888888888928E-2</v>
      </c>
      <c r="F2717" s="52">
        <v>0.62708333333333333</v>
      </c>
      <c r="G2717" s="53">
        <f t="shared" si="42"/>
        <v>6.2499999999999778E-3</v>
      </c>
      <c r="H2717" s="54">
        <v>41751</v>
      </c>
      <c r="I2717" s="55" t="s">
        <v>558</v>
      </c>
      <c r="J2717" s="55">
        <v>320</v>
      </c>
      <c r="K2717" s="55">
        <f>VLOOKUP(J2717,'Validacion reclamo de equipaje'!L:M,2,0)</f>
        <v>179</v>
      </c>
      <c r="L2717" s="55" t="str">
        <f>VLOOKUP(I2717,'Validacion reclamo de equipaje'!H:I,2,0)</f>
        <v>Internacional</v>
      </c>
      <c r="M2717" s="55" t="s">
        <v>523</v>
      </c>
    </row>
    <row r="2718" spans="1:13" x14ac:dyDescent="0.25">
      <c r="A2718">
        <v>322</v>
      </c>
      <c r="B2718" s="47" t="str">
        <f>VLOOKUP(Tabla6[[#This Row],['# Vuelo]],'Validacion reclamo de equipaje'!P:Q,2,0)</f>
        <v>UNIDOS VOLAMOS AIRLINES</v>
      </c>
      <c r="C2718" s="48">
        <v>0.59444444444444444</v>
      </c>
      <c r="D2718" s="48">
        <v>0.61388888888888882</v>
      </c>
      <c r="E2718" s="49">
        <f>'Reclamo de equipaje rediseñado'!$D2718-'Reclamo de equipaje rediseñado'!$C2718</f>
        <v>1.9444444444444375E-2</v>
      </c>
      <c r="F2718" s="48">
        <v>0.62916666666666665</v>
      </c>
      <c r="G2718" s="49">
        <f t="shared" si="42"/>
        <v>1.5277777777777835E-2</v>
      </c>
      <c r="H2718" s="50">
        <v>41753</v>
      </c>
      <c r="I2718" s="51" t="s">
        <v>558</v>
      </c>
      <c r="J2718" s="51">
        <v>320</v>
      </c>
      <c r="K2718" s="51">
        <f>VLOOKUP(J2718,'Validacion reclamo de equipaje'!L:M,2,0)</f>
        <v>179</v>
      </c>
      <c r="L2718" s="51" t="str">
        <f>VLOOKUP(I2718,'Validacion reclamo de equipaje'!H:I,2,0)</f>
        <v>Internacional</v>
      </c>
      <c r="M2718" s="51" t="s">
        <v>523</v>
      </c>
    </row>
    <row r="2719" spans="1:13" x14ac:dyDescent="0.25">
      <c r="A2719">
        <v>322</v>
      </c>
      <c r="B2719" s="47" t="str">
        <f>VLOOKUP(Tabla6[[#This Row],['# Vuelo]],'Validacion reclamo de equipaje'!P:Q,2,0)</f>
        <v>UNIDOS VOLAMOS AIRLINES</v>
      </c>
      <c r="C2719" s="52">
        <v>0.59305555555555556</v>
      </c>
      <c r="D2719" s="52">
        <v>0.61111111111111105</v>
      </c>
      <c r="E2719" s="53">
        <f>'Reclamo de equipaje rediseñado'!$D2719-'Reclamo de equipaje rediseñado'!$C2719</f>
        <v>1.8055555555555491E-2</v>
      </c>
      <c r="F2719" s="52">
        <v>0.625</v>
      </c>
      <c r="G2719" s="53">
        <f t="shared" si="42"/>
        <v>1.3888888888888951E-2</v>
      </c>
      <c r="H2719" s="54">
        <v>41754</v>
      </c>
      <c r="I2719" s="55" t="s">
        <v>558</v>
      </c>
      <c r="J2719" s="55">
        <v>320</v>
      </c>
      <c r="K2719" s="55">
        <f>VLOOKUP(J2719,'Validacion reclamo de equipaje'!L:M,2,0)</f>
        <v>179</v>
      </c>
      <c r="L2719" s="55" t="str">
        <f>VLOOKUP(I2719,'Validacion reclamo de equipaje'!H:I,2,0)</f>
        <v>Internacional</v>
      </c>
      <c r="M2719" s="55" t="s">
        <v>523</v>
      </c>
    </row>
    <row r="2720" spans="1:13" x14ac:dyDescent="0.25">
      <c r="A2720">
        <v>322</v>
      </c>
      <c r="B2720" s="47" t="str">
        <f>VLOOKUP(Tabla6[[#This Row],['# Vuelo]],'Validacion reclamo de equipaje'!P:Q,2,0)</f>
        <v>UNIDOS VOLAMOS AIRLINES</v>
      </c>
      <c r="C2720" s="48">
        <v>0.59236111111111112</v>
      </c>
      <c r="D2720" s="48">
        <v>0.60555555555555551</v>
      </c>
      <c r="E2720" s="49">
        <f>'Reclamo de equipaje rediseñado'!$D2720-'Reclamo de equipaje rediseñado'!$C2720</f>
        <v>1.3194444444444398E-2</v>
      </c>
      <c r="F2720" s="48">
        <v>0.61597222222222225</v>
      </c>
      <c r="G2720" s="49">
        <f t="shared" si="42"/>
        <v>1.0416666666666741E-2</v>
      </c>
      <c r="H2720" s="50">
        <v>41756</v>
      </c>
      <c r="I2720" s="51" t="s">
        <v>558</v>
      </c>
      <c r="J2720" s="51">
        <v>320</v>
      </c>
      <c r="K2720" s="51">
        <f>VLOOKUP(J2720,'Validacion reclamo de equipaje'!L:M,2,0)</f>
        <v>179</v>
      </c>
      <c r="L2720" s="51" t="str">
        <f>VLOOKUP(I2720,'Validacion reclamo de equipaje'!H:I,2,0)</f>
        <v>Internacional</v>
      </c>
      <c r="M2720" s="51" t="s">
        <v>523</v>
      </c>
    </row>
    <row r="2721" spans="1:13" x14ac:dyDescent="0.25">
      <c r="A2721">
        <v>322</v>
      </c>
      <c r="B2721" s="47" t="str">
        <f>VLOOKUP(Tabla6[[#This Row],['# Vuelo]],'Validacion reclamo de equipaje'!P:Q,2,0)</f>
        <v>UNIDOS VOLAMOS AIRLINES</v>
      </c>
      <c r="C2721" s="52">
        <v>0.55486111111111114</v>
      </c>
      <c r="D2721" s="52">
        <v>0.63402777777777775</v>
      </c>
      <c r="E2721" s="53">
        <f>'Reclamo de equipaje rediseñado'!$D2721-'Reclamo de equipaje rediseñado'!$C2721</f>
        <v>7.9166666666666607E-2</v>
      </c>
      <c r="F2721" s="52">
        <v>0.64513888888888882</v>
      </c>
      <c r="G2721" s="53">
        <f t="shared" si="42"/>
        <v>1.1111111111111072E-2</v>
      </c>
      <c r="H2721" s="54">
        <v>41757</v>
      </c>
      <c r="I2721" s="55" t="s">
        <v>558</v>
      </c>
      <c r="J2721" s="55">
        <v>320</v>
      </c>
      <c r="K2721" s="55">
        <f>VLOOKUP(J2721,'Validacion reclamo de equipaje'!L:M,2,0)</f>
        <v>179</v>
      </c>
      <c r="L2721" s="55" t="str">
        <f>VLOOKUP(I2721,'Validacion reclamo de equipaje'!H:I,2,0)</f>
        <v>Internacional</v>
      </c>
      <c r="M2721" s="55" t="s">
        <v>523</v>
      </c>
    </row>
    <row r="2722" spans="1:13" x14ac:dyDescent="0.25">
      <c r="A2722">
        <v>322</v>
      </c>
      <c r="B2722" s="47" t="str">
        <f>VLOOKUP(Tabla6[[#This Row],['# Vuelo]],'Validacion reclamo de equipaje'!P:Q,2,0)</f>
        <v>UNIDOS VOLAMOS AIRLINES</v>
      </c>
      <c r="C2722" s="48">
        <v>0.59861111111111109</v>
      </c>
      <c r="D2722" s="48">
        <v>0.62638888888888888</v>
      </c>
      <c r="E2722" s="49">
        <f>'Reclamo de equipaje rediseñado'!$D2722-'Reclamo de equipaje rediseñado'!$C2722</f>
        <v>2.777777777777779E-2</v>
      </c>
      <c r="F2722" s="48">
        <v>0.63750000000000007</v>
      </c>
      <c r="G2722" s="49">
        <f t="shared" si="42"/>
        <v>1.1111111111111183E-2</v>
      </c>
      <c r="H2722" s="50">
        <v>41758</v>
      </c>
      <c r="I2722" s="51" t="s">
        <v>558</v>
      </c>
      <c r="J2722" s="51">
        <v>320</v>
      </c>
      <c r="K2722" s="51">
        <f>VLOOKUP(J2722,'Validacion reclamo de equipaje'!L:M,2,0)</f>
        <v>179</v>
      </c>
      <c r="L2722" s="51" t="str">
        <f>VLOOKUP(I2722,'Validacion reclamo de equipaje'!H:I,2,0)</f>
        <v>Internacional</v>
      </c>
      <c r="M2722" s="51" t="s">
        <v>523</v>
      </c>
    </row>
    <row r="2723" spans="1:13" x14ac:dyDescent="0.25">
      <c r="A2723">
        <v>322</v>
      </c>
      <c r="B2723" s="47" t="str">
        <f>VLOOKUP(Tabla6[[#This Row],['# Vuelo]],'Validacion reclamo de equipaje'!P:Q,2,0)</f>
        <v>UNIDOS VOLAMOS AIRLINES</v>
      </c>
      <c r="C2723" s="52">
        <v>0.58958333333333335</v>
      </c>
      <c r="D2723" s="52">
        <v>0.59930555555555554</v>
      </c>
      <c r="E2723" s="53">
        <f>'Reclamo de equipaje rediseñado'!$D2723-'Reclamo de equipaje rediseñado'!$C2723</f>
        <v>9.7222222222221877E-3</v>
      </c>
      <c r="F2723" s="52">
        <v>0.6166666666666667</v>
      </c>
      <c r="G2723" s="53">
        <f t="shared" si="42"/>
        <v>1.736111111111116E-2</v>
      </c>
      <c r="H2723" s="54">
        <v>41759</v>
      </c>
      <c r="I2723" s="55" t="s">
        <v>558</v>
      </c>
      <c r="J2723" s="55">
        <v>320</v>
      </c>
      <c r="K2723" s="55">
        <f>VLOOKUP(J2723,'Validacion reclamo de equipaje'!L:M,2,0)</f>
        <v>179</v>
      </c>
      <c r="L2723" s="55" t="str">
        <f>VLOOKUP(I2723,'Validacion reclamo de equipaje'!H:I,2,0)</f>
        <v>Internacional</v>
      </c>
      <c r="M2723" s="55" t="s">
        <v>523</v>
      </c>
    </row>
    <row r="2724" spans="1:13" x14ac:dyDescent="0.25">
      <c r="A2724">
        <v>480</v>
      </c>
      <c r="B2724" s="47" t="str">
        <f>VLOOKUP(Tabla6[[#This Row],['# Vuelo]],'Validacion reclamo de equipaje'!P:Q,2,0)</f>
        <v>UNIDOS VOLAMOS</v>
      </c>
      <c r="C2724" s="48">
        <v>0.20208333333333331</v>
      </c>
      <c r="D2724" s="48">
        <v>0.21666666666666667</v>
      </c>
      <c r="E2724" s="49">
        <f>'Reclamo de equipaje rediseñado'!$D2724-'Reclamo de equipaje rediseñado'!$C2724</f>
        <v>1.4583333333333365E-2</v>
      </c>
      <c r="F2724" s="48">
        <v>0.22569444444444445</v>
      </c>
      <c r="G2724" s="49">
        <f t="shared" si="42"/>
        <v>9.0277777777777735E-3</v>
      </c>
      <c r="H2724" s="50">
        <v>41730</v>
      </c>
      <c r="I2724" s="51" t="s">
        <v>558</v>
      </c>
      <c r="J2724" s="51">
        <v>320</v>
      </c>
      <c r="K2724" s="51">
        <f>VLOOKUP(J2724,'Validacion reclamo de equipaje'!L:M,2,0)</f>
        <v>179</v>
      </c>
      <c r="L2724" s="51" t="str">
        <f>VLOOKUP(I2724,'Validacion reclamo de equipaje'!H:I,2,0)</f>
        <v>Internacional</v>
      </c>
      <c r="M2724" s="51" t="s">
        <v>523</v>
      </c>
    </row>
    <row r="2725" spans="1:13" x14ac:dyDescent="0.25">
      <c r="A2725">
        <v>480</v>
      </c>
      <c r="B2725" s="47" t="str">
        <f>VLOOKUP(Tabla6[[#This Row],['# Vuelo]],'Validacion reclamo de equipaje'!P:Q,2,0)</f>
        <v>UNIDOS VOLAMOS</v>
      </c>
      <c r="C2725" s="52">
        <v>0.20347222222222219</v>
      </c>
      <c r="D2725" s="52">
        <v>0.21805555555555556</v>
      </c>
      <c r="E2725" s="53">
        <f>'Reclamo de equipaje rediseñado'!$D2725-'Reclamo de equipaje rediseñado'!$C2725</f>
        <v>1.4583333333333365E-2</v>
      </c>
      <c r="F2725" s="52">
        <v>0.25</v>
      </c>
      <c r="G2725" s="53">
        <f t="shared" si="42"/>
        <v>3.1944444444444442E-2</v>
      </c>
      <c r="H2725" s="54">
        <v>41733</v>
      </c>
      <c r="I2725" s="55" t="s">
        <v>558</v>
      </c>
      <c r="J2725" s="55">
        <v>320</v>
      </c>
      <c r="K2725" s="55">
        <f>VLOOKUP(J2725,'Validacion reclamo de equipaje'!L:M,2,0)</f>
        <v>179</v>
      </c>
      <c r="L2725" s="55" t="str">
        <f>VLOOKUP(I2725,'Validacion reclamo de equipaje'!H:I,2,0)</f>
        <v>Internacional</v>
      </c>
      <c r="M2725" s="55" t="s">
        <v>523</v>
      </c>
    </row>
    <row r="2726" spans="1:13" x14ac:dyDescent="0.25">
      <c r="A2726">
        <v>480</v>
      </c>
      <c r="B2726" s="47" t="str">
        <f>VLOOKUP(Tabla6[[#This Row],['# Vuelo]],'Validacion reclamo de equipaje'!P:Q,2,0)</f>
        <v>UNIDOS VOLAMOS</v>
      </c>
      <c r="C2726" s="48">
        <v>0.20416666666666669</v>
      </c>
      <c r="D2726" s="48">
        <v>0.22222222222222221</v>
      </c>
      <c r="E2726" s="49">
        <f>'Reclamo de equipaje rediseñado'!$D2726-'Reclamo de equipaje rediseñado'!$C2726</f>
        <v>1.8055555555555519E-2</v>
      </c>
      <c r="F2726" s="48">
        <v>0.23263888888888887</v>
      </c>
      <c r="G2726" s="49">
        <f t="shared" si="42"/>
        <v>1.0416666666666657E-2</v>
      </c>
      <c r="H2726" s="50">
        <v>41733</v>
      </c>
      <c r="I2726" s="51" t="s">
        <v>558</v>
      </c>
      <c r="J2726" s="51">
        <v>320</v>
      </c>
      <c r="K2726" s="51">
        <f>VLOOKUP(J2726,'Validacion reclamo de equipaje'!L:M,2,0)</f>
        <v>179</v>
      </c>
      <c r="L2726" s="51" t="str">
        <f>VLOOKUP(I2726,'Validacion reclamo de equipaje'!H:I,2,0)</f>
        <v>Internacional</v>
      </c>
      <c r="M2726" s="51" t="s">
        <v>523</v>
      </c>
    </row>
    <row r="2727" spans="1:13" x14ac:dyDescent="0.25">
      <c r="A2727">
        <v>480</v>
      </c>
      <c r="B2727" s="47" t="str">
        <f>VLOOKUP(Tabla6[[#This Row],['# Vuelo]],'Validacion reclamo de equipaje'!P:Q,2,0)</f>
        <v>UNIDOS VOLAMOS</v>
      </c>
      <c r="C2727" s="52">
        <v>0.22569444444444445</v>
      </c>
      <c r="D2727" s="52">
        <v>0.23402777777777781</v>
      </c>
      <c r="E2727" s="53">
        <f>'Reclamo de equipaje rediseñado'!$D2727-'Reclamo de equipaje rediseñado'!$C2727</f>
        <v>8.3333333333333592E-3</v>
      </c>
      <c r="F2727" s="52">
        <v>0.24305555555555555</v>
      </c>
      <c r="G2727" s="53">
        <f t="shared" si="42"/>
        <v>9.0277777777777457E-3</v>
      </c>
      <c r="H2727" s="54">
        <v>41736</v>
      </c>
      <c r="I2727" s="55" t="s">
        <v>558</v>
      </c>
      <c r="J2727" s="55">
        <v>320</v>
      </c>
      <c r="K2727" s="55">
        <f>VLOOKUP(J2727,'Validacion reclamo de equipaje'!L:M,2,0)</f>
        <v>179</v>
      </c>
      <c r="L2727" s="55" t="str">
        <f>VLOOKUP(I2727,'Validacion reclamo de equipaje'!H:I,2,0)</f>
        <v>Internacional</v>
      </c>
      <c r="M2727" s="55" t="s">
        <v>523</v>
      </c>
    </row>
    <row r="2728" spans="1:13" x14ac:dyDescent="0.25">
      <c r="A2728">
        <v>480</v>
      </c>
      <c r="B2728" s="47" t="str">
        <f>VLOOKUP(Tabla6[[#This Row],['# Vuelo]],'Validacion reclamo de equipaje'!P:Q,2,0)</f>
        <v>UNIDOS VOLAMOS</v>
      </c>
      <c r="C2728" s="48">
        <v>0.22430555555555556</v>
      </c>
      <c r="D2728" s="48">
        <v>0.23194444444444443</v>
      </c>
      <c r="E2728" s="49">
        <f>'Reclamo de equipaje rediseñado'!$D2728-'Reclamo de equipaje rediseñado'!$C2728</f>
        <v>7.6388888888888618E-3</v>
      </c>
      <c r="F2728" s="48">
        <v>0.23819444444444446</v>
      </c>
      <c r="G2728" s="49">
        <f t="shared" si="42"/>
        <v>6.2500000000000333E-3</v>
      </c>
      <c r="H2728" s="50">
        <v>41736</v>
      </c>
      <c r="I2728" s="51" t="s">
        <v>558</v>
      </c>
      <c r="J2728" s="51">
        <v>320</v>
      </c>
      <c r="K2728" s="51">
        <f>VLOOKUP(J2728,'Validacion reclamo de equipaje'!L:M,2,0)</f>
        <v>179</v>
      </c>
      <c r="L2728" s="51" t="str">
        <f>VLOOKUP(I2728,'Validacion reclamo de equipaje'!H:I,2,0)</f>
        <v>Internacional</v>
      </c>
      <c r="M2728" s="51" t="s">
        <v>523</v>
      </c>
    </row>
    <row r="2729" spans="1:13" x14ac:dyDescent="0.25">
      <c r="A2729">
        <v>480</v>
      </c>
      <c r="B2729" s="47" t="str">
        <f>VLOOKUP(Tabla6[[#This Row],['# Vuelo]],'Validacion reclamo de equipaje'!P:Q,2,0)</f>
        <v>UNIDOS VOLAMOS</v>
      </c>
      <c r="C2729" s="52">
        <v>0.22291666666666665</v>
      </c>
      <c r="D2729" s="52">
        <v>0.23402777777777781</v>
      </c>
      <c r="E2729" s="53">
        <f>'Reclamo de equipaje rediseñado'!$D2729-'Reclamo de equipaje rediseñado'!$C2729</f>
        <v>1.1111111111111155E-2</v>
      </c>
      <c r="F2729" s="52">
        <v>0.24305555555555555</v>
      </c>
      <c r="G2729" s="53">
        <f t="shared" si="42"/>
        <v>9.0277777777777457E-3</v>
      </c>
      <c r="H2729" s="54">
        <v>41737</v>
      </c>
      <c r="I2729" s="55" t="s">
        <v>558</v>
      </c>
      <c r="J2729" s="55">
        <v>320</v>
      </c>
      <c r="K2729" s="55">
        <f>VLOOKUP(J2729,'Validacion reclamo de equipaje'!L:M,2,0)</f>
        <v>179</v>
      </c>
      <c r="L2729" s="55" t="str">
        <f>VLOOKUP(I2729,'Validacion reclamo de equipaje'!H:I,2,0)</f>
        <v>Internacional</v>
      </c>
      <c r="M2729" s="55" t="s">
        <v>523</v>
      </c>
    </row>
    <row r="2730" spans="1:13" x14ac:dyDescent="0.25">
      <c r="A2730">
        <v>480</v>
      </c>
      <c r="B2730" s="47" t="str">
        <f>VLOOKUP(Tabla6[[#This Row],['# Vuelo]],'Validacion reclamo de equipaje'!P:Q,2,0)</f>
        <v>UNIDOS VOLAMOS</v>
      </c>
      <c r="C2730" s="48">
        <v>0.23124999999999998</v>
      </c>
      <c r="D2730" s="48">
        <v>0.24722222222222223</v>
      </c>
      <c r="E2730" s="49">
        <f>'Reclamo de equipaje rediseñado'!$D2730-'Reclamo de equipaje rediseñado'!$C2730</f>
        <v>1.5972222222222249E-2</v>
      </c>
      <c r="F2730" s="48">
        <v>0.25625000000000003</v>
      </c>
      <c r="G2730" s="49">
        <f t="shared" si="42"/>
        <v>9.0277777777778012E-3</v>
      </c>
      <c r="H2730" s="50">
        <v>41738</v>
      </c>
      <c r="I2730" s="51" t="s">
        <v>558</v>
      </c>
      <c r="J2730" s="51">
        <v>320</v>
      </c>
      <c r="K2730" s="51">
        <f>VLOOKUP(J2730,'Validacion reclamo de equipaje'!L:M,2,0)</f>
        <v>179</v>
      </c>
      <c r="L2730" s="51" t="str">
        <f>VLOOKUP(I2730,'Validacion reclamo de equipaje'!H:I,2,0)</f>
        <v>Internacional</v>
      </c>
      <c r="M2730" s="51" t="s">
        <v>523</v>
      </c>
    </row>
    <row r="2731" spans="1:13" x14ac:dyDescent="0.25">
      <c r="A2731">
        <v>480</v>
      </c>
      <c r="B2731" s="47" t="str">
        <f>VLOOKUP(Tabla6[[#This Row],['# Vuelo]],'Validacion reclamo de equipaje'!P:Q,2,0)</f>
        <v>UNIDOS VOLAMOS</v>
      </c>
      <c r="C2731" s="52">
        <v>0.23750000000000002</v>
      </c>
      <c r="D2731" s="52">
        <v>0.24722222222222223</v>
      </c>
      <c r="E2731" s="53">
        <f>'Reclamo de equipaje rediseñado'!$D2731-'Reclamo de equipaje rediseñado'!$C2731</f>
        <v>9.7222222222222154E-3</v>
      </c>
      <c r="F2731" s="52">
        <v>0.27152777777777776</v>
      </c>
      <c r="G2731" s="53">
        <f t="shared" si="42"/>
        <v>2.4305555555555525E-2</v>
      </c>
      <c r="H2731" s="54">
        <v>41739</v>
      </c>
      <c r="I2731" s="55" t="s">
        <v>558</v>
      </c>
      <c r="J2731" s="55">
        <v>320</v>
      </c>
      <c r="K2731" s="55">
        <f>VLOOKUP(J2731,'Validacion reclamo de equipaje'!L:M,2,0)</f>
        <v>179</v>
      </c>
      <c r="L2731" s="55" t="str">
        <f>VLOOKUP(I2731,'Validacion reclamo de equipaje'!H:I,2,0)</f>
        <v>Internacional</v>
      </c>
      <c r="M2731" s="55" t="s">
        <v>523</v>
      </c>
    </row>
    <row r="2732" spans="1:13" x14ac:dyDescent="0.25">
      <c r="A2732">
        <v>480</v>
      </c>
      <c r="B2732" s="47" t="str">
        <f>VLOOKUP(Tabla6[[#This Row],['# Vuelo]],'Validacion reclamo de equipaje'!P:Q,2,0)</f>
        <v>UNIDOS VOLAMOS</v>
      </c>
      <c r="C2732" s="48">
        <v>0.20208333333333331</v>
      </c>
      <c r="D2732" s="48">
        <v>0.21666666666666667</v>
      </c>
      <c r="E2732" s="49">
        <f>'Reclamo de equipaje rediseñado'!$D2732-'Reclamo de equipaje rediseñado'!$C2732</f>
        <v>1.4583333333333365E-2</v>
      </c>
      <c r="F2732" s="48">
        <v>0.22569444444444445</v>
      </c>
      <c r="G2732" s="49">
        <f t="shared" si="42"/>
        <v>9.0277777777777735E-3</v>
      </c>
      <c r="H2732" s="50">
        <v>41742</v>
      </c>
      <c r="I2732" s="51" t="s">
        <v>558</v>
      </c>
      <c r="J2732" s="51">
        <v>320</v>
      </c>
      <c r="K2732" s="51">
        <f>VLOOKUP(J2732,'Validacion reclamo de equipaje'!L:M,2,0)</f>
        <v>179</v>
      </c>
      <c r="L2732" s="51" t="str">
        <f>VLOOKUP(I2732,'Validacion reclamo de equipaje'!H:I,2,0)</f>
        <v>Internacional</v>
      </c>
      <c r="M2732" s="51" t="s">
        <v>523</v>
      </c>
    </row>
    <row r="2733" spans="1:13" x14ac:dyDescent="0.25">
      <c r="A2733">
        <v>480</v>
      </c>
      <c r="B2733" s="47" t="str">
        <f>VLOOKUP(Tabla6[[#This Row],['# Vuelo]],'Validacion reclamo de equipaje'!P:Q,2,0)</f>
        <v>UNIDOS VOLAMOS</v>
      </c>
      <c r="C2733" s="52">
        <v>0.22152777777777777</v>
      </c>
      <c r="D2733" s="52">
        <v>0.24166666666666667</v>
      </c>
      <c r="E2733" s="53">
        <f>'Reclamo de equipaje rediseñado'!$D2733-'Reclamo de equipaje rediseñado'!$C2733</f>
        <v>2.0138888888888901E-2</v>
      </c>
      <c r="F2733" s="52">
        <v>0.24722222222222223</v>
      </c>
      <c r="G2733" s="53">
        <f t="shared" si="42"/>
        <v>5.5555555555555636E-3</v>
      </c>
      <c r="H2733" s="54">
        <v>41743</v>
      </c>
      <c r="I2733" s="55" t="s">
        <v>558</v>
      </c>
      <c r="J2733" s="55">
        <v>320</v>
      </c>
      <c r="K2733" s="55">
        <f>VLOOKUP(J2733,'Validacion reclamo de equipaje'!L:M,2,0)</f>
        <v>179</v>
      </c>
      <c r="L2733" s="55" t="str">
        <f>VLOOKUP(I2733,'Validacion reclamo de equipaje'!H:I,2,0)</f>
        <v>Internacional</v>
      </c>
      <c r="M2733" s="55" t="s">
        <v>523</v>
      </c>
    </row>
    <row r="2734" spans="1:13" x14ac:dyDescent="0.25">
      <c r="A2734">
        <v>480</v>
      </c>
      <c r="B2734" s="47" t="str">
        <f>VLOOKUP(Tabla6[[#This Row],['# Vuelo]],'Validacion reclamo de equipaje'!P:Q,2,0)</f>
        <v>UNIDOS VOLAMOS</v>
      </c>
      <c r="C2734" s="48">
        <v>0.22013888888888888</v>
      </c>
      <c r="D2734" s="48">
        <v>0.2388888888888889</v>
      </c>
      <c r="E2734" s="49">
        <f>'Reclamo de equipaje rediseñado'!$D2734-'Reclamo de equipaje rediseñado'!$C2734</f>
        <v>1.8750000000000017E-2</v>
      </c>
      <c r="F2734" s="48">
        <v>0.25555555555555559</v>
      </c>
      <c r="G2734" s="49">
        <f t="shared" si="42"/>
        <v>1.6666666666666691E-2</v>
      </c>
      <c r="H2734" s="50">
        <v>41745</v>
      </c>
      <c r="I2734" s="51" t="s">
        <v>558</v>
      </c>
      <c r="J2734" s="51">
        <v>320</v>
      </c>
      <c r="K2734" s="51">
        <f>VLOOKUP(J2734,'Validacion reclamo de equipaje'!L:M,2,0)</f>
        <v>179</v>
      </c>
      <c r="L2734" s="51" t="str">
        <f>VLOOKUP(I2734,'Validacion reclamo de equipaje'!H:I,2,0)</f>
        <v>Internacional</v>
      </c>
      <c r="M2734" s="51" t="s">
        <v>523</v>
      </c>
    </row>
    <row r="2735" spans="1:13" x14ac:dyDescent="0.25">
      <c r="A2735">
        <v>480</v>
      </c>
      <c r="B2735" s="47" t="str">
        <f>VLOOKUP(Tabla6[[#This Row],['# Vuelo]],'Validacion reclamo de equipaje'!P:Q,2,0)</f>
        <v>UNIDOS VOLAMOS</v>
      </c>
      <c r="C2735" s="52">
        <v>0.20833333333333334</v>
      </c>
      <c r="D2735" s="52">
        <v>0.21875</v>
      </c>
      <c r="E2735" s="53">
        <f>'Reclamo de equipaje rediseñado'!$D2735-'Reclamo de equipaje rediseñado'!$C2735</f>
        <v>1.0416666666666657E-2</v>
      </c>
      <c r="F2735" s="52">
        <v>0.23055555555555554</v>
      </c>
      <c r="G2735" s="53">
        <f t="shared" si="42"/>
        <v>1.1805555555555541E-2</v>
      </c>
      <c r="H2735" s="54">
        <v>41745</v>
      </c>
      <c r="I2735" s="55" t="s">
        <v>558</v>
      </c>
      <c r="J2735" s="55">
        <v>320</v>
      </c>
      <c r="K2735" s="55">
        <f>VLOOKUP(J2735,'Validacion reclamo de equipaje'!L:M,2,0)</f>
        <v>179</v>
      </c>
      <c r="L2735" s="55" t="str">
        <f>VLOOKUP(I2735,'Validacion reclamo de equipaje'!H:I,2,0)</f>
        <v>Internacional</v>
      </c>
      <c r="M2735" s="55" t="s">
        <v>523</v>
      </c>
    </row>
    <row r="2736" spans="1:13" x14ac:dyDescent="0.25">
      <c r="A2736">
        <v>480</v>
      </c>
      <c r="B2736" s="47" t="str">
        <f>VLOOKUP(Tabla6[[#This Row],['# Vuelo]],'Validacion reclamo de equipaje'!P:Q,2,0)</f>
        <v>UNIDOS VOLAMOS</v>
      </c>
      <c r="C2736" s="48">
        <v>0.22569444444444445</v>
      </c>
      <c r="D2736" s="48">
        <v>0.23124999999999998</v>
      </c>
      <c r="E2736" s="49">
        <f>'Reclamo de equipaje rediseñado'!$D2736-'Reclamo de equipaje rediseñado'!$C2736</f>
        <v>5.5555555555555358E-3</v>
      </c>
      <c r="F2736" s="48">
        <v>0.25486111111111109</v>
      </c>
      <c r="G2736" s="49">
        <f t="shared" si="42"/>
        <v>2.361111111111111E-2</v>
      </c>
      <c r="H2736" s="50">
        <v>41746</v>
      </c>
      <c r="I2736" s="51" t="s">
        <v>558</v>
      </c>
      <c r="J2736" s="51">
        <v>320</v>
      </c>
      <c r="K2736" s="51">
        <f>VLOOKUP(J2736,'Validacion reclamo de equipaje'!L:M,2,0)</f>
        <v>179</v>
      </c>
      <c r="L2736" s="51" t="str">
        <f>VLOOKUP(I2736,'Validacion reclamo de equipaje'!H:I,2,0)</f>
        <v>Internacional</v>
      </c>
      <c r="M2736" s="51" t="s">
        <v>523</v>
      </c>
    </row>
    <row r="2737" spans="1:13" x14ac:dyDescent="0.25">
      <c r="A2737">
        <v>480</v>
      </c>
      <c r="B2737" s="47" t="str">
        <f>VLOOKUP(Tabla6[[#This Row],['# Vuelo]],'Validacion reclamo de equipaje'!P:Q,2,0)</f>
        <v>UNIDOS VOLAMOS</v>
      </c>
      <c r="C2737" s="52">
        <v>0.23402777777777781</v>
      </c>
      <c r="D2737" s="52">
        <v>0.25347222222222221</v>
      </c>
      <c r="E2737" s="53">
        <f>'Reclamo de equipaje rediseñado'!$D2737-'Reclamo de equipaje rediseñado'!$C2737</f>
        <v>1.9444444444444403E-2</v>
      </c>
      <c r="F2737" s="52">
        <v>0.27361111111111108</v>
      </c>
      <c r="G2737" s="53">
        <f t="shared" si="42"/>
        <v>2.0138888888888873E-2</v>
      </c>
      <c r="H2737" s="54">
        <v>41747</v>
      </c>
      <c r="I2737" s="55" t="s">
        <v>558</v>
      </c>
      <c r="J2737" s="55">
        <v>320</v>
      </c>
      <c r="K2737" s="55">
        <f>VLOOKUP(J2737,'Validacion reclamo de equipaje'!L:M,2,0)</f>
        <v>179</v>
      </c>
      <c r="L2737" s="55" t="str">
        <f>VLOOKUP(I2737,'Validacion reclamo de equipaje'!H:I,2,0)</f>
        <v>Internacional</v>
      </c>
      <c r="M2737" s="55" t="s">
        <v>523</v>
      </c>
    </row>
    <row r="2738" spans="1:13" x14ac:dyDescent="0.25">
      <c r="A2738">
        <v>480</v>
      </c>
      <c r="B2738" s="47" t="str">
        <f>VLOOKUP(Tabla6[[#This Row],['# Vuelo]],'Validacion reclamo de equipaje'!P:Q,2,0)</f>
        <v>UNIDOS VOLAMOS</v>
      </c>
      <c r="C2738" s="48">
        <v>0.22708333333333333</v>
      </c>
      <c r="D2738" s="48">
        <v>0.24861111111111112</v>
      </c>
      <c r="E2738" s="49">
        <f>'Reclamo de equipaje rediseñado'!$D2738-'Reclamo de equipaje rediseñado'!$C2738</f>
        <v>2.1527777777777785E-2</v>
      </c>
      <c r="F2738" s="48">
        <v>0.26597222222222222</v>
      </c>
      <c r="G2738" s="49">
        <f t="shared" si="42"/>
        <v>1.7361111111111105E-2</v>
      </c>
      <c r="H2738" s="50">
        <v>41752</v>
      </c>
      <c r="I2738" s="51" t="s">
        <v>558</v>
      </c>
      <c r="J2738" s="51">
        <v>320</v>
      </c>
      <c r="K2738" s="51">
        <f>VLOOKUP(J2738,'Validacion reclamo de equipaje'!L:M,2,0)</f>
        <v>179</v>
      </c>
      <c r="L2738" s="51" t="str">
        <f>VLOOKUP(I2738,'Validacion reclamo de equipaje'!H:I,2,0)</f>
        <v>Internacional</v>
      </c>
      <c r="M2738" s="51" t="s">
        <v>523</v>
      </c>
    </row>
    <row r="2739" spans="1:13" x14ac:dyDescent="0.25">
      <c r="A2739">
        <v>480</v>
      </c>
      <c r="B2739" s="47" t="str">
        <f>VLOOKUP(Tabla6[[#This Row],['# Vuelo]],'Validacion reclamo de equipaje'!P:Q,2,0)</f>
        <v>UNIDOS VOLAMOS</v>
      </c>
      <c r="C2739" s="52">
        <v>0.22638888888888889</v>
      </c>
      <c r="D2739" s="52">
        <v>0.25</v>
      </c>
      <c r="E2739" s="53">
        <f>'Reclamo de equipaje rediseñado'!$D2739-'Reclamo de equipaje rediseñado'!$C2739</f>
        <v>2.361111111111111E-2</v>
      </c>
      <c r="F2739" s="52">
        <v>0.26666666666666666</v>
      </c>
      <c r="G2739" s="53">
        <f t="shared" si="42"/>
        <v>1.6666666666666663E-2</v>
      </c>
      <c r="H2739" s="54">
        <v>41752</v>
      </c>
      <c r="I2739" s="55" t="s">
        <v>558</v>
      </c>
      <c r="J2739" s="55">
        <v>320</v>
      </c>
      <c r="K2739" s="55">
        <f>VLOOKUP(J2739,'Validacion reclamo de equipaje'!L:M,2,0)</f>
        <v>179</v>
      </c>
      <c r="L2739" s="55" t="str">
        <f>VLOOKUP(I2739,'Validacion reclamo de equipaje'!H:I,2,0)</f>
        <v>Internacional</v>
      </c>
      <c r="M2739" s="55" t="s">
        <v>523</v>
      </c>
    </row>
    <row r="2740" spans="1:13" x14ac:dyDescent="0.25">
      <c r="A2740">
        <v>480</v>
      </c>
      <c r="B2740" s="47" t="str">
        <f>VLOOKUP(Tabla6[[#This Row],['# Vuelo]],'Validacion reclamo de equipaje'!P:Q,2,0)</f>
        <v>UNIDOS VOLAMOS</v>
      </c>
      <c r="C2740" s="48">
        <v>0.22708333333333333</v>
      </c>
      <c r="D2740" s="48">
        <v>0.23263888888888887</v>
      </c>
      <c r="E2740" s="49">
        <f>'Reclamo de equipaje rediseñado'!$D2740-'Reclamo de equipaje rediseñado'!$C2740</f>
        <v>5.5555555555555358E-3</v>
      </c>
      <c r="F2740" s="48">
        <v>0.23819444444444446</v>
      </c>
      <c r="G2740" s="49">
        <f t="shared" si="42"/>
        <v>5.5555555555555913E-3</v>
      </c>
      <c r="H2740" s="50">
        <v>41754</v>
      </c>
      <c r="I2740" s="51" t="s">
        <v>558</v>
      </c>
      <c r="J2740" s="51">
        <v>320</v>
      </c>
      <c r="K2740" s="51">
        <f>VLOOKUP(J2740,'Validacion reclamo de equipaje'!L:M,2,0)</f>
        <v>179</v>
      </c>
      <c r="L2740" s="51" t="str">
        <f>VLOOKUP(I2740,'Validacion reclamo de equipaje'!H:I,2,0)</f>
        <v>Internacional</v>
      </c>
      <c r="M2740" s="51" t="s">
        <v>523</v>
      </c>
    </row>
    <row r="2741" spans="1:13" x14ac:dyDescent="0.25">
      <c r="A2741">
        <v>480</v>
      </c>
      <c r="B2741" s="47" t="str">
        <f>VLOOKUP(Tabla6[[#This Row],['# Vuelo]],'Validacion reclamo de equipaje'!P:Q,2,0)</f>
        <v>UNIDOS VOLAMOS</v>
      </c>
      <c r="C2741" s="52">
        <v>0.22500000000000001</v>
      </c>
      <c r="D2741" s="52">
        <v>0.23819444444444446</v>
      </c>
      <c r="E2741" s="53">
        <f>'Reclamo de equipaje rediseñado'!$D2741-'Reclamo de equipaje rediseñado'!$C2741</f>
        <v>1.3194444444444453E-2</v>
      </c>
      <c r="F2741" s="52">
        <v>0.26041666666666669</v>
      </c>
      <c r="G2741" s="53">
        <f t="shared" si="42"/>
        <v>2.2222222222222227E-2</v>
      </c>
      <c r="H2741" s="54">
        <v>41756</v>
      </c>
      <c r="I2741" s="55" t="s">
        <v>558</v>
      </c>
      <c r="J2741" s="55">
        <v>320</v>
      </c>
      <c r="K2741" s="55">
        <f>VLOOKUP(J2741,'Validacion reclamo de equipaje'!L:M,2,0)</f>
        <v>179</v>
      </c>
      <c r="L2741" s="55" t="str">
        <f>VLOOKUP(I2741,'Validacion reclamo de equipaje'!H:I,2,0)</f>
        <v>Internacional</v>
      </c>
      <c r="M2741" s="55" t="s">
        <v>523</v>
      </c>
    </row>
    <row r="2742" spans="1:13" x14ac:dyDescent="0.25">
      <c r="A2742">
        <v>480</v>
      </c>
      <c r="B2742" s="47" t="str">
        <f>VLOOKUP(Tabla6[[#This Row],['# Vuelo]],'Validacion reclamo de equipaje'!P:Q,2,0)</f>
        <v>UNIDOS VOLAMOS</v>
      </c>
      <c r="C2742" s="48">
        <v>0.24583333333333335</v>
      </c>
      <c r="D2742" s="48">
        <v>0.25763888888888892</v>
      </c>
      <c r="E2742" s="49">
        <f>'Reclamo de equipaje rediseñado'!$D2742-'Reclamo de equipaje rediseñado'!$C2742</f>
        <v>1.1805555555555569E-2</v>
      </c>
      <c r="F2742" s="48">
        <v>0.27083333333333331</v>
      </c>
      <c r="G2742" s="49">
        <f t="shared" si="42"/>
        <v>1.3194444444444398E-2</v>
      </c>
      <c r="H2742" s="50">
        <v>41757</v>
      </c>
      <c r="I2742" s="51" t="s">
        <v>558</v>
      </c>
      <c r="J2742" s="51">
        <v>320</v>
      </c>
      <c r="K2742" s="51">
        <f>VLOOKUP(J2742,'Validacion reclamo de equipaje'!L:M,2,0)</f>
        <v>179</v>
      </c>
      <c r="L2742" s="51" t="str">
        <f>VLOOKUP(I2742,'Validacion reclamo de equipaje'!H:I,2,0)</f>
        <v>Internacional</v>
      </c>
      <c r="M2742" s="51" t="s">
        <v>523</v>
      </c>
    </row>
    <row r="2743" spans="1:13" x14ac:dyDescent="0.25">
      <c r="A2743">
        <v>480</v>
      </c>
      <c r="B2743" s="47" t="str">
        <f>VLOOKUP(Tabla6[[#This Row],['# Vuelo]],'Validacion reclamo de equipaje'!P:Q,2,0)</f>
        <v>UNIDOS VOLAMOS</v>
      </c>
      <c r="C2743" s="52">
        <v>0.23611111111111113</v>
      </c>
      <c r="D2743" s="52">
        <v>0.25069444444444444</v>
      </c>
      <c r="E2743" s="53">
        <f>'Reclamo de equipaje rediseñado'!$D2743-'Reclamo de equipaje rediseñado'!$C2743</f>
        <v>1.4583333333333309E-2</v>
      </c>
      <c r="F2743" s="52">
        <v>0.27083333333333331</v>
      </c>
      <c r="G2743" s="53">
        <f t="shared" si="42"/>
        <v>2.0138888888888873E-2</v>
      </c>
      <c r="H2743" s="54">
        <v>41759</v>
      </c>
      <c r="I2743" s="55" t="s">
        <v>558</v>
      </c>
      <c r="J2743" s="55">
        <v>320</v>
      </c>
      <c r="K2743" s="55">
        <f>VLOOKUP(J2743,'Validacion reclamo de equipaje'!L:M,2,0)</f>
        <v>179</v>
      </c>
      <c r="L2743" s="55" t="str">
        <f>VLOOKUP(I2743,'Validacion reclamo de equipaje'!H:I,2,0)</f>
        <v>Internacional</v>
      </c>
      <c r="M2743" s="55" t="s">
        <v>523</v>
      </c>
    </row>
    <row r="2744" spans="1:13" x14ac:dyDescent="0.25">
      <c r="A2744">
        <v>1590</v>
      </c>
      <c r="B2744" s="47" t="str">
        <f>VLOOKUP(Tabla6[[#This Row],['# Vuelo]],'Validacion reclamo de equipaje'!P:Q,2,0)</f>
        <v>UNIDOS VOLAMOS</v>
      </c>
      <c r="C2744" s="48">
        <v>0.22500000000000001</v>
      </c>
      <c r="D2744" s="48">
        <v>0.24097222222222223</v>
      </c>
      <c r="E2744" s="49">
        <f>'Reclamo de equipaje rediseñado'!$D2744-'Reclamo de equipaje rediseñado'!$C2744</f>
        <v>1.5972222222222221E-2</v>
      </c>
      <c r="F2744" s="48">
        <v>0.25347222222222221</v>
      </c>
      <c r="G2744" s="49">
        <f t="shared" si="42"/>
        <v>1.2499999999999983E-2</v>
      </c>
      <c r="H2744" s="50">
        <v>41734</v>
      </c>
      <c r="I2744" s="51" t="s">
        <v>558</v>
      </c>
      <c r="J2744" s="51" t="s">
        <v>560</v>
      </c>
      <c r="K2744" s="51">
        <f>VLOOKUP(J2744,'Validacion reclamo de equipaje'!L:M,2,0)</f>
        <v>126</v>
      </c>
      <c r="L2744" s="51" t="str">
        <f>VLOOKUP(I2744,'Validacion reclamo de equipaje'!H:I,2,0)</f>
        <v>Internacional</v>
      </c>
      <c r="M2744" s="51" t="s">
        <v>523</v>
      </c>
    </row>
    <row r="2745" spans="1:13" x14ac:dyDescent="0.25">
      <c r="A2745">
        <v>1590</v>
      </c>
      <c r="B2745" s="47" t="str">
        <f>VLOOKUP(Tabla6[[#This Row],['# Vuelo]],'Validacion reclamo de equipaje'!P:Q,2,0)</f>
        <v>UNIDOS VOLAMOS</v>
      </c>
      <c r="C2745" s="52">
        <v>0.22708333333333333</v>
      </c>
      <c r="D2745" s="52">
        <v>0.24722222222222223</v>
      </c>
      <c r="E2745" s="53">
        <f>'Reclamo de equipaje rediseñado'!$D2745-'Reclamo de equipaje rediseñado'!$C2745</f>
        <v>2.0138888888888901E-2</v>
      </c>
      <c r="F2745" s="52">
        <v>0.26180555555555557</v>
      </c>
      <c r="G2745" s="53">
        <f t="shared" si="42"/>
        <v>1.4583333333333337E-2</v>
      </c>
      <c r="H2745" s="54">
        <v>41755</v>
      </c>
      <c r="I2745" s="55" t="s">
        <v>558</v>
      </c>
      <c r="J2745" s="55" t="s">
        <v>560</v>
      </c>
      <c r="K2745" s="55">
        <f>VLOOKUP(J2745,'Validacion reclamo de equipaje'!L:M,2,0)</f>
        <v>126</v>
      </c>
      <c r="L2745" s="55" t="str">
        <f>VLOOKUP(I2745,'Validacion reclamo de equipaje'!H:I,2,0)</f>
        <v>Internacional</v>
      </c>
      <c r="M2745" s="55" t="s">
        <v>523</v>
      </c>
    </row>
    <row r="2746" spans="1:13" x14ac:dyDescent="0.25">
      <c r="A2746">
        <v>4211</v>
      </c>
      <c r="B2746" s="47" t="str">
        <f>VLOOKUP(Tabla6[[#This Row],['# Vuelo]],'Validacion reclamo de equipaje'!P:Q,2,0)</f>
        <v>UNIDOS VOLAMOS</v>
      </c>
      <c r="C2746" s="48">
        <v>0.96527777777777779</v>
      </c>
      <c r="D2746" s="48">
        <v>0.97361111111111109</v>
      </c>
      <c r="E2746" s="49">
        <f>'Reclamo de equipaje rediseñado'!$D2746-'Reclamo de equipaje rediseñado'!$C2746</f>
        <v>8.3333333333333037E-3</v>
      </c>
      <c r="F2746" s="48">
        <v>0.97916666666666663</v>
      </c>
      <c r="G2746" s="49">
        <f t="shared" si="42"/>
        <v>5.5555555555555358E-3</v>
      </c>
      <c r="H2746" s="50">
        <v>41730</v>
      </c>
      <c r="I2746" s="51" t="s">
        <v>610</v>
      </c>
      <c r="J2746" s="51" t="s">
        <v>535</v>
      </c>
      <c r="K2746" s="51">
        <f>VLOOKUP(J2746,'Validacion reclamo de equipaje'!L:M,2,0)</f>
        <v>50</v>
      </c>
      <c r="L2746" s="51" t="str">
        <f>VLOOKUP(I2746,'Validacion reclamo de equipaje'!H:I,2,0)</f>
        <v>Internacional</v>
      </c>
      <c r="M2746" s="51" t="s">
        <v>523</v>
      </c>
    </row>
    <row r="2747" spans="1:13" x14ac:dyDescent="0.25">
      <c r="A2747">
        <v>4211</v>
      </c>
      <c r="B2747" s="47" t="str">
        <f>VLOOKUP(Tabla6[[#This Row],['# Vuelo]],'Validacion reclamo de equipaje'!P:Q,2,0)</f>
        <v>UNIDOS VOLAMOS</v>
      </c>
      <c r="C2747" s="52">
        <v>0.86111111111111116</v>
      </c>
      <c r="D2747" s="52">
        <v>0.87222222222222223</v>
      </c>
      <c r="E2747" s="53">
        <f>'Reclamo de equipaje rediseñado'!$D2747-'Reclamo de equipaje rediseñado'!$C2747</f>
        <v>1.1111111111111072E-2</v>
      </c>
      <c r="F2747" s="52">
        <v>0.8847222222222223</v>
      </c>
      <c r="G2747" s="53">
        <f t="shared" si="42"/>
        <v>1.2500000000000067E-2</v>
      </c>
      <c r="H2747" s="54">
        <v>41731</v>
      </c>
      <c r="I2747" s="55" t="s">
        <v>610</v>
      </c>
      <c r="J2747" s="55" t="s">
        <v>535</v>
      </c>
      <c r="K2747" s="55">
        <f>VLOOKUP(J2747,'Validacion reclamo de equipaje'!L:M,2,0)</f>
        <v>50</v>
      </c>
      <c r="L2747" s="55" t="str">
        <f>VLOOKUP(I2747,'Validacion reclamo de equipaje'!H:I,2,0)</f>
        <v>Internacional</v>
      </c>
      <c r="M2747" s="55" t="s">
        <v>523</v>
      </c>
    </row>
    <row r="2748" spans="1:13" x14ac:dyDescent="0.25">
      <c r="A2748">
        <v>4211</v>
      </c>
      <c r="B2748" s="47" t="str">
        <f>VLOOKUP(Tabla6[[#This Row],['# Vuelo]],'Validacion reclamo de equipaje'!P:Q,2,0)</f>
        <v>UNIDOS VOLAMOS</v>
      </c>
      <c r="C2748" s="48">
        <v>0.96736111111111101</v>
      </c>
      <c r="D2748" s="48">
        <v>0.9770833333333333</v>
      </c>
      <c r="E2748" s="49">
        <f>'Reclamo de equipaje rediseñado'!$D2748-'Reclamo de equipaje rediseñado'!$C2748</f>
        <v>9.7222222222222987E-3</v>
      </c>
      <c r="F2748" s="48">
        <v>0.98402777777777783</v>
      </c>
      <c r="G2748" s="49">
        <f t="shared" si="42"/>
        <v>6.9444444444445308E-3</v>
      </c>
      <c r="H2748" s="50">
        <v>41732</v>
      </c>
      <c r="I2748" s="51" t="s">
        <v>610</v>
      </c>
      <c r="J2748" s="51" t="s">
        <v>535</v>
      </c>
      <c r="K2748" s="51">
        <f>VLOOKUP(J2748,'Validacion reclamo de equipaje'!L:M,2,0)</f>
        <v>50</v>
      </c>
      <c r="L2748" s="51" t="str">
        <f>VLOOKUP(I2748,'Validacion reclamo de equipaje'!H:I,2,0)</f>
        <v>Internacional</v>
      </c>
      <c r="M2748" s="51" t="s">
        <v>523</v>
      </c>
    </row>
    <row r="2749" spans="1:13" x14ac:dyDescent="0.25">
      <c r="A2749">
        <v>4211</v>
      </c>
      <c r="B2749" s="47" t="str">
        <f>VLOOKUP(Tabla6[[#This Row],['# Vuelo]],'Validacion reclamo de equipaje'!P:Q,2,0)</f>
        <v>UNIDOS VOLAMOS</v>
      </c>
      <c r="C2749" s="52">
        <v>0.94861111111111107</v>
      </c>
      <c r="D2749" s="52">
        <v>0.9555555555555556</v>
      </c>
      <c r="E2749" s="53">
        <f>'Reclamo de equipaje rediseñado'!$D2749-'Reclamo de equipaje rediseñado'!$C2749</f>
        <v>6.9444444444445308E-3</v>
      </c>
      <c r="F2749" s="52">
        <v>0.96875</v>
      </c>
      <c r="G2749" s="53">
        <f t="shared" si="42"/>
        <v>1.3194444444444398E-2</v>
      </c>
      <c r="H2749" s="54">
        <v>41734</v>
      </c>
      <c r="I2749" s="55" t="s">
        <v>610</v>
      </c>
      <c r="J2749" s="55" t="s">
        <v>535</v>
      </c>
      <c r="K2749" s="55">
        <f>VLOOKUP(J2749,'Validacion reclamo de equipaje'!L:M,2,0)</f>
        <v>50</v>
      </c>
      <c r="L2749" s="55" t="str">
        <f>VLOOKUP(I2749,'Validacion reclamo de equipaje'!H:I,2,0)</f>
        <v>Internacional</v>
      </c>
      <c r="M2749" s="55" t="s">
        <v>523</v>
      </c>
    </row>
    <row r="2750" spans="1:13" x14ac:dyDescent="0.25">
      <c r="A2750">
        <v>4211</v>
      </c>
      <c r="B2750" s="47" t="str">
        <f>VLOOKUP(Tabla6[[#This Row],['# Vuelo]],'Validacion reclamo de equipaje'!P:Q,2,0)</f>
        <v>UNIDOS VOLAMOS</v>
      </c>
      <c r="C2750" s="48">
        <v>0.95000000000000007</v>
      </c>
      <c r="D2750" s="48">
        <v>0.9590277777777777</v>
      </c>
      <c r="E2750" s="49">
        <f>'Reclamo de equipaje rediseñado'!$D2750-'Reclamo de equipaje rediseñado'!$C2750</f>
        <v>9.0277777777776347E-3</v>
      </c>
      <c r="F2750" s="48">
        <v>0.96944444444444444</v>
      </c>
      <c r="G2750" s="49">
        <f t="shared" si="42"/>
        <v>1.0416666666666741E-2</v>
      </c>
      <c r="H2750" s="50">
        <v>41733</v>
      </c>
      <c r="I2750" s="51" t="s">
        <v>610</v>
      </c>
      <c r="J2750" s="51" t="s">
        <v>535</v>
      </c>
      <c r="K2750" s="51">
        <f>VLOOKUP(J2750,'Validacion reclamo de equipaje'!L:M,2,0)</f>
        <v>50</v>
      </c>
      <c r="L2750" s="51" t="str">
        <f>VLOOKUP(I2750,'Validacion reclamo de equipaje'!H:I,2,0)</f>
        <v>Internacional</v>
      </c>
      <c r="M2750" s="51" t="s">
        <v>523</v>
      </c>
    </row>
    <row r="2751" spans="1:13" x14ac:dyDescent="0.25">
      <c r="A2751">
        <v>4211</v>
      </c>
      <c r="B2751" s="47" t="str">
        <f>VLOOKUP(Tabla6[[#This Row],['# Vuelo]],'Validacion reclamo de equipaje'!P:Q,2,0)</f>
        <v>UNIDOS VOLAMOS</v>
      </c>
      <c r="C2751" s="52">
        <v>1.0027777777777778</v>
      </c>
      <c r="D2751" s="52">
        <v>1.0125</v>
      </c>
      <c r="E2751" s="53">
        <f>'Reclamo de equipaje rediseñado'!$D2751-'Reclamo de equipaje rediseñado'!$C2751</f>
        <v>9.7222222222221877E-3</v>
      </c>
      <c r="F2751" s="52">
        <v>1.0180555555555555</v>
      </c>
      <c r="G2751" s="53">
        <f t="shared" si="42"/>
        <v>5.5555555555555358E-3</v>
      </c>
      <c r="H2751" s="54">
        <v>41736</v>
      </c>
      <c r="I2751" s="55" t="s">
        <v>610</v>
      </c>
      <c r="J2751" s="55" t="s">
        <v>535</v>
      </c>
      <c r="K2751" s="55">
        <f>VLOOKUP(J2751,'Validacion reclamo de equipaje'!L:M,2,0)</f>
        <v>50</v>
      </c>
      <c r="L2751" s="55" t="str">
        <f>VLOOKUP(I2751,'Validacion reclamo de equipaje'!H:I,2,0)</f>
        <v>Internacional</v>
      </c>
      <c r="M2751" s="55" t="s">
        <v>523</v>
      </c>
    </row>
    <row r="2752" spans="1:13" x14ac:dyDescent="0.25">
      <c r="A2752">
        <v>4211</v>
      </c>
      <c r="B2752" s="47" t="str">
        <f>VLOOKUP(Tabla6[[#This Row],['# Vuelo]],'Validacion reclamo de equipaje'!P:Q,2,0)</f>
        <v>UNIDOS VOLAMOS</v>
      </c>
      <c r="C2752" s="48">
        <v>1.0069444444444444</v>
      </c>
      <c r="D2752" s="48">
        <v>1.0138888888888888</v>
      </c>
      <c r="E2752" s="49">
        <f>'Reclamo de equipaje rediseñado'!$D2752-'Reclamo de equipaje rediseñado'!$C2752</f>
        <v>6.9444444444444198E-3</v>
      </c>
      <c r="F2752" s="48">
        <v>1.0201388888888889</v>
      </c>
      <c r="G2752" s="49">
        <f t="shared" si="42"/>
        <v>6.2500000000000888E-3</v>
      </c>
      <c r="H2752" s="50">
        <v>41737</v>
      </c>
      <c r="I2752" s="51" t="s">
        <v>610</v>
      </c>
      <c r="J2752" s="51" t="s">
        <v>535</v>
      </c>
      <c r="K2752" s="51">
        <f>VLOOKUP(J2752,'Validacion reclamo de equipaje'!L:M,2,0)</f>
        <v>50</v>
      </c>
      <c r="L2752" s="51" t="str">
        <f>VLOOKUP(I2752,'Validacion reclamo de equipaje'!H:I,2,0)</f>
        <v>Internacional</v>
      </c>
      <c r="M2752" s="51" t="s">
        <v>523</v>
      </c>
    </row>
    <row r="2753" spans="1:13" x14ac:dyDescent="0.25">
      <c r="A2753">
        <v>4211</v>
      </c>
      <c r="B2753" s="47" t="str">
        <f>VLOOKUP(Tabla6[[#This Row],['# Vuelo]],'Validacion reclamo de equipaje'!P:Q,2,0)</f>
        <v>UNIDOS VOLAMOS</v>
      </c>
      <c r="C2753" s="52">
        <v>0.98541666666666661</v>
      </c>
      <c r="D2753" s="52">
        <v>0.99652777777777779</v>
      </c>
      <c r="E2753" s="53">
        <f>'Reclamo de equipaje rediseñado'!$D2753-'Reclamo de equipaje rediseñado'!$C2753</f>
        <v>1.1111111111111183E-2</v>
      </c>
      <c r="F2753" s="52">
        <v>1.0083333333333333</v>
      </c>
      <c r="G2753" s="53">
        <f t="shared" si="42"/>
        <v>1.1805555555555514E-2</v>
      </c>
      <c r="H2753" s="54">
        <v>41738</v>
      </c>
      <c r="I2753" s="55" t="s">
        <v>610</v>
      </c>
      <c r="J2753" s="55" t="s">
        <v>535</v>
      </c>
      <c r="K2753" s="55">
        <f>VLOOKUP(J2753,'Validacion reclamo de equipaje'!L:M,2,0)</f>
        <v>50</v>
      </c>
      <c r="L2753" s="55" t="str">
        <f>VLOOKUP(I2753,'Validacion reclamo de equipaje'!H:I,2,0)</f>
        <v>Internacional</v>
      </c>
      <c r="M2753" s="55" t="s">
        <v>523</v>
      </c>
    </row>
    <row r="2754" spans="1:13" x14ac:dyDescent="0.25">
      <c r="A2754">
        <v>4211</v>
      </c>
      <c r="B2754" s="47" t="str">
        <f>VLOOKUP(Tabla6[[#This Row],['# Vuelo]],'Validacion reclamo de equipaje'!P:Q,2,0)</f>
        <v>UNIDOS VOLAMOS</v>
      </c>
      <c r="C2754" s="48">
        <v>0.9868055555555556</v>
      </c>
      <c r="D2754" s="48">
        <v>0.99444444444444446</v>
      </c>
      <c r="E2754" s="49">
        <f>'Reclamo de equipaje rediseñado'!$D2754-'Reclamo de equipaje rediseñado'!$C2754</f>
        <v>7.6388888888888618E-3</v>
      </c>
      <c r="F2754" s="48">
        <v>1.0006944444444443</v>
      </c>
      <c r="G2754" s="49">
        <f t="shared" si="42"/>
        <v>6.2499999999998668E-3</v>
      </c>
      <c r="H2754" s="50">
        <v>41739</v>
      </c>
      <c r="I2754" s="51" t="s">
        <v>610</v>
      </c>
      <c r="J2754" s="51" t="s">
        <v>535</v>
      </c>
      <c r="K2754" s="51">
        <f>VLOOKUP(J2754,'Validacion reclamo de equipaje'!L:M,2,0)</f>
        <v>50</v>
      </c>
      <c r="L2754" s="51" t="str">
        <f>VLOOKUP(I2754,'Validacion reclamo de equipaje'!H:I,2,0)</f>
        <v>Internacional</v>
      </c>
      <c r="M2754" s="51" t="s">
        <v>523</v>
      </c>
    </row>
    <row r="2755" spans="1:13" x14ac:dyDescent="0.25">
      <c r="A2755">
        <v>4211</v>
      </c>
      <c r="B2755" s="47" t="str">
        <f>VLOOKUP(Tabla6[[#This Row],['# Vuelo]],'Validacion reclamo de equipaje'!P:Q,2,0)</f>
        <v>UNIDOS VOLAMOS</v>
      </c>
      <c r="C2755" s="52">
        <v>0.99375000000000002</v>
      </c>
      <c r="D2755" s="52">
        <v>1.0020833333333334</v>
      </c>
      <c r="E2755" s="53">
        <f>'Reclamo de equipaje rediseñado'!$D2755-'Reclamo de equipaje rediseñado'!$C2755</f>
        <v>8.3333333333334147E-3</v>
      </c>
      <c r="F2755" s="52">
        <v>1.0173611111111112</v>
      </c>
      <c r="G2755" s="53">
        <f t="shared" ref="G2755:G2818" si="43">F2755-D2755</f>
        <v>1.5277777777777724E-2</v>
      </c>
      <c r="H2755" s="54">
        <v>41740</v>
      </c>
      <c r="I2755" s="55" t="s">
        <v>610</v>
      </c>
      <c r="J2755" s="55" t="s">
        <v>535</v>
      </c>
      <c r="K2755" s="55">
        <f>VLOOKUP(J2755,'Validacion reclamo de equipaje'!L:M,2,0)</f>
        <v>50</v>
      </c>
      <c r="L2755" s="55" t="str">
        <f>VLOOKUP(I2755,'Validacion reclamo de equipaje'!H:I,2,0)</f>
        <v>Internacional</v>
      </c>
      <c r="M2755" s="55" t="s">
        <v>523</v>
      </c>
    </row>
    <row r="2756" spans="1:13" x14ac:dyDescent="0.25">
      <c r="A2756">
        <v>4211</v>
      </c>
      <c r="B2756" s="47" t="str">
        <f>VLOOKUP(Tabla6[[#This Row],['# Vuelo]],'Validacion reclamo de equipaje'!P:Q,2,0)</f>
        <v>UNIDOS VOLAMOS</v>
      </c>
      <c r="C2756" s="48">
        <v>0.96527777777777779</v>
      </c>
      <c r="D2756" s="48">
        <v>0.97361111111111109</v>
      </c>
      <c r="E2756" s="49">
        <f>'Reclamo de equipaje rediseñado'!$D2756-'Reclamo de equipaje rediseñado'!$C2756</f>
        <v>8.3333333333333037E-3</v>
      </c>
      <c r="F2756" s="48">
        <v>0.97916666666666663</v>
      </c>
      <c r="G2756" s="49">
        <f t="shared" si="43"/>
        <v>5.5555555555555358E-3</v>
      </c>
      <c r="H2756" s="50">
        <v>41742</v>
      </c>
      <c r="I2756" s="51" t="s">
        <v>610</v>
      </c>
      <c r="J2756" s="51" t="s">
        <v>535</v>
      </c>
      <c r="K2756" s="51">
        <f>VLOOKUP(J2756,'Validacion reclamo de equipaje'!L:M,2,0)</f>
        <v>50</v>
      </c>
      <c r="L2756" s="51" t="str">
        <f>VLOOKUP(I2756,'Validacion reclamo de equipaje'!H:I,2,0)</f>
        <v>Internacional</v>
      </c>
      <c r="M2756" s="51" t="s">
        <v>523</v>
      </c>
    </row>
    <row r="2757" spans="1:13" x14ac:dyDescent="0.25">
      <c r="A2757">
        <v>4211</v>
      </c>
      <c r="B2757" s="47" t="str">
        <f>VLOOKUP(Tabla6[[#This Row],['# Vuelo]],'Validacion reclamo de equipaje'!P:Q,2,0)</f>
        <v>UNIDOS VOLAMOS</v>
      </c>
      <c r="C2757" s="52">
        <v>0.98402777777777783</v>
      </c>
      <c r="D2757" s="52">
        <v>0.99305555555555547</v>
      </c>
      <c r="E2757" s="53">
        <f>'Reclamo de equipaje rediseñado'!$D2757-'Reclamo de equipaje rediseñado'!$C2757</f>
        <v>9.0277777777776347E-3</v>
      </c>
      <c r="F2757" s="52">
        <v>1.0069444444444444</v>
      </c>
      <c r="G2757" s="53">
        <f t="shared" si="43"/>
        <v>1.3888888888888951E-2</v>
      </c>
      <c r="H2757" s="54">
        <v>41745</v>
      </c>
      <c r="I2757" s="55" t="s">
        <v>610</v>
      </c>
      <c r="J2757" s="55" t="s">
        <v>535</v>
      </c>
      <c r="K2757" s="55">
        <f>VLOOKUP(J2757,'Validacion reclamo de equipaje'!L:M,2,0)</f>
        <v>50</v>
      </c>
      <c r="L2757" s="55" t="str">
        <f>VLOOKUP(I2757,'Validacion reclamo de equipaje'!H:I,2,0)</f>
        <v>Internacional</v>
      </c>
      <c r="M2757" s="55" t="s">
        <v>523</v>
      </c>
    </row>
    <row r="2758" spans="1:13" x14ac:dyDescent="0.25">
      <c r="A2758">
        <v>4211</v>
      </c>
      <c r="B2758" s="47" t="str">
        <f>VLOOKUP(Tabla6[[#This Row],['# Vuelo]],'Validacion reclamo de equipaje'!P:Q,2,0)</f>
        <v>UNIDOS VOLAMOS</v>
      </c>
      <c r="C2758" s="48">
        <v>0.9819444444444444</v>
      </c>
      <c r="D2758" s="48">
        <v>0.98958333333333337</v>
      </c>
      <c r="E2758" s="49">
        <f>'Reclamo de equipaje rediseñado'!$D2758-'Reclamo de equipaje rediseñado'!$C2758</f>
        <v>7.6388888888889728E-3</v>
      </c>
      <c r="F2758" s="48">
        <v>0.99791666666666667</v>
      </c>
      <c r="G2758" s="49">
        <f t="shared" si="43"/>
        <v>8.3333333333333037E-3</v>
      </c>
      <c r="H2758" s="50">
        <v>41746</v>
      </c>
      <c r="I2758" s="51" t="s">
        <v>610</v>
      </c>
      <c r="J2758" s="51" t="s">
        <v>535</v>
      </c>
      <c r="K2758" s="51">
        <f>VLOOKUP(J2758,'Validacion reclamo de equipaje'!L:M,2,0)</f>
        <v>50</v>
      </c>
      <c r="L2758" s="51" t="str">
        <f>VLOOKUP(I2758,'Validacion reclamo de equipaje'!H:I,2,0)</f>
        <v>Internacional</v>
      </c>
      <c r="M2758" s="51" t="s">
        <v>523</v>
      </c>
    </row>
    <row r="2759" spans="1:13" x14ac:dyDescent="0.25">
      <c r="A2759">
        <v>4211</v>
      </c>
      <c r="B2759" s="47" t="str">
        <f>VLOOKUP(Tabla6[[#This Row],['# Vuelo]],'Validacion reclamo de equipaje'!P:Q,2,0)</f>
        <v>UNIDOS VOLAMOS</v>
      </c>
      <c r="C2759" s="52">
        <v>0.97777777777777775</v>
      </c>
      <c r="D2759" s="52">
        <v>0.9868055555555556</v>
      </c>
      <c r="E2759" s="53">
        <f>'Reclamo de equipaje rediseñado'!$D2759-'Reclamo de equipaje rediseñado'!$C2759</f>
        <v>9.0277777777778567E-3</v>
      </c>
      <c r="F2759" s="52">
        <v>0.99305555555555547</v>
      </c>
      <c r="G2759" s="53">
        <f t="shared" si="43"/>
        <v>6.2499999999998668E-3</v>
      </c>
      <c r="H2759" s="54">
        <v>41747</v>
      </c>
      <c r="I2759" s="55" t="s">
        <v>610</v>
      </c>
      <c r="J2759" s="55" t="s">
        <v>535</v>
      </c>
      <c r="K2759" s="55">
        <f>VLOOKUP(J2759,'Validacion reclamo de equipaje'!L:M,2,0)</f>
        <v>50</v>
      </c>
      <c r="L2759" s="55" t="str">
        <f>VLOOKUP(I2759,'Validacion reclamo de equipaje'!H:I,2,0)</f>
        <v>Internacional</v>
      </c>
      <c r="M2759" s="55" t="s">
        <v>523</v>
      </c>
    </row>
    <row r="2760" spans="1:13" x14ac:dyDescent="0.25">
      <c r="A2760">
        <v>4211</v>
      </c>
      <c r="B2760" s="47" t="str">
        <f>VLOOKUP(Tabla6[[#This Row],['# Vuelo]],'Validacion reclamo de equipaje'!P:Q,2,0)</f>
        <v>UNIDOS VOLAMOS</v>
      </c>
      <c r="C2760" s="48">
        <v>1.0069444444444444</v>
      </c>
      <c r="D2760" s="48">
        <v>1.01875</v>
      </c>
      <c r="E2760" s="49">
        <f>'Reclamo de equipaje rediseñado'!$D2760-'Reclamo de equipaje rediseñado'!$C2760</f>
        <v>1.1805555555555625E-2</v>
      </c>
      <c r="F2760" s="48">
        <v>1.0243055555555556</v>
      </c>
      <c r="G2760" s="49">
        <f t="shared" si="43"/>
        <v>5.5555555555555358E-3</v>
      </c>
      <c r="H2760" s="50">
        <v>41749</v>
      </c>
      <c r="I2760" s="51" t="s">
        <v>610</v>
      </c>
      <c r="J2760" s="51" t="s">
        <v>535</v>
      </c>
      <c r="K2760" s="51">
        <f>VLOOKUP(J2760,'Validacion reclamo de equipaje'!L:M,2,0)</f>
        <v>50</v>
      </c>
      <c r="L2760" s="51" t="str">
        <f>VLOOKUP(I2760,'Validacion reclamo de equipaje'!H:I,2,0)</f>
        <v>Internacional</v>
      </c>
      <c r="M2760" s="51" t="s">
        <v>523</v>
      </c>
    </row>
    <row r="2761" spans="1:13" x14ac:dyDescent="0.25">
      <c r="A2761">
        <v>4211</v>
      </c>
      <c r="B2761" s="47" t="str">
        <f>VLOOKUP(Tabla6[[#This Row],['# Vuelo]],'Validacion reclamo de equipaje'!P:Q,2,0)</f>
        <v>UNIDOS VOLAMOS</v>
      </c>
      <c r="C2761" s="52">
        <v>0.98749999999999993</v>
      </c>
      <c r="D2761" s="52">
        <v>0.99583333333333324</v>
      </c>
      <c r="E2761" s="53">
        <f>'Reclamo de equipaje rediseñado'!$D2761-'Reclamo de equipaje rediseñado'!$C2761</f>
        <v>8.3333333333333037E-3</v>
      </c>
      <c r="F2761" s="52">
        <v>1.0069444444444444</v>
      </c>
      <c r="G2761" s="53">
        <f t="shared" si="43"/>
        <v>1.1111111111111183E-2</v>
      </c>
      <c r="H2761" s="54">
        <v>41751</v>
      </c>
      <c r="I2761" s="55" t="s">
        <v>610</v>
      </c>
      <c r="J2761" s="55" t="s">
        <v>535</v>
      </c>
      <c r="K2761" s="55">
        <f>VLOOKUP(J2761,'Validacion reclamo de equipaje'!L:M,2,0)</f>
        <v>50</v>
      </c>
      <c r="L2761" s="55" t="str">
        <f>VLOOKUP(I2761,'Validacion reclamo de equipaje'!H:I,2,0)</f>
        <v>Internacional</v>
      </c>
      <c r="M2761" s="55" t="s">
        <v>523</v>
      </c>
    </row>
    <row r="2762" spans="1:13" x14ac:dyDescent="0.25">
      <c r="A2762">
        <v>4211</v>
      </c>
      <c r="B2762" s="47" t="str">
        <f>VLOOKUP(Tabla6[[#This Row],['# Vuelo]],'Validacion reclamo de equipaje'!P:Q,2,0)</f>
        <v>UNIDOS VOLAMOS</v>
      </c>
      <c r="C2762" s="48">
        <v>1.007638888888889</v>
      </c>
      <c r="D2762" s="48">
        <v>1.0125</v>
      </c>
      <c r="E2762" s="49">
        <f>'Reclamo de equipaje rediseñado'!$D2762-'Reclamo de equipaje rediseñado'!$C2762</f>
        <v>4.8611111111109828E-3</v>
      </c>
      <c r="F2762" s="48">
        <v>1.0256944444444445</v>
      </c>
      <c r="G2762" s="49">
        <f t="shared" si="43"/>
        <v>1.3194444444444509E-2</v>
      </c>
      <c r="H2762" s="50">
        <v>41751</v>
      </c>
      <c r="I2762" s="51" t="s">
        <v>610</v>
      </c>
      <c r="J2762" s="51" t="s">
        <v>535</v>
      </c>
      <c r="K2762" s="51">
        <f>VLOOKUP(J2762,'Validacion reclamo de equipaje'!L:M,2,0)</f>
        <v>50</v>
      </c>
      <c r="L2762" s="51" t="str">
        <f>VLOOKUP(I2762,'Validacion reclamo de equipaje'!H:I,2,0)</f>
        <v>Internacional</v>
      </c>
      <c r="M2762" s="51" t="s">
        <v>523</v>
      </c>
    </row>
    <row r="2763" spans="1:13" x14ac:dyDescent="0.25">
      <c r="A2763">
        <v>4211</v>
      </c>
      <c r="B2763" s="47" t="str">
        <f>VLOOKUP(Tabla6[[#This Row],['# Vuelo]],'Validacion reclamo de equipaje'!P:Q,2,0)</f>
        <v>UNIDOS VOLAMOS</v>
      </c>
      <c r="C2763" s="52">
        <v>0.97986111111111107</v>
      </c>
      <c r="D2763" s="52">
        <v>0.98611111111111116</v>
      </c>
      <c r="E2763" s="53">
        <f>'Reclamo de equipaje rediseñado'!$D2763-'Reclamo de equipaje rediseñado'!$C2763</f>
        <v>6.2500000000000888E-3</v>
      </c>
      <c r="F2763" s="52">
        <v>0.99097222222222225</v>
      </c>
      <c r="G2763" s="53">
        <f t="shared" si="43"/>
        <v>4.8611111111110938E-3</v>
      </c>
      <c r="H2763" s="54">
        <v>41752</v>
      </c>
      <c r="I2763" s="55" t="s">
        <v>610</v>
      </c>
      <c r="J2763" s="55" t="s">
        <v>535</v>
      </c>
      <c r="K2763" s="55">
        <f>VLOOKUP(J2763,'Validacion reclamo de equipaje'!L:M,2,0)</f>
        <v>50</v>
      </c>
      <c r="L2763" s="55" t="str">
        <f>VLOOKUP(I2763,'Validacion reclamo de equipaje'!H:I,2,0)</f>
        <v>Internacional</v>
      </c>
      <c r="M2763" s="55" t="s">
        <v>523</v>
      </c>
    </row>
    <row r="2764" spans="1:13" x14ac:dyDescent="0.25">
      <c r="A2764">
        <v>4211</v>
      </c>
      <c r="B2764" s="47" t="str">
        <f>VLOOKUP(Tabla6[[#This Row],['# Vuelo]],'Validacion reclamo de equipaje'!P:Q,2,0)</f>
        <v>UNIDOS VOLAMOS</v>
      </c>
      <c r="C2764" s="48">
        <v>0.98611111111111116</v>
      </c>
      <c r="D2764" s="48">
        <v>0.99444444444444446</v>
      </c>
      <c r="E2764" s="49">
        <f>'Reclamo de equipaje rediseñado'!$D2764-'Reclamo de equipaje rediseñado'!$C2764</f>
        <v>8.3333333333333037E-3</v>
      </c>
      <c r="F2764" s="48">
        <v>1</v>
      </c>
      <c r="G2764" s="49">
        <f t="shared" si="43"/>
        <v>5.5555555555555358E-3</v>
      </c>
      <c r="H2764" s="50">
        <v>41754</v>
      </c>
      <c r="I2764" s="51" t="s">
        <v>610</v>
      </c>
      <c r="J2764" s="51" t="s">
        <v>535</v>
      </c>
      <c r="K2764" s="51">
        <f>VLOOKUP(J2764,'Validacion reclamo de equipaje'!L:M,2,0)</f>
        <v>50</v>
      </c>
      <c r="L2764" s="51" t="str">
        <f>VLOOKUP(I2764,'Validacion reclamo de equipaje'!H:I,2,0)</f>
        <v>Internacional</v>
      </c>
      <c r="M2764" s="51" t="s">
        <v>523</v>
      </c>
    </row>
    <row r="2765" spans="1:13" x14ac:dyDescent="0.25">
      <c r="A2765">
        <v>4211</v>
      </c>
      <c r="B2765" s="47" t="str">
        <f>VLOOKUP(Tabla6[[#This Row],['# Vuelo]],'Validacion reclamo de equipaje'!P:Q,2,0)</f>
        <v>UNIDOS VOLAMOS</v>
      </c>
      <c r="C2765" s="52">
        <v>1</v>
      </c>
      <c r="D2765" s="52">
        <v>1.0131944444444445</v>
      </c>
      <c r="E2765" s="53">
        <f>'Reclamo de equipaje rediseñado'!$D2765-'Reclamo de equipaje rediseñado'!$C2765</f>
        <v>1.3194444444444509E-2</v>
      </c>
      <c r="F2765" s="52">
        <v>1.0284722222222222</v>
      </c>
      <c r="G2765" s="53">
        <f t="shared" si="43"/>
        <v>1.5277777777777724E-2</v>
      </c>
      <c r="H2765" s="54">
        <v>41755</v>
      </c>
      <c r="I2765" s="55" t="s">
        <v>610</v>
      </c>
      <c r="J2765" s="55" t="s">
        <v>535</v>
      </c>
      <c r="K2765" s="55">
        <f>VLOOKUP(J2765,'Validacion reclamo de equipaje'!L:M,2,0)</f>
        <v>50</v>
      </c>
      <c r="L2765" s="55" t="str">
        <f>VLOOKUP(I2765,'Validacion reclamo de equipaje'!H:I,2,0)</f>
        <v>Internacional</v>
      </c>
      <c r="M2765" s="55" t="s">
        <v>523</v>
      </c>
    </row>
    <row r="2766" spans="1:13" x14ac:dyDescent="0.25">
      <c r="A2766">
        <v>4211</v>
      </c>
      <c r="B2766" s="47" t="str">
        <f>VLOOKUP(Tabla6[[#This Row],['# Vuelo]],'Validacion reclamo de equipaje'!P:Q,2,0)</f>
        <v>UNIDOS VOLAMOS</v>
      </c>
      <c r="C2766" s="48">
        <v>0.99722222222222223</v>
      </c>
      <c r="D2766" s="48">
        <v>1.0062499999999999</v>
      </c>
      <c r="E2766" s="49">
        <f>'Reclamo de equipaje rediseñado'!$D2766-'Reclamo de equipaje rediseñado'!$C2766</f>
        <v>9.0277777777776347E-3</v>
      </c>
      <c r="F2766" s="48">
        <v>1.0173611111111112</v>
      </c>
      <c r="G2766" s="49">
        <f t="shared" si="43"/>
        <v>1.1111111111111294E-2</v>
      </c>
      <c r="H2766" s="50">
        <v>41756</v>
      </c>
      <c r="I2766" s="51" t="s">
        <v>610</v>
      </c>
      <c r="J2766" s="51" t="s">
        <v>535</v>
      </c>
      <c r="K2766" s="51">
        <f>VLOOKUP(J2766,'Validacion reclamo de equipaje'!L:M,2,0)</f>
        <v>50</v>
      </c>
      <c r="L2766" s="51" t="str">
        <f>VLOOKUP(I2766,'Validacion reclamo de equipaje'!H:I,2,0)</f>
        <v>Internacional</v>
      </c>
      <c r="M2766" s="51" t="s">
        <v>523</v>
      </c>
    </row>
    <row r="2767" spans="1:13" x14ac:dyDescent="0.25">
      <c r="A2767">
        <v>4211</v>
      </c>
      <c r="B2767" s="47" t="str">
        <f>VLOOKUP(Tabla6[[#This Row],['# Vuelo]],'Validacion reclamo de equipaje'!P:Q,2,0)</f>
        <v>UNIDOS VOLAMOS</v>
      </c>
      <c r="C2767" s="52">
        <v>1.0034722222222221</v>
      </c>
      <c r="D2767" s="52">
        <v>1.0131944444444445</v>
      </c>
      <c r="E2767" s="53">
        <f>'Reclamo de equipaje rediseñado'!$D2767-'Reclamo de equipaje rediseñado'!$C2767</f>
        <v>9.7222222222224097E-3</v>
      </c>
      <c r="F2767" s="52">
        <v>1.0277777777777779</v>
      </c>
      <c r="G2767" s="53">
        <f t="shared" si="43"/>
        <v>1.4583333333333393E-2</v>
      </c>
      <c r="H2767" s="54">
        <v>41758</v>
      </c>
      <c r="I2767" s="55" t="s">
        <v>610</v>
      </c>
      <c r="J2767" s="55" t="s">
        <v>535</v>
      </c>
      <c r="K2767" s="55">
        <f>VLOOKUP(J2767,'Validacion reclamo de equipaje'!L:M,2,0)</f>
        <v>50</v>
      </c>
      <c r="L2767" s="55" t="str">
        <f>VLOOKUP(I2767,'Validacion reclamo de equipaje'!H:I,2,0)</f>
        <v>Internacional</v>
      </c>
      <c r="M2767" s="55" t="s">
        <v>523</v>
      </c>
    </row>
    <row r="2768" spans="1:13" x14ac:dyDescent="0.25">
      <c r="A2768">
        <v>4211</v>
      </c>
      <c r="B2768" s="47" t="str">
        <f>VLOOKUP(Tabla6[[#This Row],['# Vuelo]],'Validacion reclamo de equipaje'!P:Q,2,0)</f>
        <v>UNIDOS VOLAMOS</v>
      </c>
      <c r="C2768" s="48">
        <v>0.99930555555555556</v>
      </c>
      <c r="D2768" s="48">
        <v>1.0090277777777776</v>
      </c>
      <c r="E2768" s="49">
        <f>'Reclamo de equipaje rediseñado'!$D2768-'Reclamo de equipaje rediseñado'!$C2768</f>
        <v>9.7222222222220767E-3</v>
      </c>
      <c r="F2768" s="48">
        <v>1.0201388888888889</v>
      </c>
      <c r="G2768" s="49">
        <f t="shared" si="43"/>
        <v>1.1111111111111294E-2</v>
      </c>
      <c r="H2768" s="50">
        <v>41759</v>
      </c>
      <c r="I2768" s="51" t="s">
        <v>610</v>
      </c>
      <c r="J2768" s="51" t="s">
        <v>535</v>
      </c>
      <c r="K2768" s="51">
        <f>VLOOKUP(J2768,'Validacion reclamo de equipaje'!L:M,2,0)</f>
        <v>50</v>
      </c>
      <c r="L2768" s="51" t="str">
        <f>VLOOKUP(I2768,'Validacion reclamo de equipaje'!H:I,2,0)</f>
        <v>Internacional</v>
      </c>
      <c r="M2768" s="51" t="s">
        <v>523</v>
      </c>
    </row>
    <row r="2769" spans="1:13" x14ac:dyDescent="0.25">
      <c r="A2769">
        <v>4354</v>
      </c>
      <c r="B2769" s="47" t="str">
        <f>VLOOKUP(Tabla6[[#This Row],['# Vuelo]],'Validacion reclamo de equipaje'!P:Q,2,0)</f>
        <v>UNIDOS VOLAMOS</v>
      </c>
      <c r="C2769" s="52">
        <v>0.4375</v>
      </c>
      <c r="D2769" s="52">
        <v>0.44722222222222219</v>
      </c>
      <c r="E2769" s="53">
        <f>'Reclamo de equipaje rediseñado'!$D2769-'Reclamo de equipaje rediseñado'!$C2769</f>
        <v>9.7222222222221877E-3</v>
      </c>
      <c r="F2769" s="52">
        <v>0.45416666666666666</v>
      </c>
      <c r="G2769" s="53">
        <f t="shared" si="43"/>
        <v>6.9444444444444753E-3</v>
      </c>
      <c r="H2769" s="54">
        <v>41730</v>
      </c>
      <c r="I2769" s="55" t="s">
        <v>569</v>
      </c>
      <c r="J2769" s="55" t="s">
        <v>535</v>
      </c>
      <c r="K2769" s="55">
        <f>VLOOKUP(J2769,'Validacion reclamo de equipaje'!L:M,2,0)</f>
        <v>50</v>
      </c>
      <c r="L2769" s="55" t="str">
        <f>VLOOKUP(I2769,'Validacion reclamo de equipaje'!H:I,2,0)</f>
        <v>Internacional</v>
      </c>
      <c r="M2769" s="55" t="s">
        <v>523</v>
      </c>
    </row>
    <row r="2770" spans="1:13" x14ac:dyDescent="0.25">
      <c r="A2770">
        <v>4354</v>
      </c>
      <c r="B2770" s="47" t="str">
        <f>VLOOKUP(Tabla6[[#This Row],['# Vuelo]],'Validacion reclamo de equipaje'!P:Q,2,0)</f>
        <v>UNIDOS VOLAMOS</v>
      </c>
      <c r="C2770" s="48">
        <v>0.43888888888888888</v>
      </c>
      <c r="D2770" s="48">
        <v>0.45277777777777778</v>
      </c>
      <c r="E2770" s="49">
        <f>'Reclamo de equipaje rediseñado'!$D2770-'Reclamo de equipaje rediseñado'!$C2770</f>
        <v>1.3888888888888895E-2</v>
      </c>
      <c r="F2770" s="48">
        <v>0.45694444444444443</v>
      </c>
      <c r="G2770" s="49">
        <f t="shared" si="43"/>
        <v>4.1666666666666519E-3</v>
      </c>
      <c r="H2770" s="50">
        <v>41731</v>
      </c>
      <c r="I2770" s="51" t="s">
        <v>569</v>
      </c>
      <c r="J2770" s="51" t="s">
        <v>535</v>
      </c>
      <c r="K2770" s="51">
        <f>VLOOKUP(J2770,'Validacion reclamo de equipaje'!L:M,2,0)</f>
        <v>50</v>
      </c>
      <c r="L2770" s="51" t="str">
        <f>VLOOKUP(I2770,'Validacion reclamo de equipaje'!H:I,2,0)</f>
        <v>Internacional</v>
      </c>
      <c r="M2770" s="51" t="s">
        <v>523</v>
      </c>
    </row>
    <row r="2771" spans="1:13" x14ac:dyDescent="0.25">
      <c r="A2771">
        <v>4354</v>
      </c>
      <c r="B2771" s="47" t="str">
        <f>VLOOKUP(Tabla6[[#This Row],['# Vuelo]],'Validacion reclamo de equipaje'!P:Q,2,0)</f>
        <v>UNIDOS VOLAMOS</v>
      </c>
      <c r="C2771" s="52">
        <v>0.43888888888888888</v>
      </c>
      <c r="D2771" s="52">
        <v>0.45277777777777778</v>
      </c>
      <c r="E2771" s="53">
        <f>'Reclamo de equipaje rediseñado'!$D2771-'Reclamo de equipaje rediseñado'!$C2771</f>
        <v>1.3888888888888895E-2</v>
      </c>
      <c r="F2771" s="52">
        <v>0.45694444444444443</v>
      </c>
      <c r="G2771" s="53">
        <f t="shared" si="43"/>
        <v>4.1666666666666519E-3</v>
      </c>
      <c r="H2771" s="54">
        <v>41731</v>
      </c>
      <c r="I2771" s="55" t="s">
        <v>569</v>
      </c>
      <c r="J2771" s="55" t="s">
        <v>535</v>
      </c>
      <c r="K2771" s="55">
        <f>VLOOKUP(J2771,'Validacion reclamo de equipaje'!L:M,2,0)</f>
        <v>50</v>
      </c>
      <c r="L2771" s="55" t="str">
        <f>VLOOKUP(I2771,'Validacion reclamo de equipaje'!H:I,2,0)</f>
        <v>Internacional</v>
      </c>
      <c r="M2771" s="55" t="s">
        <v>523</v>
      </c>
    </row>
    <row r="2772" spans="1:13" x14ac:dyDescent="0.25">
      <c r="A2772">
        <v>4354</v>
      </c>
      <c r="B2772" s="47" t="str">
        <f>VLOOKUP(Tabla6[[#This Row],['# Vuelo]],'Validacion reclamo de equipaje'!P:Q,2,0)</f>
        <v>UNIDOS VOLAMOS</v>
      </c>
      <c r="C2772" s="48">
        <v>0.44722222222222219</v>
      </c>
      <c r="D2772" s="48">
        <v>0.4548611111111111</v>
      </c>
      <c r="E2772" s="49">
        <f>'Reclamo de equipaje rediseñado'!$D2772-'Reclamo de equipaje rediseñado'!$C2772</f>
        <v>7.6388888888889173E-3</v>
      </c>
      <c r="F2772" s="48">
        <v>0.46597222222222223</v>
      </c>
      <c r="G2772" s="49">
        <f t="shared" si="43"/>
        <v>1.1111111111111127E-2</v>
      </c>
      <c r="H2772" s="50">
        <v>41732</v>
      </c>
      <c r="I2772" s="51" t="s">
        <v>569</v>
      </c>
      <c r="J2772" s="51" t="s">
        <v>535</v>
      </c>
      <c r="K2772" s="51">
        <f>VLOOKUP(J2772,'Validacion reclamo de equipaje'!L:M,2,0)</f>
        <v>50</v>
      </c>
      <c r="L2772" s="51" t="str">
        <f>VLOOKUP(I2772,'Validacion reclamo de equipaje'!H:I,2,0)</f>
        <v>Internacional</v>
      </c>
      <c r="M2772" s="51" t="s">
        <v>523</v>
      </c>
    </row>
    <row r="2773" spans="1:13" x14ac:dyDescent="0.25">
      <c r="A2773">
        <v>4354</v>
      </c>
      <c r="B2773" s="47" t="str">
        <f>VLOOKUP(Tabla6[[#This Row],['# Vuelo]],'Validacion reclamo de equipaje'!P:Q,2,0)</f>
        <v>UNIDOS VOLAMOS</v>
      </c>
      <c r="C2773" s="52">
        <v>0.4513888888888889</v>
      </c>
      <c r="D2773" s="52">
        <v>0.4597222222222222</v>
      </c>
      <c r="E2773" s="53">
        <f>'Reclamo de equipaje rediseñado'!$D2773-'Reclamo de equipaje rediseñado'!$C2773</f>
        <v>8.3333333333333037E-3</v>
      </c>
      <c r="F2773" s="52">
        <v>0.46388888888888885</v>
      </c>
      <c r="G2773" s="53">
        <f t="shared" si="43"/>
        <v>4.1666666666666519E-3</v>
      </c>
      <c r="H2773" s="54">
        <v>41733</v>
      </c>
      <c r="I2773" s="55" t="s">
        <v>569</v>
      </c>
      <c r="J2773" s="55" t="s">
        <v>535</v>
      </c>
      <c r="K2773" s="55">
        <f>VLOOKUP(J2773,'Validacion reclamo de equipaje'!L:M,2,0)</f>
        <v>50</v>
      </c>
      <c r="L2773" s="55" t="str">
        <f>VLOOKUP(I2773,'Validacion reclamo de equipaje'!H:I,2,0)</f>
        <v>Internacional</v>
      </c>
      <c r="M2773" s="55" t="s">
        <v>523</v>
      </c>
    </row>
    <row r="2774" spans="1:13" x14ac:dyDescent="0.25">
      <c r="A2774">
        <v>4354</v>
      </c>
      <c r="B2774" s="47" t="str">
        <f>VLOOKUP(Tabla6[[#This Row],['# Vuelo]],'Validacion reclamo de equipaje'!P:Q,2,0)</f>
        <v>UNIDOS VOLAMOS</v>
      </c>
      <c r="C2774" s="48">
        <v>0.43541666666666662</v>
      </c>
      <c r="D2774" s="48">
        <v>0.44513888888888892</v>
      </c>
      <c r="E2774" s="49">
        <f>'Reclamo de equipaje rediseñado'!$D2774-'Reclamo de equipaje rediseñado'!$C2774</f>
        <v>9.7222222222222987E-3</v>
      </c>
      <c r="F2774" s="48">
        <v>0.45624999999999999</v>
      </c>
      <c r="G2774" s="49">
        <f t="shared" si="43"/>
        <v>1.1111111111111072E-2</v>
      </c>
      <c r="H2774" s="50">
        <v>41734</v>
      </c>
      <c r="I2774" s="51" t="s">
        <v>569</v>
      </c>
      <c r="J2774" s="51" t="s">
        <v>535</v>
      </c>
      <c r="K2774" s="51">
        <f>VLOOKUP(J2774,'Validacion reclamo de equipaje'!L:M,2,0)</f>
        <v>50</v>
      </c>
      <c r="L2774" s="51" t="str">
        <f>VLOOKUP(I2774,'Validacion reclamo de equipaje'!H:I,2,0)</f>
        <v>Internacional</v>
      </c>
      <c r="M2774" s="51" t="s">
        <v>523</v>
      </c>
    </row>
    <row r="2775" spans="1:13" x14ac:dyDescent="0.25">
      <c r="A2775">
        <v>4354</v>
      </c>
      <c r="B2775" s="47" t="str">
        <f>VLOOKUP(Tabla6[[#This Row],['# Vuelo]],'Validacion reclamo de equipaje'!P:Q,2,0)</f>
        <v>UNIDOS VOLAMOS</v>
      </c>
      <c r="C2775" s="52">
        <v>0.51736111111111105</v>
      </c>
      <c r="D2775" s="52">
        <v>0.52777777777777779</v>
      </c>
      <c r="E2775" s="53">
        <f>'Reclamo de equipaje rediseñado'!$D2775-'Reclamo de equipaje rediseñado'!$C2775</f>
        <v>1.0416666666666741E-2</v>
      </c>
      <c r="F2775" s="52">
        <v>0.53749999999999998</v>
      </c>
      <c r="G2775" s="53">
        <f t="shared" si="43"/>
        <v>9.7222222222221877E-3</v>
      </c>
      <c r="H2775" s="54">
        <v>41736</v>
      </c>
      <c r="I2775" s="55" t="s">
        <v>569</v>
      </c>
      <c r="J2775" s="55" t="s">
        <v>535</v>
      </c>
      <c r="K2775" s="55">
        <f>VLOOKUP(J2775,'Validacion reclamo de equipaje'!L:M,2,0)</f>
        <v>50</v>
      </c>
      <c r="L2775" s="55" t="str">
        <f>VLOOKUP(I2775,'Validacion reclamo de equipaje'!H:I,2,0)</f>
        <v>Internacional</v>
      </c>
      <c r="M2775" s="55" t="s">
        <v>523</v>
      </c>
    </row>
    <row r="2776" spans="1:13" x14ac:dyDescent="0.25">
      <c r="A2776">
        <v>4354</v>
      </c>
      <c r="B2776" s="47" t="str">
        <f>VLOOKUP(Tabla6[[#This Row],['# Vuelo]],'Validacion reclamo de equipaje'!P:Q,2,0)</f>
        <v>UNIDOS VOLAMOS</v>
      </c>
      <c r="C2776" s="48">
        <v>0.47222222222222227</v>
      </c>
      <c r="D2776" s="48">
        <v>0.48055555555555557</v>
      </c>
      <c r="E2776" s="49">
        <f>'Reclamo de equipaje rediseñado'!$D2776-'Reclamo de equipaje rediseñado'!$C2776</f>
        <v>8.3333333333333037E-3</v>
      </c>
      <c r="F2776" s="48">
        <v>0.49027777777777781</v>
      </c>
      <c r="G2776" s="49">
        <f t="shared" si="43"/>
        <v>9.7222222222222432E-3</v>
      </c>
      <c r="H2776" s="50">
        <v>41739</v>
      </c>
      <c r="I2776" s="51" t="s">
        <v>569</v>
      </c>
      <c r="J2776" s="51" t="s">
        <v>535</v>
      </c>
      <c r="K2776" s="51">
        <f>VLOOKUP(J2776,'Validacion reclamo de equipaje'!L:M,2,0)</f>
        <v>50</v>
      </c>
      <c r="L2776" s="51" t="str">
        <f>VLOOKUP(I2776,'Validacion reclamo de equipaje'!H:I,2,0)</f>
        <v>Internacional</v>
      </c>
      <c r="M2776" s="51" t="s">
        <v>523</v>
      </c>
    </row>
    <row r="2777" spans="1:13" x14ac:dyDescent="0.25">
      <c r="A2777">
        <v>4354</v>
      </c>
      <c r="B2777" s="47" t="str">
        <f>VLOOKUP(Tabla6[[#This Row],['# Vuelo]],'Validacion reclamo de equipaje'!P:Q,2,0)</f>
        <v>UNIDOS VOLAMOS</v>
      </c>
      <c r="C2777" s="52">
        <v>0.47222222222222227</v>
      </c>
      <c r="D2777" s="52">
        <v>0.48125000000000001</v>
      </c>
      <c r="E2777" s="53">
        <f>'Reclamo de equipaje rediseñado'!$D2777-'Reclamo de equipaje rediseñado'!$C2777</f>
        <v>9.0277777777777457E-3</v>
      </c>
      <c r="F2777" s="52">
        <v>0.48888888888888887</v>
      </c>
      <c r="G2777" s="53">
        <f t="shared" si="43"/>
        <v>7.6388888888888618E-3</v>
      </c>
      <c r="H2777" s="54">
        <v>41741</v>
      </c>
      <c r="I2777" s="55" t="s">
        <v>569</v>
      </c>
      <c r="J2777" s="55" t="s">
        <v>535</v>
      </c>
      <c r="K2777" s="55">
        <f>VLOOKUP(J2777,'Validacion reclamo de equipaje'!L:M,2,0)</f>
        <v>50</v>
      </c>
      <c r="L2777" s="55" t="str">
        <f>VLOOKUP(I2777,'Validacion reclamo de equipaje'!H:I,2,0)</f>
        <v>Internacional</v>
      </c>
      <c r="M2777" s="55" t="s">
        <v>523</v>
      </c>
    </row>
    <row r="2778" spans="1:13" x14ac:dyDescent="0.25">
      <c r="A2778">
        <v>4354</v>
      </c>
      <c r="B2778" s="47" t="str">
        <f>VLOOKUP(Tabla6[[#This Row],['# Vuelo]],'Validacion reclamo de equipaje'!P:Q,2,0)</f>
        <v>UNIDOS VOLAMOS</v>
      </c>
      <c r="C2778" s="48">
        <v>0.4826388888888889</v>
      </c>
      <c r="D2778" s="48">
        <v>0.4916666666666667</v>
      </c>
      <c r="E2778" s="49">
        <f>'Reclamo de equipaje rediseñado'!$D2778-'Reclamo de equipaje rediseñado'!$C2778</f>
        <v>9.0277777777778012E-3</v>
      </c>
      <c r="F2778" s="48">
        <v>0.49652777777777773</v>
      </c>
      <c r="G2778" s="49">
        <f t="shared" si="43"/>
        <v>4.8611111111110383E-3</v>
      </c>
      <c r="H2778" s="50">
        <v>41743</v>
      </c>
      <c r="I2778" s="51" t="s">
        <v>569</v>
      </c>
      <c r="J2778" s="51" t="s">
        <v>535</v>
      </c>
      <c r="K2778" s="51">
        <f>VLOOKUP(J2778,'Validacion reclamo de equipaje'!L:M,2,0)</f>
        <v>50</v>
      </c>
      <c r="L2778" s="51" t="str">
        <f>VLOOKUP(I2778,'Validacion reclamo de equipaje'!H:I,2,0)</f>
        <v>Internacional</v>
      </c>
      <c r="M2778" s="51" t="s">
        <v>523</v>
      </c>
    </row>
    <row r="2779" spans="1:13" x14ac:dyDescent="0.25">
      <c r="A2779">
        <v>4354</v>
      </c>
      <c r="B2779" s="47" t="str">
        <f>VLOOKUP(Tabla6[[#This Row],['# Vuelo]],'Validacion reclamo de equipaje'!P:Q,2,0)</f>
        <v>UNIDOS VOLAMOS</v>
      </c>
      <c r="C2779" s="52">
        <v>0.48125000000000001</v>
      </c>
      <c r="D2779" s="52">
        <v>0.4916666666666667</v>
      </c>
      <c r="E2779" s="53">
        <f>'Reclamo de equipaje rediseñado'!$D2779-'Reclamo de equipaje rediseñado'!$C2779</f>
        <v>1.0416666666666685E-2</v>
      </c>
      <c r="F2779" s="52">
        <v>0.50138888888888888</v>
      </c>
      <c r="G2779" s="53">
        <f t="shared" si="43"/>
        <v>9.7222222222221877E-3</v>
      </c>
      <c r="H2779" s="54">
        <v>41744</v>
      </c>
      <c r="I2779" s="55" t="s">
        <v>569</v>
      </c>
      <c r="J2779" s="55" t="s">
        <v>535</v>
      </c>
      <c r="K2779" s="55">
        <f>VLOOKUP(J2779,'Validacion reclamo de equipaje'!L:M,2,0)</f>
        <v>50</v>
      </c>
      <c r="L2779" s="55" t="str">
        <f>VLOOKUP(I2779,'Validacion reclamo de equipaje'!H:I,2,0)</f>
        <v>Internacional</v>
      </c>
      <c r="M2779" s="55" t="s">
        <v>523</v>
      </c>
    </row>
    <row r="2780" spans="1:13" x14ac:dyDescent="0.25">
      <c r="A2780">
        <v>4354</v>
      </c>
      <c r="B2780" s="47" t="str">
        <f>VLOOKUP(Tabla6[[#This Row],['# Vuelo]],'Validacion reclamo de equipaje'!P:Q,2,0)</f>
        <v>UNIDOS VOLAMOS</v>
      </c>
      <c r="C2780" s="48">
        <v>0.48680555555555555</v>
      </c>
      <c r="D2780" s="48">
        <v>0.50208333333333333</v>
      </c>
      <c r="E2780" s="49">
        <f>'Reclamo de equipaje rediseñado'!$D2780-'Reclamo de equipaje rediseñado'!$C2780</f>
        <v>1.5277777777777779E-2</v>
      </c>
      <c r="F2780" s="48">
        <v>0.50624999999999998</v>
      </c>
      <c r="G2780" s="49">
        <f t="shared" si="43"/>
        <v>4.1666666666666519E-3</v>
      </c>
      <c r="H2780" s="50">
        <v>41745</v>
      </c>
      <c r="I2780" s="51" t="s">
        <v>569</v>
      </c>
      <c r="J2780" s="51" t="s">
        <v>535</v>
      </c>
      <c r="K2780" s="51">
        <f>VLOOKUP(J2780,'Validacion reclamo de equipaje'!L:M,2,0)</f>
        <v>50</v>
      </c>
      <c r="L2780" s="51" t="str">
        <f>VLOOKUP(I2780,'Validacion reclamo de equipaje'!H:I,2,0)</f>
        <v>Internacional</v>
      </c>
      <c r="M2780" s="51" t="s">
        <v>523</v>
      </c>
    </row>
    <row r="2781" spans="1:13" x14ac:dyDescent="0.25">
      <c r="A2781">
        <v>4354</v>
      </c>
      <c r="B2781" s="47" t="str">
        <f>VLOOKUP(Tabla6[[#This Row],['# Vuelo]],'Validacion reclamo de equipaje'!P:Q,2,0)</f>
        <v>UNIDOS VOLAMOS</v>
      </c>
      <c r="C2781" s="52">
        <v>0.4909722222222222</v>
      </c>
      <c r="D2781" s="52">
        <v>0.50138888888888888</v>
      </c>
      <c r="E2781" s="53">
        <f>'Reclamo de equipaje rediseñado'!$D2781-'Reclamo de equipaje rediseñado'!$C2781</f>
        <v>1.0416666666666685E-2</v>
      </c>
      <c r="F2781" s="52">
        <v>0.51111111111111118</v>
      </c>
      <c r="G2781" s="53">
        <f t="shared" si="43"/>
        <v>9.7222222222222987E-3</v>
      </c>
      <c r="H2781" s="54">
        <v>41746</v>
      </c>
      <c r="I2781" s="55" t="s">
        <v>569</v>
      </c>
      <c r="J2781" s="55" t="s">
        <v>535</v>
      </c>
      <c r="K2781" s="55">
        <f>VLOOKUP(J2781,'Validacion reclamo de equipaje'!L:M,2,0)</f>
        <v>50</v>
      </c>
      <c r="L2781" s="55" t="str">
        <f>VLOOKUP(I2781,'Validacion reclamo de equipaje'!H:I,2,0)</f>
        <v>Internacional</v>
      </c>
      <c r="M2781" s="55" t="s">
        <v>523</v>
      </c>
    </row>
    <row r="2782" spans="1:13" x14ac:dyDescent="0.25">
      <c r="A2782">
        <v>4354</v>
      </c>
      <c r="B2782" s="47" t="str">
        <f>VLOOKUP(Tabla6[[#This Row],['# Vuelo]],'Validacion reclamo de equipaje'!P:Q,2,0)</f>
        <v>UNIDOS VOLAMOS</v>
      </c>
      <c r="C2782" s="48">
        <v>0.47638888888888892</v>
      </c>
      <c r="D2782" s="48">
        <v>0.48680555555555555</v>
      </c>
      <c r="E2782" s="49">
        <f>'Reclamo de equipaje rediseñado'!$D2782-'Reclamo de equipaje rediseñado'!$C2782</f>
        <v>1.041666666666663E-2</v>
      </c>
      <c r="F2782" s="48">
        <v>0.49236111111111108</v>
      </c>
      <c r="G2782" s="49">
        <f t="shared" si="43"/>
        <v>5.5555555555555358E-3</v>
      </c>
      <c r="H2782" s="50">
        <v>41747</v>
      </c>
      <c r="I2782" s="51" t="s">
        <v>569</v>
      </c>
      <c r="J2782" s="51" t="s">
        <v>535</v>
      </c>
      <c r="K2782" s="51">
        <f>VLOOKUP(J2782,'Validacion reclamo de equipaje'!L:M,2,0)</f>
        <v>50</v>
      </c>
      <c r="L2782" s="51" t="str">
        <f>VLOOKUP(I2782,'Validacion reclamo de equipaje'!H:I,2,0)</f>
        <v>Internacional</v>
      </c>
      <c r="M2782" s="51" t="s">
        <v>523</v>
      </c>
    </row>
    <row r="2783" spans="1:13" x14ac:dyDescent="0.25">
      <c r="A2783">
        <v>4354</v>
      </c>
      <c r="B2783" s="47" t="str">
        <f>VLOOKUP(Tabla6[[#This Row],['# Vuelo]],'Validacion reclamo de equipaje'!P:Q,2,0)</f>
        <v>UNIDOS VOLAMOS</v>
      </c>
      <c r="C2783" s="52">
        <v>0.4826388888888889</v>
      </c>
      <c r="D2783" s="52">
        <v>0.49305555555555558</v>
      </c>
      <c r="E2783" s="53">
        <f>'Reclamo de equipaje rediseñado'!$D2783-'Reclamo de equipaje rediseñado'!$C2783</f>
        <v>1.0416666666666685E-2</v>
      </c>
      <c r="F2783" s="52">
        <v>0.5</v>
      </c>
      <c r="G2783" s="53">
        <f t="shared" si="43"/>
        <v>6.9444444444444198E-3</v>
      </c>
      <c r="H2783" s="54">
        <v>41748</v>
      </c>
      <c r="I2783" s="55" t="s">
        <v>569</v>
      </c>
      <c r="J2783" s="55" t="s">
        <v>535</v>
      </c>
      <c r="K2783" s="55">
        <f>VLOOKUP(J2783,'Validacion reclamo de equipaje'!L:M,2,0)</f>
        <v>50</v>
      </c>
      <c r="L2783" s="55" t="str">
        <f>VLOOKUP(I2783,'Validacion reclamo de equipaje'!H:I,2,0)</f>
        <v>Internacional</v>
      </c>
      <c r="M2783" s="55" t="s">
        <v>523</v>
      </c>
    </row>
    <row r="2784" spans="1:13" x14ac:dyDescent="0.25">
      <c r="A2784">
        <v>4354</v>
      </c>
      <c r="B2784" s="47" t="str">
        <f>VLOOKUP(Tabla6[[#This Row],['# Vuelo]],'Validacion reclamo de equipaje'!P:Q,2,0)</f>
        <v>UNIDOS VOLAMOS</v>
      </c>
      <c r="C2784" s="48">
        <v>0.4861111111111111</v>
      </c>
      <c r="D2784" s="48">
        <v>0.49583333333333335</v>
      </c>
      <c r="E2784" s="49">
        <f>'Reclamo de equipaje rediseñado'!$D2784-'Reclamo de equipaje rediseñado'!$C2784</f>
        <v>9.7222222222222432E-3</v>
      </c>
      <c r="F2784" s="48">
        <v>0.50138888888888888</v>
      </c>
      <c r="G2784" s="49">
        <f t="shared" si="43"/>
        <v>5.5555555555555358E-3</v>
      </c>
      <c r="H2784" s="50">
        <v>41749</v>
      </c>
      <c r="I2784" s="51" t="s">
        <v>569</v>
      </c>
      <c r="J2784" s="51" t="s">
        <v>535</v>
      </c>
      <c r="K2784" s="51">
        <f>VLOOKUP(J2784,'Validacion reclamo de equipaje'!L:M,2,0)</f>
        <v>50</v>
      </c>
      <c r="L2784" s="51" t="str">
        <f>VLOOKUP(I2784,'Validacion reclamo de equipaje'!H:I,2,0)</f>
        <v>Internacional</v>
      </c>
      <c r="M2784" s="51" t="s">
        <v>523</v>
      </c>
    </row>
    <row r="2785" spans="1:13" x14ac:dyDescent="0.25">
      <c r="A2785">
        <v>4354</v>
      </c>
      <c r="B2785" s="47" t="str">
        <f>VLOOKUP(Tabla6[[#This Row],['# Vuelo]],'Validacion reclamo de equipaje'!P:Q,2,0)</f>
        <v>UNIDOS VOLAMOS</v>
      </c>
      <c r="C2785" s="52">
        <v>0.48819444444444443</v>
      </c>
      <c r="D2785" s="52">
        <v>0.49652777777777773</v>
      </c>
      <c r="E2785" s="53">
        <f>'Reclamo de equipaje rediseñado'!$D2785-'Reclamo de equipaje rediseñado'!$C2785</f>
        <v>8.3333333333333037E-3</v>
      </c>
      <c r="F2785" s="52">
        <v>0.50416666666666665</v>
      </c>
      <c r="G2785" s="53">
        <f t="shared" si="43"/>
        <v>7.6388888888889173E-3</v>
      </c>
      <c r="H2785" s="54">
        <v>41750</v>
      </c>
      <c r="I2785" s="55" t="s">
        <v>569</v>
      </c>
      <c r="J2785" s="55" t="s">
        <v>535</v>
      </c>
      <c r="K2785" s="55">
        <f>VLOOKUP(J2785,'Validacion reclamo de equipaje'!L:M,2,0)</f>
        <v>50</v>
      </c>
      <c r="L2785" s="55" t="str">
        <f>VLOOKUP(I2785,'Validacion reclamo de equipaje'!H:I,2,0)</f>
        <v>Internacional</v>
      </c>
      <c r="M2785" s="55" t="s">
        <v>523</v>
      </c>
    </row>
    <row r="2786" spans="1:13" x14ac:dyDescent="0.25">
      <c r="A2786">
        <v>4354</v>
      </c>
      <c r="B2786" s="47" t="str">
        <f>VLOOKUP(Tabla6[[#This Row],['# Vuelo]],'Validacion reclamo de equipaje'!P:Q,2,0)</f>
        <v>UNIDOS VOLAMOS</v>
      </c>
      <c r="C2786" s="48">
        <v>0.4770833333333333</v>
      </c>
      <c r="D2786" s="48">
        <v>0.48541666666666666</v>
      </c>
      <c r="E2786" s="49">
        <f>'Reclamo de equipaje rediseñado'!$D2786-'Reclamo de equipaje rediseñado'!$C2786</f>
        <v>8.3333333333333592E-3</v>
      </c>
      <c r="F2786" s="48">
        <v>0.50347222222222221</v>
      </c>
      <c r="G2786" s="49">
        <f t="shared" si="43"/>
        <v>1.8055555555555547E-2</v>
      </c>
      <c r="H2786" s="50">
        <v>41751</v>
      </c>
      <c r="I2786" s="51" t="s">
        <v>569</v>
      </c>
      <c r="J2786" s="51" t="s">
        <v>535</v>
      </c>
      <c r="K2786" s="51">
        <f>VLOOKUP(J2786,'Validacion reclamo de equipaje'!L:M,2,0)</f>
        <v>50</v>
      </c>
      <c r="L2786" s="51" t="str">
        <f>VLOOKUP(I2786,'Validacion reclamo de equipaje'!H:I,2,0)</f>
        <v>Internacional</v>
      </c>
      <c r="M2786" s="51" t="s">
        <v>523</v>
      </c>
    </row>
    <row r="2787" spans="1:13" x14ac:dyDescent="0.25">
      <c r="A2787">
        <v>4354</v>
      </c>
      <c r="B2787" s="47" t="str">
        <f>VLOOKUP(Tabla6[[#This Row],['# Vuelo]],'Validacion reclamo de equipaje'!P:Q,2,0)</f>
        <v>UNIDOS VOLAMOS</v>
      </c>
      <c r="C2787" s="52">
        <v>0.4770833333333333</v>
      </c>
      <c r="D2787" s="52">
        <v>0.48541666666666666</v>
      </c>
      <c r="E2787" s="53">
        <f>'Reclamo de equipaje rediseñado'!$D2787-'Reclamo de equipaje rediseñado'!$C2787</f>
        <v>8.3333333333333592E-3</v>
      </c>
      <c r="F2787" s="52">
        <v>0.50347222222222221</v>
      </c>
      <c r="G2787" s="53">
        <f t="shared" si="43"/>
        <v>1.8055555555555547E-2</v>
      </c>
      <c r="H2787" s="54">
        <v>41751</v>
      </c>
      <c r="I2787" s="55" t="s">
        <v>569</v>
      </c>
      <c r="J2787" s="55" t="s">
        <v>535</v>
      </c>
      <c r="K2787" s="55">
        <f>VLOOKUP(J2787,'Validacion reclamo de equipaje'!L:M,2,0)</f>
        <v>50</v>
      </c>
      <c r="L2787" s="55" t="str">
        <f>VLOOKUP(I2787,'Validacion reclamo de equipaje'!H:I,2,0)</f>
        <v>Internacional</v>
      </c>
      <c r="M2787" s="55" t="s">
        <v>523</v>
      </c>
    </row>
    <row r="2788" spans="1:13" x14ac:dyDescent="0.25">
      <c r="A2788">
        <v>4354</v>
      </c>
      <c r="B2788" s="47" t="str">
        <f>VLOOKUP(Tabla6[[#This Row],['# Vuelo]],'Validacion reclamo de equipaje'!P:Q,2,0)</f>
        <v>UNIDOS VOLAMOS</v>
      </c>
      <c r="C2788" s="48">
        <v>0.4916666666666667</v>
      </c>
      <c r="D2788" s="48">
        <v>0.50347222222222221</v>
      </c>
      <c r="E2788" s="49">
        <f>'Reclamo de equipaje rediseñado'!$D2788-'Reclamo de equipaje rediseñado'!$C2788</f>
        <v>1.1805555555555514E-2</v>
      </c>
      <c r="F2788" s="48">
        <v>0.51250000000000007</v>
      </c>
      <c r="G2788" s="49">
        <f t="shared" si="43"/>
        <v>9.0277777777778567E-3</v>
      </c>
      <c r="H2788" s="50">
        <v>41753</v>
      </c>
      <c r="I2788" s="51" t="s">
        <v>569</v>
      </c>
      <c r="J2788" s="51" t="s">
        <v>535</v>
      </c>
      <c r="K2788" s="51">
        <f>VLOOKUP(J2788,'Validacion reclamo de equipaje'!L:M,2,0)</f>
        <v>50</v>
      </c>
      <c r="L2788" s="51" t="str">
        <f>VLOOKUP(I2788,'Validacion reclamo de equipaje'!H:I,2,0)</f>
        <v>Internacional</v>
      </c>
      <c r="M2788" s="51" t="s">
        <v>523</v>
      </c>
    </row>
    <row r="2789" spans="1:13" x14ac:dyDescent="0.25">
      <c r="A2789">
        <v>4354</v>
      </c>
      <c r="B2789" s="47" t="str">
        <f>VLOOKUP(Tabla6[[#This Row],['# Vuelo]],'Validacion reclamo de equipaje'!P:Q,2,0)</f>
        <v>UNIDOS VOLAMOS</v>
      </c>
      <c r="C2789" s="52">
        <v>0.48958333333333331</v>
      </c>
      <c r="D2789" s="52">
        <v>0.50208333333333333</v>
      </c>
      <c r="E2789" s="53">
        <f>'Reclamo de equipaje rediseñado'!$D2789-'Reclamo de equipaje rediseñado'!$C2789</f>
        <v>1.2500000000000011E-2</v>
      </c>
      <c r="F2789" s="52">
        <v>0.50972222222222219</v>
      </c>
      <c r="G2789" s="53">
        <f t="shared" si="43"/>
        <v>7.6388888888888618E-3</v>
      </c>
      <c r="H2789" s="54">
        <v>41754</v>
      </c>
      <c r="I2789" s="55" t="s">
        <v>569</v>
      </c>
      <c r="J2789" s="55" t="s">
        <v>535</v>
      </c>
      <c r="K2789" s="55">
        <f>VLOOKUP(J2789,'Validacion reclamo de equipaje'!L:M,2,0)</f>
        <v>50</v>
      </c>
      <c r="L2789" s="55" t="str">
        <f>VLOOKUP(I2789,'Validacion reclamo de equipaje'!H:I,2,0)</f>
        <v>Internacional</v>
      </c>
      <c r="M2789" s="55" t="s">
        <v>523</v>
      </c>
    </row>
    <row r="2790" spans="1:13" x14ac:dyDescent="0.25">
      <c r="A2790">
        <v>4354</v>
      </c>
      <c r="B2790" s="47" t="str">
        <f>VLOOKUP(Tabla6[[#This Row],['# Vuelo]],'Validacion reclamo de equipaje'!P:Q,2,0)</f>
        <v>UNIDOS VOLAMOS</v>
      </c>
      <c r="C2790" s="48">
        <v>0.47916666666666669</v>
      </c>
      <c r="D2790" s="48">
        <v>0.49583333333333335</v>
      </c>
      <c r="E2790" s="49">
        <f>'Reclamo de equipaje rediseñado'!$D2790-'Reclamo de equipaje rediseñado'!$C2790</f>
        <v>1.6666666666666663E-2</v>
      </c>
      <c r="F2790" s="48">
        <v>0.5</v>
      </c>
      <c r="G2790" s="49">
        <f t="shared" si="43"/>
        <v>4.1666666666666519E-3</v>
      </c>
      <c r="H2790" s="50">
        <v>41754</v>
      </c>
      <c r="I2790" s="51" t="s">
        <v>569</v>
      </c>
      <c r="J2790" s="51" t="s">
        <v>535</v>
      </c>
      <c r="K2790" s="51">
        <f>VLOOKUP(J2790,'Validacion reclamo de equipaje'!L:M,2,0)</f>
        <v>50</v>
      </c>
      <c r="L2790" s="51" t="str">
        <f>VLOOKUP(I2790,'Validacion reclamo de equipaje'!H:I,2,0)</f>
        <v>Internacional</v>
      </c>
      <c r="M2790" s="51" t="s">
        <v>523</v>
      </c>
    </row>
    <row r="2791" spans="1:13" x14ac:dyDescent="0.25">
      <c r="A2791">
        <v>4354</v>
      </c>
      <c r="B2791" s="47" t="str">
        <f>VLOOKUP(Tabla6[[#This Row],['# Vuelo]],'Validacion reclamo de equipaje'!P:Q,2,0)</f>
        <v>UNIDOS VOLAMOS</v>
      </c>
      <c r="C2791" s="52">
        <v>0.4770833333333333</v>
      </c>
      <c r="D2791" s="52">
        <v>0.48819444444444443</v>
      </c>
      <c r="E2791" s="53">
        <f>'Reclamo de equipaje rediseñado'!$D2791-'Reclamo de equipaje rediseñado'!$C2791</f>
        <v>1.1111111111111127E-2</v>
      </c>
      <c r="F2791" s="52">
        <v>0.49861111111111112</v>
      </c>
      <c r="G2791" s="53">
        <f t="shared" si="43"/>
        <v>1.0416666666666685E-2</v>
      </c>
      <c r="H2791" s="54">
        <v>41756</v>
      </c>
      <c r="I2791" s="55" t="s">
        <v>569</v>
      </c>
      <c r="J2791" s="55" t="s">
        <v>535</v>
      </c>
      <c r="K2791" s="55">
        <f>VLOOKUP(J2791,'Validacion reclamo de equipaje'!L:M,2,0)</f>
        <v>50</v>
      </c>
      <c r="L2791" s="55" t="str">
        <f>VLOOKUP(I2791,'Validacion reclamo de equipaje'!H:I,2,0)</f>
        <v>Internacional</v>
      </c>
      <c r="M2791" s="55" t="s">
        <v>523</v>
      </c>
    </row>
    <row r="2792" spans="1:13" x14ac:dyDescent="0.25">
      <c r="A2792">
        <v>4354</v>
      </c>
      <c r="B2792" s="47" t="str">
        <f>VLOOKUP(Tabla6[[#This Row],['# Vuelo]],'Validacion reclamo de equipaje'!P:Q,2,0)</f>
        <v>UNIDOS VOLAMOS</v>
      </c>
      <c r="C2792" s="48">
        <v>0.47291666666666665</v>
      </c>
      <c r="D2792" s="48">
        <v>0.48333333333333334</v>
      </c>
      <c r="E2792" s="49">
        <f>'Reclamo de equipaje rediseñado'!$D2792-'Reclamo de equipaje rediseñado'!$C2792</f>
        <v>1.0416666666666685E-2</v>
      </c>
      <c r="F2792" s="48">
        <v>0.4909722222222222</v>
      </c>
      <c r="G2792" s="49">
        <f t="shared" si="43"/>
        <v>7.6388888888888618E-3</v>
      </c>
      <c r="H2792" s="50">
        <v>41757</v>
      </c>
      <c r="I2792" s="51" t="s">
        <v>569</v>
      </c>
      <c r="J2792" s="51" t="s">
        <v>535</v>
      </c>
      <c r="K2792" s="51">
        <f>VLOOKUP(J2792,'Validacion reclamo de equipaje'!L:M,2,0)</f>
        <v>50</v>
      </c>
      <c r="L2792" s="51" t="str">
        <f>VLOOKUP(I2792,'Validacion reclamo de equipaje'!H:I,2,0)</f>
        <v>Internacional</v>
      </c>
      <c r="M2792" s="51" t="s">
        <v>523</v>
      </c>
    </row>
    <row r="2793" spans="1:13" x14ac:dyDescent="0.25">
      <c r="A2793">
        <v>4354</v>
      </c>
      <c r="B2793" s="47" t="str">
        <f>VLOOKUP(Tabla6[[#This Row],['# Vuelo]],'Validacion reclamo de equipaje'!P:Q,2,0)</f>
        <v>UNIDOS VOLAMOS</v>
      </c>
      <c r="C2793" s="52">
        <v>0.48055555555555557</v>
      </c>
      <c r="D2793" s="52">
        <v>0.49236111111111108</v>
      </c>
      <c r="E2793" s="53">
        <f>'Reclamo de equipaje rediseñado'!$D2793-'Reclamo de equipaje rediseñado'!$C2793</f>
        <v>1.1805555555555514E-2</v>
      </c>
      <c r="F2793" s="52">
        <v>0.50347222222222221</v>
      </c>
      <c r="G2793" s="53">
        <f t="shared" si="43"/>
        <v>1.1111111111111127E-2</v>
      </c>
      <c r="H2793" s="54">
        <v>41758</v>
      </c>
      <c r="I2793" s="55" t="s">
        <v>569</v>
      </c>
      <c r="J2793" s="55" t="s">
        <v>535</v>
      </c>
      <c r="K2793" s="55">
        <f>VLOOKUP(J2793,'Validacion reclamo de equipaje'!L:M,2,0)</f>
        <v>50</v>
      </c>
      <c r="L2793" s="55" t="str">
        <f>VLOOKUP(I2793,'Validacion reclamo de equipaje'!H:I,2,0)</f>
        <v>Internacional</v>
      </c>
      <c r="M2793" s="55" t="s">
        <v>523</v>
      </c>
    </row>
    <row r="2794" spans="1:13" x14ac:dyDescent="0.25">
      <c r="A2794">
        <v>4354</v>
      </c>
      <c r="B2794" s="47" t="str">
        <f>VLOOKUP(Tabla6[[#This Row],['# Vuelo]],'Validacion reclamo de equipaje'!P:Q,2,0)</f>
        <v>UNIDOS VOLAMOS</v>
      </c>
      <c r="C2794" s="48">
        <v>0.48194444444444445</v>
      </c>
      <c r="D2794" s="48">
        <v>0.49583333333333335</v>
      </c>
      <c r="E2794" s="49">
        <f>'Reclamo de equipaje rediseñado'!$D2794-'Reclamo de equipaje rediseñado'!$C2794</f>
        <v>1.3888888888888895E-2</v>
      </c>
      <c r="F2794" s="48">
        <v>0.5131944444444444</v>
      </c>
      <c r="G2794" s="49">
        <f t="shared" si="43"/>
        <v>1.7361111111111049E-2</v>
      </c>
      <c r="H2794" s="50">
        <v>41759</v>
      </c>
      <c r="I2794" s="51" t="s">
        <v>569</v>
      </c>
      <c r="J2794" s="51" t="s">
        <v>535</v>
      </c>
      <c r="K2794" s="51">
        <f>VLOOKUP(J2794,'Validacion reclamo de equipaje'!L:M,2,0)</f>
        <v>50</v>
      </c>
      <c r="L2794" s="51" t="str">
        <f>VLOOKUP(I2794,'Validacion reclamo de equipaje'!H:I,2,0)</f>
        <v>Internacional</v>
      </c>
      <c r="M2794" s="51" t="s">
        <v>523</v>
      </c>
    </row>
    <row r="2795" spans="1:13" x14ac:dyDescent="0.25">
      <c r="A2795">
        <v>4394</v>
      </c>
      <c r="B2795" s="47" t="str">
        <f>VLOOKUP(Tabla6[[#This Row],['# Vuelo]],'Validacion reclamo de equipaje'!P:Q,2,0)</f>
        <v>UNIDOS VOLAMOS</v>
      </c>
      <c r="C2795" s="52">
        <v>0.86319444444444438</v>
      </c>
      <c r="D2795" s="52">
        <v>0.87569444444444444</v>
      </c>
      <c r="E2795" s="53">
        <f>'Reclamo de equipaje rediseñado'!$D2795-'Reclamo de equipaje rediseñado'!$C2795</f>
        <v>1.2500000000000067E-2</v>
      </c>
      <c r="F2795" s="52">
        <v>0.88194444444444453</v>
      </c>
      <c r="G2795" s="53">
        <f t="shared" si="43"/>
        <v>6.2500000000000888E-3</v>
      </c>
      <c r="H2795" s="54">
        <v>41730</v>
      </c>
      <c r="I2795" s="55" t="s">
        <v>569</v>
      </c>
      <c r="J2795" s="55" t="s">
        <v>535</v>
      </c>
      <c r="K2795" s="55">
        <f>VLOOKUP(J2795,'Validacion reclamo de equipaje'!L:M,2,0)</f>
        <v>50</v>
      </c>
      <c r="L2795" s="55" t="str">
        <f>VLOOKUP(I2795,'Validacion reclamo de equipaje'!H:I,2,0)</f>
        <v>Internacional</v>
      </c>
      <c r="M2795" s="55" t="s">
        <v>523</v>
      </c>
    </row>
    <row r="2796" spans="1:13" x14ac:dyDescent="0.25">
      <c r="A2796">
        <v>4394</v>
      </c>
      <c r="B2796" s="47" t="str">
        <f>VLOOKUP(Tabla6[[#This Row],['# Vuelo]],'Validacion reclamo de equipaje'!P:Q,2,0)</f>
        <v>UNIDOS VOLAMOS</v>
      </c>
      <c r="C2796" s="48">
        <v>0.86458333333333337</v>
      </c>
      <c r="D2796" s="48">
        <v>0.87222222222222223</v>
      </c>
      <c r="E2796" s="49">
        <f>'Reclamo de equipaje rediseñado'!$D2796-'Reclamo de equipaje rediseñado'!$C2796</f>
        <v>7.6388888888888618E-3</v>
      </c>
      <c r="F2796" s="48">
        <v>0.88680555555555562</v>
      </c>
      <c r="G2796" s="49">
        <f t="shared" si="43"/>
        <v>1.4583333333333393E-2</v>
      </c>
      <c r="H2796" s="50">
        <v>41731</v>
      </c>
      <c r="I2796" s="51" t="s">
        <v>569</v>
      </c>
      <c r="J2796" s="51" t="s">
        <v>535</v>
      </c>
      <c r="K2796" s="51">
        <f>VLOOKUP(J2796,'Validacion reclamo de equipaje'!L:M,2,0)</f>
        <v>50</v>
      </c>
      <c r="L2796" s="51" t="str">
        <f>VLOOKUP(I2796,'Validacion reclamo de equipaje'!H:I,2,0)</f>
        <v>Internacional</v>
      </c>
      <c r="M2796" s="51" t="s">
        <v>523</v>
      </c>
    </row>
    <row r="2797" spans="1:13" x14ac:dyDescent="0.25">
      <c r="A2797">
        <v>4394</v>
      </c>
      <c r="B2797" s="47" t="str">
        <f>VLOOKUP(Tabla6[[#This Row],['# Vuelo]],'Validacion reclamo de equipaje'!P:Q,2,0)</f>
        <v>UNIDOS VOLAMOS</v>
      </c>
      <c r="C2797" s="52">
        <v>0.89583333333333337</v>
      </c>
      <c r="D2797" s="52">
        <v>0.90833333333333333</v>
      </c>
      <c r="E2797" s="53">
        <f>'Reclamo de equipaje rediseñado'!$D2797-'Reclamo de equipaje rediseñado'!$C2797</f>
        <v>1.2499999999999956E-2</v>
      </c>
      <c r="F2797" s="52">
        <v>0.91319444444444453</v>
      </c>
      <c r="G2797" s="53">
        <f t="shared" si="43"/>
        <v>4.8611111111112049E-3</v>
      </c>
      <c r="H2797" s="54">
        <v>41732</v>
      </c>
      <c r="I2797" s="55" t="s">
        <v>569</v>
      </c>
      <c r="J2797" s="55" t="s">
        <v>535</v>
      </c>
      <c r="K2797" s="55">
        <f>VLOOKUP(J2797,'Validacion reclamo de equipaje'!L:M,2,0)</f>
        <v>50</v>
      </c>
      <c r="L2797" s="55" t="str">
        <f>VLOOKUP(I2797,'Validacion reclamo de equipaje'!H:I,2,0)</f>
        <v>Internacional</v>
      </c>
      <c r="M2797" s="55" t="s">
        <v>523</v>
      </c>
    </row>
    <row r="2798" spans="1:13" x14ac:dyDescent="0.25">
      <c r="A2798">
        <v>4394</v>
      </c>
      <c r="B2798" s="47" t="str">
        <f>VLOOKUP(Tabla6[[#This Row],['# Vuelo]],'Validacion reclamo de equipaje'!P:Q,2,0)</f>
        <v>UNIDOS VOLAMOS</v>
      </c>
      <c r="C2798" s="48">
        <v>0.87222222222222223</v>
      </c>
      <c r="D2798" s="48">
        <v>0.88055555555555554</v>
      </c>
      <c r="E2798" s="49">
        <f>'Reclamo de equipaje rediseñado'!$D2798-'Reclamo de equipaje rediseñado'!$C2798</f>
        <v>8.3333333333333037E-3</v>
      </c>
      <c r="F2798" s="48">
        <v>0.88611111111111107</v>
      </c>
      <c r="G2798" s="49">
        <f t="shared" si="43"/>
        <v>5.5555555555555358E-3</v>
      </c>
      <c r="H2798" s="50">
        <v>41734</v>
      </c>
      <c r="I2798" s="51" t="s">
        <v>569</v>
      </c>
      <c r="J2798" s="51" t="s">
        <v>535</v>
      </c>
      <c r="K2798" s="51">
        <f>VLOOKUP(J2798,'Validacion reclamo de equipaje'!L:M,2,0)</f>
        <v>50</v>
      </c>
      <c r="L2798" s="51" t="str">
        <f>VLOOKUP(I2798,'Validacion reclamo de equipaje'!H:I,2,0)</f>
        <v>Internacional</v>
      </c>
      <c r="M2798" s="51" t="s">
        <v>523</v>
      </c>
    </row>
    <row r="2799" spans="1:13" x14ac:dyDescent="0.25">
      <c r="A2799">
        <v>4394</v>
      </c>
      <c r="B2799" s="47" t="str">
        <f>VLOOKUP(Tabla6[[#This Row],['# Vuelo]],'Validacion reclamo de equipaje'!P:Q,2,0)</f>
        <v>UNIDOS VOLAMOS</v>
      </c>
      <c r="C2799" s="52">
        <v>0.9291666666666667</v>
      </c>
      <c r="D2799" s="52">
        <v>0.93888888888888899</v>
      </c>
      <c r="E2799" s="53">
        <f>'Reclamo de equipaje rediseñado'!$D2799-'Reclamo de equipaje rediseñado'!$C2799</f>
        <v>9.7222222222222987E-3</v>
      </c>
      <c r="F2799" s="52">
        <v>0.95138888888888884</v>
      </c>
      <c r="G2799" s="53">
        <f t="shared" si="43"/>
        <v>1.2499999999999845E-2</v>
      </c>
      <c r="H2799" s="54">
        <v>41736</v>
      </c>
      <c r="I2799" s="55" t="s">
        <v>569</v>
      </c>
      <c r="J2799" s="55" t="s">
        <v>535</v>
      </c>
      <c r="K2799" s="55">
        <f>VLOOKUP(J2799,'Validacion reclamo de equipaje'!L:M,2,0)</f>
        <v>50</v>
      </c>
      <c r="L2799" s="55" t="str">
        <f>VLOOKUP(I2799,'Validacion reclamo de equipaje'!H:I,2,0)</f>
        <v>Internacional</v>
      </c>
      <c r="M2799" s="55" t="s">
        <v>523</v>
      </c>
    </row>
    <row r="2800" spans="1:13" x14ac:dyDescent="0.25">
      <c r="A2800">
        <v>4394</v>
      </c>
      <c r="B2800" s="47" t="str">
        <f>VLOOKUP(Tabla6[[#This Row],['# Vuelo]],'Validacion reclamo de equipaje'!P:Q,2,0)</f>
        <v>UNIDOS VOLAMOS</v>
      </c>
      <c r="C2800" s="48">
        <v>0.90833333333333333</v>
      </c>
      <c r="D2800" s="48">
        <v>0.91875000000000007</v>
      </c>
      <c r="E2800" s="49">
        <f>'Reclamo de equipaje rediseñado'!$D2800-'Reclamo de equipaje rediseñado'!$C2800</f>
        <v>1.0416666666666741E-2</v>
      </c>
      <c r="F2800" s="48">
        <v>0.92708333333333337</v>
      </c>
      <c r="G2800" s="49">
        <f t="shared" si="43"/>
        <v>8.3333333333333037E-3</v>
      </c>
      <c r="H2800" s="50">
        <v>41737</v>
      </c>
      <c r="I2800" s="51" t="s">
        <v>569</v>
      </c>
      <c r="J2800" s="51" t="s">
        <v>535</v>
      </c>
      <c r="K2800" s="51">
        <f>VLOOKUP(J2800,'Validacion reclamo de equipaje'!L:M,2,0)</f>
        <v>50</v>
      </c>
      <c r="L2800" s="51" t="str">
        <f>VLOOKUP(I2800,'Validacion reclamo de equipaje'!H:I,2,0)</f>
        <v>Internacional</v>
      </c>
      <c r="M2800" s="51" t="s">
        <v>523</v>
      </c>
    </row>
    <row r="2801" spans="1:13" x14ac:dyDescent="0.25">
      <c r="A2801">
        <v>4394</v>
      </c>
      <c r="B2801" s="47" t="str">
        <f>VLOOKUP(Tabla6[[#This Row],['# Vuelo]],'Validacion reclamo de equipaje'!P:Q,2,0)</f>
        <v>UNIDOS VOLAMOS</v>
      </c>
      <c r="C2801" s="52">
        <v>0.90833333333333333</v>
      </c>
      <c r="D2801" s="52">
        <v>0.91805555555555562</v>
      </c>
      <c r="E2801" s="53">
        <f>'Reclamo de equipaje rediseñado'!$D2801-'Reclamo de equipaje rediseñado'!$C2801</f>
        <v>9.7222222222222987E-3</v>
      </c>
      <c r="F2801" s="52">
        <v>0.93263888888888891</v>
      </c>
      <c r="G2801" s="53">
        <f t="shared" si="43"/>
        <v>1.4583333333333282E-2</v>
      </c>
      <c r="H2801" s="54">
        <v>41738</v>
      </c>
      <c r="I2801" s="55" t="s">
        <v>569</v>
      </c>
      <c r="J2801" s="55" t="s">
        <v>535</v>
      </c>
      <c r="K2801" s="55">
        <f>VLOOKUP(J2801,'Validacion reclamo de equipaje'!L:M,2,0)</f>
        <v>50</v>
      </c>
      <c r="L2801" s="55" t="str">
        <f>VLOOKUP(I2801,'Validacion reclamo de equipaje'!H:I,2,0)</f>
        <v>Internacional</v>
      </c>
      <c r="M2801" s="55" t="s">
        <v>523</v>
      </c>
    </row>
    <row r="2802" spans="1:13" x14ac:dyDescent="0.25">
      <c r="A2802">
        <v>4394</v>
      </c>
      <c r="B2802" s="47" t="str">
        <f>VLOOKUP(Tabla6[[#This Row],['# Vuelo]],'Validacion reclamo de equipaje'!P:Q,2,0)</f>
        <v>UNIDOS VOLAMOS</v>
      </c>
      <c r="C2802" s="48">
        <v>0.98263888888888884</v>
      </c>
      <c r="D2802" s="48">
        <v>0.9902777777777777</v>
      </c>
      <c r="E2802" s="49">
        <f>'Reclamo de equipaje rediseñado'!$D2802-'Reclamo de equipaje rediseñado'!$C2802</f>
        <v>7.6388888888888618E-3</v>
      </c>
      <c r="F2802" s="48">
        <v>0.99444444444444446</v>
      </c>
      <c r="G2802" s="49">
        <f t="shared" si="43"/>
        <v>4.1666666666667629E-3</v>
      </c>
      <c r="H2802" s="50">
        <v>41739</v>
      </c>
      <c r="I2802" s="51" t="s">
        <v>569</v>
      </c>
      <c r="J2802" s="51" t="s">
        <v>535</v>
      </c>
      <c r="K2802" s="51">
        <f>VLOOKUP(J2802,'Validacion reclamo de equipaje'!L:M,2,0)</f>
        <v>50</v>
      </c>
      <c r="L2802" s="51" t="str">
        <f>VLOOKUP(I2802,'Validacion reclamo de equipaje'!H:I,2,0)</f>
        <v>Internacional</v>
      </c>
      <c r="M2802" s="51" t="s">
        <v>523</v>
      </c>
    </row>
    <row r="2803" spans="1:13" x14ac:dyDescent="0.25">
      <c r="A2803">
        <v>4394</v>
      </c>
      <c r="B2803" s="47" t="str">
        <f>VLOOKUP(Tabla6[[#This Row],['# Vuelo]],'Validacion reclamo de equipaje'!P:Q,2,0)</f>
        <v>UNIDOS VOLAMOS</v>
      </c>
      <c r="C2803" s="52">
        <v>0.89722222222222225</v>
      </c>
      <c r="D2803" s="52">
        <v>0.90625</v>
      </c>
      <c r="E2803" s="53">
        <f>'Reclamo de equipaje rediseñado'!$D2803-'Reclamo de equipaje rediseñado'!$C2803</f>
        <v>9.0277777777777457E-3</v>
      </c>
      <c r="F2803" s="52">
        <v>0.91666666666666663</v>
      </c>
      <c r="G2803" s="53">
        <f t="shared" si="43"/>
        <v>1.041666666666663E-2</v>
      </c>
      <c r="H2803" s="54">
        <v>41740</v>
      </c>
      <c r="I2803" s="55" t="s">
        <v>569</v>
      </c>
      <c r="J2803" s="55" t="s">
        <v>535</v>
      </c>
      <c r="K2803" s="55">
        <f>VLOOKUP(J2803,'Validacion reclamo de equipaje'!L:M,2,0)</f>
        <v>50</v>
      </c>
      <c r="L2803" s="55" t="str">
        <f>VLOOKUP(I2803,'Validacion reclamo de equipaje'!H:I,2,0)</f>
        <v>Internacional</v>
      </c>
      <c r="M2803" s="55" t="s">
        <v>523</v>
      </c>
    </row>
    <row r="2804" spans="1:13" x14ac:dyDescent="0.25">
      <c r="A2804">
        <v>4394</v>
      </c>
      <c r="B2804" s="47" t="str">
        <f>VLOOKUP(Tabla6[[#This Row],['# Vuelo]],'Validacion reclamo de equipaje'!P:Q,2,0)</f>
        <v>UNIDOS VOLAMOS</v>
      </c>
      <c r="C2804" s="48">
        <v>0.86319444444444438</v>
      </c>
      <c r="D2804" s="48">
        <v>0.87569444444444444</v>
      </c>
      <c r="E2804" s="49">
        <f>'Reclamo de equipaje rediseñado'!$D2804-'Reclamo de equipaje rediseñado'!$C2804</f>
        <v>1.2500000000000067E-2</v>
      </c>
      <c r="F2804" s="48">
        <v>0.88194444444444453</v>
      </c>
      <c r="G2804" s="49">
        <f t="shared" si="43"/>
        <v>6.2500000000000888E-3</v>
      </c>
      <c r="H2804" s="50">
        <v>41742</v>
      </c>
      <c r="I2804" s="51" t="s">
        <v>569</v>
      </c>
      <c r="J2804" s="51" t="s">
        <v>535</v>
      </c>
      <c r="K2804" s="51">
        <f>VLOOKUP(J2804,'Validacion reclamo de equipaje'!L:M,2,0)</f>
        <v>50</v>
      </c>
      <c r="L2804" s="51" t="str">
        <f>VLOOKUP(I2804,'Validacion reclamo de equipaje'!H:I,2,0)</f>
        <v>Internacional</v>
      </c>
      <c r="M2804" s="51" t="s">
        <v>523</v>
      </c>
    </row>
    <row r="2805" spans="1:13" x14ac:dyDescent="0.25">
      <c r="A2805">
        <v>4394</v>
      </c>
      <c r="B2805" s="47" t="str">
        <f>VLOOKUP(Tabla6[[#This Row],['# Vuelo]],'Validacion reclamo de equipaje'!P:Q,2,0)</f>
        <v>UNIDOS VOLAMOS</v>
      </c>
      <c r="C2805" s="52">
        <v>0.92013888888888884</v>
      </c>
      <c r="D2805" s="52">
        <v>0.92569444444444438</v>
      </c>
      <c r="E2805" s="53">
        <f>'Reclamo de equipaje rediseñado'!$D2805-'Reclamo de equipaje rediseñado'!$C2805</f>
        <v>5.5555555555555358E-3</v>
      </c>
      <c r="F2805" s="52">
        <v>0.93611111111111101</v>
      </c>
      <c r="G2805" s="53">
        <f t="shared" si="43"/>
        <v>1.041666666666663E-2</v>
      </c>
      <c r="H2805" s="54">
        <v>41743</v>
      </c>
      <c r="I2805" s="55" t="s">
        <v>569</v>
      </c>
      <c r="J2805" s="55" t="s">
        <v>535</v>
      </c>
      <c r="K2805" s="55">
        <f>VLOOKUP(J2805,'Validacion reclamo de equipaje'!L:M,2,0)</f>
        <v>50</v>
      </c>
      <c r="L2805" s="55" t="str">
        <f>VLOOKUP(I2805,'Validacion reclamo de equipaje'!H:I,2,0)</f>
        <v>Internacional</v>
      </c>
      <c r="M2805" s="55" t="s">
        <v>523</v>
      </c>
    </row>
    <row r="2806" spans="1:13" x14ac:dyDescent="0.25">
      <c r="A2806">
        <v>4394</v>
      </c>
      <c r="B2806" s="47" t="str">
        <f>VLOOKUP(Tabla6[[#This Row],['# Vuelo]],'Validacion reclamo de equipaje'!P:Q,2,0)</f>
        <v>UNIDOS VOLAMOS</v>
      </c>
      <c r="C2806" s="48">
        <v>0.90416666666666667</v>
      </c>
      <c r="D2806" s="48">
        <v>0.91319444444444453</v>
      </c>
      <c r="E2806" s="49">
        <f>'Reclamo de equipaje rediseñado'!$D2806-'Reclamo de equipaje rediseñado'!$C2806</f>
        <v>9.0277777777778567E-3</v>
      </c>
      <c r="F2806" s="48">
        <v>0.92361111111111116</v>
      </c>
      <c r="G2806" s="49">
        <f t="shared" si="43"/>
        <v>1.041666666666663E-2</v>
      </c>
      <c r="H2806" s="50">
        <v>41745</v>
      </c>
      <c r="I2806" s="51" t="s">
        <v>569</v>
      </c>
      <c r="J2806" s="51" t="s">
        <v>535</v>
      </c>
      <c r="K2806" s="51">
        <f>VLOOKUP(J2806,'Validacion reclamo de equipaje'!L:M,2,0)</f>
        <v>50</v>
      </c>
      <c r="L2806" s="51" t="str">
        <f>VLOOKUP(I2806,'Validacion reclamo de equipaje'!H:I,2,0)</f>
        <v>Internacional</v>
      </c>
      <c r="M2806" s="51" t="s">
        <v>523</v>
      </c>
    </row>
    <row r="2807" spans="1:13" x14ac:dyDescent="0.25">
      <c r="A2807">
        <v>4394</v>
      </c>
      <c r="B2807" s="47" t="str">
        <f>VLOOKUP(Tabla6[[#This Row],['# Vuelo]],'Validacion reclamo de equipaje'!P:Q,2,0)</f>
        <v>UNIDOS VOLAMOS</v>
      </c>
      <c r="C2807" s="52">
        <v>0.90763888888888899</v>
      </c>
      <c r="D2807" s="52">
        <v>0.91666666666666663</v>
      </c>
      <c r="E2807" s="53">
        <f>'Reclamo de equipaje rediseñado'!$D2807-'Reclamo de equipaje rediseñado'!$C2807</f>
        <v>9.0277777777776347E-3</v>
      </c>
      <c r="F2807" s="52">
        <v>0.93194444444444446</v>
      </c>
      <c r="G2807" s="53">
        <f t="shared" si="43"/>
        <v>1.5277777777777835E-2</v>
      </c>
      <c r="H2807" s="54">
        <v>41744</v>
      </c>
      <c r="I2807" s="55" t="s">
        <v>569</v>
      </c>
      <c r="J2807" s="55" t="s">
        <v>535</v>
      </c>
      <c r="K2807" s="55">
        <f>VLOOKUP(J2807,'Validacion reclamo de equipaje'!L:M,2,0)</f>
        <v>50</v>
      </c>
      <c r="L2807" s="55" t="str">
        <f>VLOOKUP(I2807,'Validacion reclamo de equipaje'!H:I,2,0)</f>
        <v>Internacional</v>
      </c>
      <c r="M2807" s="55" t="s">
        <v>523</v>
      </c>
    </row>
    <row r="2808" spans="1:13" x14ac:dyDescent="0.25">
      <c r="A2808">
        <v>4394</v>
      </c>
      <c r="B2808" s="47" t="str">
        <f>VLOOKUP(Tabla6[[#This Row],['# Vuelo]],'Validacion reclamo de equipaje'!P:Q,2,0)</f>
        <v>UNIDOS VOLAMOS</v>
      </c>
      <c r="C2808" s="48">
        <v>0.89513888888888893</v>
      </c>
      <c r="D2808" s="48">
        <v>0.90277777777777779</v>
      </c>
      <c r="E2808" s="49">
        <f>'Reclamo de equipaje rediseñado'!$D2808-'Reclamo de equipaje rediseñado'!$C2808</f>
        <v>7.6388888888888618E-3</v>
      </c>
      <c r="F2808" s="48">
        <v>0.91180555555555554</v>
      </c>
      <c r="G2808" s="49">
        <f t="shared" si="43"/>
        <v>9.0277777777777457E-3</v>
      </c>
      <c r="H2808" s="50">
        <v>41746</v>
      </c>
      <c r="I2808" s="51" t="s">
        <v>569</v>
      </c>
      <c r="J2808" s="51" t="s">
        <v>535</v>
      </c>
      <c r="K2808" s="51">
        <f>VLOOKUP(J2808,'Validacion reclamo de equipaje'!L:M,2,0)</f>
        <v>50</v>
      </c>
      <c r="L2808" s="51" t="str">
        <f>VLOOKUP(I2808,'Validacion reclamo de equipaje'!H:I,2,0)</f>
        <v>Internacional</v>
      </c>
      <c r="M2808" s="51" t="s">
        <v>523</v>
      </c>
    </row>
    <row r="2809" spans="1:13" x14ac:dyDescent="0.25">
      <c r="A2809">
        <v>4394</v>
      </c>
      <c r="B2809" s="47" t="str">
        <f>VLOOKUP(Tabla6[[#This Row],['# Vuelo]],'Validacion reclamo de equipaje'!P:Q,2,0)</f>
        <v>UNIDOS VOLAMOS</v>
      </c>
      <c r="C2809" s="52">
        <v>0.90555555555555556</v>
      </c>
      <c r="D2809" s="52">
        <v>0.91527777777777775</v>
      </c>
      <c r="E2809" s="53">
        <f>'Reclamo de equipaje rediseñado'!$D2809-'Reclamo de equipaje rediseñado'!$C2809</f>
        <v>9.7222222222221877E-3</v>
      </c>
      <c r="F2809" s="52">
        <v>0.92361111111111116</v>
      </c>
      <c r="G2809" s="53">
        <f t="shared" si="43"/>
        <v>8.3333333333334147E-3</v>
      </c>
      <c r="H2809" s="54">
        <v>41747</v>
      </c>
      <c r="I2809" s="55" t="s">
        <v>569</v>
      </c>
      <c r="J2809" s="55" t="s">
        <v>535</v>
      </c>
      <c r="K2809" s="55">
        <f>VLOOKUP(J2809,'Validacion reclamo de equipaje'!L:M,2,0)</f>
        <v>50</v>
      </c>
      <c r="L2809" s="55" t="str">
        <f>VLOOKUP(I2809,'Validacion reclamo de equipaje'!H:I,2,0)</f>
        <v>Internacional</v>
      </c>
      <c r="M2809" s="55" t="s">
        <v>523</v>
      </c>
    </row>
    <row r="2810" spans="1:13" x14ac:dyDescent="0.25">
      <c r="A2810">
        <v>4394</v>
      </c>
      <c r="B2810" s="47" t="str">
        <f>VLOOKUP(Tabla6[[#This Row],['# Vuelo]],'Validacion reclamo de equipaje'!P:Q,2,0)</f>
        <v>UNIDOS VOLAMOS</v>
      </c>
      <c r="C2810" s="48">
        <v>0.91111111111111109</v>
      </c>
      <c r="D2810" s="48">
        <v>0.91875000000000007</v>
      </c>
      <c r="E2810" s="49">
        <f>'Reclamo de equipaje rediseñado'!$D2810-'Reclamo de equipaje rediseñado'!$C2810</f>
        <v>7.6388888888889728E-3</v>
      </c>
      <c r="F2810" s="48">
        <v>0.92708333333333337</v>
      </c>
      <c r="G2810" s="49">
        <f t="shared" si="43"/>
        <v>8.3333333333333037E-3</v>
      </c>
      <c r="H2810" s="50">
        <v>41749</v>
      </c>
      <c r="I2810" s="51" t="s">
        <v>569</v>
      </c>
      <c r="J2810" s="51" t="s">
        <v>535</v>
      </c>
      <c r="K2810" s="51">
        <f>VLOOKUP(J2810,'Validacion reclamo de equipaje'!L:M,2,0)</f>
        <v>50</v>
      </c>
      <c r="L2810" s="51" t="str">
        <f>VLOOKUP(I2810,'Validacion reclamo de equipaje'!H:I,2,0)</f>
        <v>Internacional</v>
      </c>
      <c r="M2810" s="51" t="s">
        <v>523</v>
      </c>
    </row>
    <row r="2811" spans="1:13" x14ac:dyDescent="0.25">
      <c r="A2811">
        <v>4394</v>
      </c>
      <c r="B2811" s="47" t="str">
        <f>VLOOKUP(Tabla6[[#This Row],['# Vuelo]],'Validacion reclamo de equipaje'!P:Q,2,0)</f>
        <v>UNIDOS VOLAMOS</v>
      </c>
      <c r="C2811" s="52">
        <v>0.9</v>
      </c>
      <c r="D2811" s="52">
        <v>0.91805555555555562</v>
      </c>
      <c r="E2811" s="53">
        <f>'Reclamo de equipaje rediseñado'!$D2811-'Reclamo de equipaje rediseñado'!$C2811</f>
        <v>1.8055555555555602E-2</v>
      </c>
      <c r="F2811" s="52">
        <v>0.92361111111111116</v>
      </c>
      <c r="G2811" s="53">
        <f t="shared" si="43"/>
        <v>5.5555555555555358E-3</v>
      </c>
      <c r="H2811" s="54">
        <v>41748</v>
      </c>
      <c r="I2811" s="55" t="s">
        <v>569</v>
      </c>
      <c r="J2811" s="55" t="s">
        <v>535</v>
      </c>
      <c r="K2811" s="55">
        <f>VLOOKUP(J2811,'Validacion reclamo de equipaje'!L:M,2,0)</f>
        <v>50</v>
      </c>
      <c r="L2811" s="55" t="str">
        <f>VLOOKUP(I2811,'Validacion reclamo de equipaje'!H:I,2,0)</f>
        <v>Internacional</v>
      </c>
      <c r="M2811" s="55" t="s">
        <v>523</v>
      </c>
    </row>
    <row r="2812" spans="1:13" x14ac:dyDescent="0.25">
      <c r="A2812">
        <v>4394</v>
      </c>
      <c r="B2812" s="47" t="str">
        <f>VLOOKUP(Tabla6[[#This Row],['# Vuelo]],'Validacion reclamo de equipaje'!P:Q,2,0)</f>
        <v>UNIDOS VOLAMOS</v>
      </c>
      <c r="C2812" s="48">
        <v>0.96944444444444444</v>
      </c>
      <c r="D2812" s="48">
        <v>0.97361111111111109</v>
      </c>
      <c r="E2812" s="49">
        <f>'Reclamo de equipaje rediseñado'!$D2812-'Reclamo de equipaje rediseñado'!$C2812</f>
        <v>4.1666666666666519E-3</v>
      </c>
      <c r="F2812" s="48">
        <v>0.98611111111111116</v>
      </c>
      <c r="G2812" s="49">
        <f t="shared" si="43"/>
        <v>1.2500000000000067E-2</v>
      </c>
      <c r="H2812" s="50">
        <v>41751</v>
      </c>
      <c r="I2812" s="51" t="s">
        <v>569</v>
      </c>
      <c r="J2812" s="51" t="s">
        <v>535</v>
      </c>
      <c r="K2812" s="51">
        <f>VLOOKUP(J2812,'Validacion reclamo de equipaje'!L:M,2,0)</f>
        <v>50</v>
      </c>
      <c r="L2812" s="51" t="str">
        <f>VLOOKUP(I2812,'Validacion reclamo de equipaje'!H:I,2,0)</f>
        <v>Internacional</v>
      </c>
      <c r="M2812" s="51" t="s">
        <v>523</v>
      </c>
    </row>
    <row r="2813" spans="1:13" x14ac:dyDescent="0.25">
      <c r="A2813">
        <v>4394</v>
      </c>
      <c r="B2813" s="47" t="str">
        <f>VLOOKUP(Tabla6[[#This Row],['# Vuelo]],'Validacion reclamo de equipaje'!P:Q,2,0)</f>
        <v>UNIDOS VOLAMOS</v>
      </c>
      <c r="C2813" s="52">
        <v>0.9</v>
      </c>
      <c r="D2813" s="52">
        <v>0.91111111111111109</v>
      </c>
      <c r="E2813" s="53">
        <f>'Reclamo de equipaje rediseñado'!$D2813-'Reclamo de equipaje rediseñado'!$C2813</f>
        <v>1.1111111111111072E-2</v>
      </c>
      <c r="F2813" s="52">
        <v>0.92361111111111116</v>
      </c>
      <c r="G2813" s="53">
        <f t="shared" si="43"/>
        <v>1.2500000000000067E-2</v>
      </c>
      <c r="H2813" s="54">
        <v>41752</v>
      </c>
      <c r="I2813" s="55" t="s">
        <v>569</v>
      </c>
      <c r="J2813" s="55" t="s">
        <v>535</v>
      </c>
      <c r="K2813" s="55">
        <f>VLOOKUP(J2813,'Validacion reclamo de equipaje'!L:M,2,0)</f>
        <v>50</v>
      </c>
      <c r="L2813" s="55" t="str">
        <f>VLOOKUP(I2813,'Validacion reclamo de equipaje'!H:I,2,0)</f>
        <v>Internacional</v>
      </c>
      <c r="M2813" s="55" t="s">
        <v>523</v>
      </c>
    </row>
    <row r="2814" spans="1:13" x14ac:dyDescent="0.25">
      <c r="A2814">
        <v>4394</v>
      </c>
      <c r="B2814" s="47" t="str">
        <f>VLOOKUP(Tabla6[[#This Row],['# Vuelo]],'Validacion reclamo de equipaje'!P:Q,2,0)</f>
        <v>UNIDOS VOLAMOS</v>
      </c>
      <c r="C2814" s="48">
        <v>0.91388888888888886</v>
      </c>
      <c r="D2814" s="48">
        <v>0.92361111111111116</v>
      </c>
      <c r="E2814" s="49">
        <f>'Reclamo de equipaje rediseñado'!$D2814-'Reclamo de equipaje rediseñado'!$C2814</f>
        <v>9.7222222222222987E-3</v>
      </c>
      <c r="F2814" s="48">
        <v>0.9277777777777777</v>
      </c>
      <c r="G2814" s="49">
        <f t="shared" si="43"/>
        <v>4.1666666666665408E-3</v>
      </c>
      <c r="H2814" s="50">
        <v>41752</v>
      </c>
      <c r="I2814" s="51" t="s">
        <v>569</v>
      </c>
      <c r="J2814" s="51" t="s">
        <v>535</v>
      </c>
      <c r="K2814" s="51">
        <f>VLOOKUP(J2814,'Validacion reclamo de equipaje'!L:M,2,0)</f>
        <v>50</v>
      </c>
      <c r="L2814" s="51" t="str">
        <f>VLOOKUP(I2814,'Validacion reclamo de equipaje'!H:I,2,0)</f>
        <v>Internacional</v>
      </c>
      <c r="M2814" s="51" t="s">
        <v>523</v>
      </c>
    </row>
    <row r="2815" spans="1:13" x14ac:dyDescent="0.25">
      <c r="A2815">
        <v>4394</v>
      </c>
      <c r="B2815" s="47" t="str">
        <f>VLOOKUP(Tabla6[[#This Row],['# Vuelo]],'Validacion reclamo de equipaje'!P:Q,2,0)</f>
        <v>UNIDOS VOLAMOS</v>
      </c>
      <c r="C2815" s="52">
        <v>0.90416666666666667</v>
      </c>
      <c r="D2815" s="52">
        <v>0.91180555555555554</v>
      </c>
      <c r="E2815" s="53">
        <f>'Reclamo de equipaje rediseñado'!$D2815-'Reclamo de equipaje rediseñado'!$C2815</f>
        <v>7.6388888888888618E-3</v>
      </c>
      <c r="F2815" s="52">
        <v>0.91666666666666663</v>
      </c>
      <c r="G2815" s="53">
        <f t="shared" si="43"/>
        <v>4.8611111111110938E-3</v>
      </c>
      <c r="H2815" s="54">
        <v>41754</v>
      </c>
      <c r="I2815" s="55" t="s">
        <v>569</v>
      </c>
      <c r="J2815" s="55" t="s">
        <v>535</v>
      </c>
      <c r="K2815" s="55">
        <f>VLOOKUP(J2815,'Validacion reclamo de equipaje'!L:M,2,0)</f>
        <v>50</v>
      </c>
      <c r="L2815" s="55" t="str">
        <f>VLOOKUP(I2815,'Validacion reclamo de equipaje'!H:I,2,0)</f>
        <v>Internacional</v>
      </c>
      <c r="M2815" s="55" t="s">
        <v>523</v>
      </c>
    </row>
    <row r="2816" spans="1:13" x14ac:dyDescent="0.25">
      <c r="A2816">
        <v>4394</v>
      </c>
      <c r="B2816" s="47" t="str">
        <f>VLOOKUP(Tabla6[[#This Row],['# Vuelo]],'Validacion reclamo de equipaje'!P:Q,2,0)</f>
        <v>UNIDOS VOLAMOS</v>
      </c>
      <c r="C2816" s="48">
        <v>0.90763888888888899</v>
      </c>
      <c r="D2816" s="48">
        <v>0.91736111111111107</v>
      </c>
      <c r="E2816" s="49">
        <f>'Reclamo de equipaje rediseñado'!$D2816-'Reclamo de equipaje rediseñado'!$C2816</f>
        <v>9.7222222222220767E-3</v>
      </c>
      <c r="F2816" s="48">
        <v>0.9243055555555556</v>
      </c>
      <c r="G2816" s="49">
        <f t="shared" si="43"/>
        <v>6.9444444444445308E-3</v>
      </c>
      <c r="H2816" s="50">
        <v>41755</v>
      </c>
      <c r="I2816" s="51" t="s">
        <v>569</v>
      </c>
      <c r="J2816" s="51" t="s">
        <v>535</v>
      </c>
      <c r="K2816" s="51">
        <f>VLOOKUP(J2816,'Validacion reclamo de equipaje'!L:M,2,0)</f>
        <v>50</v>
      </c>
      <c r="L2816" s="51" t="str">
        <f>VLOOKUP(I2816,'Validacion reclamo de equipaje'!H:I,2,0)</f>
        <v>Internacional</v>
      </c>
      <c r="M2816" s="51" t="s">
        <v>523</v>
      </c>
    </row>
    <row r="2817" spans="1:13" x14ac:dyDescent="0.25">
      <c r="A2817">
        <v>4394</v>
      </c>
      <c r="B2817" s="47" t="str">
        <f>VLOOKUP(Tabla6[[#This Row],['# Vuelo]],'Validacion reclamo de equipaje'!P:Q,2,0)</f>
        <v>UNIDOS VOLAMOS</v>
      </c>
      <c r="C2817" s="52">
        <v>0.90069444444444446</v>
      </c>
      <c r="D2817" s="52">
        <v>0.91180555555555554</v>
      </c>
      <c r="E2817" s="53">
        <f>'Reclamo de equipaje rediseñado'!$D2817-'Reclamo de equipaje rediseñado'!$C2817</f>
        <v>1.1111111111111072E-2</v>
      </c>
      <c r="F2817" s="52">
        <v>0.92083333333333339</v>
      </c>
      <c r="G2817" s="53">
        <f t="shared" si="43"/>
        <v>9.0277777777778567E-3</v>
      </c>
      <c r="H2817" s="54">
        <v>41756</v>
      </c>
      <c r="I2817" s="55" t="s">
        <v>569</v>
      </c>
      <c r="J2817" s="55" t="s">
        <v>535</v>
      </c>
      <c r="K2817" s="55">
        <f>VLOOKUP(J2817,'Validacion reclamo de equipaje'!L:M,2,0)</f>
        <v>50</v>
      </c>
      <c r="L2817" s="55" t="str">
        <f>VLOOKUP(I2817,'Validacion reclamo de equipaje'!H:I,2,0)</f>
        <v>Internacional</v>
      </c>
      <c r="M2817" s="55" t="s">
        <v>523</v>
      </c>
    </row>
    <row r="2818" spans="1:13" x14ac:dyDescent="0.25">
      <c r="A2818">
        <v>4394</v>
      </c>
      <c r="B2818" s="47" t="str">
        <f>VLOOKUP(Tabla6[[#This Row],['# Vuelo]],'Validacion reclamo de equipaje'!P:Q,2,0)</f>
        <v>UNIDOS VOLAMOS</v>
      </c>
      <c r="C2818" s="48">
        <v>0.92013888888888884</v>
      </c>
      <c r="D2818" s="48">
        <v>0.92361111111111116</v>
      </c>
      <c r="E2818" s="49">
        <f>'Reclamo de equipaje rediseñado'!$D2818-'Reclamo de equipaje rediseñado'!$C2818</f>
        <v>3.4722222222223209E-3</v>
      </c>
      <c r="F2818" s="48">
        <v>0.93541666666666667</v>
      </c>
      <c r="G2818" s="49">
        <f t="shared" si="43"/>
        <v>1.1805555555555514E-2</v>
      </c>
      <c r="H2818" s="50">
        <v>41757</v>
      </c>
      <c r="I2818" s="51" t="s">
        <v>569</v>
      </c>
      <c r="J2818" s="51" t="s">
        <v>535</v>
      </c>
      <c r="K2818" s="51">
        <f>VLOOKUP(J2818,'Validacion reclamo de equipaje'!L:M,2,0)</f>
        <v>50</v>
      </c>
      <c r="L2818" s="51" t="str">
        <f>VLOOKUP(I2818,'Validacion reclamo de equipaje'!H:I,2,0)</f>
        <v>Internacional</v>
      </c>
      <c r="M2818" s="51" t="s">
        <v>523</v>
      </c>
    </row>
    <row r="2819" spans="1:13" x14ac:dyDescent="0.25">
      <c r="A2819">
        <v>4394</v>
      </c>
      <c r="B2819" s="47" t="str">
        <f>VLOOKUP(Tabla6[[#This Row],['# Vuelo]],'Validacion reclamo de equipaje'!P:Q,2,0)</f>
        <v>UNIDOS VOLAMOS</v>
      </c>
      <c r="C2819" s="52">
        <v>0.9375</v>
      </c>
      <c r="D2819" s="52">
        <v>0.94305555555555554</v>
      </c>
      <c r="E2819" s="53">
        <f>'Reclamo de equipaje rediseñado'!$D2819-'Reclamo de equipaje rediseñado'!$C2819</f>
        <v>5.5555555555555358E-3</v>
      </c>
      <c r="F2819" s="52">
        <v>0.95486111111111116</v>
      </c>
      <c r="G2819" s="53">
        <f t="shared" ref="G2819:G2882" si="44">F2819-D2819</f>
        <v>1.1805555555555625E-2</v>
      </c>
      <c r="H2819" s="54">
        <v>41758</v>
      </c>
      <c r="I2819" s="55" t="s">
        <v>569</v>
      </c>
      <c r="J2819" s="55" t="s">
        <v>535</v>
      </c>
      <c r="K2819" s="55">
        <f>VLOOKUP(J2819,'Validacion reclamo de equipaje'!L:M,2,0)</f>
        <v>50</v>
      </c>
      <c r="L2819" s="55" t="str">
        <f>VLOOKUP(I2819,'Validacion reclamo de equipaje'!H:I,2,0)</f>
        <v>Internacional</v>
      </c>
      <c r="M2819" s="55" t="s">
        <v>523</v>
      </c>
    </row>
    <row r="2820" spans="1:13" x14ac:dyDescent="0.25">
      <c r="A2820">
        <v>4394</v>
      </c>
      <c r="B2820" s="47" t="str">
        <f>VLOOKUP(Tabla6[[#This Row],['# Vuelo]],'Validacion reclamo de equipaje'!P:Q,2,0)</f>
        <v>UNIDOS VOLAMOS</v>
      </c>
      <c r="C2820" s="48">
        <v>0.9194444444444444</v>
      </c>
      <c r="D2820" s="48">
        <v>0.9291666666666667</v>
      </c>
      <c r="E2820" s="49">
        <f>'Reclamo de equipaje rediseñado'!$D2820-'Reclamo de equipaje rediseñado'!$C2820</f>
        <v>9.7222222222222987E-3</v>
      </c>
      <c r="F2820" s="48">
        <v>0.94027777777777777</v>
      </c>
      <c r="G2820" s="49">
        <f t="shared" si="44"/>
        <v>1.1111111111111072E-2</v>
      </c>
      <c r="H2820" s="50">
        <v>41759</v>
      </c>
      <c r="I2820" s="51" t="s">
        <v>569</v>
      </c>
      <c r="J2820" s="51" t="s">
        <v>535</v>
      </c>
      <c r="K2820" s="51">
        <f>VLOOKUP(J2820,'Validacion reclamo de equipaje'!L:M,2,0)</f>
        <v>50</v>
      </c>
      <c r="L2820" s="51" t="str">
        <f>VLOOKUP(I2820,'Validacion reclamo de equipaje'!H:I,2,0)</f>
        <v>Internacional</v>
      </c>
      <c r="M2820" s="51" t="s">
        <v>523</v>
      </c>
    </row>
    <row r="2821" spans="1:13" x14ac:dyDescent="0.25">
      <c r="A2821">
        <v>4489</v>
      </c>
      <c r="B2821" s="47" t="str">
        <f>VLOOKUP(Tabla6[[#This Row],['# Vuelo]],'Validacion reclamo de equipaje'!P:Q,2,0)</f>
        <v>UNIDOS VOLAMOS AIRLINES</v>
      </c>
      <c r="C2821" s="52">
        <v>0.87777777777777777</v>
      </c>
      <c r="D2821" s="52">
        <v>0.8881944444444444</v>
      </c>
      <c r="E2821" s="53">
        <f>'Reclamo de equipaje rediseñado'!$D2821-'Reclamo de equipaje rediseñado'!$C2821</f>
        <v>1.041666666666663E-2</v>
      </c>
      <c r="F2821" s="52">
        <v>0.89444444444444438</v>
      </c>
      <c r="G2821" s="53">
        <f t="shared" si="44"/>
        <v>6.2499999999999778E-3</v>
      </c>
      <c r="H2821" s="54">
        <v>41735</v>
      </c>
      <c r="I2821" s="55" t="s">
        <v>569</v>
      </c>
      <c r="J2821" s="55" t="s">
        <v>535</v>
      </c>
      <c r="K2821" s="55">
        <f>VLOOKUP(J2821,'Validacion reclamo de equipaje'!L:M,2,0)</f>
        <v>50</v>
      </c>
      <c r="L2821" s="55" t="str">
        <f>VLOOKUP(I2821,'Validacion reclamo de equipaje'!H:I,2,0)</f>
        <v>Internacional</v>
      </c>
      <c r="M2821" s="55" t="s">
        <v>523</v>
      </c>
    </row>
    <row r="2822" spans="1:13" x14ac:dyDescent="0.25">
      <c r="A2822">
        <v>4489</v>
      </c>
      <c r="B2822" s="47" t="str">
        <f>VLOOKUP(Tabla6[[#This Row],['# Vuelo]],'Validacion reclamo de equipaje'!P:Q,2,0)</f>
        <v>UNIDOS VOLAMOS AIRLINES</v>
      </c>
      <c r="C2822" s="48">
        <v>0.85902777777777783</v>
      </c>
      <c r="D2822" s="48">
        <v>0.87083333333333324</v>
      </c>
      <c r="E2822" s="49">
        <f>'Reclamo de equipaje rediseñado'!$D2822-'Reclamo de equipaje rediseñado'!$C2822</f>
        <v>1.1805555555555403E-2</v>
      </c>
      <c r="F2822" s="48">
        <v>0.87847222222222221</v>
      </c>
      <c r="G2822" s="49">
        <f t="shared" si="44"/>
        <v>7.6388888888889728E-3</v>
      </c>
      <c r="H2822" s="50">
        <v>41736</v>
      </c>
      <c r="I2822" s="51" t="s">
        <v>569</v>
      </c>
      <c r="J2822" s="51" t="s">
        <v>535</v>
      </c>
      <c r="K2822" s="51">
        <f>VLOOKUP(J2822,'Validacion reclamo de equipaje'!L:M,2,0)</f>
        <v>50</v>
      </c>
      <c r="L2822" s="51" t="str">
        <f>VLOOKUP(I2822,'Validacion reclamo de equipaje'!H:I,2,0)</f>
        <v>Internacional</v>
      </c>
      <c r="M2822" s="51" t="s">
        <v>523</v>
      </c>
    </row>
    <row r="2823" spans="1:13" x14ac:dyDescent="0.25">
      <c r="A2823">
        <v>4489</v>
      </c>
      <c r="B2823" s="47" t="str">
        <f>VLOOKUP(Tabla6[[#This Row],['# Vuelo]],'Validacion reclamo de equipaje'!P:Q,2,0)</f>
        <v>UNIDOS VOLAMOS AIRLINES</v>
      </c>
      <c r="C2823" s="52">
        <v>0.86597222222222225</v>
      </c>
      <c r="D2823" s="52">
        <v>0.87222222222222223</v>
      </c>
      <c r="E2823" s="53">
        <f>'Reclamo de equipaje rediseñado'!$D2823-'Reclamo de equipaje rediseñado'!$C2823</f>
        <v>6.2499999999999778E-3</v>
      </c>
      <c r="F2823" s="52">
        <v>0.89097222222222217</v>
      </c>
      <c r="G2823" s="53">
        <f t="shared" si="44"/>
        <v>1.8749999999999933E-2</v>
      </c>
      <c r="H2823" s="54">
        <v>41737</v>
      </c>
      <c r="I2823" s="55" t="s">
        <v>569</v>
      </c>
      <c r="J2823" s="55" t="s">
        <v>535</v>
      </c>
      <c r="K2823" s="55">
        <f>VLOOKUP(J2823,'Validacion reclamo de equipaje'!L:M,2,0)</f>
        <v>50</v>
      </c>
      <c r="L2823" s="55" t="str">
        <f>VLOOKUP(I2823,'Validacion reclamo de equipaje'!H:I,2,0)</f>
        <v>Internacional</v>
      </c>
      <c r="M2823" s="55" t="s">
        <v>523</v>
      </c>
    </row>
    <row r="2824" spans="1:13" x14ac:dyDescent="0.25">
      <c r="A2824">
        <v>4489</v>
      </c>
      <c r="B2824" s="47" t="str">
        <f>VLOOKUP(Tabla6[[#This Row],['# Vuelo]],'Validacion reclamo de equipaje'!P:Q,2,0)</f>
        <v>UNIDOS VOLAMOS AIRLINES</v>
      </c>
      <c r="C2824" s="48">
        <v>0.87777777777777777</v>
      </c>
      <c r="D2824" s="48">
        <v>0.8881944444444444</v>
      </c>
      <c r="E2824" s="49">
        <f>'Reclamo de equipaje rediseñado'!$D2824-'Reclamo de equipaje rediseñado'!$C2824</f>
        <v>1.041666666666663E-2</v>
      </c>
      <c r="F2824" s="48">
        <v>0.8930555555555556</v>
      </c>
      <c r="G2824" s="49">
        <f t="shared" si="44"/>
        <v>4.8611111111112049E-3</v>
      </c>
      <c r="H2824" s="50">
        <v>41738</v>
      </c>
      <c r="I2824" s="51" t="s">
        <v>569</v>
      </c>
      <c r="J2824" s="51" t="s">
        <v>535</v>
      </c>
      <c r="K2824" s="51">
        <f>VLOOKUP(J2824,'Validacion reclamo de equipaje'!L:M,2,0)</f>
        <v>50</v>
      </c>
      <c r="L2824" s="51" t="str">
        <f>VLOOKUP(I2824,'Validacion reclamo de equipaje'!H:I,2,0)</f>
        <v>Internacional</v>
      </c>
      <c r="M2824" s="51" t="s">
        <v>523</v>
      </c>
    </row>
    <row r="2825" spans="1:13" x14ac:dyDescent="0.25">
      <c r="A2825">
        <v>4489</v>
      </c>
      <c r="B2825" s="47" t="str">
        <f>VLOOKUP(Tabla6[[#This Row],['# Vuelo]],'Validacion reclamo de equipaje'!P:Q,2,0)</f>
        <v>UNIDOS VOLAMOS AIRLINES</v>
      </c>
      <c r="C2825" s="52">
        <v>0.8666666666666667</v>
      </c>
      <c r="D2825" s="52">
        <v>0.875</v>
      </c>
      <c r="E2825" s="53">
        <f>'Reclamo de equipaje rediseñado'!$D2825-'Reclamo de equipaje rediseñado'!$C2825</f>
        <v>8.3333333333333037E-3</v>
      </c>
      <c r="F2825" s="52">
        <v>0.88402777777777775</v>
      </c>
      <c r="G2825" s="53">
        <f t="shared" si="44"/>
        <v>9.0277777777777457E-3</v>
      </c>
      <c r="H2825" s="54">
        <v>41739</v>
      </c>
      <c r="I2825" s="55" t="s">
        <v>569</v>
      </c>
      <c r="J2825" s="55" t="s">
        <v>535</v>
      </c>
      <c r="K2825" s="55">
        <f>VLOOKUP(J2825,'Validacion reclamo de equipaje'!L:M,2,0)</f>
        <v>50</v>
      </c>
      <c r="L2825" s="55" t="str">
        <f>VLOOKUP(I2825,'Validacion reclamo de equipaje'!H:I,2,0)</f>
        <v>Internacional</v>
      </c>
      <c r="M2825" s="55" t="s">
        <v>523</v>
      </c>
    </row>
    <row r="2826" spans="1:13" x14ac:dyDescent="0.25">
      <c r="A2826">
        <v>4489</v>
      </c>
      <c r="B2826" s="47" t="str">
        <f>VLOOKUP(Tabla6[[#This Row],['# Vuelo]],'Validacion reclamo de equipaje'!P:Q,2,0)</f>
        <v>UNIDOS VOLAMOS AIRLINES</v>
      </c>
      <c r="C2826" s="48">
        <v>0.8569444444444444</v>
      </c>
      <c r="D2826" s="48">
        <v>0.86805555555555547</v>
      </c>
      <c r="E2826" s="49">
        <f>'Reclamo de equipaje rediseñado'!$D2826-'Reclamo de equipaje rediseñado'!$C2826</f>
        <v>1.1111111111111072E-2</v>
      </c>
      <c r="F2826" s="48">
        <v>0.87847222222222221</v>
      </c>
      <c r="G2826" s="49">
        <f t="shared" si="44"/>
        <v>1.0416666666666741E-2</v>
      </c>
      <c r="H2826" s="50">
        <v>41740</v>
      </c>
      <c r="I2826" s="51" t="s">
        <v>569</v>
      </c>
      <c r="J2826" s="51" t="s">
        <v>535</v>
      </c>
      <c r="K2826" s="51">
        <f>VLOOKUP(J2826,'Validacion reclamo de equipaje'!L:M,2,0)</f>
        <v>50</v>
      </c>
      <c r="L2826" s="51" t="str">
        <f>VLOOKUP(I2826,'Validacion reclamo de equipaje'!H:I,2,0)</f>
        <v>Internacional</v>
      </c>
      <c r="M2826" s="51" t="s">
        <v>523</v>
      </c>
    </row>
    <row r="2827" spans="1:13" x14ac:dyDescent="0.25">
      <c r="A2827">
        <v>4489</v>
      </c>
      <c r="B2827" s="47" t="str">
        <f>VLOOKUP(Tabla6[[#This Row],['# Vuelo]],'Validacion reclamo de equipaje'!P:Q,2,0)</f>
        <v>UNIDOS VOLAMOS AIRLINES</v>
      </c>
      <c r="C2827" s="52">
        <v>0.87638888888888899</v>
      </c>
      <c r="D2827" s="52">
        <v>0.8847222222222223</v>
      </c>
      <c r="E2827" s="53">
        <f>'Reclamo de equipaje rediseñado'!$D2827-'Reclamo de equipaje rediseñado'!$C2827</f>
        <v>8.3333333333333037E-3</v>
      </c>
      <c r="F2827" s="52">
        <v>0.89097222222222217</v>
      </c>
      <c r="G2827" s="53">
        <f t="shared" si="44"/>
        <v>6.2499999999998668E-3</v>
      </c>
      <c r="H2827" s="54">
        <v>41743</v>
      </c>
      <c r="I2827" s="55" t="s">
        <v>569</v>
      </c>
      <c r="J2827" s="55" t="s">
        <v>535</v>
      </c>
      <c r="K2827" s="55">
        <f>VLOOKUP(J2827,'Validacion reclamo de equipaje'!L:M,2,0)</f>
        <v>50</v>
      </c>
      <c r="L2827" s="55" t="str">
        <f>VLOOKUP(I2827,'Validacion reclamo de equipaje'!H:I,2,0)</f>
        <v>Internacional</v>
      </c>
      <c r="M2827" s="55" t="s">
        <v>523</v>
      </c>
    </row>
    <row r="2828" spans="1:13" x14ac:dyDescent="0.25">
      <c r="A2828">
        <v>4489</v>
      </c>
      <c r="B2828" s="47" t="str">
        <f>VLOOKUP(Tabla6[[#This Row],['# Vuelo]],'Validacion reclamo de equipaje'!P:Q,2,0)</f>
        <v>UNIDOS VOLAMOS AIRLINES</v>
      </c>
      <c r="C2828" s="48">
        <v>0.85069444444444453</v>
      </c>
      <c r="D2828" s="48">
        <v>0.86111111111111116</v>
      </c>
      <c r="E2828" s="49">
        <f>'Reclamo de equipaje rediseñado'!$D2828-'Reclamo de equipaje rediseñado'!$C2828</f>
        <v>1.041666666666663E-2</v>
      </c>
      <c r="F2828" s="48">
        <v>0.87361111111111101</v>
      </c>
      <c r="G2828" s="49">
        <f t="shared" si="44"/>
        <v>1.2499999999999845E-2</v>
      </c>
      <c r="H2828" s="50">
        <v>41745</v>
      </c>
      <c r="I2828" s="51" t="s">
        <v>569</v>
      </c>
      <c r="J2828" s="51" t="s">
        <v>535</v>
      </c>
      <c r="K2828" s="51">
        <f>VLOOKUP(J2828,'Validacion reclamo de equipaje'!L:M,2,0)</f>
        <v>50</v>
      </c>
      <c r="L2828" s="51" t="str">
        <f>VLOOKUP(I2828,'Validacion reclamo de equipaje'!H:I,2,0)</f>
        <v>Internacional</v>
      </c>
      <c r="M2828" s="51" t="s">
        <v>523</v>
      </c>
    </row>
    <row r="2829" spans="1:13" x14ac:dyDescent="0.25">
      <c r="A2829">
        <v>4489</v>
      </c>
      <c r="B2829" s="47" t="str">
        <f>VLOOKUP(Tabla6[[#This Row],['# Vuelo]],'Validacion reclamo de equipaje'!P:Q,2,0)</f>
        <v>UNIDOS VOLAMOS AIRLINES</v>
      </c>
      <c r="C2829" s="52">
        <v>0.84583333333333333</v>
      </c>
      <c r="D2829" s="52">
        <v>0.8534722222222223</v>
      </c>
      <c r="E2829" s="53">
        <f>'Reclamo de equipaje rediseñado'!$D2829-'Reclamo de equipaje rediseñado'!$C2829</f>
        <v>7.6388888888889728E-3</v>
      </c>
      <c r="F2829" s="52">
        <v>0.86736111111111114</v>
      </c>
      <c r="G2829" s="53">
        <f t="shared" si="44"/>
        <v>1.388888888888884E-2</v>
      </c>
      <c r="H2829" s="54">
        <v>41744</v>
      </c>
      <c r="I2829" s="55" t="s">
        <v>569</v>
      </c>
      <c r="J2829" s="55" t="s">
        <v>535</v>
      </c>
      <c r="K2829" s="55">
        <f>VLOOKUP(J2829,'Validacion reclamo de equipaje'!L:M,2,0)</f>
        <v>50</v>
      </c>
      <c r="L2829" s="55" t="str">
        <f>VLOOKUP(I2829,'Validacion reclamo de equipaje'!H:I,2,0)</f>
        <v>Internacional</v>
      </c>
      <c r="M2829" s="55" t="s">
        <v>523</v>
      </c>
    </row>
    <row r="2830" spans="1:13" x14ac:dyDescent="0.25">
      <c r="A2830">
        <v>4489</v>
      </c>
      <c r="B2830" s="47" t="str">
        <f>VLOOKUP(Tabla6[[#This Row],['# Vuelo]],'Validacion reclamo de equipaje'!P:Q,2,0)</f>
        <v>UNIDOS VOLAMOS AIRLINES</v>
      </c>
      <c r="C2830" s="48">
        <v>0.84791666666666676</v>
      </c>
      <c r="D2830" s="48">
        <v>0.85972222222222217</v>
      </c>
      <c r="E2830" s="49">
        <f>'Reclamo de equipaje rediseñado'!$D2830-'Reclamo de equipaje rediseñado'!$C2830</f>
        <v>1.1805555555555403E-2</v>
      </c>
      <c r="F2830" s="48">
        <v>0.86805555555555547</v>
      </c>
      <c r="G2830" s="49">
        <f t="shared" si="44"/>
        <v>8.3333333333333037E-3</v>
      </c>
      <c r="H2830" s="50">
        <v>41746</v>
      </c>
      <c r="I2830" s="51" t="s">
        <v>569</v>
      </c>
      <c r="J2830" s="51" t="s">
        <v>535</v>
      </c>
      <c r="K2830" s="51">
        <f>VLOOKUP(J2830,'Validacion reclamo de equipaje'!L:M,2,0)</f>
        <v>50</v>
      </c>
      <c r="L2830" s="51" t="str">
        <f>VLOOKUP(I2830,'Validacion reclamo de equipaje'!H:I,2,0)</f>
        <v>Internacional</v>
      </c>
      <c r="M2830" s="51" t="s">
        <v>523</v>
      </c>
    </row>
    <row r="2831" spans="1:13" x14ac:dyDescent="0.25">
      <c r="A2831">
        <v>4489</v>
      </c>
      <c r="B2831" s="47" t="str">
        <f>VLOOKUP(Tabla6[[#This Row],['# Vuelo]],'Validacion reclamo de equipaje'!P:Q,2,0)</f>
        <v>UNIDOS VOLAMOS AIRLINES</v>
      </c>
      <c r="C2831" s="52">
        <v>0.84375</v>
      </c>
      <c r="D2831" s="52">
        <v>0.85555555555555562</v>
      </c>
      <c r="E2831" s="53">
        <f>'Reclamo de equipaje rediseñado'!$D2831-'Reclamo de equipaje rediseñado'!$C2831</f>
        <v>1.1805555555555625E-2</v>
      </c>
      <c r="F2831" s="52">
        <v>0.87847222222222221</v>
      </c>
      <c r="G2831" s="53">
        <f t="shared" si="44"/>
        <v>2.2916666666666585E-2</v>
      </c>
      <c r="H2831" s="54">
        <v>41747</v>
      </c>
      <c r="I2831" s="55" t="s">
        <v>569</v>
      </c>
      <c r="J2831" s="55" t="s">
        <v>535</v>
      </c>
      <c r="K2831" s="55">
        <f>VLOOKUP(J2831,'Validacion reclamo de equipaje'!L:M,2,0)</f>
        <v>50</v>
      </c>
      <c r="L2831" s="55" t="str">
        <f>VLOOKUP(I2831,'Validacion reclamo de equipaje'!H:I,2,0)</f>
        <v>Internacional</v>
      </c>
      <c r="M2831" s="55" t="s">
        <v>523</v>
      </c>
    </row>
    <row r="2832" spans="1:13" x14ac:dyDescent="0.25">
      <c r="A2832">
        <v>4489</v>
      </c>
      <c r="B2832" s="47" t="str">
        <f>VLOOKUP(Tabla6[[#This Row],['# Vuelo]],'Validacion reclamo de equipaje'!P:Q,2,0)</f>
        <v>UNIDOS VOLAMOS AIRLINES</v>
      </c>
      <c r="C2832" s="48">
        <v>0.85902777777777783</v>
      </c>
      <c r="D2832" s="48">
        <v>0.87152777777777779</v>
      </c>
      <c r="E2832" s="49">
        <f>'Reclamo de equipaje rediseñado'!$D2832-'Reclamo de equipaje rediseñado'!$C2832</f>
        <v>1.2499999999999956E-2</v>
      </c>
      <c r="F2832" s="48">
        <v>0.87708333333333333</v>
      </c>
      <c r="G2832" s="49">
        <f t="shared" si="44"/>
        <v>5.5555555555555358E-3</v>
      </c>
      <c r="H2832" s="50">
        <v>41749</v>
      </c>
      <c r="I2832" s="51" t="s">
        <v>569</v>
      </c>
      <c r="J2832" s="51" t="s">
        <v>535</v>
      </c>
      <c r="K2832" s="51">
        <f>VLOOKUP(J2832,'Validacion reclamo de equipaje'!L:M,2,0)</f>
        <v>50</v>
      </c>
      <c r="L2832" s="51" t="str">
        <f>VLOOKUP(I2832,'Validacion reclamo de equipaje'!H:I,2,0)</f>
        <v>Internacional</v>
      </c>
      <c r="M2832" s="51" t="s">
        <v>523</v>
      </c>
    </row>
    <row r="2833" spans="1:13" x14ac:dyDescent="0.25">
      <c r="A2833">
        <v>4489</v>
      </c>
      <c r="B2833" s="47" t="str">
        <f>VLOOKUP(Tabla6[[#This Row],['# Vuelo]],'Validacion reclamo de equipaje'!P:Q,2,0)</f>
        <v>UNIDOS VOLAMOS AIRLINES</v>
      </c>
      <c r="C2833" s="52">
        <v>0.86111111111111116</v>
      </c>
      <c r="D2833" s="52">
        <v>0.86875000000000002</v>
      </c>
      <c r="E2833" s="53">
        <f>'Reclamo de equipaje rediseñado'!$D2833-'Reclamo de equipaje rediseñado'!$C2833</f>
        <v>7.6388888888888618E-3</v>
      </c>
      <c r="F2833" s="52">
        <v>0.87291666666666667</v>
      </c>
      <c r="G2833" s="53">
        <f t="shared" si="44"/>
        <v>4.1666666666666519E-3</v>
      </c>
      <c r="H2833" s="54">
        <v>41748</v>
      </c>
      <c r="I2833" s="55" t="s">
        <v>569</v>
      </c>
      <c r="J2833" s="55" t="s">
        <v>535</v>
      </c>
      <c r="K2833" s="55">
        <f>VLOOKUP(J2833,'Validacion reclamo de equipaje'!L:M,2,0)</f>
        <v>50</v>
      </c>
      <c r="L2833" s="55" t="str">
        <f>VLOOKUP(I2833,'Validacion reclamo de equipaje'!H:I,2,0)</f>
        <v>Internacional</v>
      </c>
      <c r="M2833" s="55" t="s">
        <v>523</v>
      </c>
    </row>
    <row r="2834" spans="1:13" x14ac:dyDescent="0.25">
      <c r="A2834">
        <v>4489</v>
      </c>
      <c r="B2834" s="47" t="str">
        <f>VLOOKUP(Tabla6[[#This Row],['# Vuelo]],'Validacion reclamo de equipaje'!P:Q,2,0)</f>
        <v>UNIDOS VOLAMOS AIRLINES</v>
      </c>
      <c r="C2834" s="48">
        <v>0.85555555555555562</v>
      </c>
      <c r="D2834" s="48">
        <v>0.86458333333333337</v>
      </c>
      <c r="E2834" s="49">
        <f>'Reclamo de equipaje rediseñado'!$D2834-'Reclamo de equipaje rediseñado'!$C2834</f>
        <v>9.0277777777777457E-3</v>
      </c>
      <c r="F2834" s="48">
        <v>0.87708333333333333</v>
      </c>
      <c r="G2834" s="49">
        <f t="shared" si="44"/>
        <v>1.2499999999999956E-2</v>
      </c>
      <c r="H2834" s="50">
        <v>41751</v>
      </c>
      <c r="I2834" s="51" t="s">
        <v>569</v>
      </c>
      <c r="J2834" s="51" t="s">
        <v>535</v>
      </c>
      <c r="K2834" s="51">
        <f>VLOOKUP(J2834,'Validacion reclamo de equipaje'!L:M,2,0)</f>
        <v>50</v>
      </c>
      <c r="L2834" s="51" t="str">
        <f>VLOOKUP(I2834,'Validacion reclamo de equipaje'!H:I,2,0)</f>
        <v>Internacional</v>
      </c>
      <c r="M2834" s="51" t="s">
        <v>523</v>
      </c>
    </row>
    <row r="2835" spans="1:13" x14ac:dyDescent="0.25">
      <c r="A2835">
        <v>4489</v>
      </c>
      <c r="B2835" s="47" t="str">
        <f>VLOOKUP(Tabla6[[#This Row],['# Vuelo]],'Validacion reclamo de equipaje'!P:Q,2,0)</f>
        <v>UNIDOS VOLAMOS AIRLINES</v>
      </c>
      <c r="C2835" s="52">
        <v>0.85277777777777775</v>
      </c>
      <c r="D2835" s="52">
        <v>0.8618055555555556</v>
      </c>
      <c r="E2835" s="53">
        <f>'Reclamo de equipaje rediseñado'!$D2835-'Reclamo de equipaje rediseñado'!$C2835</f>
        <v>9.0277777777778567E-3</v>
      </c>
      <c r="F2835" s="52">
        <v>0.87013888888888891</v>
      </c>
      <c r="G2835" s="53">
        <f t="shared" si="44"/>
        <v>8.3333333333333037E-3</v>
      </c>
      <c r="H2835" s="54">
        <v>41752</v>
      </c>
      <c r="I2835" s="55" t="s">
        <v>569</v>
      </c>
      <c r="J2835" s="55" t="s">
        <v>535</v>
      </c>
      <c r="K2835" s="55">
        <f>VLOOKUP(J2835,'Validacion reclamo de equipaje'!L:M,2,0)</f>
        <v>50</v>
      </c>
      <c r="L2835" s="55" t="str">
        <f>VLOOKUP(I2835,'Validacion reclamo de equipaje'!H:I,2,0)</f>
        <v>Internacional</v>
      </c>
      <c r="M2835" s="55" t="s">
        <v>523</v>
      </c>
    </row>
    <row r="2836" spans="1:13" x14ac:dyDescent="0.25">
      <c r="A2836">
        <v>4489</v>
      </c>
      <c r="B2836" s="47" t="str">
        <f>VLOOKUP(Tabla6[[#This Row],['# Vuelo]],'Validacion reclamo de equipaje'!P:Q,2,0)</f>
        <v>UNIDOS VOLAMOS AIRLINES</v>
      </c>
      <c r="C2836" s="48">
        <v>0.85069444444444453</v>
      </c>
      <c r="D2836" s="48">
        <v>0.86805555555555547</v>
      </c>
      <c r="E2836" s="49">
        <f>'Reclamo de equipaje rediseñado'!$D2836-'Reclamo de equipaje rediseñado'!$C2836</f>
        <v>1.7361111111110938E-2</v>
      </c>
      <c r="F2836" s="48">
        <v>0.87638888888888899</v>
      </c>
      <c r="G2836" s="49">
        <f t="shared" si="44"/>
        <v>8.3333333333335258E-3</v>
      </c>
      <c r="H2836" s="50">
        <v>41752</v>
      </c>
      <c r="I2836" s="51" t="s">
        <v>569</v>
      </c>
      <c r="J2836" s="51" t="s">
        <v>535</v>
      </c>
      <c r="K2836" s="51">
        <f>VLOOKUP(J2836,'Validacion reclamo de equipaje'!L:M,2,0)</f>
        <v>50</v>
      </c>
      <c r="L2836" s="51" t="str">
        <f>VLOOKUP(I2836,'Validacion reclamo de equipaje'!H:I,2,0)</f>
        <v>Internacional</v>
      </c>
      <c r="M2836" s="51" t="s">
        <v>523</v>
      </c>
    </row>
    <row r="2837" spans="1:13" x14ac:dyDescent="0.25">
      <c r="A2837">
        <v>4489</v>
      </c>
      <c r="B2837" s="47" t="str">
        <f>VLOOKUP(Tabla6[[#This Row],['# Vuelo]],'Validacion reclamo de equipaje'!P:Q,2,0)</f>
        <v>UNIDOS VOLAMOS AIRLINES</v>
      </c>
      <c r="C2837" s="52">
        <v>0.86041666666666661</v>
      </c>
      <c r="D2837" s="52">
        <v>0.86805555555555547</v>
      </c>
      <c r="E2837" s="53">
        <f>'Reclamo de equipaje rediseñado'!$D2837-'Reclamo de equipaje rediseñado'!$C2837</f>
        <v>7.6388888888888618E-3</v>
      </c>
      <c r="F2837" s="52">
        <v>0.875</v>
      </c>
      <c r="G2837" s="53">
        <f t="shared" si="44"/>
        <v>6.9444444444445308E-3</v>
      </c>
      <c r="H2837" s="54">
        <v>41754</v>
      </c>
      <c r="I2837" s="55" t="s">
        <v>569</v>
      </c>
      <c r="J2837" s="55" t="s">
        <v>535</v>
      </c>
      <c r="K2837" s="55">
        <f>VLOOKUP(J2837,'Validacion reclamo de equipaje'!L:M,2,0)</f>
        <v>50</v>
      </c>
      <c r="L2837" s="55" t="str">
        <f>VLOOKUP(I2837,'Validacion reclamo de equipaje'!H:I,2,0)</f>
        <v>Internacional</v>
      </c>
      <c r="M2837" s="55" t="s">
        <v>523</v>
      </c>
    </row>
    <row r="2838" spans="1:13" x14ac:dyDescent="0.25">
      <c r="A2838">
        <v>4489</v>
      </c>
      <c r="B2838" s="47" t="str">
        <f>VLOOKUP(Tabla6[[#This Row],['# Vuelo]],'Validacion reclamo de equipaje'!P:Q,2,0)</f>
        <v>UNIDOS VOLAMOS AIRLINES</v>
      </c>
      <c r="C2838" s="48">
        <v>0.87916666666666676</v>
      </c>
      <c r="D2838" s="48">
        <v>0.8847222222222223</v>
      </c>
      <c r="E2838" s="49">
        <f>'Reclamo de equipaje rediseñado'!$D2838-'Reclamo de equipaje rediseñado'!$C2838</f>
        <v>5.5555555555555358E-3</v>
      </c>
      <c r="F2838" s="48">
        <v>0.90972222222222221</v>
      </c>
      <c r="G2838" s="49">
        <f t="shared" si="44"/>
        <v>2.4999999999999911E-2</v>
      </c>
      <c r="H2838" s="50">
        <v>41755</v>
      </c>
      <c r="I2838" s="51" t="s">
        <v>569</v>
      </c>
      <c r="J2838" s="51" t="s">
        <v>535</v>
      </c>
      <c r="K2838" s="51">
        <f>VLOOKUP(J2838,'Validacion reclamo de equipaje'!L:M,2,0)</f>
        <v>50</v>
      </c>
      <c r="L2838" s="51" t="str">
        <f>VLOOKUP(I2838,'Validacion reclamo de equipaje'!H:I,2,0)</f>
        <v>Internacional</v>
      </c>
      <c r="M2838" s="51" t="s">
        <v>523</v>
      </c>
    </row>
    <row r="2839" spans="1:13" x14ac:dyDescent="0.25">
      <c r="A2839">
        <v>4489</v>
      </c>
      <c r="B2839" s="47" t="str">
        <f>VLOOKUP(Tabla6[[#This Row],['# Vuelo]],'Validacion reclamo de equipaje'!P:Q,2,0)</f>
        <v>UNIDOS VOLAMOS AIRLINES</v>
      </c>
      <c r="C2839" s="52">
        <v>0.85</v>
      </c>
      <c r="D2839" s="52">
        <v>0.86111111111111116</v>
      </c>
      <c r="E2839" s="53">
        <f>'Reclamo de equipaje rediseñado'!$D2839-'Reclamo de equipaje rediseñado'!$C2839</f>
        <v>1.1111111111111183E-2</v>
      </c>
      <c r="F2839" s="52">
        <v>0.86597222222222225</v>
      </c>
      <c r="G2839" s="53">
        <f t="shared" si="44"/>
        <v>4.8611111111110938E-3</v>
      </c>
      <c r="H2839" s="54">
        <v>41756</v>
      </c>
      <c r="I2839" s="55" t="s">
        <v>569</v>
      </c>
      <c r="J2839" s="55" t="s">
        <v>535</v>
      </c>
      <c r="K2839" s="55">
        <f>VLOOKUP(J2839,'Validacion reclamo de equipaje'!L:M,2,0)</f>
        <v>50</v>
      </c>
      <c r="L2839" s="55" t="str">
        <f>VLOOKUP(I2839,'Validacion reclamo de equipaje'!H:I,2,0)</f>
        <v>Internacional</v>
      </c>
      <c r="M2839" s="55" t="s">
        <v>523</v>
      </c>
    </row>
    <row r="2840" spans="1:13" x14ac:dyDescent="0.25">
      <c r="A2840">
        <v>4489</v>
      </c>
      <c r="B2840" s="47" t="str">
        <f>VLOOKUP(Tabla6[[#This Row],['# Vuelo]],'Validacion reclamo de equipaje'!P:Q,2,0)</f>
        <v>UNIDOS VOLAMOS AIRLINES</v>
      </c>
      <c r="C2840" s="48">
        <v>0.8618055555555556</v>
      </c>
      <c r="D2840" s="48">
        <v>0.88194444444444453</v>
      </c>
      <c r="E2840" s="49">
        <f>'Reclamo de equipaje rediseñado'!$D2840-'Reclamo de equipaje rediseñado'!$C2840</f>
        <v>2.0138888888888928E-2</v>
      </c>
      <c r="F2840" s="48">
        <v>0.90625</v>
      </c>
      <c r="G2840" s="49">
        <f t="shared" si="44"/>
        <v>2.4305555555555469E-2</v>
      </c>
      <c r="H2840" s="50">
        <v>41757</v>
      </c>
      <c r="I2840" s="51" t="s">
        <v>569</v>
      </c>
      <c r="J2840" s="51" t="s">
        <v>535</v>
      </c>
      <c r="K2840" s="51">
        <f>VLOOKUP(J2840,'Validacion reclamo de equipaje'!L:M,2,0)</f>
        <v>50</v>
      </c>
      <c r="L2840" s="51" t="str">
        <f>VLOOKUP(I2840,'Validacion reclamo de equipaje'!H:I,2,0)</f>
        <v>Internacional</v>
      </c>
      <c r="M2840" s="51" t="s">
        <v>523</v>
      </c>
    </row>
    <row r="2841" spans="1:13" x14ac:dyDescent="0.25">
      <c r="A2841">
        <v>4489</v>
      </c>
      <c r="B2841" s="47" t="str">
        <f>VLOOKUP(Tabla6[[#This Row],['# Vuelo]],'Validacion reclamo de equipaje'!P:Q,2,0)</f>
        <v>UNIDOS VOLAMOS AIRLINES</v>
      </c>
      <c r="C2841" s="52">
        <v>0.86249999999999993</v>
      </c>
      <c r="D2841" s="52">
        <v>0.87361111111111101</v>
      </c>
      <c r="E2841" s="53">
        <f>'Reclamo de equipaje rediseñado'!$D2841-'Reclamo de equipaje rediseñado'!$C2841</f>
        <v>1.1111111111111072E-2</v>
      </c>
      <c r="F2841" s="52">
        <v>0.89583333333333337</v>
      </c>
      <c r="G2841" s="53">
        <f t="shared" si="44"/>
        <v>2.2222222222222365E-2</v>
      </c>
      <c r="H2841" s="54">
        <v>41758</v>
      </c>
      <c r="I2841" s="55" t="s">
        <v>569</v>
      </c>
      <c r="J2841" s="55" t="s">
        <v>535</v>
      </c>
      <c r="K2841" s="55">
        <f>VLOOKUP(J2841,'Validacion reclamo de equipaje'!L:M,2,0)</f>
        <v>50</v>
      </c>
      <c r="L2841" s="55" t="str">
        <f>VLOOKUP(I2841,'Validacion reclamo de equipaje'!H:I,2,0)</f>
        <v>Internacional</v>
      </c>
      <c r="M2841" s="55" t="s">
        <v>523</v>
      </c>
    </row>
    <row r="2842" spans="1:13" x14ac:dyDescent="0.25">
      <c r="A2842">
        <v>4489</v>
      </c>
      <c r="B2842" s="47" t="str">
        <f>VLOOKUP(Tabla6[[#This Row],['# Vuelo]],'Validacion reclamo de equipaje'!P:Q,2,0)</f>
        <v>UNIDOS VOLAMOS AIRLINES</v>
      </c>
      <c r="C2842" s="48">
        <v>0.85555555555555562</v>
      </c>
      <c r="D2842" s="48">
        <v>0.8652777777777777</v>
      </c>
      <c r="E2842" s="49">
        <f>'Reclamo de equipaje rediseñado'!$D2842-'Reclamo de equipaje rediseñado'!$C2842</f>
        <v>9.7222222222220767E-3</v>
      </c>
      <c r="F2842" s="48">
        <v>0.87847222222222221</v>
      </c>
      <c r="G2842" s="49">
        <f t="shared" si="44"/>
        <v>1.3194444444444509E-2</v>
      </c>
      <c r="H2842" s="50">
        <v>41759</v>
      </c>
      <c r="I2842" s="51" t="s">
        <v>569</v>
      </c>
      <c r="J2842" s="51" t="s">
        <v>535</v>
      </c>
      <c r="K2842" s="51">
        <f>VLOOKUP(J2842,'Validacion reclamo de equipaje'!L:M,2,0)</f>
        <v>50</v>
      </c>
      <c r="L2842" s="51" t="str">
        <f>VLOOKUP(I2842,'Validacion reclamo de equipaje'!H:I,2,0)</f>
        <v>Internacional</v>
      </c>
      <c r="M2842" s="51" t="s">
        <v>523</v>
      </c>
    </row>
    <row r="2843" spans="1:13" x14ac:dyDescent="0.25">
      <c r="A2843">
        <v>4525</v>
      </c>
      <c r="B2843" s="47" t="str">
        <f>VLOOKUP(Tabla6[[#This Row],['# Vuelo]],'Validacion reclamo de equipaje'!P:Q,2,0)</f>
        <v>AEROLINEAS DE AMERICA</v>
      </c>
      <c r="C2843" s="52">
        <v>0.68958333333333333</v>
      </c>
      <c r="D2843" s="52">
        <v>0.70138888888888884</v>
      </c>
      <c r="E2843" s="53">
        <f>'Reclamo de equipaje rediseñado'!$D2843-'Reclamo de equipaje rediseñado'!$C2843</f>
        <v>1.1805555555555514E-2</v>
      </c>
      <c r="F2843" s="52">
        <v>0.7090277777777777</v>
      </c>
      <c r="G2843" s="53">
        <f t="shared" si="44"/>
        <v>7.6388888888888618E-3</v>
      </c>
      <c r="H2843" s="54">
        <v>41739</v>
      </c>
      <c r="I2843" s="55" t="s">
        <v>569</v>
      </c>
      <c r="J2843" s="55" t="s">
        <v>535</v>
      </c>
      <c r="K2843" s="55">
        <f>VLOOKUP(J2843,'Validacion reclamo de equipaje'!L:M,2,0)</f>
        <v>50</v>
      </c>
      <c r="L2843" s="55" t="str">
        <f>VLOOKUP(I2843,'Validacion reclamo de equipaje'!H:I,2,0)</f>
        <v>Internacional</v>
      </c>
      <c r="M2843" s="55" t="s">
        <v>523</v>
      </c>
    </row>
    <row r="2844" spans="1:13" x14ac:dyDescent="0.25">
      <c r="A2844">
        <v>4525</v>
      </c>
      <c r="B2844" s="47" t="str">
        <f>VLOOKUP(Tabla6[[#This Row],['# Vuelo]],'Validacion reclamo de equipaje'!P:Q,2,0)</f>
        <v>AEROLINEAS DE AMERICA</v>
      </c>
      <c r="C2844" s="48">
        <v>0.64930555555555558</v>
      </c>
      <c r="D2844" s="48">
        <v>0.66180555555555554</v>
      </c>
      <c r="E2844" s="49">
        <f>'Reclamo de equipaje rediseñado'!$D2844-'Reclamo de equipaje rediseñado'!$C2844</f>
        <v>1.2499999999999956E-2</v>
      </c>
      <c r="F2844" s="48">
        <v>0.66319444444444442</v>
      </c>
      <c r="G2844" s="49">
        <f t="shared" si="44"/>
        <v>1.388888888888884E-3</v>
      </c>
      <c r="H2844" s="50">
        <v>41730</v>
      </c>
      <c r="I2844" s="51" t="s">
        <v>569</v>
      </c>
      <c r="J2844" s="51" t="s">
        <v>535</v>
      </c>
      <c r="K2844" s="51">
        <f>VLOOKUP(J2844,'Validacion reclamo de equipaje'!L:M,2,0)</f>
        <v>50</v>
      </c>
      <c r="L2844" s="51" t="str">
        <f>VLOOKUP(I2844,'Validacion reclamo de equipaje'!H:I,2,0)</f>
        <v>Internacional</v>
      </c>
      <c r="M2844" s="51" t="s">
        <v>523</v>
      </c>
    </row>
    <row r="2845" spans="1:13" x14ac:dyDescent="0.25">
      <c r="A2845">
        <v>4525</v>
      </c>
      <c r="B2845" s="47" t="str">
        <f>VLOOKUP(Tabla6[[#This Row],['# Vuelo]],'Validacion reclamo de equipaje'!P:Q,2,0)</f>
        <v>AEROLINEAS DE AMERICA</v>
      </c>
      <c r="C2845" s="52">
        <v>0.64861111111111114</v>
      </c>
      <c r="D2845" s="52">
        <v>0.65555555555555556</v>
      </c>
      <c r="E2845" s="53">
        <f>'Reclamo de equipaje rediseñado'!$D2845-'Reclamo de equipaje rediseñado'!$C2845</f>
        <v>6.9444444444444198E-3</v>
      </c>
      <c r="F2845" s="52">
        <v>0.66041666666666665</v>
      </c>
      <c r="G2845" s="53">
        <f t="shared" si="44"/>
        <v>4.8611111111110938E-3</v>
      </c>
      <c r="H2845" s="54">
        <v>41731</v>
      </c>
      <c r="I2845" s="55" t="s">
        <v>569</v>
      </c>
      <c r="J2845" s="55" t="s">
        <v>535</v>
      </c>
      <c r="K2845" s="55">
        <f>VLOOKUP(J2845,'Validacion reclamo de equipaje'!L:M,2,0)</f>
        <v>50</v>
      </c>
      <c r="L2845" s="55" t="str">
        <f>VLOOKUP(I2845,'Validacion reclamo de equipaje'!H:I,2,0)</f>
        <v>Internacional</v>
      </c>
      <c r="M2845" s="55" t="s">
        <v>523</v>
      </c>
    </row>
    <row r="2846" spans="1:13" x14ac:dyDescent="0.25">
      <c r="A2846">
        <v>4525</v>
      </c>
      <c r="B2846" s="47" t="str">
        <f>VLOOKUP(Tabla6[[#This Row],['# Vuelo]],'Validacion reclamo de equipaje'!P:Q,2,0)</f>
        <v>AEROLINEAS DE AMERICA</v>
      </c>
      <c r="C2846" s="48">
        <v>0.64861111111111114</v>
      </c>
      <c r="D2846" s="48">
        <v>0.65555555555555556</v>
      </c>
      <c r="E2846" s="49">
        <f>'Reclamo de equipaje rediseñado'!$D2846-'Reclamo de equipaje rediseñado'!$C2846</f>
        <v>6.9444444444444198E-3</v>
      </c>
      <c r="F2846" s="48">
        <v>0.66041666666666665</v>
      </c>
      <c r="G2846" s="49">
        <f t="shared" si="44"/>
        <v>4.8611111111110938E-3</v>
      </c>
      <c r="H2846" s="50">
        <v>41731</v>
      </c>
      <c r="I2846" s="51" t="s">
        <v>569</v>
      </c>
      <c r="J2846" s="51" t="s">
        <v>535</v>
      </c>
      <c r="K2846" s="51">
        <f>VLOOKUP(J2846,'Validacion reclamo de equipaje'!L:M,2,0)</f>
        <v>50</v>
      </c>
      <c r="L2846" s="51" t="str">
        <f>VLOOKUP(I2846,'Validacion reclamo de equipaje'!H:I,2,0)</f>
        <v>Internacional</v>
      </c>
      <c r="M2846" s="51" t="s">
        <v>523</v>
      </c>
    </row>
    <row r="2847" spans="1:13" x14ac:dyDescent="0.25">
      <c r="A2847">
        <v>4525</v>
      </c>
      <c r="B2847" s="47" t="str">
        <f>VLOOKUP(Tabla6[[#This Row],['# Vuelo]],'Validacion reclamo de equipaje'!P:Q,2,0)</f>
        <v>AEROLINEAS DE AMERICA</v>
      </c>
      <c r="C2847" s="52">
        <v>0.6694444444444444</v>
      </c>
      <c r="D2847" s="52">
        <v>0.67708333333333337</v>
      </c>
      <c r="E2847" s="53">
        <f>'Reclamo de equipaje rediseñado'!$D2847-'Reclamo de equipaje rediseñado'!$C2847</f>
        <v>7.6388888888889728E-3</v>
      </c>
      <c r="F2847" s="52">
        <v>0.69444444444444453</v>
      </c>
      <c r="G2847" s="53">
        <f t="shared" si="44"/>
        <v>1.736111111111116E-2</v>
      </c>
      <c r="H2847" s="54">
        <v>41732</v>
      </c>
      <c r="I2847" s="55" t="s">
        <v>569</v>
      </c>
      <c r="J2847" s="55" t="s">
        <v>535</v>
      </c>
      <c r="K2847" s="55">
        <f>VLOOKUP(J2847,'Validacion reclamo de equipaje'!L:M,2,0)</f>
        <v>50</v>
      </c>
      <c r="L2847" s="55" t="str">
        <f>VLOOKUP(I2847,'Validacion reclamo de equipaje'!H:I,2,0)</f>
        <v>Internacional</v>
      </c>
      <c r="M2847" s="55" t="s">
        <v>523</v>
      </c>
    </row>
    <row r="2848" spans="1:13" x14ac:dyDescent="0.25">
      <c r="A2848">
        <v>4525</v>
      </c>
      <c r="B2848" s="47" t="str">
        <f>VLOOKUP(Tabla6[[#This Row],['# Vuelo]],'Validacion reclamo de equipaje'!P:Q,2,0)</f>
        <v>AEROLINEAS DE AMERICA</v>
      </c>
      <c r="C2848" s="48">
        <v>0.67361111111111116</v>
      </c>
      <c r="D2848" s="48">
        <v>0.68611111111111101</v>
      </c>
      <c r="E2848" s="49">
        <f>'Reclamo de equipaje rediseñado'!$D2848-'Reclamo de equipaje rediseñado'!$C2848</f>
        <v>1.2499999999999845E-2</v>
      </c>
      <c r="F2848" s="48">
        <v>0.69097222222222221</v>
      </c>
      <c r="G2848" s="49">
        <f t="shared" si="44"/>
        <v>4.8611111111112049E-3</v>
      </c>
      <c r="H2848" s="50">
        <v>41733</v>
      </c>
      <c r="I2848" s="51" t="s">
        <v>569</v>
      </c>
      <c r="J2848" s="51" t="s">
        <v>535</v>
      </c>
      <c r="K2848" s="51">
        <f>VLOOKUP(J2848,'Validacion reclamo de equipaje'!L:M,2,0)</f>
        <v>50</v>
      </c>
      <c r="L2848" s="51" t="str">
        <f>VLOOKUP(I2848,'Validacion reclamo de equipaje'!H:I,2,0)</f>
        <v>Internacional</v>
      </c>
      <c r="M2848" s="51" t="s">
        <v>523</v>
      </c>
    </row>
    <row r="2849" spans="1:13" x14ac:dyDescent="0.25">
      <c r="A2849">
        <v>4525</v>
      </c>
      <c r="B2849" s="47" t="str">
        <f>VLOOKUP(Tabla6[[#This Row],['# Vuelo]],'Validacion reclamo de equipaje'!P:Q,2,0)</f>
        <v>AEROLINEAS DE AMERICA</v>
      </c>
      <c r="C2849" s="52">
        <v>0.65694444444444444</v>
      </c>
      <c r="D2849" s="52">
        <v>0.70347222222222217</v>
      </c>
      <c r="E2849" s="53">
        <f>'Reclamo de equipaje rediseñado'!$D2849-'Reclamo de equipaje rediseñado'!$C2849</f>
        <v>4.6527777777777724E-2</v>
      </c>
      <c r="F2849" s="52">
        <v>0.71319444444444446</v>
      </c>
      <c r="G2849" s="53">
        <f t="shared" si="44"/>
        <v>9.7222222222222987E-3</v>
      </c>
      <c r="H2849" s="54">
        <v>41734</v>
      </c>
      <c r="I2849" s="55" t="s">
        <v>569</v>
      </c>
      <c r="J2849" s="55" t="s">
        <v>535</v>
      </c>
      <c r="K2849" s="55">
        <f>VLOOKUP(J2849,'Validacion reclamo de equipaje'!L:M,2,0)</f>
        <v>50</v>
      </c>
      <c r="L2849" s="55" t="str">
        <f>VLOOKUP(I2849,'Validacion reclamo de equipaje'!H:I,2,0)</f>
        <v>Internacional</v>
      </c>
      <c r="M2849" s="55" t="s">
        <v>523</v>
      </c>
    </row>
    <row r="2850" spans="1:13" x14ac:dyDescent="0.25">
      <c r="A2850">
        <v>4525</v>
      </c>
      <c r="B2850" s="47" t="str">
        <f>VLOOKUP(Tabla6[[#This Row],['# Vuelo]],'Validacion reclamo de equipaje'!P:Q,2,0)</f>
        <v>AEROLINEAS DE AMERICA</v>
      </c>
      <c r="C2850" s="48">
        <v>0.73888888888888893</v>
      </c>
      <c r="D2850" s="48">
        <v>0.75</v>
      </c>
      <c r="E2850" s="49">
        <f>'Reclamo de equipaje rediseñado'!$D2850-'Reclamo de equipaje rediseñado'!$C2850</f>
        <v>1.1111111111111072E-2</v>
      </c>
      <c r="F2850" s="48">
        <v>0.75486111111111109</v>
      </c>
      <c r="G2850" s="49">
        <f t="shared" si="44"/>
        <v>4.8611111111110938E-3</v>
      </c>
      <c r="H2850" s="50">
        <v>41735</v>
      </c>
      <c r="I2850" s="51" t="s">
        <v>569</v>
      </c>
      <c r="J2850" s="51" t="s">
        <v>535</v>
      </c>
      <c r="K2850" s="51">
        <f>VLOOKUP(J2850,'Validacion reclamo de equipaje'!L:M,2,0)</f>
        <v>50</v>
      </c>
      <c r="L2850" s="51" t="str">
        <f>VLOOKUP(I2850,'Validacion reclamo de equipaje'!H:I,2,0)</f>
        <v>Internacional</v>
      </c>
      <c r="M2850" s="51" t="s">
        <v>523</v>
      </c>
    </row>
    <row r="2851" spans="1:13" x14ac:dyDescent="0.25">
      <c r="A2851">
        <v>4525</v>
      </c>
      <c r="B2851" s="47" t="str">
        <f>VLOOKUP(Tabla6[[#This Row],['# Vuelo]],'Validacion reclamo de equipaje'!P:Q,2,0)</f>
        <v>AEROLINEAS DE AMERICA</v>
      </c>
      <c r="C2851" s="52">
        <v>0.7680555555555556</v>
      </c>
      <c r="D2851" s="52">
        <v>0.77430555555555547</v>
      </c>
      <c r="E2851" s="53">
        <f>'Reclamo de equipaje rediseñado'!$D2851-'Reclamo de equipaje rediseñado'!$C2851</f>
        <v>6.2499999999998668E-3</v>
      </c>
      <c r="F2851" s="52">
        <v>0.78472222222222221</v>
      </c>
      <c r="G2851" s="53">
        <f t="shared" si="44"/>
        <v>1.0416666666666741E-2</v>
      </c>
      <c r="H2851" s="54">
        <v>41736</v>
      </c>
      <c r="I2851" s="55" t="s">
        <v>569</v>
      </c>
      <c r="J2851" s="55" t="s">
        <v>535</v>
      </c>
      <c r="K2851" s="55">
        <f>VLOOKUP(J2851,'Validacion reclamo de equipaje'!L:M,2,0)</f>
        <v>50</v>
      </c>
      <c r="L2851" s="55" t="str">
        <f>VLOOKUP(I2851,'Validacion reclamo de equipaje'!H:I,2,0)</f>
        <v>Internacional</v>
      </c>
      <c r="M2851" s="55" t="s">
        <v>523</v>
      </c>
    </row>
    <row r="2852" spans="1:13" x14ac:dyDescent="0.25">
      <c r="A2852">
        <v>4525</v>
      </c>
      <c r="B2852" s="47" t="str">
        <f>VLOOKUP(Tabla6[[#This Row],['# Vuelo]],'Validacion reclamo de equipaje'!P:Q,2,0)</f>
        <v>AEROLINEAS DE AMERICA</v>
      </c>
      <c r="C2852" s="48">
        <v>0.67013888888888884</v>
      </c>
      <c r="D2852" s="48">
        <v>0.69652777777777775</v>
      </c>
      <c r="E2852" s="49">
        <f>'Reclamo de equipaje rediseñado'!$D2852-'Reclamo de equipaje rediseñado'!$C2852</f>
        <v>2.6388888888888906E-2</v>
      </c>
      <c r="F2852" s="48">
        <v>0.70208333333333339</v>
      </c>
      <c r="G2852" s="49">
        <f t="shared" si="44"/>
        <v>5.5555555555556468E-3</v>
      </c>
      <c r="H2852" s="50">
        <v>41741</v>
      </c>
      <c r="I2852" s="51" t="s">
        <v>569</v>
      </c>
      <c r="J2852" s="51" t="s">
        <v>535</v>
      </c>
      <c r="K2852" s="51">
        <f>VLOOKUP(J2852,'Validacion reclamo de equipaje'!L:M,2,0)</f>
        <v>50</v>
      </c>
      <c r="L2852" s="51" t="str">
        <f>VLOOKUP(I2852,'Validacion reclamo de equipaje'!H:I,2,0)</f>
        <v>Internacional</v>
      </c>
      <c r="M2852" s="51" t="s">
        <v>523</v>
      </c>
    </row>
    <row r="2853" spans="1:13" x14ac:dyDescent="0.25">
      <c r="A2853">
        <v>4525</v>
      </c>
      <c r="B2853" s="47" t="str">
        <f>VLOOKUP(Tabla6[[#This Row],['# Vuelo]],'Validacion reclamo de equipaje'!P:Q,2,0)</f>
        <v>AEROLINEAS DE AMERICA</v>
      </c>
      <c r="C2853" s="52">
        <v>0.70763888888888893</v>
      </c>
      <c r="D2853" s="52">
        <v>0.71875</v>
      </c>
      <c r="E2853" s="53">
        <f>'Reclamo de equipaje rediseñado'!$D2853-'Reclamo de equipaje rediseñado'!$C2853</f>
        <v>1.1111111111111072E-2</v>
      </c>
      <c r="F2853" s="52">
        <v>0.72569444444444453</v>
      </c>
      <c r="G2853" s="53">
        <f t="shared" si="44"/>
        <v>6.9444444444445308E-3</v>
      </c>
      <c r="H2853" s="54">
        <v>41744</v>
      </c>
      <c r="I2853" s="55" t="s">
        <v>569</v>
      </c>
      <c r="J2853" s="55" t="s">
        <v>535</v>
      </c>
      <c r="K2853" s="55">
        <f>VLOOKUP(J2853,'Validacion reclamo de equipaje'!L:M,2,0)</f>
        <v>50</v>
      </c>
      <c r="L2853" s="55" t="str">
        <f>VLOOKUP(I2853,'Validacion reclamo de equipaje'!H:I,2,0)</f>
        <v>Internacional</v>
      </c>
      <c r="M2853" s="55" t="s">
        <v>523</v>
      </c>
    </row>
    <row r="2854" spans="1:13" x14ac:dyDescent="0.25">
      <c r="A2854">
        <v>4525</v>
      </c>
      <c r="B2854" s="47" t="str">
        <f>VLOOKUP(Tabla6[[#This Row],['# Vuelo]],'Validacion reclamo de equipaje'!P:Q,2,0)</f>
        <v>AEROLINEAS DE AMERICA</v>
      </c>
      <c r="C2854" s="48">
        <v>0.69027777777777777</v>
      </c>
      <c r="D2854" s="48">
        <v>0.70000000000000007</v>
      </c>
      <c r="E2854" s="49">
        <f>'Reclamo de equipaje rediseñado'!$D2854-'Reclamo de equipaje rediseñado'!$C2854</f>
        <v>9.7222222222222987E-3</v>
      </c>
      <c r="F2854" s="48">
        <v>0.70833333333333337</v>
      </c>
      <c r="G2854" s="49">
        <f t="shared" si="44"/>
        <v>8.3333333333333037E-3</v>
      </c>
      <c r="H2854" s="50">
        <v>41745</v>
      </c>
      <c r="I2854" s="51" t="s">
        <v>569</v>
      </c>
      <c r="J2854" s="51" t="s">
        <v>535</v>
      </c>
      <c r="K2854" s="51">
        <f>VLOOKUP(J2854,'Validacion reclamo de equipaje'!L:M,2,0)</f>
        <v>50</v>
      </c>
      <c r="L2854" s="51" t="str">
        <f>VLOOKUP(I2854,'Validacion reclamo de equipaje'!H:I,2,0)</f>
        <v>Internacional</v>
      </c>
      <c r="M2854" s="51" t="s">
        <v>523</v>
      </c>
    </row>
    <row r="2855" spans="1:13" x14ac:dyDescent="0.25">
      <c r="A2855">
        <v>4525</v>
      </c>
      <c r="B2855" s="47" t="str">
        <f>VLOOKUP(Tabla6[[#This Row],['# Vuelo]],'Validacion reclamo de equipaje'!P:Q,2,0)</f>
        <v>AEROLINEAS DE AMERICA</v>
      </c>
      <c r="C2855" s="52">
        <v>0.77708333333333324</v>
      </c>
      <c r="D2855" s="52">
        <v>0.78749999999999998</v>
      </c>
      <c r="E2855" s="53">
        <f>'Reclamo de equipaje rediseñado'!$D2855-'Reclamo de equipaje rediseñado'!$C2855</f>
        <v>1.0416666666666741E-2</v>
      </c>
      <c r="F2855" s="52">
        <v>0.79861111111111116</v>
      </c>
      <c r="G2855" s="53">
        <f t="shared" si="44"/>
        <v>1.1111111111111183E-2</v>
      </c>
      <c r="H2855" s="54">
        <v>41746</v>
      </c>
      <c r="I2855" s="55" t="s">
        <v>569</v>
      </c>
      <c r="J2855" s="55" t="s">
        <v>535</v>
      </c>
      <c r="K2855" s="55">
        <f>VLOOKUP(J2855,'Validacion reclamo de equipaje'!L:M,2,0)</f>
        <v>50</v>
      </c>
      <c r="L2855" s="55" t="str">
        <f>VLOOKUP(I2855,'Validacion reclamo de equipaje'!H:I,2,0)</f>
        <v>Internacional</v>
      </c>
      <c r="M2855" s="55" t="s">
        <v>523</v>
      </c>
    </row>
    <row r="2856" spans="1:13" x14ac:dyDescent="0.25">
      <c r="A2856">
        <v>4525</v>
      </c>
      <c r="B2856" s="47" t="str">
        <f>VLOOKUP(Tabla6[[#This Row],['# Vuelo]],'Validacion reclamo de equipaje'!P:Q,2,0)</f>
        <v>AEROLINEAS DE AMERICA</v>
      </c>
      <c r="C2856" s="48">
        <v>0.68888888888888899</v>
      </c>
      <c r="D2856" s="48">
        <v>0.69861111111111107</v>
      </c>
      <c r="E2856" s="49">
        <f>'Reclamo de equipaje rediseñado'!$D2856-'Reclamo de equipaje rediseñado'!$C2856</f>
        <v>9.7222222222220767E-3</v>
      </c>
      <c r="F2856" s="48">
        <v>0.70347222222222217</v>
      </c>
      <c r="G2856" s="49">
        <f t="shared" si="44"/>
        <v>4.8611111111110938E-3</v>
      </c>
      <c r="H2856" s="50">
        <v>41747</v>
      </c>
      <c r="I2856" s="51" t="s">
        <v>569</v>
      </c>
      <c r="J2856" s="51" t="s">
        <v>535</v>
      </c>
      <c r="K2856" s="51">
        <f>VLOOKUP(J2856,'Validacion reclamo de equipaje'!L:M,2,0)</f>
        <v>50</v>
      </c>
      <c r="L2856" s="51" t="str">
        <f>VLOOKUP(I2856,'Validacion reclamo de equipaje'!H:I,2,0)</f>
        <v>Internacional</v>
      </c>
      <c r="M2856" s="51" t="s">
        <v>523</v>
      </c>
    </row>
    <row r="2857" spans="1:13" x14ac:dyDescent="0.25">
      <c r="A2857">
        <v>4525</v>
      </c>
      <c r="B2857" s="47" t="str">
        <f>VLOOKUP(Tabla6[[#This Row],['# Vuelo]],'Validacion reclamo de equipaje'!P:Q,2,0)</f>
        <v>AEROLINEAS DE AMERICA</v>
      </c>
      <c r="C2857" s="52">
        <v>0.70138888888888884</v>
      </c>
      <c r="D2857" s="52">
        <v>0.71180555555555547</v>
      </c>
      <c r="E2857" s="53">
        <f>'Reclamo de equipaje rediseñado'!$D2857-'Reclamo de equipaje rediseñado'!$C2857</f>
        <v>1.041666666666663E-2</v>
      </c>
      <c r="F2857" s="52">
        <v>0.72499999999999998</v>
      </c>
      <c r="G2857" s="53">
        <f t="shared" si="44"/>
        <v>1.3194444444444509E-2</v>
      </c>
      <c r="H2857" s="54">
        <v>41748</v>
      </c>
      <c r="I2857" s="55" t="s">
        <v>569</v>
      </c>
      <c r="J2857" s="55" t="s">
        <v>535</v>
      </c>
      <c r="K2857" s="55">
        <f>VLOOKUP(J2857,'Validacion reclamo de equipaje'!L:M,2,0)</f>
        <v>50</v>
      </c>
      <c r="L2857" s="55" t="str">
        <f>VLOOKUP(I2857,'Validacion reclamo de equipaje'!H:I,2,0)</f>
        <v>Internacional</v>
      </c>
      <c r="M2857" s="55" t="s">
        <v>523</v>
      </c>
    </row>
    <row r="2858" spans="1:13" x14ac:dyDescent="0.25">
      <c r="A2858">
        <v>4525</v>
      </c>
      <c r="B2858" s="47" t="str">
        <f>VLOOKUP(Tabla6[[#This Row],['# Vuelo]],'Validacion reclamo de equipaje'!P:Q,2,0)</f>
        <v>AEROLINEAS DE AMERICA</v>
      </c>
      <c r="C2858" s="48">
        <v>0.73958333333333337</v>
      </c>
      <c r="D2858" s="48">
        <v>0.75</v>
      </c>
      <c r="E2858" s="49">
        <f>'Reclamo de equipaje rediseñado'!$D2858-'Reclamo de equipaje rediseñado'!$C2858</f>
        <v>1.041666666666663E-2</v>
      </c>
      <c r="F2858" s="48">
        <v>0.75624999999999998</v>
      </c>
      <c r="G2858" s="49">
        <f t="shared" si="44"/>
        <v>6.2499999999999778E-3</v>
      </c>
      <c r="H2858" s="50">
        <v>41749</v>
      </c>
      <c r="I2858" s="51" t="s">
        <v>569</v>
      </c>
      <c r="J2858" s="51" t="s">
        <v>535</v>
      </c>
      <c r="K2858" s="51">
        <f>VLOOKUP(J2858,'Validacion reclamo de equipaje'!L:M,2,0)</f>
        <v>50</v>
      </c>
      <c r="L2858" s="51" t="str">
        <f>VLOOKUP(I2858,'Validacion reclamo de equipaje'!H:I,2,0)</f>
        <v>Internacional</v>
      </c>
      <c r="M2858" s="51" t="s">
        <v>523</v>
      </c>
    </row>
    <row r="2859" spans="1:13" x14ac:dyDescent="0.25">
      <c r="A2859">
        <v>4525</v>
      </c>
      <c r="B2859" s="47" t="str">
        <f>VLOOKUP(Tabla6[[#This Row],['# Vuelo]],'Validacion reclamo de equipaje'!P:Q,2,0)</f>
        <v>AEROLINEAS DE AMERICA</v>
      </c>
      <c r="C2859" s="52">
        <v>0.69930555555555562</v>
      </c>
      <c r="D2859" s="52">
        <v>0.70833333333333337</v>
      </c>
      <c r="E2859" s="53">
        <f>'Reclamo de equipaje rediseñado'!$D2859-'Reclamo de equipaje rediseñado'!$C2859</f>
        <v>9.0277777777777457E-3</v>
      </c>
      <c r="F2859" s="52">
        <v>0.71736111111111101</v>
      </c>
      <c r="G2859" s="53">
        <f t="shared" si="44"/>
        <v>9.0277777777776347E-3</v>
      </c>
      <c r="H2859" s="54">
        <v>41750</v>
      </c>
      <c r="I2859" s="55" t="s">
        <v>569</v>
      </c>
      <c r="J2859" s="55" t="s">
        <v>535</v>
      </c>
      <c r="K2859" s="55">
        <f>VLOOKUP(J2859,'Validacion reclamo de equipaje'!L:M,2,0)</f>
        <v>50</v>
      </c>
      <c r="L2859" s="55" t="str">
        <f>VLOOKUP(I2859,'Validacion reclamo de equipaje'!H:I,2,0)</f>
        <v>Internacional</v>
      </c>
      <c r="M2859" s="55" t="s">
        <v>523</v>
      </c>
    </row>
    <row r="2860" spans="1:13" x14ac:dyDescent="0.25">
      <c r="A2860">
        <v>4525</v>
      </c>
      <c r="B2860" s="47" t="str">
        <f>VLOOKUP(Tabla6[[#This Row],['# Vuelo]],'Validacion reclamo de equipaje'!P:Q,2,0)</f>
        <v>AEROLINEAS DE AMERICA</v>
      </c>
      <c r="C2860" s="48">
        <v>0.70138888888888884</v>
      </c>
      <c r="D2860" s="48">
        <v>0.71180555555555547</v>
      </c>
      <c r="E2860" s="49">
        <f>'Reclamo de equipaje rediseñado'!$D2860-'Reclamo de equipaje rediseñado'!$C2860</f>
        <v>1.041666666666663E-2</v>
      </c>
      <c r="F2860" s="48">
        <v>0.7284722222222223</v>
      </c>
      <c r="G2860" s="49">
        <f t="shared" si="44"/>
        <v>1.6666666666666829E-2</v>
      </c>
      <c r="H2860" s="50">
        <v>41751</v>
      </c>
      <c r="I2860" s="51" t="s">
        <v>569</v>
      </c>
      <c r="J2860" s="51" t="s">
        <v>535</v>
      </c>
      <c r="K2860" s="51">
        <f>VLOOKUP(J2860,'Validacion reclamo de equipaje'!L:M,2,0)</f>
        <v>50</v>
      </c>
      <c r="L2860" s="51" t="str">
        <f>VLOOKUP(I2860,'Validacion reclamo de equipaje'!H:I,2,0)</f>
        <v>Internacional</v>
      </c>
      <c r="M2860" s="51" t="s">
        <v>523</v>
      </c>
    </row>
    <row r="2861" spans="1:13" x14ac:dyDescent="0.25">
      <c r="A2861">
        <v>4525</v>
      </c>
      <c r="B2861" s="47" t="str">
        <f>VLOOKUP(Tabla6[[#This Row],['# Vuelo]],'Validacion reclamo de equipaje'!P:Q,2,0)</f>
        <v>AEROLINEAS DE AMERICA</v>
      </c>
      <c r="C2861" s="52">
        <v>0.70138888888888884</v>
      </c>
      <c r="D2861" s="52">
        <v>0.71180555555555547</v>
      </c>
      <c r="E2861" s="53">
        <f>'Reclamo de equipaje rediseñado'!$D2861-'Reclamo de equipaje rediseñado'!$C2861</f>
        <v>1.041666666666663E-2</v>
      </c>
      <c r="F2861" s="52">
        <v>0.7284722222222223</v>
      </c>
      <c r="G2861" s="53">
        <f t="shared" si="44"/>
        <v>1.6666666666666829E-2</v>
      </c>
      <c r="H2861" s="54">
        <v>41751</v>
      </c>
      <c r="I2861" s="55" t="s">
        <v>569</v>
      </c>
      <c r="J2861" s="55" t="s">
        <v>535</v>
      </c>
      <c r="K2861" s="55">
        <f>VLOOKUP(J2861,'Validacion reclamo de equipaje'!L:M,2,0)</f>
        <v>50</v>
      </c>
      <c r="L2861" s="55" t="str">
        <f>VLOOKUP(I2861,'Validacion reclamo de equipaje'!H:I,2,0)</f>
        <v>Internacional</v>
      </c>
      <c r="M2861" s="55" t="s">
        <v>523</v>
      </c>
    </row>
    <row r="2862" spans="1:13" x14ac:dyDescent="0.25">
      <c r="A2862">
        <v>4525</v>
      </c>
      <c r="B2862" s="47" t="str">
        <f>VLOOKUP(Tabla6[[#This Row],['# Vuelo]],'Validacion reclamo de equipaje'!P:Q,2,0)</f>
        <v>AEROLINEAS DE AMERICA</v>
      </c>
      <c r="C2862" s="48">
        <v>0.70208333333333339</v>
      </c>
      <c r="D2862" s="48">
        <v>0.71527777777777779</v>
      </c>
      <c r="E2862" s="49">
        <f>'Reclamo de equipaje rediseñado'!$D2862-'Reclamo de equipaje rediseñado'!$C2862</f>
        <v>1.3194444444444398E-2</v>
      </c>
      <c r="F2862" s="48">
        <v>0.72361111111111109</v>
      </c>
      <c r="G2862" s="49">
        <f t="shared" si="44"/>
        <v>8.3333333333333037E-3</v>
      </c>
      <c r="H2862" s="50">
        <v>41753</v>
      </c>
      <c r="I2862" s="51" t="s">
        <v>569</v>
      </c>
      <c r="J2862" s="51" t="s">
        <v>535</v>
      </c>
      <c r="K2862" s="51">
        <f>VLOOKUP(J2862,'Validacion reclamo de equipaje'!L:M,2,0)</f>
        <v>50</v>
      </c>
      <c r="L2862" s="51" t="str">
        <f>VLOOKUP(I2862,'Validacion reclamo de equipaje'!H:I,2,0)</f>
        <v>Internacional</v>
      </c>
      <c r="M2862" s="51" t="s">
        <v>523</v>
      </c>
    </row>
    <row r="2863" spans="1:13" x14ac:dyDescent="0.25">
      <c r="A2863">
        <v>4525</v>
      </c>
      <c r="B2863" s="47" t="str">
        <f>VLOOKUP(Tabla6[[#This Row],['# Vuelo]],'Validacion reclamo de equipaje'!P:Q,2,0)</f>
        <v>AEROLINEAS DE AMERICA</v>
      </c>
      <c r="C2863" s="52">
        <v>0.69652777777777775</v>
      </c>
      <c r="D2863" s="52">
        <v>0.70833333333333337</v>
      </c>
      <c r="E2863" s="53">
        <f>'Reclamo de equipaje rediseñado'!$D2863-'Reclamo de equipaje rediseñado'!$C2863</f>
        <v>1.1805555555555625E-2</v>
      </c>
      <c r="F2863" s="52">
        <v>0.71388888888888891</v>
      </c>
      <c r="G2863" s="53">
        <f t="shared" si="44"/>
        <v>5.5555555555555358E-3</v>
      </c>
      <c r="H2863" s="54">
        <v>41754</v>
      </c>
      <c r="I2863" s="55" t="s">
        <v>569</v>
      </c>
      <c r="J2863" s="55" t="s">
        <v>535</v>
      </c>
      <c r="K2863" s="55">
        <f>VLOOKUP(J2863,'Validacion reclamo de equipaje'!L:M,2,0)</f>
        <v>50</v>
      </c>
      <c r="L2863" s="55" t="str">
        <f>VLOOKUP(I2863,'Validacion reclamo de equipaje'!H:I,2,0)</f>
        <v>Internacional</v>
      </c>
      <c r="M2863" s="55" t="s">
        <v>523</v>
      </c>
    </row>
    <row r="2864" spans="1:13" x14ac:dyDescent="0.25">
      <c r="A2864">
        <v>4525</v>
      </c>
      <c r="B2864" s="47" t="str">
        <f>VLOOKUP(Tabla6[[#This Row],['# Vuelo]],'Validacion reclamo de equipaje'!P:Q,2,0)</f>
        <v>AEROLINEAS DE AMERICA</v>
      </c>
      <c r="C2864" s="48">
        <v>0.73958333333333337</v>
      </c>
      <c r="D2864" s="48">
        <v>0.74722222222222223</v>
      </c>
      <c r="E2864" s="49">
        <f>'Reclamo de equipaje rediseñado'!$D2864-'Reclamo de equipaje rediseñado'!$C2864</f>
        <v>7.6388888888888618E-3</v>
      </c>
      <c r="F2864" s="48">
        <v>0.76666666666666661</v>
      </c>
      <c r="G2864" s="49">
        <f t="shared" si="44"/>
        <v>1.9444444444444375E-2</v>
      </c>
      <c r="H2864" s="50">
        <v>41754</v>
      </c>
      <c r="I2864" s="51" t="s">
        <v>569</v>
      </c>
      <c r="J2864" s="51" t="s">
        <v>535</v>
      </c>
      <c r="K2864" s="51">
        <f>VLOOKUP(J2864,'Validacion reclamo de equipaje'!L:M,2,0)</f>
        <v>50</v>
      </c>
      <c r="L2864" s="51" t="str">
        <f>VLOOKUP(I2864,'Validacion reclamo de equipaje'!H:I,2,0)</f>
        <v>Internacional</v>
      </c>
      <c r="M2864" s="51" t="s">
        <v>523</v>
      </c>
    </row>
    <row r="2865" spans="1:13" x14ac:dyDescent="0.25">
      <c r="A2865">
        <v>4525</v>
      </c>
      <c r="B2865" s="47" t="str">
        <f>VLOOKUP(Tabla6[[#This Row],['# Vuelo]],'Validacion reclamo de equipaje'!P:Q,2,0)</f>
        <v>AEROLINEAS DE AMERICA</v>
      </c>
      <c r="C2865" s="52">
        <v>0.73958333333333337</v>
      </c>
      <c r="D2865" s="52">
        <v>0.74305555555555547</v>
      </c>
      <c r="E2865" s="53">
        <f>'Reclamo de equipaje rediseñado'!$D2865-'Reclamo de equipaje rediseñado'!$C2865</f>
        <v>3.4722222222220989E-3</v>
      </c>
      <c r="F2865" s="52">
        <v>0.75694444444444453</v>
      </c>
      <c r="G2865" s="53">
        <f t="shared" si="44"/>
        <v>1.3888888888889062E-2</v>
      </c>
      <c r="H2865" s="54">
        <v>41754</v>
      </c>
      <c r="I2865" s="55" t="s">
        <v>569</v>
      </c>
      <c r="J2865" s="55" t="s">
        <v>535</v>
      </c>
      <c r="K2865" s="55">
        <f>VLOOKUP(J2865,'Validacion reclamo de equipaje'!L:M,2,0)</f>
        <v>50</v>
      </c>
      <c r="L2865" s="55" t="str">
        <f>VLOOKUP(I2865,'Validacion reclamo de equipaje'!H:I,2,0)</f>
        <v>Internacional</v>
      </c>
      <c r="M2865" s="55" t="s">
        <v>523</v>
      </c>
    </row>
    <row r="2866" spans="1:13" x14ac:dyDescent="0.25">
      <c r="A2866">
        <v>4525</v>
      </c>
      <c r="B2866" s="47" t="str">
        <f>VLOOKUP(Tabla6[[#This Row],['# Vuelo]],'Validacion reclamo de equipaje'!P:Q,2,0)</f>
        <v>AEROLINEAS DE AMERICA</v>
      </c>
      <c r="C2866" s="48">
        <v>0.71180555555555547</v>
      </c>
      <c r="D2866" s="48">
        <v>0.72222222222222221</v>
      </c>
      <c r="E2866" s="49">
        <f>'Reclamo de equipaje rediseñado'!$D2866-'Reclamo de equipaje rediseñado'!$C2866</f>
        <v>1.0416666666666741E-2</v>
      </c>
      <c r="F2866" s="48">
        <v>0.73402777777777783</v>
      </c>
      <c r="G2866" s="49">
        <f t="shared" si="44"/>
        <v>1.1805555555555625E-2</v>
      </c>
      <c r="H2866" s="50">
        <v>41756</v>
      </c>
      <c r="I2866" s="51" t="s">
        <v>569</v>
      </c>
      <c r="J2866" s="51" t="s">
        <v>535</v>
      </c>
      <c r="K2866" s="51">
        <f>VLOOKUP(J2866,'Validacion reclamo de equipaje'!L:M,2,0)</f>
        <v>50</v>
      </c>
      <c r="L2866" s="51" t="str">
        <f>VLOOKUP(I2866,'Validacion reclamo de equipaje'!H:I,2,0)</f>
        <v>Internacional</v>
      </c>
      <c r="M2866" s="51" t="s">
        <v>523</v>
      </c>
    </row>
    <row r="2867" spans="1:13" x14ac:dyDescent="0.25">
      <c r="A2867">
        <v>4525</v>
      </c>
      <c r="B2867" s="47" t="str">
        <f>VLOOKUP(Tabla6[[#This Row],['# Vuelo]],'Validacion reclamo de equipaje'!P:Q,2,0)</f>
        <v>AEROLINEAS DE AMERICA</v>
      </c>
      <c r="C2867" s="52">
        <v>0.7090277777777777</v>
      </c>
      <c r="D2867" s="52">
        <v>0.71805555555555556</v>
      </c>
      <c r="E2867" s="53">
        <f>'Reclamo de equipaje rediseñado'!$D2867-'Reclamo de equipaje rediseñado'!$C2867</f>
        <v>9.0277777777778567E-3</v>
      </c>
      <c r="F2867" s="52">
        <v>0.72569444444444453</v>
      </c>
      <c r="G2867" s="53">
        <f t="shared" si="44"/>
        <v>7.6388888888889728E-3</v>
      </c>
      <c r="H2867" s="54">
        <v>41758</v>
      </c>
      <c r="I2867" s="55" t="s">
        <v>569</v>
      </c>
      <c r="J2867" s="55" t="s">
        <v>535</v>
      </c>
      <c r="K2867" s="55">
        <f>VLOOKUP(J2867,'Validacion reclamo de equipaje'!L:M,2,0)</f>
        <v>50</v>
      </c>
      <c r="L2867" s="55" t="str">
        <f>VLOOKUP(I2867,'Validacion reclamo de equipaje'!H:I,2,0)</f>
        <v>Internacional</v>
      </c>
      <c r="M2867" s="55" t="s">
        <v>523</v>
      </c>
    </row>
    <row r="2868" spans="1:13" x14ac:dyDescent="0.25">
      <c r="A2868">
        <v>4525</v>
      </c>
      <c r="B2868" s="47" t="str">
        <f>VLOOKUP(Tabla6[[#This Row],['# Vuelo]],'Validacion reclamo de equipaje'!P:Q,2,0)</f>
        <v>AEROLINEAS DE AMERICA</v>
      </c>
      <c r="C2868" s="48">
        <v>0.71666666666666667</v>
      </c>
      <c r="D2868" s="48">
        <v>0.72222222222222221</v>
      </c>
      <c r="E2868" s="49">
        <f>'Reclamo de equipaje rediseñado'!$D2868-'Reclamo de equipaje rediseñado'!$C2868</f>
        <v>5.5555555555555358E-3</v>
      </c>
      <c r="F2868" s="48">
        <v>0.7270833333333333</v>
      </c>
      <c r="G2868" s="49">
        <f t="shared" si="44"/>
        <v>4.8611111111110938E-3</v>
      </c>
      <c r="H2868" s="50">
        <v>41759</v>
      </c>
      <c r="I2868" s="51" t="s">
        <v>569</v>
      </c>
      <c r="J2868" s="51" t="s">
        <v>535</v>
      </c>
      <c r="K2868" s="51">
        <f>VLOOKUP(J2868,'Validacion reclamo de equipaje'!L:M,2,0)</f>
        <v>50</v>
      </c>
      <c r="L2868" s="51" t="str">
        <f>VLOOKUP(I2868,'Validacion reclamo de equipaje'!H:I,2,0)</f>
        <v>Internacional</v>
      </c>
      <c r="M2868" s="51" t="s">
        <v>523</v>
      </c>
    </row>
    <row r="2869" spans="1:13" x14ac:dyDescent="0.25">
      <c r="A2869">
        <v>2927</v>
      </c>
      <c r="B2869" s="47" t="str">
        <f>VLOOKUP(Tabla6[[#This Row],['# Vuelo]],'Validacion reclamo de equipaje'!P:Q,2,0)</f>
        <v>VIAS AÉREAS DE USA</v>
      </c>
      <c r="C2869" s="52">
        <v>0.71250000000000002</v>
      </c>
      <c r="D2869" s="52">
        <v>0.72152777777777777</v>
      </c>
      <c r="E2869" s="53">
        <f>'Reclamo de equipaje rediseñado'!$D2869-'Reclamo de equipaje rediseñado'!$C2869</f>
        <v>9.0277777777777457E-3</v>
      </c>
      <c r="F2869" s="52">
        <v>0.72777777777777775</v>
      </c>
      <c r="G2869" s="53">
        <f t="shared" si="44"/>
        <v>6.2499999999999778E-3</v>
      </c>
      <c r="H2869" s="54">
        <v>41741</v>
      </c>
      <c r="I2869" s="55" t="s">
        <v>591</v>
      </c>
      <c r="J2869" s="55" t="s">
        <v>577</v>
      </c>
      <c r="K2869" s="55">
        <f>VLOOKUP(J2869,'Validacion reclamo de equipaje'!L:M,2,0)</f>
        <v>78</v>
      </c>
      <c r="L2869" s="55" t="str">
        <f>VLOOKUP(I2869,'Validacion reclamo de equipaje'!H:I,2,0)</f>
        <v>Internacional</v>
      </c>
      <c r="M2869" s="55" t="s">
        <v>523</v>
      </c>
    </row>
    <row r="2870" spans="1:13" x14ac:dyDescent="0.25">
      <c r="A2870">
        <v>2927</v>
      </c>
      <c r="B2870" s="47" t="str">
        <f>VLOOKUP(Tabla6[[#This Row],['# Vuelo]],'Validacion reclamo de equipaje'!P:Q,2,0)</f>
        <v>VIAS AÉREAS DE USA</v>
      </c>
      <c r="C2870" s="48">
        <v>0.71250000000000002</v>
      </c>
      <c r="D2870" s="48">
        <v>0.71805555555555556</v>
      </c>
      <c r="E2870" s="49">
        <f>'Reclamo de equipaje rediseñado'!$D2870-'Reclamo de equipaje rediseñado'!$C2870</f>
        <v>5.5555555555555358E-3</v>
      </c>
      <c r="F2870" s="48">
        <v>0.72430555555555554</v>
      </c>
      <c r="G2870" s="49">
        <f t="shared" si="44"/>
        <v>6.2499999999999778E-3</v>
      </c>
      <c r="H2870" s="50">
        <v>41743</v>
      </c>
      <c r="I2870" s="51" t="s">
        <v>591</v>
      </c>
      <c r="J2870" s="51" t="s">
        <v>577</v>
      </c>
      <c r="K2870" s="51">
        <f>VLOOKUP(J2870,'Validacion reclamo de equipaje'!L:M,2,0)</f>
        <v>78</v>
      </c>
      <c r="L2870" s="51" t="str">
        <f>VLOOKUP(I2870,'Validacion reclamo de equipaje'!H:I,2,0)</f>
        <v>Internacional</v>
      </c>
      <c r="M2870" s="51" t="s">
        <v>523</v>
      </c>
    </row>
    <row r="2871" spans="1:13" x14ac:dyDescent="0.25">
      <c r="A2871">
        <v>2927</v>
      </c>
      <c r="B2871" s="47" t="str">
        <f>VLOOKUP(Tabla6[[#This Row],['# Vuelo]],'Validacion reclamo de equipaje'!P:Q,2,0)</f>
        <v>VIAS AÉREAS DE USA</v>
      </c>
      <c r="C2871" s="52">
        <v>0.70833333333333337</v>
      </c>
      <c r="D2871" s="52">
        <v>0.71805555555555556</v>
      </c>
      <c r="E2871" s="53">
        <f>'Reclamo de equipaje rediseñado'!$D2871-'Reclamo de equipaje rediseñado'!$C2871</f>
        <v>9.7222222222221877E-3</v>
      </c>
      <c r="F2871" s="52">
        <v>0.7284722222222223</v>
      </c>
      <c r="G2871" s="53">
        <f t="shared" si="44"/>
        <v>1.0416666666666741E-2</v>
      </c>
      <c r="H2871" s="54">
        <v>41744</v>
      </c>
      <c r="I2871" s="55" t="s">
        <v>591</v>
      </c>
      <c r="J2871" s="55" t="s">
        <v>577</v>
      </c>
      <c r="K2871" s="55">
        <f>VLOOKUP(J2871,'Validacion reclamo de equipaje'!L:M,2,0)</f>
        <v>78</v>
      </c>
      <c r="L2871" s="55" t="str">
        <f>VLOOKUP(I2871,'Validacion reclamo de equipaje'!H:I,2,0)</f>
        <v>Internacional</v>
      </c>
      <c r="M2871" s="55" t="s">
        <v>523</v>
      </c>
    </row>
    <row r="2872" spans="1:13" x14ac:dyDescent="0.25">
      <c r="A2872">
        <v>2927</v>
      </c>
      <c r="B2872" s="47" t="str">
        <f>VLOOKUP(Tabla6[[#This Row],['# Vuelo]],'Validacion reclamo de equipaje'!P:Q,2,0)</f>
        <v>VIAS AÉREAS DE USA</v>
      </c>
      <c r="C2872" s="48">
        <v>0.71736111111111101</v>
      </c>
      <c r="D2872" s="48">
        <v>0.72430555555555554</v>
      </c>
      <c r="E2872" s="49">
        <f>'Reclamo de equipaje rediseñado'!$D2872-'Reclamo de equipaje rediseñado'!$C2872</f>
        <v>6.9444444444445308E-3</v>
      </c>
      <c r="F2872" s="48">
        <v>0.73125000000000007</v>
      </c>
      <c r="G2872" s="49">
        <f t="shared" si="44"/>
        <v>6.9444444444445308E-3</v>
      </c>
      <c r="H2872" s="50">
        <v>41748</v>
      </c>
      <c r="I2872" s="51" t="s">
        <v>591</v>
      </c>
      <c r="J2872" s="51" t="s">
        <v>577</v>
      </c>
      <c r="K2872" s="51">
        <f>VLOOKUP(J2872,'Validacion reclamo de equipaje'!L:M,2,0)</f>
        <v>78</v>
      </c>
      <c r="L2872" s="51" t="str">
        <f>VLOOKUP(I2872,'Validacion reclamo de equipaje'!H:I,2,0)</f>
        <v>Internacional</v>
      </c>
      <c r="M2872" s="51" t="s">
        <v>523</v>
      </c>
    </row>
    <row r="2873" spans="1:13" x14ac:dyDescent="0.25">
      <c r="A2873">
        <v>2927</v>
      </c>
      <c r="B2873" s="47" t="str">
        <f>VLOOKUP(Tabla6[[#This Row],['# Vuelo]],'Validacion reclamo de equipaje'!P:Q,2,0)</f>
        <v>VIAS AÉREAS DE USA</v>
      </c>
      <c r="C2873" s="52">
        <v>0.72013888888888899</v>
      </c>
      <c r="D2873" s="52">
        <v>0.72569444444444453</v>
      </c>
      <c r="E2873" s="53">
        <f>'Reclamo de equipaje rediseñado'!$D2873-'Reclamo de equipaje rediseñado'!$C2873</f>
        <v>5.5555555555555358E-3</v>
      </c>
      <c r="F2873" s="52">
        <v>0.73819444444444438</v>
      </c>
      <c r="G2873" s="53">
        <f t="shared" si="44"/>
        <v>1.2499999999999845E-2</v>
      </c>
      <c r="H2873" s="54">
        <v>41749</v>
      </c>
      <c r="I2873" s="55" t="s">
        <v>591</v>
      </c>
      <c r="J2873" s="55" t="s">
        <v>577</v>
      </c>
      <c r="K2873" s="55">
        <f>VLOOKUP(J2873,'Validacion reclamo de equipaje'!L:M,2,0)</f>
        <v>78</v>
      </c>
      <c r="L2873" s="55" t="str">
        <f>VLOOKUP(I2873,'Validacion reclamo de equipaje'!H:I,2,0)</f>
        <v>Internacional</v>
      </c>
      <c r="M2873" s="55" t="s">
        <v>523</v>
      </c>
    </row>
    <row r="2874" spans="1:13" x14ac:dyDescent="0.25">
      <c r="A2874">
        <v>2927</v>
      </c>
      <c r="B2874" s="47" t="str">
        <f>VLOOKUP(Tabla6[[#This Row],['# Vuelo]],'Validacion reclamo de equipaje'!P:Q,2,0)</f>
        <v>VIAS AÉREAS DE USA</v>
      </c>
      <c r="C2874" s="48">
        <v>0.71875</v>
      </c>
      <c r="D2874" s="48">
        <v>0.72777777777777775</v>
      </c>
      <c r="E2874" s="49">
        <f>'Reclamo de equipaje rediseñado'!$D2874-'Reclamo de equipaje rediseñado'!$C2874</f>
        <v>9.0277777777777457E-3</v>
      </c>
      <c r="F2874" s="48">
        <v>0.73472222222222217</v>
      </c>
      <c r="G2874" s="49">
        <f t="shared" si="44"/>
        <v>6.9444444444444198E-3</v>
      </c>
      <c r="H2874" s="50">
        <v>41750</v>
      </c>
      <c r="I2874" s="51" t="s">
        <v>591</v>
      </c>
      <c r="J2874" s="51" t="s">
        <v>577</v>
      </c>
      <c r="K2874" s="51">
        <f>VLOOKUP(J2874,'Validacion reclamo de equipaje'!L:M,2,0)</f>
        <v>78</v>
      </c>
      <c r="L2874" s="51" t="str">
        <f>VLOOKUP(I2874,'Validacion reclamo de equipaje'!H:I,2,0)</f>
        <v>Internacional</v>
      </c>
      <c r="M2874" s="51" t="s">
        <v>523</v>
      </c>
    </row>
    <row r="2875" spans="1:13" x14ac:dyDescent="0.25">
      <c r="A2875">
        <v>2927</v>
      </c>
      <c r="B2875" s="47" t="str">
        <f>VLOOKUP(Tabla6[[#This Row],['# Vuelo]],'Validacion reclamo de equipaje'!P:Q,2,0)</f>
        <v>VIAS AÉREAS DE USA</v>
      </c>
      <c r="C2875" s="52">
        <v>0.71666666666666667</v>
      </c>
      <c r="D2875" s="52">
        <v>0.72430555555555554</v>
      </c>
      <c r="E2875" s="53">
        <f>'Reclamo de equipaje rediseñado'!$D2875-'Reclamo de equipaje rediseñado'!$C2875</f>
        <v>7.6388888888888618E-3</v>
      </c>
      <c r="F2875" s="52">
        <v>0.72986111111111107</v>
      </c>
      <c r="G2875" s="53">
        <f t="shared" si="44"/>
        <v>5.5555555555555358E-3</v>
      </c>
      <c r="H2875" s="54">
        <v>41753</v>
      </c>
      <c r="I2875" s="55" t="s">
        <v>591</v>
      </c>
      <c r="J2875" s="55" t="s">
        <v>577</v>
      </c>
      <c r="K2875" s="55">
        <f>VLOOKUP(J2875,'Validacion reclamo de equipaje'!L:M,2,0)</f>
        <v>78</v>
      </c>
      <c r="L2875" s="55" t="str">
        <f>VLOOKUP(I2875,'Validacion reclamo de equipaje'!H:I,2,0)</f>
        <v>Internacional</v>
      </c>
      <c r="M2875" s="55" t="s">
        <v>523</v>
      </c>
    </row>
    <row r="2876" spans="1:13" x14ac:dyDescent="0.25">
      <c r="A2876">
        <v>2927</v>
      </c>
      <c r="B2876" s="47" t="str">
        <f>VLOOKUP(Tabla6[[#This Row],['# Vuelo]],'Validacion reclamo de equipaje'!P:Q,2,0)</f>
        <v>VIAS AÉREAS DE USA</v>
      </c>
      <c r="C2876" s="48">
        <v>0.77916666666666667</v>
      </c>
      <c r="D2876" s="48">
        <v>0.7895833333333333</v>
      </c>
      <c r="E2876" s="49">
        <f>'Reclamo de equipaje rediseñado'!$D2876-'Reclamo de equipaje rediseñado'!$C2876</f>
        <v>1.041666666666663E-2</v>
      </c>
      <c r="F2876" s="48">
        <v>0.7944444444444444</v>
      </c>
      <c r="G2876" s="49">
        <f t="shared" si="44"/>
        <v>4.8611111111110938E-3</v>
      </c>
      <c r="H2876" s="50">
        <v>41754</v>
      </c>
      <c r="I2876" s="51" t="s">
        <v>591</v>
      </c>
      <c r="J2876" s="51" t="s">
        <v>577</v>
      </c>
      <c r="K2876" s="51">
        <f>VLOOKUP(J2876,'Validacion reclamo de equipaje'!L:M,2,0)</f>
        <v>78</v>
      </c>
      <c r="L2876" s="51" t="str">
        <f>VLOOKUP(I2876,'Validacion reclamo de equipaje'!H:I,2,0)</f>
        <v>Internacional</v>
      </c>
      <c r="M2876" s="51" t="s">
        <v>523</v>
      </c>
    </row>
    <row r="2877" spans="1:13" x14ac:dyDescent="0.25">
      <c r="A2877">
        <v>2927</v>
      </c>
      <c r="B2877" s="47" t="str">
        <f>VLOOKUP(Tabla6[[#This Row],['# Vuelo]],'Validacion reclamo de equipaje'!P:Q,2,0)</f>
        <v>VIAS AÉREAS DE USA</v>
      </c>
      <c r="C2877" s="52">
        <v>0.70416666666666661</v>
      </c>
      <c r="D2877" s="52">
        <v>0.71180555555555547</v>
      </c>
      <c r="E2877" s="53">
        <f>'Reclamo de equipaje rediseñado'!$D2877-'Reclamo de equipaje rediseñado'!$C2877</f>
        <v>7.6388888888888618E-3</v>
      </c>
      <c r="F2877" s="52">
        <v>0.72361111111111109</v>
      </c>
      <c r="G2877" s="53">
        <f t="shared" si="44"/>
        <v>1.1805555555555625E-2</v>
      </c>
      <c r="H2877" s="54">
        <v>41754</v>
      </c>
      <c r="I2877" s="55" t="s">
        <v>591</v>
      </c>
      <c r="J2877" s="55" t="s">
        <v>577</v>
      </c>
      <c r="K2877" s="55">
        <f>VLOOKUP(J2877,'Validacion reclamo de equipaje'!L:M,2,0)</f>
        <v>78</v>
      </c>
      <c r="L2877" s="55" t="str">
        <f>VLOOKUP(I2877,'Validacion reclamo de equipaje'!H:I,2,0)</f>
        <v>Internacional</v>
      </c>
      <c r="M2877" s="55" t="s">
        <v>523</v>
      </c>
    </row>
    <row r="2878" spans="1:13" x14ac:dyDescent="0.25">
      <c r="A2878">
        <v>2927</v>
      </c>
      <c r="B2878" s="47" t="str">
        <f>VLOOKUP(Tabla6[[#This Row],['# Vuelo]],'Validacion reclamo de equipaje'!P:Q,2,0)</f>
        <v>VIAS AÉREAS DE USA</v>
      </c>
      <c r="C2878" s="48">
        <v>0.7006944444444444</v>
      </c>
      <c r="D2878" s="48">
        <v>0.70694444444444438</v>
      </c>
      <c r="E2878" s="49">
        <f>'Reclamo de equipaje rediseñado'!$D2878-'Reclamo de equipaje rediseñado'!$C2878</f>
        <v>6.2499999999999778E-3</v>
      </c>
      <c r="F2878" s="48">
        <v>0.71736111111111101</v>
      </c>
      <c r="G2878" s="49">
        <f t="shared" si="44"/>
        <v>1.041666666666663E-2</v>
      </c>
      <c r="H2878" s="50">
        <v>41756</v>
      </c>
      <c r="I2878" s="51" t="s">
        <v>591</v>
      </c>
      <c r="J2878" s="51" t="s">
        <v>577</v>
      </c>
      <c r="K2878" s="51">
        <f>VLOOKUP(J2878,'Validacion reclamo de equipaje'!L:M,2,0)</f>
        <v>78</v>
      </c>
      <c r="L2878" s="51" t="str">
        <f>VLOOKUP(I2878,'Validacion reclamo de equipaje'!H:I,2,0)</f>
        <v>Internacional</v>
      </c>
      <c r="M2878" s="51" t="s">
        <v>523</v>
      </c>
    </row>
    <row r="2879" spans="1:13" x14ac:dyDescent="0.25">
      <c r="A2879">
        <v>2927</v>
      </c>
      <c r="B2879" s="47" t="str">
        <f>VLOOKUP(Tabla6[[#This Row],['# Vuelo]],'Validacion reclamo de equipaje'!P:Q,2,0)</f>
        <v>VIAS AÉREAS DE USA</v>
      </c>
      <c r="C2879" s="52">
        <v>0.71458333333333324</v>
      </c>
      <c r="D2879" s="52">
        <v>0.72013888888888899</v>
      </c>
      <c r="E2879" s="53">
        <f>'Reclamo de equipaje rediseñado'!$D2879-'Reclamo de equipaje rediseñado'!$C2879</f>
        <v>5.5555555555557579E-3</v>
      </c>
      <c r="F2879" s="52">
        <v>0.72638888888888886</v>
      </c>
      <c r="G2879" s="53">
        <f t="shared" si="44"/>
        <v>6.2499999999998668E-3</v>
      </c>
      <c r="H2879" s="54">
        <v>41757</v>
      </c>
      <c r="I2879" s="55" t="s">
        <v>591</v>
      </c>
      <c r="J2879" s="55" t="s">
        <v>577</v>
      </c>
      <c r="K2879" s="55">
        <f>VLOOKUP(J2879,'Validacion reclamo de equipaje'!L:M,2,0)</f>
        <v>78</v>
      </c>
      <c r="L2879" s="55" t="str">
        <f>VLOOKUP(I2879,'Validacion reclamo de equipaje'!H:I,2,0)</f>
        <v>Internacional</v>
      </c>
      <c r="M2879" s="55" t="s">
        <v>523</v>
      </c>
    </row>
    <row r="2880" spans="1:13" x14ac:dyDescent="0.25">
      <c r="A2880">
        <v>2927</v>
      </c>
      <c r="B2880" s="47" t="str">
        <f>VLOOKUP(Tabla6[[#This Row],['# Vuelo]],'Validacion reclamo de equipaje'!P:Q,2,0)</f>
        <v>VIAS AÉREAS DE USA</v>
      </c>
      <c r="C2880" s="48">
        <v>0.71458333333333324</v>
      </c>
      <c r="D2880" s="48">
        <v>0.72291666666666676</v>
      </c>
      <c r="E2880" s="49">
        <f>'Reclamo de equipaje rediseñado'!$D2880-'Reclamo de equipaje rediseñado'!$C2880</f>
        <v>8.3333333333335258E-3</v>
      </c>
      <c r="F2880" s="48">
        <v>0.73263888888888884</v>
      </c>
      <c r="G2880" s="49">
        <f t="shared" si="44"/>
        <v>9.7222222222220767E-3</v>
      </c>
      <c r="H2880" s="50">
        <v>41758</v>
      </c>
      <c r="I2880" s="51" t="s">
        <v>591</v>
      </c>
      <c r="J2880" s="51" t="s">
        <v>577</v>
      </c>
      <c r="K2880" s="51">
        <f>VLOOKUP(J2880,'Validacion reclamo de equipaje'!L:M,2,0)</f>
        <v>78</v>
      </c>
      <c r="L2880" s="51" t="str">
        <f>VLOOKUP(I2880,'Validacion reclamo de equipaje'!H:I,2,0)</f>
        <v>Internacional</v>
      </c>
      <c r="M2880" s="51" t="s">
        <v>523</v>
      </c>
    </row>
    <row r="2881" spans="1:13" x14ac:dyDescent="0.25">
      <c r="A2881">
        <v>2927</v>
      </c>
      <c r="B2881" s="47" t="str">
        <f>VLOOKUP(Tabla6[[#This Row],['# Vuelo]],'Validacion reclamo de equipaje'!P:Q,2,0)</f>
        <v>VIAS AÉREAS DE USA</v>
      </c>
      <c r="C2881" s="52">
        <v>0.72222222222222221</v>
      </c>
      <c r="D2881" s="52">
        <v>0.77708333333333324</v>
      </c>
      <c r="E2881" s="53">
        <f>'Reclamo de equipaje rediseñado'!$D2881-'Reclamo de equipaje rediseñado'!$C2881</f>
        <v>5.4861111111111027E-2</v>
      </c>
      <c r="F2881" s="52">
        <v>0.79305555555555562</v>
      </c>
      <c r="G2881" s="53">
        <f t="shared" si="44"/>
        <v>1.5972222222222388E-2</v>
      </c>
      <c r="H2881" s="54">
        <v>41759</v>
      </c>
      <c r="I2881" s="55" t="s">
        <v>591</v>
      </c>
      <c r="J2881" s="55" t="s">
        <v>577</v>
      </c>
      <c r="K2881" s="55">
        <f>VLOOKUP(J2881,'Validacion reclamo de equipaje'!L:M,2,0)</f>
        <v>78</v>
      </c>
      <c r="L2881" s="55" t="str">
        <f>VLOOKUP(I2881,'Validacion reclamo de equipaje'!H:I,2,0)</f>
        <v>Internacional</v>
      </c>
      <c r="M2881" s="55" t="s">
        <v>523</v>
      </c>
    </row>
    <row r="2882" spans="1:13" x14ac:dyDescent="0.25">
      <c r="A2882">
        <v>2927</v>
      </c>
      <c r="B2882" s="47" t="str">
        <f>VLOOKUP(Tabla6[[#This Row],['# Vuelo]],'Validacion reclamo de equipaje'!P:Q,2,0)</f>
        <v>VIAS AÉREAS DE USA</v>
      </c>
      <c r="C2882" s="48">
        <v>0.72361111111111109</v>
      </c>
      <c r="D2882" s="48">
        <v>0.73125000000000007</v>
      </c>
      <c r="E2882" s="49">
        <f>'Reclamo de equipaje rediseñado'!$D2882-'Reclamo de equipaje rediseñado'!$C2882</f>
        <v>7.6388888888889728E-3</v>
      </c>
      <c r="F2882" s="48">
        <v>0.74722222222222223</v>
      </c>
      <c r="G2882" s="49">
        <f t="shared" si="44"/>
        <v>1.5972222222222165E-2</v>
      </c>
      <c r="H2882" s="50">
        <v>41751</v>
      </c>
      <c r="I2882" s="51" t="s">
        <v>591</v>
      </c>
      <c r="J2882" s="51" t="s">
        <v>577</v>
      </c>
      <c r="K2882" s="51">
        <f>VLOOKUP(J2882,'Validacion reclamo de equipaje'!L:M,2,0)</f>
        <v>78</v>
      </c>
      <c r="L2882" s="51" t="str">
        <f>VLOOKUP(I2882,'Validacion reclamo de equipaje'!H:I,2,0)</f>
        <v>Internacional</v>
      </c>
      <c r="M2882" s="51" t="s">
        <v>523</v>
      </c>
    </row>
    <row r="2883" spans="1:13" x14ac:dyDescent="0.25">
      <c r="A2883">
        <v>2927</v>
      </c>
      <c r="B2883" s="47" t="str">
        <f>VLOOKUP(Tabla6[[#This Row],['# Vuelo]],'Validacion reclamo de equipaje'!P:Q,2,0)</f>
        <v>VIAS AÉREAS DE USA</v>
      </c>
      <c r="C2883" s="52">
        <v>0.72361111111111109</v>
      </c>
      <c r="D2883" s="52">
        <v>0.73125000000000007</v>
      </c>
      <c r="E2883" s="53">
        <f>'Reclamo de equipaje rediseñado'!$D2883-'Reclamo de equipaje rediseñado'!$C2883</f>
        <v>7.6388888888889728E-3</v>
      </c>
      <c r="F2883" s="52">
        <v>0.74513888888888891</v>
      </c>
      <c r="G2883" s="53">
        <f t="shared" ref="G2883:G2946" si="45">F2883-D2883</f>
        <v>1.388888888888884E-2</v>
      </c>
      <c r="H2883" s="54">
        <v>41751</v>
      </c>
      <c r="I2883" s="55" t="s">
        <v>591</v>
      </c>
      <c r="J2883" s="55" t="s">
        <v>577</v>
      </c>
      <c r="K2883" s="55">
        <f>VLOOKUP(J2883,'Validacion reclamo de equipaje'!L:M,2,0)</f>
        <v>78</v>
      </c>
      <c r="L2883" s="55" t="str">
        <f>VLOOKUP(I2883,'Validacion reclamo de equipaje'!H:I,2,0)</f>
        <v>Internacional</v>
      </c>
      <c r="M2883" s="55" t="s">
        <v>523</v>
      </c>
    </row>
    <row r="2884" spans="1:13" x14ac:dyDescent="0.25">
      <c r="A2884">
        <v>2879</v>
      </c>
      <c r="B2884" s="47" t="str">
        <f>VLOOKUP(Tabla6[[#This Row],['# Vuelo]],'Validacion reclamo de equipaje'!P:Q,2,0)</f>
        <v>VIAS AÉREAS DE USA</v>
      </c>
      <c r="C2884" s="48">
        <v>0.92013888888888884</v>
      </c>
      <c r="D2884" s="48">
        <v>0.92986111111111114</v>
      </c>
      <c r="E2884" s="49">
        <f>'Reclamo de equipaje rediseñado'!$D2884-'Reclamo de equipaje rediseñado'!$C2884</f>
        <v>9.7222222222222987E-3</v>
      </c>
      <c r="F2884" s="48">
        <v>0.9375</v>
      </c>
      <c r="G2884" s="49">
        <f t="shared" si="45"/>
        <v>7.6388888888888618E-3</v>
      </c>
      <c r="H2884" s="50">
        <v>41731</v>
      </c>
      <c r="I2884" s="51" t="s">
        <v>591</v>
      </c>
      <c r="J2884" s="51" t="s">
        <v>611</v>
      </c>
      <c r="K2884" s="51">
        <f>VLOOKUP(J2884,'Validacion reclamo de equipaje'!L:M,2,0)</f>
        <v>78</v>
      </c>
      <c r="L2884" s="51" t="str">
        <f>VLOOKUP(I2884,'Validacion reclamo de equipaje'!H:I,2,0)</f>
        <v>Internacional</v>
      </c>
      <c r="M2884" s="51" t="s">
        <v>523</v>
      </c>
    </row>
    <row r="2885" spans="1:13" x14ac:dyDescent="0.25">
      <c r="A2885">
        <v>2879</v>
      </c>
      <c r="B2885" s="47" t="str">
        <f>VLOOKUP(Tabla6[[#This Row],['# Vuelo]],'Validacion reclamo de equipaje'!P:Q,2,0)</f>
        <v>VIAS AÉREAS DE USA</v>
      </c>
      <c r="C2885" s="52">
        <v>0.9194444444444444</v>
      </c>
      <c r="D2885" s="52">
        <v>0.92569444444444438</v>
      </c>
      <c r="E2885" s="53">
        <f>'Reclamo de equipaje rediseñado'!$D2885-'Reclamo de equipaje rediseñado'!$C2885</f>
        <v>6.2499999999999778E-3</v>
      </c>
      <c r="F2885" s="52">
        <v>0.93472222222222223</v>
      </c>
      <c r="G2885" s="53">
        <f t="shared" si="45"/>
        <v>9.0277777777778567E-3</v>
      </c>
      <c r="H2885" s="54">
        <v>41732</v>
      </c>
      <c r="I2885" s="55" t="s">
        <v>591</v>
      </c>
      <c r="J2885" s="55" t="s">
        <v>611</v>
      </c>
      <c r="K2885" s="55">
        <f>VLOOKUP(J2885,'Validacion reclamo de equipaje'!L:M,2,0)</f>
        <v>78</v>
      </c>
      <c r="L2885" s="55" t="str">
        <f>VLOOKUP(I2885,'Validacion reclamo de equipaje'!H:I,2,0)</f>
        <v>Internacional</v>
      </c>
      <c r="M2885" s="55" t="s">
        <v>523</v>
      </c>
    </row>
    <row r="2886" spans="1:13" x14ac:dyDescent="0.25">
      <c r="A2886">
        <v>2879</v>
      </c>
      <c r="B2886" s="47" t="str">
        <f>VLOOKUP(Tabla6[[#This Row],['# Vuelo]],'Validacion reclamo de equipaje'!P:Q,2,0)</f>
        <v>VIAS AÉREAS DE USA</v>
      </c>
      <c r="C2886" s="48">
        <v>0.92083333333333339</v>
      </c>
      <c r="D2886" s="48">
        <v>0.93125000000000002</v>
      </c>
      <c r="E2886" s="49">
        <f>'Reclamo de equipaje rediseñado'!$D2886-'Reclamo de equipaje rediseñado'!$C2886</f>
        <v>1.041666666666663E-2</v>
      </c>
      <c r="F2886" s="48">
        <v>0.94166666666666676</v>
      </c>
      <c r="G2886" s="49">
        <f t="shared" si="45"/>
        <v>1.0416666666666741E-2</v>
      </c>
      <c r="H2886" s="50">
        <v>41734</v>
      </c>
      <c r="I2886" s="51" t="s">
        <v>591</v>
      </c>
      <c r="J2886" s="51" t="s">
        <v>611</v>
      </c>
      <c r="K2886" s="51">
        <f>VLOOKUP(J2886,'Validacion reclamo de equipaje'!L:M,2,0)</f>
        <v>78</v>
      </c>
      <c r="L2886" s="51" t="str">
        <f>VLOOKUP(I2886,'Validacion reclamo de equipaje'!H:I,2,0)</f>
        <v>Internacional</v>
      </c>
      <c r="M2886" s="51" t="s">
        <v>523</v>
      </c>
    </row>
    <row r="2887" spans="1:13" x14ac:dyDescent="0.25">
      <c r="A2887">
        <v>2879</v>
      </c>
      <c r="B2887" s="47" t="str">
        <f>VLOOKUP(Tabla6[[#This Row],['# Vuelo]],'Validacion reclamo de equipaje'!P:Q,2,0)</f>
        <v>VIAS AÉREAS DE USA</v>
      </c>
      <c r="C2887" s="52">
        <v>0.92986111111111114</v>
      </c>
      <c r="D2887" s="52">
        <v>0.93958333333333333</v>
      </c>
      <c r="E2887" s="53">
        <f>'Reclamo de equipaje rediseñado'!$D2887-'Reclamo de equipaje rediseñado'!$C2887</f>
        <v>9.7222222222221877E-3</v>
      </c>
      <c r="F2887" s="52">
        <v>0.94791666666666663</v>
      </c>
      <c r="G2887" s="53">
        <f t="shared" si="45"/>
        <v>8.3333333333333037E-3</v>
      </c>
      <c r="H2887" s="54">
        <v>41733</v>
      </c>
      <c r="I2887" s="55" t="s">
        <v>591</v>
      </c>
      <c r="J2887" s="55" t="s">
        <v>611</v>
      </c>
      <c r="K2887" s="55">
        <f>VLOOKUP(J2887,'Validacion reclamo de equipaje'!L:M,2,0)</f>
        <v>78</v>
      </c>
      <c r="L2887" s="55" t="str">
        <f>VLOOKUP(I2887,'Validacion reclamo de equipaje'!H:I,2,0)</f>
        <v>Internacional</v>
      </c>
      <c r="M2887" s="55" t="s">
        <v>523</v>
      </c>
    </row>
    <row r="2888" spans="1:13" x14ac:dyDescent="0.25">
      <c r="A2888">
        <v>2879</v>
      </c>
      <c r="B2888" s="47" t="str">
        <f>VLOOKUP(Tabla6[[#This Row],['# Vuelo]],'Validacion reclamo de equipaje'!P:Q,2,0)</f>
        <v>VIAS AÉREAS DE USA</v>
      </c>
      <c r="C2888" s="48">
        <v>0.92986111111111114</v>
      </c>
      <c r="D2888" s="48">
        <v>0.93958333333333333</v>
      </c>
      <c r="E2888" s="49">
        <f>'Reclamo de equipaje rediseñado'!$D2888-'Reclamo de equipaje rediseñado'!$C2888</f>
        <v>9.7222222222221877E-3</v>
      </c>
      <c r="F2888" s="48">
        <v>0.94791666666666663</v>
      </c>
      <c r="G2888" s="49">
        <f t="shared" si="45"/>
        <v>8.3333333333333037E-3</v>
      </c>
      <c r="H2888" s="50">
        <v>41733</v>
      </c>
      <c r="I2888" s="51" t="s">
        <v>591</v>
      </c>
      <c r="J2888" s="51" t="s">
        <v>611</v>
      </c>
      <c r="K2888" s="51">
        <f>VLOOKUP(J2888,'Validacion reclamo de equipaje'!L:M,2,0)</f>
        <v>78</v>
      </c>
      <c r="L2888" s="51" t="str">
        <f>VLOOKUP(I2888,'Validacion reclamo de equipaje'!H:I,2,0)</f>
        <v>Internacional</v>
      </c>
      <c r="M2888" s="51" t="s">
        <v>523</v>
      </c>
    </row>
    <row r="2889" spans="1:13" x14ac:dyDescent="0.25">
      <c r="A2889">
        <v>2879</v>
      </c>
      <c r="B2889" s="47" t="str">
        <f>VLOOKUP(Tabla6[[#This Row],['# Vuelo]],'Validacion reclamo de equipaje'!P:Q,2,0)</f>
        <v>VIAS AÉREAS DE USA</v>
      </c>
      <c r="C2889" s="52">
        <v>0.96250000000000002</v>
      </c>
      <c r="D2889" s="52">
        <v>0.97083333333333333</v>
      </c>
      <c r="E2889" s="53">
        <f>'Reclamo de equipaje rediseñado'!$D2889-'Reclamo de equipaje rediseñado'!$C2889</f>
        <v>8.3333333333333037E-3</v>
      </c>
      <c r="F2889" s="52">
        <v>0.97916666666666663</v>
      </c>
      <c r="G2889" s="53">
        <f t="shared" si="45"/>
        <v>8.3333333333333037E-3</v>
      </c>
      <c r="H2889" s="54">
        <v>41735</v>
      </c>
      <c r="I2889" s="55" t="s">
        <v>591</v>
      </c>
      <c r="J2889" s="55" t="s">
        <v>611</v>
      </c>
      <c r="K2889" s="55">
        <f>VLOOKUP(J2889,'Validacion reclamo de equipaje'!L:M,2,0)</f>
        <v>78</v>
      </c>
      <c r="L2889" s="55" t="str">
        <f>VLOOKUP(I2889,'Validacion reclamo de equipaje'!H:I,2,0)</f>
        <v>Internacional</v>
      </c>
      <c r="M2889" s="55" t="s">
        <v>523</v>
      </c>
    </row>
    <row r="2890" spans="1:13" x14ac:dyDescent="0.25">
      <c r="A2890">
        <v>2879</v>
      </c>
      <c r="B2890" s="47" t="str">
        <f>VLOOKUP(Tabla6[[#This Row],['# Vuelo]],'Validacion reclamo de equipaje'!P:Q,2,0)</f>
        <v>VIAS AÉREAS DE USA</v>
      </c>
      <c r="C2890" s="48">
        <v>0.96597222222222223</v>
      </c>
      <c r="D2890" s="48">
        <v>0.97986111111111107</v>
      </c>
      <c r="E2890" s="49">
        <f>'Reclamo de equipaje rediseñado'!$D2890-'Reclamo de equipaje rediseñado'!$C2890</f>
        <v>1.388888888888884E-2</v>
      </c>
      <c r="F2890" s="48">
        <v>0.98611111111111116</v>
      </c>
      <c r="G2890" s="49">
        <f t="shared" si="45"/>
        <v>6.2500000000000888E-3</v>
      </c>
      <c r="H2890" s="50">
        <v>41736</v>
      </c>
      <c r="I2890" s="51" t="s">
        <v>591</v>
      </c>
      <c r="J2890" s="51" t="s">
        <v>611</v>
      </c>
      <c r="K2890" s="51">
        <f>VLOOKUP(J2890,'Validacion reclamo de equipaje'!L:M,2,0)</f>
        <v>78</v>
      </c>
      <c r="L2890" s="51" t="str">
        <f>VLOOKUP(I2890,'Validacion reclamo de equipaje'!H:I,2,0)</f>
        <v>Internacional</v>
      </c>
      <c r="M2890" s="51" t="s">
        <v>523</v>
      </c>
    </row>
    <row r="2891" spans="1:13" x14ac:dyDescent="0.25">
      <c r="A2891">
        <v>2879</v>
      </c>
      <c r="B2891" s="47" t="str">
        <f>VLOOKUP(Tabla6[[#This Row],['# Vuelo]],'Validacion reclamo de equipaje'!P:Q,2,0)</f>
        <v>VIAS AÉREAS DE USA</v>
      </c>
      <c r="C2891" s="52">
        <v>0.96527777777777779</v>
      </c>
      <c r="D2891" s="52">
        <v>0.97222222222222221</v>
      </c>
      <c r="E2891" s="53">
        <f>'Reclamo de equipaje rediseñado'!$D2891-'Reclamo de equipaje rediseñado'!$C2891</f>
        <v>6.9444444444444198E-3</v>
      </c>
      <c r="F2891" s="52">
        <v>0.9819444444444444</v>
      </c>
      <c r="G2891" s="53">
        <f t="shared" si="45"/>
        <v>9.7222222222221877E-3</v>
      </c>
      <c r="H2891" s="54">
        <v>41737</v>
      </c>
      <c r="I2891" s="55" t="s">
        <v>591</v>
      </c>
      <c r="J2891" s="55" t="s">
        <v>611</v>
      </c>
      <c r="K2891" s="55">
        <f>VLOOKUP(J2891,'Validacion reclamo de equipaje'!L:M,2,0)</f>
        <v>78</v>
      </c>
      <c r="L2891" s="55" t="str">
        <f>VLOOKUP(I2891,'Validacion reclamo de equipaje'!H:I,2,0)</f>
        <v>Internacional</v>
      </c>
      <c r="M2891" s="55" t="s">
        <v>523</v>
      </c>
    </row>
    <row r="2892" spans="1:13" x14ac:dyDescent="0.25">
      <c r="A2892">
        <v>2879</v>
      </c>
      <c r="B2892" s="47" t="str">
        <f>VLOOKUP(Tabla6[[#This Row],['# Vuelo]],'Validacion reclamo de equipaje'!P:Q,2,0)</f>
        <v>VIAS AÉREAS DE USA</v>
      </c>
      <c r="C2892" s="48">
        <v>0.96597222222222223</v>
      </c>
      <c r="D2892" s="48">
        <v>0.97430555555555554</v>
      </c>
      <c r="E2892" s="49">
        <f>'Reclamo de equipaje rediseñado'!$D2892-'Reclamo de equipaje rediseñado'!$C2892</f>
        <v>8.3333333333333037E-3</v>
      </c>
      <c r="F2892" s="48">
        <v>0.98402777777777783</v>
      </c>
      <c r="G2892" s="49">
        <f t="shared" si="45"/>
        <v>9.7222222222222987E-3</v>
      </c>
      <c r="H2892" s="50">
        <v>41738</v>
      </c>
      <c r="I2892" s="51" t="s">
        <v>591</v>
      </c>
      <c r="J2892" s="51" t="s">
        <v>611</v>
      </c>
      <c r="K2892" s="51">
        <f>VLOOKUP(J2892,'Validacion reclamo de equipaje'!L:M,2,0)</f>
        <v>78</v>
      </c>
      <c r="L2892" s="51" t="str">
        <f>VLOOKUP(I2892,'Validacion reclamo de equipaje'!H:I,2,0)</f>
        <v>Internacional</v>
      </c>
      <c r="M2892" s="51" t="s">
        <v>523</v>
      </c>
    </row>
    <row r="2893" spans="1:13" x14ac:dyDescent="0.25">
      <c r="A2893">
        <v>2879</v>
      </c>
      <c r="B2893" s="47" t="str">
        <f>VLOOKUP(Tabla6[[#This Row],['# Vuelo]],'Validacion reclamo de equipaje'!P:Q,2,0)</f>
        <v>VIAS AÉREAS DE USA</v>
      </c>
      <c r="C2893" s="52">
        <v>0.96180555555555547</v>
      </c>
      <c r="D2893" s="52">
        <v>0.96944444444444444</v>
      </c>
      <c r="E2893" s="53">
        <f>'Reclamo de equipaje rediseñado'!$D2893-'Reclamo de equipaje rediseñado'!$C2893</f>
        <v>7.6388888888889728E-3</v>
      </c>
      <c r="F2893" s="52">
        <v>0.9819444444444444</v>
      </c>
      <c r="G2893" s="53">
        <f t="shared" si="45"/>
        <v>1.2499999999999956E-2</v>
      </c>
      <c r="H2893" s="54">
        <v>41739</v>
      </c>
      <c r="I2893" s="55" t="s">
        <v>591</v>
      </c>
      <c r="J2893" s="55" t="s">
        <v>611</v>
      </c>
      <c r="K2893" s="55">
        <f>VLOOKUP(J2893,'Validacion reclamo de equipaje'!L:M,2,0)</f>
        <v>78</v>
      </c>
      <c r="L2893" s="55" t="str">
        <f>VLOOKUP(I2893,'Validacion reclamo de equipaje'!H:I,2,0)</f>
        <v>Internacional</v>
      </c>
      <c r="M2893" s="55" t="s">
        <v>523</v>
      </c>
    </row>
    <row r="2894" spans="1:13" x14ac:dyDescent="0.25">
      <c r="A2894">
        <v>2879</v>
      </c>
      <c r="B2894" s="47" t="str">
        <f>VLOOKUP(Tabla6[[#This Row],['# Vuelo]],'Validacion reclamo de equipaje'!P:Q,2,0)</f>
        <v>VIAS AÉREAS DE USA</v>
      </c>
      <c r="C2894" s="48">
        <v>0.97291666666666676</v>
      </c>
      <c r="D2894" s="48">
        <v>0.98333333333333339</v>
      </c>
      <c r="E2894" s="49">
        <f>'Reclamo de equipaje rediseñado'!$D2894-'Reclamo de equipaje rediseñado'!$C2894</f>
        <v>1.041666666666663E-2</v>
      </c>
      <c r="F2894" s="48">
        <v>0.99305555555555547</v>
      </c>
      <c r="G2894" s="49">
        <f t="shared" si="45"/>
        <v>9.7222222222220767E-3</v>
      </c>
      <c r="H2894" s="50">
        <v>41740</v>
      </c>
      <c r="I2894" s="51" t="s">
        <v>591</v>
      </c>
      <c r="J2894" s="51" t="s">
        <v>611</v>
      </c>
      <c r="K2894" s="51">
        <f>VLOOKUP(J2894,'Validacion reclamo de equipaje'!L:M,2,0)</f>
        <v>78</v>
      </c>
      <c r="L2894" s="51" t="str">
        <f>VLOOKUP(I2894,'Validacion reclamo de equipaje'!H:I,2,0)</f>
        <v>Internacional</v>
      </c>
      <c r="M2894" s="51" t="s">
        <v>523</v>
      </c>
    </row>
    <row r="2895" spans="1:13" x14ac:dyDescent="0.25">
      <c r="A2895">
        <v>2879</v>
      </c>
      <c r="B2895" s="47" t="str">
        <f>VLOOKUP(Tabla6[[#This Row],['# Vuelo]],'Validacion reclamo de equipaje'!P:Q,2,0)</f>
        <v>VIAS AÉREAS DE USA</v>
      </c>
      <c r="C2895" s="52">
        <v>0.92152777777777783</v>
      </c>
      <c r="D2895" s="52">
        <v>0.92847222222222225</v>
      </c>
      <c r="E2895" s="53">
        <f>'Reclamo de equipaje rediseñado'!$D2895-'Reclamo de equipaje rediseñado'!$C2895</f>
        <v>6.9444444444444198E-3</v>
      </c>
      <c r="F2895" s="52">
        <v>0.93541666666666667</v>
      </c>
      <c r="G2895" s="53">
        <f t="shared" si="45"/>
        <v>6.9444444444444198E-3</v>
      </c>
      <c r="H2895" s="54">
        <v>41742</v>
      </c>
      <c r="I2895" s="55" t="s">
        <v>591</v>
      </c>
      <c r="J2895" s="55" t="s">
        <v>611</v>
      </c>
      <c r="K2895" s="55">
        <f>VLOOKUP(J2895,'Validacion reclamo de equipaje'!L:M,2,0)</f>
        <v>78</v>
      </c>
      <c r="L2895" s="55" t="str">
        <f>VLOOKUP(I2895,'Validacion reclamo de equipaje'!H:I,2,0)</f>
        <v>Internacional</v>
      </c>
      <c r="M2895" s="55" t="s">
        <v>523</v>
      </c>
    </row>
    <row r="2896" spans="1:13" x14ac:dyDescent="0.25">
      <c r="A2896">
        <v>2879</v>
      </c>
      <c r="B2896" s="47" t="str">
        <f>VLOOKUP(Tabla6[[#This Row],['# Vuelo]],'Validacion reclamo de equipaje'!P:Q,2,0)</f>
        <v>VIAS AÉREAS DE USA</v>
      </c>
      <c r="C2896" s="48">
        <v>0.96736111111111101</v>
      </c>
      <c r="D2896" s="48">
        <v>0.97430555555555554</v>
      </c>
      <c r="E2896" s="49">
        <f>'Reclamo de equipaje rediseñado'!$D2896-'Reclamo de equipaje rediseñado'!$C2896</f>
        <v>6.9444444444445308E-3</v>
      </c>
      <c r="F2896" s="48">
        <v>0.98263888888888884</v>
      </c>
      <c r="G2896" s="49">
        <f t="shared" si="45"/>
        <v>8.3333333333333037E-3</v>
      </c>
      <c r="H2896" s="50">
        <v>41743</v>
      </c>
      <c r="I2896" s="51" t="s">
        <v>591</v>
      </c>
      <c r="J2896" s="51" t="s">
        <v>611</v>
      </c>
      <c r="K2896" s="51">
        <f>VLOOKUP(J2896,'Validacion reclamo de equipaje'!L:M,2,0)</f>
        <v>78</v>
      </c>
      <c r="L2896" s="51" t="str">
        <f>VLOOKUP(I2896,'Validacion reclamo de equipaje'!H:I,2,0)</f>
        <v>Internacional</v>
      </c>
      <c r="M2896" s="51" t="s">
        <v>523</v>
      </c>
    </row>
    <row r="2897" spans="1:13" x14ac:dyDescent="0.25">
      <c r="A2897">
        <v>2879</v>
      </c>
      <c r="B2897" s="47" t="str">
        <f>VLOOKUP(Tabla6[[#This Row],['# Vuelo]],'Validacion reclamo de equipaje'!P:Q,2,0)</f>
        <v>VIAS AÉREAS DE USA</v>
      </c>
      <c r="C2897" s="52">
        <v>0.95694444444444438</v>
      </c>
      <c r="D2897" s="52">
        <v>0.96388888888888891</v>
      </c>
      <c r="E2897" s="53">
        <f>'Reclamo de equipaje rediseñado'!$D2897-'Reclamo de equipaje rediseñado'!$C2897</f>
        <v>6.9444444444445308E-3</v>
      </c>
      <c r="F2897" s="52">
        <v>0.97083333333333333</v>
      </c>
      <c r="G2897" s="53">
        <f t="shared" si="45"/>
        <v>6.9444444444444198E-3</v>
      </c>
      <c r="H2897" s="54">
        <v>41745</v>
      </c>
      <c r="I2897" s="55" t="s">
        <v>591</v>
      </c>
      <c r="J2897" s="55" t="s">
        <v>611</v>
      </c>
      <c r="K2897" s="55">
        <f>VLOOKUP(J2897,'Validacion reclamo de equipaje'!L:M,2,0)</f>
        <v>78</v>
      </c>
      <c r="L2897" s="55" t="str">
        <f>VLOOKUP(I2897,'Validacion reclamo de equipaje'!H:I,2,0)</f>
        <v>Internacional</v>
      </c>
      <c r="M2897" s="55" t="s">
        <v>523</v>
      </c>
    </row>
    <row r="2898" spans="1:13" x14ac:dyDescent="0.25">
      <c r="A2898">
        <v>2879</v>
      </c>
      <c r="B2898" s="47" t="str">
        <f>VLOOKUP(Tabla6[[#This Row],['# Vuelo]],'Validacion reclamo de equipaje'!P:Q,2,0)</f>
        <v>VIAS AÉREAS DE USA</v>
      </c>
      <c r="C2898" s="48">
        <v>0.96458333333333324</v>
      </c>
      <c r="D2898" s="48">
        <v>0.96875</v>
      </c>
      <c r="E2898" s="49">
        <f>'Reclamo de equipaje rediseñado'!$D2898-'Reclamo de equipaje rediseñado'!$C2898</f>
        <v>4.1666666666667629E-3</v>
      </c>
      <c r="F2898" s="48">
        <v>0.9819444444444444</v>
      </c>
      <c r="G2898" s="49">
        <f t="shared" si="45"/>
        <v>1.3194444444444398E-2</v>
      </c>
      <c r="H2898" s="50">
        <v>41744</v>
      </c>
      <c r="I2898" s="51" t="s">
        <v>591</v>
      </c>
      <c r="J2898" s="51" t="s">
        <v>611</v>
      </c>
      <c r="K2898" s="51">
        <f>VLOOKUP(J2898,'Validacion reclamo de equipaje'!L:M,2,0)</f>
        <v>78</v>
      </c>
      <c r="L2898" s="51" t="str">
        <f>VLOOKUP(I2898,'Validacion reclamo de equipaje'!H:I,2,0)</f>
        <v>Internacional</v>
      </c>
      <c r="M2898" s="51" t="s">
        <v>523</v>
      </c>
    </row>
    <row r="2899" spans="1:13" x14ac:dyDescent="0.25">
      <c r="A2899">
        <v>2879</v>
      </c>
      <c r="B2899" s="47" t="str">
        <f>VLOOKUP(Tabla6[[#This Row],['# Vuelo]],'Validacion reclamo de equipaje'!P:Q,2,0)</f>
        <v>VIAS AÉREAS DE USA</v>
      </c>
      <c r="C2899" s="52">
        <v>0.96875</v>
      </c>
      <c r="D2899" s="52">
        <v>0.98055555555555562</v>
      </c>
      <c r="E2899" s="53">
        <f>'Reclamo de equipaje rediseñado'!$D2899-'Reclamo de equipaje rediseñado'!$C2899</f>
        <v>1.1805555555555625E-2</v>
      </c>
      <c r="F2899" s="52">
        <v>0.98611111111111116</v>
      </c>
      <c r="G2899" s="53">
        <f t="shared" si="45"/>
        <v>5.5555555555555358E-3</v>
      </c>
      <c r="H2899" s="54">
        <v>41746</v>
      </c>
      <c r="I2899" s="55" t="s">
        <v>591</v>
      </c>
      <c r="J2899" s="55" t="s">
        <v>611</v>
      </c>
      <c r="K2899" s="55">
        <f>VLOOKUP(J2899,'Validacion reclamo de equipaje'!L:M,2,0)</f>
        <v>78</v>
      </c>
      <c r="L2899" s="55" t="str">
        <f>VLOOKUP(I2899,'Validacion reclamo de equipaje'!H:I,2,0)</f>
        <v>Internacional</v>
      </c>
      <c r="M2899" s="55" t="s">
        <v>523</v>
      </c>
    </row>
    <row r="2900" spans="1:13" x14ac:dyDescent="0.25">
      <c r="A2900">
        <v>2879</v>
      </c>
      <c r="B2900" s="47" t="str">
        <f>VLOOKUP(Tabla6[[#This Row],['# Vuelo]],'Validacion reclamo de equipaje'!P:Q,2,0)</f>
        <v>VIAS AÉREAS DE USA</v>
      </c>
      <c r="C2900" s="48">
        <v>0.96805555555555556</v>
      </c>
      <c r="D2900" s="48">
        <v>0.98263888888888884</v>
      </c>
      <c r="E2900" s="49">
        <f>'Reclamo de equipaje rediseñado'!$D2900-'Reclamo de equipaje rediseñado'!$C2900</f>
        <v>1.4583333333333282E-2</v>
      </c>
      <c r="F2900" s="48">
        <v>1</v>
      </c>
      <c r="G2900" s="49">
        <f t="shared" si="45"/>
        <v>1.736111111111116E-2</v>
      </c>
      <c r="H2900" s="50">
        <v>41747</v>
      </c>
      <c r="I2900" s="51" t="s">
        <v>591</v>
      </c>
      <c r="J2900" s="51" t="s">
        <v>611</v>
      </c>
      <c r="K2900" s="51">
        <f>VLOOKUP(J2900,'Validacion reclamo de equipaje'!L:M,2,0)</f>
        <v>78</v>
      </c>
      <c r="L2900" s="51" t="str">
        <f>VLOOKUP(I2900,'Validacion reclamo de equipaje'!H:I,2,0)</f>
        <v>Internacional</v>
      </c>
      <c r="M2900" s="51" t="s">
        <v>523</v>
      </c>
    </row>
    <row r="2901" spans="1:13" x14ac:dyDescent="0.25">
      <c r="A2901">
        <v>2879</v>
      </c>
      <c r="B2901" s="47" t="str">
        <f>VLOOKUP(Tabla6[[#This Row],['# Vuelo]],'Validacion reclamo de equipaje'!P:Q,2,0)</f>
        <v>VIAS AÉREAS DE USA</v>
      </c>
      <c r="C2901" s="52">
        <v>0.97152777777777777</v>
      </c>
      <c r="D2901" s="52">
        <v>0.98472222222222217</v>
      </c>
      <c r="E2901" s="53">
        <f>'Reclamo de equipaje rediseñado'!$D2901-'Reclamo de equipaje rediseñado'!$C2901</f>
        <v>1.3194444444444398E-2</v>
      </c>
      <c r="F2901" s="52">
        <v>0.98958333333333337</v>
      </c>
      <c r="G2901" s="53">
        <f t="shared" si="45"/>
        <v>4.8611111111112049E-3</v>
      </c>
      <c r="H2901" s="54">
        <v>41749</v>
      </c>
      <c r="I2901" s="55" t="s">
        <v>591</v>
      </c>
      <c r="J2901" s="55" t="s">
        <v>611</v>
      </c>
      <c r="K2901" s="55">
        <f>VLOOKUP(J2901,'Validacion reclamo de equipaje'!L:M,2,0)</f>
        <v>78</v>
      </c>
      <c r="L2901" s="55" t="str">
        <f>VLOOKUP(I2901,'Validacion reclamo de equipaje'!H:I,2,0)</f>
        <v>Internacional</v>
      </c>
      <c r="M2901" s="55" t="s">
        <v>523</v>
      </c>
    </row>
    <row r="2902" spans="1:13" x14ac:dyDescent="0.25">
      <c r="A2902">
        <v>2879</v>
      </c>
      <c r="B2902" s="47" t="str">
        <f>VLOOKUP(Tabla6[[#This Row],['# Vuelo]],'Validacion reclamo de equipaje'!P:Q,2,0)</f>
        <v>VIAS AÉREAS DE USA</v>
      </c>
      <c r="C2902" s="48">
        <v>0.96805555555555556</v>
      </c>
      <c r="D2902" s="48">
        <v>0.97916666666666663</v>
      </c>
      <c r="E2902" s="49">
        <f>'Reclamo de equipaje rediseñado'!$D2902-'Reclamo de equipaje rediseñado'!$C2902</f>
        <v>1.1111111111111072E-2</v>
      </c>
      <c r="F2902" s="48">
        <v>0.98611111111111116</v>
      </c>
      <c r="G2902" s="49">
        <f t="shared" si="45"/>
        <v>6.9444444444445308E-3</v>
      </c>
      <c r="H2902" s="50">
        <v>41748</v>
      </c>
      <c r="I2902" s="51" t="s">
        <v>591</v>
      </c>
      <c r="J2902" s="51" t="s">
        <v>611</v>
      </c>
      <c r="K2902" s="51">
        <f>VLOOKUP(J2902,'Validacion reclamo de equipaje'!L:M,2,0)</f>
        <v>78</v>
      </c>
      <c r="L2902" s="51" t="str">
        <f>VLOOKUP(I2902,'Validacion reclamo de equipaje'!H:I,2,0)</f>
        <v>Internacional</v>
      </c>
      <c r="M2902" s="51" t="s">
        <v>523</v>
      </c>
    </row>
    <row r="2903" spans="1:13" x14ac:dyDescent="0.25">
      <c r="A2903">
        <v>2879</v>
      </c>
      <c r="B2903" s="47" t="str">
        <f>VLOOKUP(Tabla6[[#This Row],['# Vuelo]],'Validacion reclamo de equipaje'!P:Q,2,0)</f>
        <v>VIAS AÉREAS DE USA</v>
      </c>
      <c r="C2903" s="52">
        <v>0.9819444444444444</v>
      </c>
      <c r="D2903" s="52">
        <v>0.9902777777777777</v>
      </c>
      <c r="E2903" s="53">
        <f>'Reclamo de equipaje rediseñado'!$D2903-'Reclamo de equipaje rediseñado'!$C2903</f>
        <v>8.3333333333333037E-3</v>
      </c>
      <c r="F2903" s="52">
        <v>1.0006944444444443</v>
      </c>
      <c r="G2903" s="53">
        <f t="shared" si="45"/>
        <v>1.041666666666663E-2</v>
      </c>
      <c r="H2903" s="54">
        <v>41751</v>
      </c>
      <c r="I2903" s="55" t="s">
        <v>591</v>
      </c>
      <c r="J2903" s="55" t="s">
        <v>611</v>
      </c>
      <c r="K2903" s="55">
        <f>VLOOKUP(J2903,'Validacion reclamo de equipaje'!L:M,2,0)</f>
        <v>78</v>
      </c>
      <c r="L2903" s="55" t="str">
        <f>VLOOKUP(I2903,'Validacion reclamo de equipaje'!H:I,2,0)</f>
        <v>Internacional</v>
      </c>
      <c r="M2903" s="55" t="s">
        <v>523</v>
      </c>
    </row>
    <row r="2904" spans="1:13" x14ac:dyDescent="0.25">
      <c r="A2904">
        <v>2879</v>
      </c>
      <c r="B2904" s="47" t="str">
        <f>VLOOKUP(Tabla6[[#This Row],['# Vuelo]],'Validacion reclamo de equipaje'!P:Q,2,0)</f>
        <v>VIAS AÉREAS DE USA</v>
      </c>
      <c r="C2904" s="48">
        <v>0.96875</v>
      </c>
      <c r="D2904" s="48">
        <v>0.98263888888888884</v>
      </c>
      <c r="E2904" s="49">
        <f>'Reclamo de equipaje rediseñado'!$D2904-'Reclamo de equipaje rediseñado'!$C2904</f>
        <v>1.388888888888884E-2</v>
      </c>
      <c r="F2904" s="48">
        <v>0.9916666666666667</v>
      </c>
      <c r="G2904" s="49">
        <f t="shared" si="45"/>
        <v>9.0277777777778567E-3</v>
      </c>
      <c r="H2904" s="50">
        <v>41752</v>
      </c>
      <c r="I2904" s="51" t="s">
        <v>591</v>
      </c>
      <c r="J2904" s="51" t="s">
        <v>611</v>
      </c>
      <c r="K2904" s="51">
        <f>VLOOKUP(J2904,'Validacion reclamo de equipaje'!L:M,2,0)</f>
        <v>78</v>
      </c>
      <c r="L2904" s="51" t="str">
        <f>VLOOKUP(I2904,'Validacion reclamo de equipaje'!H:I,2,0)</f>
        <v>Internacional</v>
      </c>
      <c r="M2904" s="51" t="s">
        <v>523</v>
      </c>
    </row>
    <row r="2905" spans="1:13" x14ac:dyDescent="0.25">
      <c r="A2905">
        <v>2879</v>
      </c>
      <c r="B2905" s="47" t="str">
        <f>VLOOKUP(Tabla6[[#This Row],['# Vuelo]],'Validacion reclamo de equipaje'!P:Q,2,0)</f>
        <v>VIAS AÉREAS DE USA</v>
      </c>
      <c r="C2905" s="52">
        <v>0.97222222222222221</v>
      </c>
      <c r="D2905" s="52">
        <v>1.0006944444444443</v>
      </c>
      <c r="E2905" s="53">
        <f>'Reclamo de equipaje rediseñado'!$D2905-'Reclamo de equipaje rediseñado'!$C2905</f>
        <v>2.8472222222222121E-2</v>
      </c>
      <c r="F2905" s="52">
        <v>1.0409722222222222</v>
      </c>
      <c r="G2905" s="53">
        <f t="shared" si="45"/>
        <v>4.0277777777777857E-2</v>
      </c>
      <c r="H2905" s="54">
        <v>41752</v>
      </c>
      <c r="I2905" s="55" t="s">
        <v>591</v>
      </c>
      <c r="J2905" s="55" t="s">
        <v>611</v>
      </c>
      <c r="K2905" s="55">
        <f>VLOOKUP(J2905,'Validacion reclamo de equipaje'!L:M,2,0)</f>
        <v>78</v>
      </c>
      <c r="L2905" s="55" t="str">
        <f>VLOOKUP(I2905,'Validacion reclamo de equipaje'!H:I,2,0)</f>
        <v>Internacional</v>
      </c>
      <c r="M2905" s="55" t="s">
        <v>523</v>
      </c>
    </row>
    <row r="2906" spans="1:13" x14ac:dyDescent="0.25">
      <c r="A2906">
        <v>2879</v>
      </c>
      <c r="B2906" s="47" t="str">
        <f>VLOOKUP(Tabla6[[#This Row],['# Vuelo]],'Validacion reclamo de equipaje'!P:Q,2,0)</f>
        <v>VIAS AÉREAS DE USA</v>
      </c>
      <c r="C2906" s="48">
        <v>0.98125000000000007</v>
      </c>
      <c r="D2906" s="48">
        <v>0.98958333333333337</v>
      </c>
      <c r="E2906" s="49">
        <f>'Reclamo de equipaje rediseñado'!$D2906-'Reclamo de equipaje rediseñado'!$C2906</f>
        <v>8.3333333333333037E-3</v>
      </c>
      <c r="F2906" s="48">
        <v>0.99513888888888891</v>
      </c>
      <c r="G2906" s="49">
        <f t="shared" si="45"/>
        <v>5.5555555555555358E-3</v>
      </c>
      <c r="H2906" s="50">
        <v>41754</v>
      </c>
      <c r="I2906" s="51" t="s">
        <v>591</v>
      </c>
      <c r="J2906" s="51" t="s">
        <v>611</v>
      </c>
      <c r="K2906" s="51">
        <f>VLOOKUP(J2906,'Validacion reclamo de equipaje'!L:M,2,0)</f>
        <v>78</v>
      </c>
      <c r="L2906" s="51" t="str">
        <f>VLOOKUP(I2906,'Validacion reclamo de equipaje'!H:I,2,0)</f>
        <v>Internacional</v>
      </c>
      <c r="M2906" s="51" t="s">
        <v>523</v>
      </c>
    </row>
    <row r="2907" spans="1:13" x14ac:dyDescent="0.25">
      <c r="A2907">
        <v>2879</v>
      </c>
      <c r="B2907" s="47" t="str">
        <f>VLOOKUP(Tabla6[[#This Row],['# Vuelo]],'Validacion reclamo de equipaje'!P:Q,2,0)</f>
        <v>VIAS AÉREAS DE USA</v>
      </c>
      <c r="C2907" s="52">
        <v>0.96180555555555547</v>
      </c>
      <c r="D2907" s="52">
        <v>0.97430555555555554</v>
      </c>
      <c r="E2907" s="53">
        <f>'Reclamo de equipaje rediseñado'!$D2907-'Reclamo de equipaje rediseñado'!$C2907</f>
        <v>1.2500000000000067E-2</v>
      </c>
      <c r="F2907" s="52">
        <v>0.98333333333333339</v>
      </c>
      <c r="G2907" s="53">
        <f t="shared" si="45"/>
        <v>9.0277777777778567E-3</v>
      </c>
      <c r="H2907" s="54">
        <v>41755</v>
      </c>
      <c r="I2907" s="55" t="s">
        <v>591</v>
      </c>
      <c r="J2907" s="55" t="s">
        <v>611</v>
      </c>
      <c r="K2907" s="55">
        <f>VLOOKUP(J2907,'Validacion reclamo de equipaje'!L:M,2,0)</f>
        <v>78</v>
      </c>
      <c r="L2907" s="55" t="str">
        <f>VLOOKUP(I2907,'Validacion reclamo de equipaje'!H:I,2,0)</f>
        <v>Internacional</v>
      </c>
      <c r="M2907" s="55" t="s">
        <v>523</v>
      </c>
    </row>
    <row r="2908" spans="1:13" x14ac:dyDescent="0.25">
      <c r="A2908">
        <v>2879</v>
      </c>
      <c r="B2908" s="47" t="str">
        <f>VLOOKUP(Tabla6[[#This Row],['# Vuelo]],'Validacion reclamo de equipaje'!P:Q,2,0)</f>
        <v>VIAS AÉREAS DE USA</v>
      </c>
      <c r="C2908" s="48">
        <v>0.97986111111111107</v>
      </c>
      <c r="D2908" s="48">
        <v>0.98819444444444438</v>
      </c>
      <c r="E2908" s="49">
        <f>'Reclamo de equipaje rediseñado'!$D2908-'Reclamo de equipaje rediseñado'!$C2908</f>
        <v>8.3333333333333037E-3</v>
      </c>
      <c r="F2908" s="48">
        <v>1.0013888888888889</v>
      </c>
      <c r="G2908" s="49">
        <f t="shared" si="45"/>
        <v>1.3194444444444509E-2</v>
      </c>
      <c r="H2908" s="50">
        <v>41757</v>
      </c>
      <c r="I2908" s="51" t="s">
        <v>591</v>
      </c>
      <c r="J2908" s="51" t="s">
        <v>611</v>
      </c>
      <c r="K2908" s="51">
        <f>VLOOKUP(J2908,'Validacion reclamo de equipaje'!L:M,2,0)</f>
        <v>78</v>
      </c>
      <c r="L2908" s="51" t="str">
        <f>VLOOKUP(I2908,'Validacion reclamo de equipaje'!H:I,2,0)</f>
        <v>Internacional</v>
      </c>
      <c r="M2908" s="51" t="s">
        <v>523</v>
      </c>
    </row>
    <row r="2909" spans="1:13" x14ac:dyDescent="0.25">
      <c r="A2909">
        <v>2879</v>
      </c>
      <c r="B2909" s="47" t="str">
        <f>VLOOKUP(Tabla6[[#This Row],['# Vuelo]],'Validacion reclamo de equipaje'!P:Q,2,0)</f>
        <v>VIAS AÉREAS DE USA</v>
      </c>
      <c r="C2909" s="52">
        <v>0.97361111111111109</v>
      </c>
      <c r="D2909" s="52">
        <v>0.9819444444444444</v>
      </c>
      <c r="E2909" s="53">
        <f>'Reclamo de equipaje rediseñado'!$D2909-'Reclamo de equipaje rediseñado'!$C2909</f>
        <v>8.3333333333333037E-3</v>
      </c>
      <c r="F2909" s="52">
        <v>0.99375000000000002</v>
      </c>
      <c r="G2909" s="53">
        <f t="shared" si="45"/>
        <v>1.1805555555555625E-2</v>
      </c>
      <c r="H2909" s="54">
        <v>41758</v>
      </c>
      <c r="I2909" s="55" t="s">
        <v>591</v>
      </c>
      <c r="J2909" s="55" t="s">
        <v>611</v>
      </c>
      <c r="K2909" s="55">
        <f>VLOOKUP(J2909,'Validacion reclamo de equipaje'!L:M,2,0)</f>
        <v>78</v>
      </c>
      <c r="L2909" s="55" t="str">
        <f>VLOOKUP(I2909,'Validacion reclamo de equipaje'!H:I,2,0)</f>
        <v>Internacional</v>
      </c>
      <c r="M2909" s="55" t="s">
        <v>523</v>
      </c>
    </row>
    <row r="2910" spans="1:13" x14ac:dyDescent="0.25">
      <c r="A2910">
        <v>2879</v>
      </c>
      <c r="B2910" s="47" t="str">
        <f>VLOOKUP(Tabla6[[#This Row],['# Vuelo]],'Validacion reclamo de equipaje'!P:Q,2,0)</f>
        <v>VIAS AÉREAS DE USA</v>
      </c>
      <c r="C2910" s="48">
        <v>7.6388888888888895E-2</v>
      </c>
      <c r="D2910" s="48">
        <v>8.5416666666666655E-2</v>
      </c>
      <c r="E2910" s="49">
        <f>'Reclamo de equipaje rediseñado'!$D2910-'Reclamo de equipaje rediseñado'!$C2910</f>
        <v>9.0277777777777596E-3</v>
      </c>
      <c r="F2910" s="48">
        <v>0.10625</v>
      </c>
      <c r="G2910" s="49">
        <f t="shared" si="45"/>
        <v>2.0833333333333343E-2</v>
      </c>
      <c r="H2910" s="50">
        <v>41759</v>
      </c>
      <c r="I2910" s="51" t="s">
        <v>591</v>
      </c>
      <c r="J2910" s="51" t="s">
        <v>611</v>
      </c>
      <c r="K2910" s="51">
        <f>VLOOKUP(J2910,'Validacion reclamo de equipaje'!L:M,2,0)</f>
        <v>78</v>
      </c>
      <c r="L2910" s="51" t="str">
        <f>VLOOKUP(I2910,'Validacion reclamo de equipaje'!H:I,2,0)</f>
        <v>Internacional</v>
      </c>
      <c r="M2910" s="51" t="s">
        <v>523</v>
      </c>
    </row>
    <row r="2911" spans="1:13" x14ac:dyDescent="0.25">
      <c r="A2911">
        <v>2879</v>
      </c>
      <c r="B2911" s="47" t="str">
        <f>VLOOKUP(Tabla6[[#This Row],['# Vuelo]],'Validacion reclamo de equipaje'!P:Q,2,0)</f>
        <v>VIAS AÉREAS DE USA</v>
      </c>
      <c r="C2911" s="52">
        <v>0.57222222222222219</v>
      </c>
      <c r="D2911" s="52">
        <v>0.5805555555555556</v>
      </c>
      <c r="E2911" s="53">
        <f>'Reclamo de equipaje rediseñado'!$D2911-'Reclamo de equipaje rediseñado'!$C2911</f>
        <v>8.3333333333334147E-3</v>
      </c>
      <c r="F2911" s="52">
        <v>0.58680555555555558</v>
      </c>
      <c r="G2911" s="53">
        <f t="shared" si="45"/>
        <v>6.2499999999999778E-3</v>
      </c>
      <c r="H2911" s="54">
        <v>41736</v>
      </c>
      <c r="I2911" s="55" t="s">
        <v>591</v>
      </c>
      <c r="J2911" s="55" t="s">
        <v>611</v>
      </c>
      <c r="K2911" s="55">
        <f>VLOOKUP(J2911,'Validacion reclamo de equipaje'!L:M,2,0)</f>
        <v>78</v>
      </c>
      <c r="L2911" s="55" t="str">
        <f>VLOOKUP(I2911,'Validacion reclamo de equipaje'!H:I,2,0)</f>
        <v>Internacional</v>
      </c>
      <c r="M2911" s="55" t="s">
        <v>523</v>
      </c>
    </row>
    <row r="2912" spans="1:13" x14ac:dyDescent="0.25">
      <c r="A2912">
        <v>2879</v>
      </c>
      <c r="B2912" s="47" t="str">
        <f>VLOOKUP(Tabla6[[#This Row],['# Vuelo]],'Validacion reclamo de equipaje'!P:Q,2,0)</f>
        <v>VIAS AÉREAS DE USA</v>
      </c>
      <c r="C2912" s="48">
        <v>0.98749999999999993</v>
      </c>
      <c r="D2912" s="48">
        <v>1.0027777777777778</v>
      </c>
      <c r="E2912" s="49">
        <f>'Reclamo de equipaje rediseñado'!$D2912-'Reclamo de equipaje rediseñado'!$C2912</f>
        <v>1.5277777777777835E-2</v>
      </c>
      <c r="F2912" s="48">
        <v>1.0125</v>
      </c>
      <c r="G2912" s="49">
        <f t="shared" si="45"/>
        <v>9.7222222222221877E-3</v>
      </c>
      <c r="H2912" s="50">
        <v>41756</v>
      </c>
      <c r="I2912" s="51" t="s">
        <v>591</v>
      </c>
      <c r="J2912" s="51" t="s">
        <v>611</v>
      </c>
      <c r="K2912" s="51">
        <f>VLOOKUP(J2912,'Validacion reclamo de equipaje'!L:M,2,0)</f>
        <v>78</v>
      </c>
      <c r="L2912" s="51" t="str">
        <f>VLOOKUP(I2912,'Validacion reclamo de equipaje'!H:I,2,0)</f>
        <v>Internacional</v>
      </c>
      <c r="M2912" s="51" t="s">
        <v>523</v>
      </c>
    </row>
    <row r="2913" spans="1:13" x14ac:dyDescent="0.25">
      <c r="A2913">
        <v>2816</v>
      </c>
      <c r="B2913" s="47" t="str">
        <f>VLOOKUP(Tabla6[[#This Row],['# Vuelo]],'Validacion reclamo de equipaje'!P:Q,2,0)</f>
        <v>VIAS AÉREAS DE USA</v>
      </c>
      <c r="C2913" s="52">
        <v>0.5395833333333333</v>
      </c>
      <c r="D2913" s="52">
        <v>0.55138888888888882</v>
      </c>
      <c r="E2913" s="53">
        <f>'Reclamo de equipaje rediseñado'!$D2913-'Reclamo de equipaje rediseñado'!$C2913</f>
        <v>1.1805555555555514E-2</v>
      </c>
      <c r="F2913" s="52">
        <v>0.56111111111111112</v>
      </c>
      <c r="G2913" s="53">
        <f t="shared" si="45"/>
        <v>9.7222222222222987E-3</v>
      </c>
      <c r="H2913" s="54">
        <v>41730</v>
      </c>
      <c r="I2913" s="55" t="s">
        <v>591</v>
      </c>
      <c r="J2913" s="55" t="s">
        <v>611</v>
      </c>
      <c r="K2913" s="55">
        <f>VLOOKUP(J2913,'Validacion reclamo de equipaje'!L:M,2,0)</f>
        <v>78</v>
      </c>
      <c r="L2913" s="55" t="str">
        <f>VLOOKUP(I2913,'Validacion reclamo de equipaje'!H:I,2,0)</f>
        <v>Internacional</v>
      </c>
      <c r="M2913" s="55" t="s">
        <v>523</v>
      </c>
    </row>
    <row r="2914" spans="1:13" x14ac:dyDescent="0.25">
      <c r="A2914">
        <v>2816</v>
      </c>
      <c r="B2914" s="47" t="str">
        <f>VLOOKUP(Tabla6[[#This Row],['# Vuelo]],'Validacion reclamo de equipaje'!P:Q,2,0)</f>
        <v>VIAS AÉREAS DE USA</v>
      </c>
      <c r="C2914" s="48">
        <v>0.53541666666666665</v>
      </c>
      <c r="D2914" s="48">
        <v>0.54166666666666663</v>
      </c>
      <c r="E2914" s="49">
        <f>'Reclamo de equipaje rediseñado'!$D2914-'Reclamo de equipaje rediseñado'!$C2914</f>
        <v>6.2499999999999778E-3</v>
      </c>
      <c r="F2914" s="48">
        <v>0.5493055555555556</v>
      </c>
      <c r="G2914" s="49">
        <f t="shared" si="45"/>
        <v>7.6388888888889728E-3</v>
      </c>
      <c r="H2914" s="50">
        <v>41731</v>
      </c>
      <c r="I2914" s="51" t="s">
        <v>591</v>
      </c>
      <c r="J2914" s="51" t="s">
        <v>611</v>
      </c>
      <c r="K2914" s="51">
        <f>VLOOKUP(J2914,'Validacion reclamo de equipaje'!L:M,2,0)</f>
        <v>78</v>
      </c>
      <c r="L2914" s="51" t="str">
        <f>VLOOKUP(I2914,'Validacion reclamo de equipaje'!H:I,2,0)</f>
        <v>Internacional</v>
      </c>
      <c r="M2914" s="51" t="s">
        <v>523</v>
      </c>
    </row>
    <row r="2915" spans="1:13" x14ac:dyDescent="0.25">
      <c r="A2915">
        <v>2816</v>
      </c>
      <c r="B2915" s="47" t="str">
        <f>VLOOKUP(Tabla6[[#This Row],['# Vuelo]],'Validacion reclamo de equipaje'!P:Q,2,0)</f>
        <v>VIAS AÉREAS DE USA</v>
      </c>
      <c r="C2915" s="52">
        <v>0.53541666666666665</v>
      </c>
      <c r="D2915" s="52">
        <v>0.54166666666666663</v>
      </c>
      <c r="E2915" s="53">
        <f>'Reclamo de equipaje rediseñado'!$D2915-'Reclamo de equipaje rediseñado'!$C2915</f>
        <v>6.2499999999999778E-3</v>
      </c>
      <c r="F2915" s="52">
        <v>0.5493055555555556</v>
      </c>
      <c r="G2915" s="53">
        <f t="shared" si="45"/>
        <v>7.6388888888889728E-3</v>
      </c>
      <c r="H2915" s="54">
        <v>41731</v>
      </c>
      <c r="I2915" s="55" t="s">
        <v>591</v>
      </c>
      <c r="J2915" s="55" t="s">
        <v>611</v>
      </c>
      <c r="K2915" s="55">
        <f>VLOOKUP(J2915,'Validacion reclamo de equipaje'!L:M,2,0)</f>
        <v>78</v>
      </c>
      <c r="L2915" s="55" t="str">
        <f>VLOOKUP(I2915,'Validacion reclamo de equipaje'!H:I,2,0)</f>
        <v>Internacional</v>
      </c>
      <c r="M2915" s="55" t="s">
        <v>523</v>
      </c>
    </row>
    <row r="2916" spans="1:13" x14ac:dyDescent="0.25">
      <c r="A2916">
        <v>2816</v>
      </c>
      <c r="B2916" s="47" t="str">
        <f>VLOOKUP(Tabla6[[#This Row],['# Vuelo]],'Validacion reclamo de equipaje'!P:Q,2,0)</f>
        <v>VIAS AÉREAS DE USA</v>
      </c>
      <c r="C2916" s="48">
        <v>0.52847222222222223</v>
      </c>
      <c r="D2916" s="48">
        <v>0.53680555555555554</v>
      </c>
      <c r="E2916" s="49">
        <f>'Reclamo de equipaje rediseñado'!$D2916-'Reclamo de equipaje rediseñado'!$C2916</f>
        <v>8.3333333333333037E-3</v>
      </c>
      <c r="F2916" s="48">
        <v>0.54861111111111105</v>
      </c>
      <c r="G2916" s="49">
        <f t="shared" si="45"/>
        <v>1.1805555555555514E-2</v>
      </c>
      <c r="H2916" s="50">
        <v>41732</v>
      </c>
      <c r="I2916" s="51" t="s">
        <v>591</v>
      </c>
      <c r="J2916" s="51" t="s">
        <v>611</v>
      </c>
      <c r="K2916" s="51">
        <f>VLOOKUP(J2916,'Validacion reclamo de equipaje'!L:M,2,0)</f>
        <v>78</v>
      </c>
      <c r="L2916" s="51" t="str">
        <f>VLOOKUP(I2916,'Validacion reclamo de equipaje'!H:I,2,0)</f>
        <v>Internacional</v>
      </c>
      <c r="M2916" s="51" t="s">
        <v>523</v>
      </c>
    </row>
    <row r="2917" spans="1:13" x14ac:dyDescent="0.25">
      <c r="A2917">
        <v>2816</v>
      </c>
      <c r="B2917" s="47" t="str">
        <f>VLOOKUP(Tabla6[[#This Row],['# Vuelo]],'Validacion reclamo de equipaje'!P:Q,2,0)</f>
        <v>VIAS AÉREAS DE USA</v>
      </c>
      <c r="C2917" s="52">
        <v>0.54513888888888895</v>
      </c>
      <c r="D2917" s="52">
        <v>0.55625000000000002</v>
      </c>
      <c r="E2917" s="53">
        <f>'Reclamo de equipaje rediseñado'!$D2917-'Reclamo de equipaje rediseñado'!$C2917</f>
        <v>1.1111111111111072E-2</v>
      </c>
      <c r="F2917" s="52">
        <v>0.56180555555555556</v>
      </c>
      <c r="G2917" s="53">
        <f t="shared" si="45"/>
        <v>5.5555555555555358E-3</v>
      </c>
      <c r="H2917" s="54">
        <v>41733</v>
      </c>
      <c r="I2917" s="55" t="s">
        <v>591</v>
      </c>
      <c r="J2917" s="55" t="s">
        <v>611</v>
      </c>
      <c r="K2917" s="55">
        <f>VLOOKUP(J2917,'Validacion reclamo de equipaje'!L:M,2,0)</f>
        <v>78</v>
      </c>
      <c r="L2917" s="55" t="str">
        <f>VLOOKUP(I2917,'Validacion reclamo de equipaje'!H:I,2,0)</f>
        <v>Internacional</v>
      </c>
      <c r="M2917" s="55" t="s">
        <v>523</v>
      </c>
    </row>
    <row r="2918" spans="1:13" x14ac:dyDescent="0.25">
      <c r="A2918">
        <v>2816</v>
      </c>
      <c r="B2918" s="47" t="str">
        <f>VLOOKUP(Tabla6[[#This Row],['# Vuelo]],'Validacion reclamo de equipaje'!P:Q,2,0)</f>
        <v>VIAS AÉREAS DE USA</v>
      </c>
      <c r="C2918" s="48">
        <v>0.52777777777777779</v>
      </c>
      <c r="D2918" s="48">
        <v>0.53611111111111109</v>
      </c>
      <c r="E2918" s="49">
        <f>'Reclamo de equipaje rediseñado'!$D2918-'Reclamo de equipaje rediseñado'!$C2918</f>
        <v>8.3333333333333037E-3</v>
      </c>
      <c r="F2918" s="48">
        <v>0.54791666666666672</v>
      </c>
      <c r="G2918" s="49">
        <f t="shared" si="45"/>
        <v>1.1805555555555625E-2</v>
      </c>
      <c r="H2918" s="50">
        <v>41734</v>
      </c>
      <c r="I2918" s="51" t="s">
        <v>591</v>
      </c>
      <c r="J2918" s="51" t="s">
        <v>611</v>
      </c>
      <c r="K2918" s="51">
        <f>VLOOKUP(J2918,'Validacion reclamo de equipaje'!L:M,2,0)</f>
        <v>78</v>
      </c>
      <c r="L2918" s="51" t="str">
        <f>VLOOKUP(I2918,'Validacion reclamo de equipaje'!H:I,2,0)</f>
        <v>Internacional</v>
      </c>
      <c r="M2918" s="51" t="s">
        <v>523</v>
      </c>
    </row>
    <row r="2919" spans="1:13" x14ac:dyDescent="0.25">
      <c r="A2919">
        <v>2816</v>
      </c>
      <c r="B2919" s="47" t="str">
        <f>VLOOKUP(Tabla6[[#This Row],['# Vuelo]],'Validacion reclamo de equipaje'!P:Q,2,0)</f>
        <v>VIAS AÉREAS DE USA</v>
      </c>
      <c r="C2919" s="52">
        <v>0.56319444444444444</v>
      </c>
      <c r="D2919" s="52">
        <v>0.5708333333333333</v>
      </c>
      <c r="E2919" s="53">
        <f>'Reclamo de equipaje rediseñado'!$D2919-'Reclamo de equipaje rediseñado'!$C2919</f>
        <v>7.6388888888888618E-3</v>
      </c>
      <c r="F2919" s="52">
        <v>0.58402777777777781</v>
      </c>
      <c r="G2919" s="53">
        <f t="shared" si="45"/>
        <v>1.3194444444444509E-2</v>
      </c>
      <c r="H2919" s="54">
        <v>41735</v>
      </c>
      <c r="I2919" s="55" t="s">
        <v>591</v>
      </c>
      <c r="J2919" s="55" t="s">
        <v>611</v>
      </c>
      <c r="K2919" s="55">
        <f>VLOOKUP(J2919,'Validacion reclamo de equipaje'!L:M,2,0)</f>
        <v>78</v>
      </c>
      <c r="L2919" s="55" t="str">
        <f>VLOOKUP(I2919,'Validacion reclamo de equipaje'!H:I,2,0)</f>
        <v>Internacional</v>
      </c>
      <c r="M2919" s="55" t="s">
        <v>523</v>
      </c>
    </row>
    <row r="2920" spans="1:13" x14ac:dyDescent="0.25">
      <c r="A2920">
        <v>2816</v>
      </c>
      <c r="B2920" s="47" t="str">
        <f>VLOOKUP(Tabla6[[#This Row],['# Vuelo]],'Validacion reclamo de equipaje'!P:Q,2,0)</f>
        <v>VIAS AÉREAS DE USA</v>
      </c>
      <c r="C2920" s="48">
        <v>0.57152777777777775</v>
      </c>
      <c r="D2920" s="48">
        <v>0.57986111111111105</v>
      </c>
      <c r="E2920" s="49">
        <f>'Reclamo de equipaje rediseñado'!$D2920-'Reclamo de equipaje rediseñado'!$C2920</f>
        <v>8.3333333333333037E-3</v>
      </c>
      <c r="F2920" s="48">
        <v>0.59236111111111112</v>
      </c>
      <c r="G2920" s="49">
        <f t="shared" si="45"/>
        <v>1.2500000000000067E-2</v>
      </c>
      <c r="H2920" s="50">
        <v>41739</v>
      </c>
      <c r="I2920" s="51" t="s">
        <v>591</v>
      </c>
      <c r="J2920" s="51" t="s">
        <v>611</v>
      </c>
      <c r="K2920" s="51">
        <f>VLOOKUP(J2920,'Validacion reclamo de equipaje'!L:M,2,0)</f>
        <v>78</v>
      </c>
      <c r="L2920" s="51" t="str">
        <f>VLOOKUP(I2920,'Validacion reclamo de equipaje'!H:I,2,0)</f>
        <v>Internacional</v>
      </c>
      <c r="M2920" s="51" t="s">
        <v>523</v>
      </c>
    </row>
    <row r="2921" spans="1:13" x14ac:dyDescent="0.25">
      <c r="A2921">
        <v>2816</v>
      </c>
      <c r="B2921" s="47" t="str">
        <f>VLOOKUP(Tabla6[[#This Row],['# Vuelo]],'Validacion reclamo de equipaje'!P:Q,2,0)</f>
        <v>VIAS AÉREAS DE USA</v>
      </c>
      <c r="C2921" s="52">
        <v>0.57430555555555551</v>
      </c>
      <c r="D2921" s="52">
        <v>0.58333333333333337</v>
      </c>
      <c r="E2921" s="53">
        <f>'Reclamo de equipaje rediseñado'!$D2921-'Reclamo de equipaje rediseñado'!$C2921</f>
        <v>9.0277777777778567E-3</v>
      </c>
      <c r="F2921" s="52">
        <v>0.59722222222222221</v>
      </c>
      <c r="G2921" s="53">
        <f t="shared" si="45"/>
        <v>1.388888888888884E-2</v>
      </c>
      <c r="H2921" s="54">
        <v>41741</v>
      </c>
      <c r="I2921" s="55" t="s">
        <v>591</v>
      </c>
      <c r="J2921" s="55" t="s">
        <v>611</v>
      </c>
      <c r="K2921" s="55">
        <f>VLOOKUP(J2921,'Validacion reclamo de equipaje'!L:M,2,0)</f>
        <v>78</v>
      </c>
      <c r="L2921" s="55" t="str">
        <f>VLOOKUP(I2921,'Validacion reclamo de equipaje'!H:I,2,0)</f>
        <v>Internacional</v>
      </c>
      <c r="M2921" s="55" t="s">
        <v>523</v>
      </c>
    </row>
    <row r="2922" spans="1:13" x14ac:dyDescent="0.25">
      <c r="A2922">
        <v>2816</v>
      </c>
      <c r="B2922" s="47" t="str">
        <f>VLOOKUP(Tabla6[[#This Row],['# Vuelo]],'Validacion reclamo de equipaje'!P:Q,2,0)</f>
        <v>VIAS AÉREAS DE USA</v>
      </c>
      <c r="C2922" s="48">
        <v>0.56666666666666665</v>
      </c>
      <c r="D2922" s="48">
        <v>0.57638888888888895</v>
      </c>
      <c r="E2922" s="49">
        <f>'Reclamo de equipaje rediseñado'!$D2922-'Reclamo de equipaje rediseñado'!$C2922</f>
        <v>9.7222222222222987E-3</v>
      </c>
      <c r="F2922" s="48">
        <v>0.58402777777777781</v>
      </c>
      <c r="G2922" s="49">
        <f t="shared" si="45"/>
        <v>7.6388888888888618E-3</v>
      </c>
      <c r="H2922" s="50">
        <v>41743</v>
      </c>
      <c r="I2922" s="51" t="s">
        <v>591</v>
      </c>
      <c r="J2922" s="51" t="s">
        <v>611</v>
      </c>
      <c r="K2922" s="51">
        <f>VLOOKUP(J2922,'Validacion reclamo de equipaje'!L:M,2,0)</f>
        <v>78</v>
      </c>
      <c r="L2922" s="51" t="str">
        <f>VLOOKUP(I2922,'Validacion reclamo de equipaje'!H:I,2,0)</f>
        <v>Internacional</v>
      </c>
      <c r="M2922" s="51" t="s">
        <v>523</v>
      </c>
    </row>
    <row r="2923" spans="1:13" x14ac:dyDescent="0.25">
      <c r="A2923">
        <v>2816</v>
      </c>
      <c r="B2923" s="47" t="str">
        <f>VLOOKUP(Tabla6[[#This Row],['# Vuelo]],'Validacion reclamo de equipaje'!P:Q,2,0)</f>
        <v>VIAS AÉREAS DE USA</v>
      </c>
      <c r="C2923" s="52">
        <v>0.57222222222222219</v>
      </c>
      <c r="D2923" s="52">
        <v>0.57916666666666672</v>
      </c>
      <c r="E2923" s="53">
        <f>'Reclamo de equipaje rediseñado'!$D2923-'Reclamo de equipaje rediseñado'!$C2923</f>
        <v>6.9444444444445308E-3</v>
      </c>
      <c r="F2923" s="52">
        <v>0.59236111111111112</v>
      </c>
      <c r="G2923" s="53">
        <f t="shared" si="45"/>
        <v>1.3194444444444398E-2</v>
      </c>
      <c r="H2923" s="54">
        <v>41744</v>
      </c>
      <c r="I2923" s="55" t="s">
        <v>591</v>
      </c>
      <c r="J2923" s="55" t="s">
        <v>611</v>
      </c>
      <c r="K2923" s="55">
        <f>VLOOKUP(J2923,'Validacion reclamo de equipaje'!L:M,2,0)</f>
        <v>78</v>
      </c>
      <c r="L2923" s="55" t="str">
        <f>VLOOKUP(I2923,'Validacion reclamo de equipaje'!H:I,2,0)</f>
        <v>Internacional</v>
      </c>
      <c r="M2923" s="55" t="s">
        <v>523</v>
      </c>
    </row>
    <row r="2924" spans="1:13" x14ac:dyDescent="0.25">
      <c r="A2924">
        <v>2816</v>
      </c>
      <c r="B2924" s="47" t="str">
        <f>VLOOKUP(Tabla6[[#This Row],['# Vuelo]],'Validacion reclamo de equipaje'!P:Q,2,0)</f>
        <v>VIAS AÉREAS DE USA</v>
      </c>
      <c r="C2924" s="48">
        <v>0.56874999999999998</v>
      </c>
      <c r="D2924" s="48">
        <v>0.57430555555555551</v>
      </c>
      <c r="E2924" s="49">
        <f>'Reclamo de equipaje rediseñado'!$D2924-'Reclamo de equipaje rediseñado'!$C2924</f>
        <v>5.5555555555555358E-3</v>
      </c>
      <c r="F2924" s="48">
        <v>0.58750000000000002</v>
      </c>
      <c r="G2924" s="49">
        <f t="shared" si="45"/>
        <v>1.3194444444444509E-2</v>
      </c>
      <c r="H2924" s="50">
        <v>41745</v>
      </c>
      <c r="I2924" s="51" t="s">
        <v>591</v>
      </c>
      <c r="J2924" s="51" t="s">
        <v>611</v>
      </c>
      <c r="K2924" s="51">
        <f>VLOOKUP(J2924,'Validacion reclamo de equipaje'!L:M,2,0)</f>
        <v>78</v>
      </c>
      <c r="L2924" s="51" t="str">
        <f>VLOOKUP(I2924,'Validacion reclamo de equipaje'!H:I,2,0)</f>
        <v>Internacional</v>
      </c>
      <c r="M2924" s="51" t="s">
        <v>523</v>
      </c>
    </row>
    <row r="2925" spans="1:13" x14ac:dyDescent="0.25">
      <c r="A2925">
        <v>2816</v>
      </c>
      <c r="B2925" s="47" t="str">
        <f>VLOOKUP(Tabla6[[#This Row],['# Vuelo]],'Validacion reclamo de equipaje'!P:Q,2,0)</f>
        <v>VIAS AÉREAS DE USA</v>
      </c>
      <c r="C2925" s="52">
        <v>0.57291666666666663</v>
      </c>
      <c r="D2925" s="52">
        <v>0.58194444444444449</v>
      </c>
      <c r="E2925" s="53">
        <f>'Reclamo de equipaje rediseñado'!$D2925-'Reclamo de equipaje rediseñado'!$C2925</f>
        <v>9.0277777777778567E-3</v>
      </c>
      <c r="F2925" s="52">
        <v>0.58958333333333335</v>
      </c>
      <c r="G2925" s="53">
        <f t="shared" si="45"/>
        <v>7.6388888888888618E-3</v>
      </c>
      <c r="H2925" s="54">
        <v>41746</v>
      </c>
      <c r="I2925" s="55" t="s">
        <v>591</v>
      </c>
      <c r="J2925" s="55" t="s">
        <v>611</v>
      </c>
      <c r="K2925" s="55">
        <f>VLOOKUP(J2925,'Validacion reclamo de equipaje'!L:M,2,0)</f>
        <v>78</v>
      </c>
      <c r="L2925" s="55" t="str">
        <f>VLOOKUP(I2925,'Validacion reclamo de equipaje'!H:I,2,0)</f>
        <v>Internacional</v>
      </c>
      <c r="M2925" s="55" t="s">
        <v>523</v>
      </c>
    </row>
    <row r="2926" spans="1:13" x14ac:dyDescent="0.25">
      <c r="A2926">
        <v>2816</v>
      </c>
      <c r="B2926" s="47" t="str">
        <f>VLOOKUP(Tabla6[[#This Row],['# Vuelo]],'Validacion reclamo de equipaje'!P:Q,2,0)</f>
        <v>VIAS AÉREAS DE USA</v>
      </c>
      <c r="C2926" s="48">
        <v>0.57916666666666672</v>
      </c>
      <c r="D2926" s="48">
        <v>0.5854166666666667</v>
      </c>
      <c r="E2926" s="49">
        <f>'Reclamo de equipaje rediseñado'!$D2926-'Reclamo de equipaje rediseñado'!$C2926</f>
        <v>6.2499999999999778E-3</v>
      </c>
      <c r="F2926" s="48">
        <v>0.59513888888888888</v>
      </c>
      <c r="G2926" s="49">
        <f t="shared" si="45"/>
        <v>9.7222222222221877E-3</v>
      </c>
      <c r="H2926" s="50">
        <v>41747</v>
      </c>
      <c r="I2926" s="51" t="s">
        <v>591</v>
      </c>
      <c r="J2926" s="51" t="s">
        <v>611</v>
      </c>
      <c r="K2926" s="51">
        <f>VLOOKUP(J2926,'Validacion reclamo de equipaje'!L:M,2,0)</f>
        <v>78</v>
      </c>
      <c r="L2926" s="51" t="str">
        <f>VLOOKUP(I2926,'Validacion reclamo de equipaje'!H:I,2,0)</f>
        <v>Internacional</v>
      </c>
      <c r="M2926" s="51" t="s">
        <v>523</v>
      </c>
    </row>
    <row r="2927" spans="1:13" x14ac:dyDescent="0.25">
      <c r="A2927">
        <v>2816</v>
      </c>
      <c r="B2927" s="47" t="str">
        <f>VLOOKUP(Tabla6[[#This Row],['# Vuelo]],'Validacion reclamo de equipaje'!P:Q,2,0)</f>
        <v>VIAS AÉREAS DE USA</v>
      </c>
      <c r="C2927" s="52">
        <v>0.57222222222222219</v>
      </c>
      <c r="D2927" s="52">
        <v>0.57708333333333328</v>
      </c>
      <c r="E2927" s="53">
        <f>'Reclamo de equipaje rediseñado'!$D2927-'Reclamo de equipaje rediseñado'!$C2927</f>
        <v>4.8611111111110938E-3</v>
      </c>
      <c r="F2927" s="52">
        <v>0.58819444444444446</v>
      </c>
      <c r="G2927" s="53">
        <f t="shared" si="45"/>
        <v>1.1111111111111183E-2</v>
      </c>
      <c r="H2927" s="54">
        <v>41748</v>
      </c>
      <c r="I2927" s="55" t="s">
        <v>591</v>
      </c>
      <c r="J2927" s="55" t="s">
        <v>611</v>
      </c>
      <c r="K2927" s="55">
        <f>VLOOKUP(J2927,'Validacion reclamo de equipaje'!L:M,2,0)</f>
        <v>78</v>
      </c>
      <c r="L2927" s="55" t="str">
        <f>VLOOKUP(I2927,'Validacion reclamo de equipaje'!H:I,2,0)</f>
        <v>Internacional</v>
      </c>
      <c r="M2927" s="55" t="s">
        <v>523</v>
      </c>
    </row>
    <row r="2928" spans="1:13" x14ac:dyDescent="0.25">
      <c r="A2928">
        <v>2816</v>
      </c>
      <c r="B2928" s="47" t="str">
        <f>VLOOKUP(Tabla6[[#This Row],['# Vuelo]],'Validacion reclamo de equipaje'!P:Q,2,0)</f>
        <v>VIAS AÉREAS DE USA</v>
      </c>
      <c r="C2928" s="48">
        <v>0.57430555555555551</v>
      </c>
      <c r="D2928" s="48">
        <v>0.58124999999999993</v>
      </c>
      <c r="E2928" s="49">
        <f>'Reclamo de equipaje rediseñado'!$D2928-'Reclamo de equipaje rediseñado'!$C2928</f>
        <v>6.9444444444444198E-3</v>
      </c>
      <c r="F2928" s="48">
        <v>0.59722222222222221</v>
      </c>
      <c r="G2928" s="49">
        <f t="shared" si="45"/>
        <v>1.5972222222222276E-2</v>
      </c>
      <c r="H2928" s="50">
        <v>41749</v>
      </c>
      <c r="I2928" s="51" t="s">
        <v>591</v>
      </c>
      <c r="J2928" s="51" t="s">
        <v>611</v>
      </c>
      <c r="K2928" s="51">
        <f>VLOOKUP(J2928,'Validacion reclamo de equipaje'!L:M,2,0)</f>
        <v>78</v>
      </c>
      <c r="L2928" s="51" t="str">
        <f>VLOOKUP(I2928,'Validacion reclamo de equipaje'!H:I,2,0)</f>
        <v>Internacional</v>
      </c>
      <c r="M2928" s="51" t="s">
        <v>523</v>
      </c>
    </row>
    <row r="2929" spans="1:13" x14ac:dyDescent="0.25">
      <c r="A2929">
        <v>2816</v>
      </c>
      <c r="B2929" s="47" t="str">
        <f>VLOOKUP(Tabla6[[#This Row],['# Vuelo]],'Validacion reclamo de equipaje'!P:Q,2,0)</f>
        <v>VIAS AÉREAS DE USA</v>
      </c>
      <c r="C2929" s="52">
        <v>0.5756944444444444</v>
      </c>
      <c r="D2929" s="52">
        <v>0.58611111111111114</v>
      </c>
      <c r="E2929" s="53">
        <f>'Reclamo de equipaje rediseñado'!$D2929-'Reclamo de equipaje rediseñado'!$C2929</f>
        <v>1.0416666666666741E-2</v>
      </c>
      <c r="F2929" s="52">
        <v>0.59930555555555554</v>
      </c>
      <c r="G2929" s="53">
        <f t="shared" si="45"/>
        <v>1.3194444444444398E-2</v>
      </c>
      <c r="H2929" s="54">
        <v>41750</v>
      </c>
      <c r="I2929" s="55" t="s">
        <v>591</v>
      </c>
      <c r="J2929" s="55" t="s">
        <v>611</v>
      </c>
      <c r="K2929" s="55">
        <f>VLOOKUP(J2929,'Validacion reclamo de equipaje'!L:M,2,0)</f>
        <v>78</v>
      </c>
      <c r="L2929" s="55" t="str">
        <f>VLOOKUP(I2929,'Validacion reclamo de equipaje'!H:I,2,0)</f>
        <v>Internacional</v>
      </c>
      <c r="M2929" s="55" t="s">
        <v>523</v>
      </c>
    </row>
    <row r="2930" spans="1:13" x14ac:dyDescent="0.25">
      <c r="A2930">
        <v>2816</v>
      </c>
      <c r="B2930" s="47" t="str">
        <f>VLOOKUP(Tabla6[[#This Row],['# Vuelo]],'Validacion reclamo de equipaje'!P:Q,2,0)</f>
        <v>VIAS AÉREAS DE USA</v>
      </c>
      <c r="C2930" s="48">
        <v>0.57638888888888895</v>
      </c>
      <c r="D2930" s="48">
        <v>0.58333333333333337</v>
      </c>
      <c r="E2930" s="49">
        <f>'Reclamo de equipaje rediseñado'!$D2930-'Reclamo de equipaje rediseñado'!$C2930</f>
        <v>6.9444444444444198E-3</v>
      </c>
      <c r="F2930" s="48">
        <v>0.59930555555555554</v>
      </c>
      <c r="G2930" s="49">
        <f t="shared" si="45"/>
        <v>1.5972222222222165E-2</v>
      </c>
      <c r="H2930" s="50">
        <v>41751</v>
      </c>
      <c r="I2930" s="51" t="s">
        <v>591</v>
      </c>
      <c r="J2930" s="51" t="s">
        <v>611</v>
      </c>
      <c r="K2930" s="51">
        <f>VLOOKUP(J2930,'Validacion reclamo de equipaje'!L:M,2,0)</f>
        <v>78</v>
      </c>
      <c r="L2930" s="51" t="str">
        <f>VLOOKUP(I2930,'Validacion reclamo de equipaje'!H:I,2,0)</f>
        <v>Internacional</v>
      </c>
      <c r="M2930" s="51" t="s">
        <v>523</v>
      </c>
    </row>
    <row r="2931" spans="1:13" x14ac:dyDescent="0.25">
      <c r="A2931">
        <v>2816</v>
      </c>
      <c r="B2931" s="47" t="str">
        <f>VLOOKUP(Tabla6[[#This Row],['# Vuelo]],'Validacion reclamo de equipaje'!P:Q,2,0)</f>
        <v>VIAS AÉREAS DE USA</v>
      </c>
      <c r="C2931" s="52">
        <v>0.57638888888888895</v>
      </c>
      <c r="D2931" s="52">
        <v>0.58333333333333337</v>
      </c>
      <c r="E2931" s="53">
        <f>'Reclamo de equipaje rediseñado'!$D2931-'Reclamo de equipaje rediseñado'!$C2931</f>
        <v>6.9444444444444198E-3</v>
      </c>
      <c r="F2931" s="52">
        <v>0.59930555555555554</v>
      </c>
      <c r="G2931" s="53">
        <f t="shared" si="45"/>
        <v>1.5972222222222165E-2</v>
      </c>
      <c r="H2931" s="54">
        <v>41751</v>
      </c>
      <c r="I2931" s="55" t="s">
        <v>591</v>
      </c>
      <c r="J2931" s="55" t="s">
        <v>611</v>
      </c>
      <c r="K2931" s="55">
        <f>VLOOKUP(J2931,'Validacion reclamo de equipaje'!L:M,2,0)</f>
        <v>78</v>
      </c>
      <c r="L2931" s="55" t="str">
        <f>VLOOKUP(I2931,'Validacion reclamo de equipaje'!H:I,2,0)</f>
        <v>Internacional</v>
      </c>
      <c r="M2931" s="55" t="s">
        <v>523</v>
      </c>
    </row>
    <row r="2932" spans="1:13" x14ac:dyDescent="0.25">
      <c r="A2932">
        <v>2816</v>
      </c>
      <c r="B2932" s="47" t="str">
        <f>VLOOKUP(Tabla6[[#This Row],['# Vuelo]],'Validacion reclamo de equipaje'!P:Q,2,0)</f>
        <v>VIAS AÉREAS DE USA</v>
      </c>
      <c r="C2932" s="48">
        <v>0.57986111111111105</v>
      </c>
      <c r="D2932" s="48">
        <v>0.59027777777777779</v>
      </c>
      <c r="E2932" s="49">
        <f>'Reclamo de equipaje rediseñado'!$D2932-'Reclamo de equipaje rediseñado'!$C2932</f>
        <v>1.0416666666666741E-2</v>
      </c>
      <c r="F2932" s="48">
        <v>0.60833333333333328</v>
      </c>
      <c r="G2932" s="49">
        <f t="shared" si="45"/>
        <v>1.8055555555555491E-2</v>
      </c>
      <c r="H2932" s="50">
        <v>41753</v>
      </c>
      <c r="I2932" s="51" t="s">
        <v>591</v>
      </c>
      <c r="J2932" s="51" t="s">
        <v>611</v>
      </c>
      <c r="K2932" s="51">
        <f>VLOOKUP(J2932,'Validacion reclamo de equipaje'!L:M,2,0)</f>
        <v>78</v>
      </c>
      <c r="L2932" s="51" t="str">
        <f>VLOOKUP(I2932,'Validacion reclamo de equipaje'!H:I,2,0)</f>
        <v>Internacional</v>
      </c>
      <c r="M2932" s="51" t="s">
        <v>523</v>
      </c>
    </row>
    <row r="2933" spans="1:13" x14ac:dyDescent="0.25">
      <c r="A2933">
        <v>2816</v>
      </c>
      <c r="B2933" s="47" t="str">
        <f>VLOOKUP(Tabla6[[#This Row],['# Vuelo]],'Validacion reclamo de equipaje'!P:Q,2,0)</f>
        <v>VIAS AÉREAS DE USA</v>
      </c>
      <c r="C2933" s="52">
        <v>0.57777777777777783</v>
      </c>
      <c r="D2933" s="52">
        <v>0.58472222222222225</v>
      </c>
      <c r="E2933" s="53">
        <f>'Reclamo de equipaje rediseñado'!$D2933-'Reclamo de equipaje rediseñado'!$C2933</f>
        <v>6.9444444444444198E-3</v>
      </c>
      <c r="F2933" s="52">
        <v>0.59583333333333333</v>
      </c>
      <c r="G2933" s="53">
        <f t="shared" si="45"/>
        <v>1.1111111111111072E-2</v>
      </c>
      <c r="H2933" s="54">
        <v>41754</v>
      </c>
      <c r="I2933" s="55" t="s">
        <v>591</v>
      </c>
      <c r="J2933" s="55" t="s">
        <v>611</v>
      </c>
      <c r="K2933" s="55">
        <f>VLOOKUP(J2933,'Validacion reclamo de equipaje'!L:M,2,0)</f>
        <v>78</v>
      </c>
      <c r="L2933" s="55" t="str">
        <f>VLOOKUP(I2933,'Validacion reclamo de equipaje'!H:I,2,0)</f>
        <v>Internacional</v>
      </c>
      <c r="M2933" s="55" t="s">
        <v>523</v>
      </c>
    </row>
    <row r="2934" spans="1:13" x14ac:dyDescent="0.25">
      <c r="A2934">
        <v>2816</v>
      </c>
      <c r="B2934" s="47" t="str">
        <f>VLOOKUP(Tabla6[[#This Row],['# Vuelo]],'Validacion reclamo de equipaje'!P:Q,2,0)</f>
        <v>VIAS AÉREAS DE USA</v>
      </c>
      <c r="C2934" s="48">
        <v>0.56597222222222221</v>
      </c>
      <c r="D2934" s="48">
        <v>0.57291666666666663</v>
      </c>
      <c r="E2934" s="49">
        <f>'Reclamo de equipaje rediseñado'!$D2934-'Reclamo de equipaje rediseñado'!$C2934</f>
        <v>6.9444444444444198E-3</v>
      </c>
      <c r="F2934" s="48">
        <v>0.58333333333333337</v>
      </c>
      <c r="G2934" s="49">
        <f t="shared" si="45"/>
        <v>1.0416666666666741E-2</v>
      </c>
      <c r="H2934" s="50">
        <v>41756</v>
      </c>
      <c r="I2934" s="51" t="s">
        <v>591</v>
      </c>
      <c r="J2934" s="51" t="s">
        <v>611</v>
      </c>
      <c r="K2934" s="51">
        <f>VLOOKUP(J2934,'Validacion reclamo de equipaje'!L:M,2,0)</f>
        <v>78</v>
      </c>
      <c r="L2934" s="51" t="str">
        <f>VLOOKUP(I2934,'Validacion reclamo de equipaje'!H:I,2,0)</f>
        <v>Internacional</v>
      </c>
      <c r="M2934" s="51" t="s">
        <v>523</v>
      </c>
    </row>
    <row r="2935" spans="1:13" x14ac:dyDescent="0.25">
      <c r="A2935">
        <v>2816</v>
      </c>
      <c r="B2935" s="47" t="str">
        <f>VLOOKUP(Tabla6[[#This Row],['# Vuelo]],'Validacion reclamo de equipaje'!P:Q,2,0)</f>
        <v>VIAS AÉREAS DE USA</v>
      </c>
      <c r="C2935" s="52">
        <v>0.58680555555555558</v>
      </c>
      <c r="D2935" s="52">
        <v>0.59583333333333333</v>
      </c>
      <c r="E2935" s="53">
        <f>'Reclamo de equipaje rediseñado'!$D2935-'Reclamo de equipaje rediseñado'!$C2935</f>
        <v>9.0277777777777457E-3</v>
      </c>
      <c r="F2935" s="52">
        <v>0.60625000000000007</v>
      </c>
      <c r="G2935" s="53">
        <f t="shared" si="45"/>
        <v>1.0416666666666741E-2</v>
      </c>
      <c r="H2935" s="54">
        <v>41757</v>
      </c>
      <c r="I2935" s="55" t="s">
        <v>591</v>
      </c>
      <c r="J2935" s="55" t="s">
        <v>611</v>
      </c>
      <c r="K2935" s="55">
        <f>VLOOKUP(J2935,'Validacion reclamo de equipaje'!L:M,2,0)</f>
        <v>78</v>
      </c>
      <c r="L2935" s="55" t="str">
        <f>VLOOKUP(I2935,'Validacion reclamo de equipaje'!H:I,2,0)</f>
        <v>Internacional</v>
      </c>
      <c r="M2935" s="55" t="s">
        <v>523</v>
      </c>
    </row>
    <row r="2936" spans="1:13" x14ac:dyDescent="0.25">
      <c r="A2936">
        <v>2816</v>
      </c>
      <c r="B2936" s="47" t="str">
        <f>VLOOKUP(Tabla6[[#This Row],['# Vuelo]],'Validacion reclamo de equipaje'!P:Q,2,0)</f>
        <v>VIAS AÉREAS DE USA</v>
      </c>
      <c r="C2936" s="48">
        <v>0.57013888888888886</v>
      </c>
      <c r="D2936" s="48">
        <v>0.57708333333333328</v>
      </c>
      <c r="E2936" s="49">
        <f>'Reclamo de equipaje rediseñado'!$D2936-'Reclamo de equipaje rediseñado'!$C2936</f>
        <v>6.9444444444444198E-3</v>
      </c>
      <c r="F2936" s="48">
        <v>0.59305555555555556</v>
      </c>
      <c r="G2936" s="49">
        <f t="shared" si="45"/>
        <v>1.5972222222222276E-2</v>
      </c>
      <c r="H2936" s="50">
        <v>41759</v>
      </c>
      <c r="I2936" s="51" t="s">
        <v>591</v>
      </c>
      <c r="J2936" s="51" t="s">
        <v>611</v>
      </c>
      <c r="K2936" s="51">
        <f>VLOOKUP(J2936,'Validacion reclamo de equipaje'!L:M,2,0)</f>
        <v>78</v>
      </c>
      <c r="L2936" s="51" t="str">
        <f>VLOOKUP(I2936,'Validacion reclamo de equipaje'!H:I,2,0)</f>
        <v>Internacional</v>
      </c>
      <c r="M2936" s="51" t="s">
        <v>523</v>
      </c>
    </row>
    <row r="2937" spans="1:13" x14ac:dyDescent="0.25">
      <c r="A2937">
        <v>150</v>
      </c>
      <c r="B2937" s="47" t="str">
        <f>VLOOKUP(Tabla6[[#This Row],['# Vuelo]],'Validacion reclamo de equipaje'!P:Q,2,0)</f>
        <v>BARATA Y MORADA</v>
      </c>
      <c r="C2937" s="52">
        <v>0.9375</v>
      </c>
      <c r="D2937" s="52">
        <v>0.94791666666666663</v>
      </c>
      <c r="E2937" s="53">
        <f>'Reclamo de equipaje rediseñado'!$D2937-'Reclamo de equipaje rediseñado'!$C2937</f>
        <v>1.041666666666663E-2</v>
      </c>
      <c r="F2937" s="52">
        <v>0.95000000000000007</v>
      </c>
      <c r="G2937" s="53">
        <f t="shared" si="45"/>
        <v>2.083333333333437E-3</v>
      </c>
      <c r="H2937" s="54">
        <v>41745</v>
      </c>
      <c r="I2937" s="55" t="s">
        <v>549</v>
      </c>
      <c r="J2937" s="55">
        <v>320</v>
      </c>
      <c r="K2937" s="55">
        <f>VLOOKUP(J2937,'Validacion reclamo de equipaje'!L:M,2,0)</f>
        <v>179</v>
      </c>
      <c r="L2937" s="55" t="str">
        <f>VLOOKUP(I2937,'Validacion reclamo de equipaje'!H:I,2,0)</f>
        <v>Nacional</v>
      </c>
      <c r="M2937" s="55" t="s">
        <v>523</v>
      </c>
    </row>
    <row r="2938" spans="1:13" x14ac:dyDescent="0.25">
      <c r="A2938">
        <v>150</v>
      </c>
      <c r="B2938" s="47" t="str">
        <f>VLOOKUP(Tabla6[[#This Row],['# Vuelo]],'Validacion reclamo de equipaje'!P:Q,2,0)</f>
        <v>BARATA Y MORADA</v>
      </c>
      <c r="C2938" s="48">
        <v>0.91388888888888886</v>
      </c>
      <c r="D2938" s="48">
        <v>0.92361111111111116</v>
      </c>
      <c r="E2938" s="49">
        <f>'Reclamo de equipaje rediseñado'!$D2938-'Reclamo de equipaje rediseñado'!$C2938</f>
        <v>9.7222222222222987E-3</v>
      </c>
      <c r="F2938" s="48">
        <v>0.92499999999999993</v>
      </c>
      <c r="G2938" s="49">
        <f t="shared" si="45"/>
        <v>1.3888888888887729E-3</v>
      </c>
      <c r="H2938" s="50">
        <v>41749</v>
      </c>
      <c r="I2938" s="51" t="s">
        <v>549</v>
      </c>
      <c r="J2938" s="51">
        <v>320</v>
      </c>
      <c r="K2938" s="51">
        <f>VLOOKUP(J2938,'Validacion reclamo de equipaje'!L:M,2,0)</f>
        <v>179</v>
      </c>
      <c r="L2938" s="51" t="str">
        <f>VLOOKUP(I2938,'Validacion reclamo de equipaje'!H:I,2,0)</f>
        <v>Nacional</v>
      </c>
      <c r="M2938" s="51" t="s">
        <v>523</v>
      </c>
    </row>
    <row r="2939" spans="1:13" x14ac:dyDescent="0.25">
      <c r="A2939">
        <v>150</v>
      </c>
      <c r="B2939" s="47" t="str">
        <f>VLOOKUP(Tabla6[[#This Row],['# Vuelo]],'Validacion reclamo de equipaje'!P:Q,2,0)</f>
        <v>BARATA Y MORADA</v>
      </c>
      <c r="C2939" s="52">
        <v>0.90347222222222223</v>
      </c>
      <c r="D2939" s="52">
        <v>0.91319444444444453</v>
      </c>
      <c r="E2939" s="53">
        <f>'Reclamo de equipaje rediseñado'!$D2939-'Reclamo de equipaje rediseñado'!$C2939</f>
        <v>9.7222222222222987E-3</v>
      </c>
      <c r="F2939" s="52">
        <v>0.9159722222222223</v>
      </c>
      <c r="G2939" s="53">
        <f t="shared" si="45"/>
        <v>2.7777777777777679E-3</v>
      </c>
      <c r="H2939" s="54">
        <v>41755</v>
      </c>
      <c r="I2939" s="55" t="s">
        <v>549</v>
      </c>
      <c r="J2939" s="55">
        <v>320</v>
      </c>
      <c r="K2939" s="55">
        <f>VLOOKUP(J2939,'Validacion reclamo de equipaje'!L:M,2,0)</f>
        <v>179</v>
      </c>
      <c r="L2939" s="55" t="str">
        <f>VLOOKUP(I2939,'Validacion reclamo de equipaje'!H:I,2,0)</f>
        <v>Nacional</v>
      </c>
      <c r="M2939" s="55" t="s">
        <v>523</v>
      </c>
    </row>
    <row r="2940" spans="1:13" x14ac:dyDescent="0.25">
      <c r="A2940">
        <v>150</v>
      </c>
      <c r="B2940" s="47" t="str">
        <f>VLOOKUP(Tabla6[[#This Row],['# Vuelo]],'Validacion reclamo de equipaje'!P:Q,2,0)</f>
        <v>BARATA Y MORADA</v>
      </c>
      <c r="C2940" s="48">
        <v>0.90277777777777779</v>
      </c>
      <c r="D2940" s="48">
        <v>0.9145833333333333</v>
      </c>
      <c r="E2940" s="49">
        <f>'Reclamo de equipaje rediseñado'!$D2940-'Reclamo de equipaje rediseñado'!$C2940</f>
        <v>1.1805555555555514E-2</v>
      </c>
      <c r="F2940" s="48">
        <v>0.92708333333333337</v>
      </c>
      <c r="G2940" s="49">
        <f t="shared" si="45"/>
        <v>1.2500000000000067E-2</v>
      </c>
      <c r="H2940" s="50">
        <v>41759</v>
      </c>
      <c r="I2940" s="51" t="s">
        <v>549</v>
      </c>
      <c r="J2940" s="51">
        <v>320</v>
      </c>
      <c r="K2940" s="51">
        <f>VLOOKUP(J2940,'Validacion reclamo de equipaje'!L:M,2,0)</f>
        <v>179</v>
      </c>
      <c r="L2940" s="51" t="str">
        <f>VLOOKUP(I2940,'Validacion reclamo de equipaje'!H:I,2,0)</f>
        <v>Nacional</v>
      </c>
      <c r="M2940" s="51" t="s">
        <v>523</v>
      </c>
    </row>
    <row r="2941" spans="1:13" x14ac:dyDescent="0.25">
      <c r="A2941">
        <v>150</v>
      </c>
      <c r="B2941" s="47" t="str">
        <f>VLOOKUP(Tabla6[[#This Row],['# Vuelo]],'Validacion reclamo de equipaje'!P:Q,2,0)</f>
        <v>BARATA Y MORADA</v>
      </c>
      <c r="C2941" s="52">
        <v>0.99652777777777779</v>
      </c>
      <c r="D2941" s="52">
        <v>0.99930555555555556</v>
      </c>
      <c r="E2941" s="53">
        <f>'Reclamo de equipaje rediseñado'!$D2941-'Reclamo de equipaje rediseñado'!$C2941</f>
        <v>2.7777777777777679E-3</v>
      </c>
      <c r="F2941" s="52">
        <v>1.0034722222222221</v>
      </c>
      <c r="G2941" s="53">
        <f t="shared" si="45"/>
        <v>4.1666666666665408E-3</v>
      </c>
      <c r="H2941" s="54">
        <v>41736</v>
      </c>
      <c r="I2941" s="55" t="s">
        <v>549</v>
      </c>
      <c r="J2941" s="55">
        <v>320</v>
      </c>
      <c r="K2941" s="55">
        <f>VLOOKUP(J2941,'Validacion reclamo de equipaje'!L:M,2,0)</f>
        <v>179</v>
      </c>
      <c r="L2941" s="55" t="str">
        <f>VLOOKUP(I2941,'Validacion reclamo de equipaje'!H:I,2,0)</f>
        <v>Nacional</v>
      </c>
      <c r="M2941" s="55" t="s">
        <v>523</v>
      </c>
    </row>
    <row r="2942" spans="1:13" x14ac:dyDescent="0.25">
      <c r="A2942">
        <v>420</v>
      </c>
      <c r="B2942" s="47" t="str">
        <f>VLOOKUP(Tabla6[[#This Row],['# Vuelo]],'Validacion reclamo de equipaje'!P:Q,2,0)</f>
        <v>BARATA Y MORADA</v>
      </c>
      <c r="C2942" s="48">
        <v>0.24305555555555555</v>
      </c>
      <c r="D2942" s="48">
        <v>0.25833333333333336</v>
      </c>
      <c r="E2942" s="49">
        <f>'Reclamo de equipaje rediseñado'!$D2942-'Reclamo de equipaje rediseñado'!$C2942</f>
        <v>1.5277777777777807E-2</v>
      </c>
      <c r="F2942" s="48">
        <v>0.26597222222222222</v>
      </c>
      <c r="G2942" s="49">
        <f t="shared" si="45"/>
        <v>7.6388888888888618E-3</v>
      </c>
      <c r="H2942" s="50">
        <v>41731</v>
      </c>
      <c r="I2942" s="51" t="s">
        <v>549</v>
      </c>
      <c r="J2942" s="51">
        <v>320</v>
      </c>
      <c r="K2942" s="51">
        <f>VLOOKUP(J2942,'Validacion reclamo de equipaje'!L:M,2,0)</f>
        <v>179</v>
      </c>
      <c r="L2942" s="51" t="str">
        <f>VLOOKUP(I2942,'Validacion reclamo de equipaje'!H:I,2,0)</f>
        <v>Nacional</v>
      </c>
      <c r="M2942" s="51" t="s">
        <v>523</v>
      </c>
    </row>
    <row r="2943" spans="1:13" x14ac:dyDescent="0.25">
      <c r="A2943">
        <v>420</v>
      </c>
      <c r="B2943" s="47" t="str">
        <f>VLOOKUP(Tabla6[[#This Row],['# Vuelo]],'Validacion reclamo de equipaje'!P:Q,2,0)</f>
        <v>BARATA Y MORADA</v>
      </c>
      <c r="C2943" s="52">
        <v>0.22638888888888889</v>
      </c>
      <c r="D2943" s="52">
        <v>0.24236111111111111</v>
      </c>
      <c r="E2943" s="53">
        <f>'Reclamo de equipaje rediseñado'!$D2943-'Reclamo de equipaje rediseñado'!$C2943</f>
        <v>1.5972222222222221E-2</v>
      </c>
      <c r="F2943" s="52">
        <v>0.25625000000000003</v>
      </c>
      <c r="G2943" s="53">
        <f t="shared" si="45"/>
        <v>1.3888888888888923E-2</v>
      </c>
      <c r="H2943" s="54">
        <v>41732</v>
      </c>
      <c r="I2943" s="55" t="s">
        <v>549</v>
      </c>
      <c r="J2943" s="55">
        <v>320</v>
      </c>
      <c r="K2943" s="55">
        <f>VLOOKUP(J2943,'Validacion reclamo de equipaje'!L:M,2,0)</f>
        <v>179</v>
      </c>
      <c r="L2943" s="55" t="str">
        <f>VLOOKUP(I2943,'Validacion reclamo de equipaje'!H:I,2,0)</f>
        <v>Nacional</v>
      </c>
      <c r="M2943" s="55" t="s">
        <v>523</v>
      </c>
    </row>
    <row r="2944" spans="1:13" x14ac:dyDescent="0.25">
      <c r="A2944">
        <v>420</v>
      </c>
      <c r="B2944" s="47" t="str">
        <f>VLOOKUP(Tabla6[[#This Row],['# Vuelo]],'Validacion reclamo de equipaje'!P:Q,2,0)</f>
        <v>BARATA Y MORADA</v>
      </c>
      <c r="C2944" s="48">
        <v>0.23194444444444443</v>
      </c>
      <c r="D2944" s="48">
        <v>0.24097222222222223</v>
      </c>
      <c r="E2944" s="49">
        <f>'Reclamo de equipaje rediseñado'!$D2944-'Reclamo de equipaje rediseñado'!$C2944</f>
        <v>9.0277777777778012E-3</v>
      </c>
      <c r="F2944" s="48">
        <v>0.24930555555555556</v>
      </c>
      <c r="G2944" s="49">
        <f t="shared" si="45"/>
        <v>8.3333333333333315E-3</v>
      </c>
      <c r="H2944" s="50">
        <v>41734</v>
      </c>
      <c r="I2944" s="51" t="s">
        <v>549</v>
      </c>
      <c r="J2944" s="51">
        <v>320</v>
      </c>
      <c r="K2944" s="51">
        <f>VLOOKUP(J2944,'Validacion reclamo de equipaje'!L:M,2,0)</f>
        <v>179</v>
      </c>
      <c r="L2944" s="51" t="str">
        <f>VLOOKUP(I2944,'Validacion reclamo de equipaje'!H:I,2,0)</f>
        <v>Nacional</v>
      </c>
      <c r="M2944" s="51" t="s">
        <v>523</v>
      </c>
    </row>
    <row r="2945" spans="1:13" x14ac:dyDescent="0.25">
      <c r="A2945">
        <v>420</v>
      </c>
      <c r="B2945" s="47" t="str">
        <f>VLOOKUP(Tabla6[[#This Row],['# Vuelo]],'Validacion reclamo de equipaje'!P:Q,2,0)</f>
        <v>BARATA Y MORADA</v>
      </c>
      <c r="C2945" s="52">
        <v>0.22638888888888889</v>
      </c>
      <c r="D2945" s="52">
        <v>0.24305555555555555</v>
      </c>
      <c r="E2945" s="53">
        <f>'Reclamo de equipaje rediseñado'!$D2945-'Reclamo de equipaje rediseñado'!$C2945</f>
        <v>1.6666666666666663E-2</v>
      </c>
      <c r="F2945" s="52">
        <v>0.24444444444444446</v>
      </c>
      <c r="G2945" s="53">
        <f t="shared" si="45"/>
        <v>1.3888888888889117E-3</v>
      </c>
      <c r="H2945" s="54">
        <v>41735</v>
      </c>
      <c r="I2945" s="55" t="s">
        <v>549</v>
      </c>
      <c r="J2945" s="55">
        <v>320</v>
      </c>
      <c r="K2945" s="55">
        <f>VLOOKUP(J2945,'Validacion reclamo de equipaje'!L:M,2,0)</f>
        <v>179</v>
      </c>
      <c r="L2945" s="55" t="str">
        <f>VLOOKUP(I2945,'Validacion reclamo de equipaje'!H:I,2,0)</f>
        <v>Nacional</v>
      </c>
      <c r="M2945" s="55" t="s">
        <v>523</v>
      </c>
    </row>
    <row r="2946" spans="1:13" x14ac:dyDescent="0.25">
      <c r="A2946">
        <v>420</v>
      </c>
      <c r="B2946" s="47" t="str">
        <f>VLOOKUP(Tabla6[[#This Row],['# Vuelo]],'Validacion reclamo de equipaje'!P:Q,2,0)</f>
        <v>BARATA Y MORADA</v>
      </c>
      <c r="C2946" s="48">
        <v>0.23541666666666669</v>
      </c>
      <c r="D2946" s="48">
        <v>0.24652777777777779</v>
      </c>
      <c r="E2946" s="49">
        <f>'Reclamo de equipaje rediseñado'!$D2946-'Reclamo de equipaje rediseñado'!$C2946</f>
        <v>1.1111111111111099E-2</v>
      </c>
      <c r="F2946" s="48">
        <v>0.25138888888888888</v>
      </c>
      <c r="G2946" s="49">
        <f t="shared" si="45"/>
        <v>4.8611111111110938E-3</v>
      </c>
      <c r="H2946" s="50">
        <v>41736</v>
      </c>
      <c r="I2946" s="51" t="s">
        <v>549</v>
      </c>
      <c r="J2946" s="51">
        <v>320</v>
      </c>
      <c r="K2946" s="51">
        <f>VLOOKUP(J2946,'Validacion reclamo de equipaje'!L:M,2,0)</f>
        <v>179</v>
      </c>
      <c r="L2946" s="51" t="str">
        <f>VLOOKUP(I2946,'Validacion reclamo de equipaje'!H:I,2,0)</f>
        <v>Nacional</v>
      </c>
      <c r="M2946" s="51" t="s">
        <v>523</v>
      </c>
    </row>
    <row r="2947" spans="1:13" x14ac:dyDescent="0.25">
      <c r="A2947">
        <v>420</v>
      </c>
      <c r="B2947" s="47" t="str">
        <f>VLOOKUP(Tabla6[[#This Row],['# Vuelo]],'Validacion reclamo de equipaje'!P:Q,2,0)</f>
        <v>BARATA Y MORADA</v>
      </c>
      <c r="C2947" s="52">
        <v>0.23819444444444446</v>
      </c>
      <c r="D2947" s="52">
        <v>0.24722222222222223</v>
      </c>
      <c r="E2947" s="53">
        <f>'Reclamo de equipaje rediseñado'!$D2947-'Reclamo de equipaje rediseñado'!$C2947</f>
        <v>9.0277777777777735E-3</v>
      </c>
      <c r="F2947" s="52">
        <v>0.2638888888888889</v>
      </c>
      <c r="G2947" s="53">
        <f t="shared" ref="G2947:G3010" si="46">F2947-D2947</f>
        <v>1.6666666666666663E-2</v>
      </c>
      <c r="H2947" s="54">
        <v>41736</v>
      </c>
      <c r="I2947" s="55" t="s">
        <v>549</v>
      </c>
      <c r="J2947" s="55">
        <v>320</v>
      </c>
      <c r="K2947" s="55">
        <f>VLOOKUP(J2947,'Validacion reclamo de equipaje'!L:M,2,0)</f>
        <v>179</v>
      </c>
      <c r="L2947" s="55" t="str">
        <f>VLOOKUP(I2947,'Validacion reclamo de equipaje'!H:I,2,0)</f>
        <v>Nacional</v>
      </c>
      <c r="M2947" s="55" t="s">
        <v>523</v>
      </c>
    </row>
    <row r="2948" spans="1:13" x14ac:dyDescent="0.25">
      <c r="A2948">
        <v>420</v>
      </c>
      <c r="B2948" s="47" t="str">
        <f>VLOOKUP(Tabla6[[#This Row],['# Vuelo]],'Validacion reclamo de equipaje'!P:Q,2,0)</f>
        <v>BARATA Y MORADA</v>
      </c>
      <c r="C2948" s="48">
        <v>0.22500000000000001</v>
      </c>
      <c r="D2948" s="48">
        <v>0.23124999999999998</v>
      </c>
      <c r="E2948" s="49">
        <f>'Reclamo de equipaje rediseñado'!$D2948-'Reclamo de equipaje rediseñado'!$C2948</f>
        <v>6.2499999999999778E-3</v>
      </c>
      <c r="F2948" s="48">
        <v>0.24236111111111111</v>
      </c>
      <c r="G2948" s="49">
        <f t="shared" si="46"/>
        <v>1.1111111111111127E-2</v>
      </c>
      <c r="H2948" s="50">
        <v>41738</v>
      </c>
      <c r="I2948" s="51" t="s">
        <v>549</v>
      </c>
      <c r="J2948" s="51">
        <v>320</v>
      </c>
      <c r="K2948" s="51">
        <f>VLOOKUP(J2948,'Validacion reclamo de equipaje'!L:M,2,0)</f>
        <v>179</v>
      </c>
      <c r="L2948" s="51" t="str">
        <f>VLOOKUP(I2948,'Validacion reclamo de equipaje'!H:I,2,0)</f>
        <v>Nacional</v>
      </c>
      <c r="M2948" s="51" t="s">
        <v>523</v>
      </c>
    </row>
    <row r="2949" spans="1:13" x14ac:dyDescent="0.25">
      <c r="A2949">
        <v>420</v>
      </c>
      <c r="B2949" s="47" t="str">
        <f>VLOOKUP(Tabla6[[#This Row],['# Vuelo]],'Validacion reclamo de equipaje'!P:Q,2,0)</f>
        <v>BARATA Y MORADA</v>
      </c>
      <c r="C2949" s="52">
        <v>0.22152777777777777</v>
      </c>
      <c r="D2949" s="52">
        <v>0.23263888888888887</v>
      </c>
      <c r="E2949" s="53">
        <f>'Reclamo de equipaje rediseñado'!$D2949-'Reclamo de equipaje rediseñado'!$C2949</f>
        <v>1.1111111111111099E-2</v>
      </c>
      <c r="F2949" s="52">
        <v>0.24583333333333335</v>
      </c>
      <c r="G2949" s="53">
        <f t="shared" si="46"/>
        <v>1.3194444444444481E-2</v>
      </c>
      <c r="H2949" s="54">
        <v>41739</v>
      </c>
      <c r="I2949" s="55" t="s">
        <v>549</v>
      </c>
      <c r="J2949" s="55">
        <v>320</v>
      </c>
      <c r="K2949" s="55">
        <f>VLOOKUP(J2949,'Validacion reclamo de equipaje'!L:M,2,0)</f>
        <v>179</v>
      </c>
      <c r="L2949" s="55" t="str">
        <f>VLOOKUP(I2949,'Validacion reclamo de equipaje'!H:I,2,0)</f>
        <v>Nacional</v>
      </c>
      <c r="M2949" s="55" t="s">
        <v>523</v>
      </c>
    </row>
    <row r="2950" spans="1:13" x14ac:dyDescent="0.25">
      <c r="A2950">
        <v>420</v>
      </c>
      <c r="B2950" s="47" t="str">
        <f>VLOOKUP(Tabla6[[#This Row],['# Vuelo]],'Validacion reclamo de equipaje'!P:Q,2,0)</f>
        <v>BARATA Y MORADA</v>
      </c>
      <c r="C2950" s="48">
        <v>0.23055555555555554</v>
      </c>
      <c r="D2950" s="48">
        <v>0.23819444444444446</v>
      </c>
      <c r="E2950" s="49">
        <f>'Reclamo de equipaje rediseñado'!$D2950-'Reclamo de equipaje rediseñado'!$C2950</f>
        <v>7.6388888888889173E-3</v>
      </c>
      <c r="F2950" s="48">
        <v>0.25069444444444444</v>
      </c>
      <c r="G2950" s="49">
        <f t="shared" si="46"/>
        <v>1.2499999999999983E-2</v>
      </c>
      <c r="H2950" s="50">
        <v>41740</v>
      </c>
      <c r="I2950" s="51" t="s">
        <v>549</v>
      </c>
      <c r="J2950" s="51">
        <v>320</v>
      </c>
      <c r="K2950" s="51">
        <f>VLOOKUP(J2950,'Validacion reclamo de equipaje'!L:M,2,0)</f>
        <v>179</v>
      </c>
      <c r="L2950" s="51" t="str">
        <f>VLOOKUP(I2950,'Validacion reclamo de equipaje'!H:I,2,0)</f>
        <v>Nacional</v>
      </c>
      <c r="M2950" s="51" t="s">
        <v>523</v>
      </c>
    </row>
    <row r="2951" spans="1:13" x14ac:dyDescent="0.25">
      <c r="A2951">
        <v>420</v>
      </c>
      <c r="B2951" s="47" t="str">
        <f>VLOOKUP(Tabla6[[#This Row],['# Vuelo]],'Validacion reclamo de equipaje'!P:Q,2,0)</f>
        <v>BARATA Y MORADA</v>
      </c>
      <c r="C2951" s="52">
        <v>0.6694444444444444</v>
      </c>
      <c r="D2951" s="52">
        <v>0.67499999999999993</v>
      </c>
      <c r="E2951" s="53">
        <f>'Reclamo de equipaje rediseñado'!$D2951-'Reclamo de equipaje rediseñado'!$C2951</f>
        <v>5.5555555555555358E-3</v>
      </c>
      <c r="F2951" s="52">
        <v>0.68194444444444446</v>
      </c>
      <c r="G2951" s="53">
        <f t="shared" si="46"/>
        <v>6.9444444444445308E-3</v>
      </c>
      <c r="H2951" s="54">
        <v>41741</v>
      </c>
      <c r="I2951" s="55" t="s">
        <v>549</v>
      </c>
      <c r="J2951" s="55">
        <v>320</v>
      </c>
      <c r="K2951" s="55">
        <f>VLOOKUP(J2951,'Validacion reclamo de equipaje'!L:M,2,0)</f>
        <v>179</v>
      </c>
      <c r="L2951" s="55" t="str">
        <f>VLOOKUP(I2951,'Validacion reclamo de equipaje'!H:I,2,0)</f>
        <v>Nacional</v>
      </c>
      <c r="M2951" s="55" t="s">
        <v>523</v>
      </c>
    </row>
    <row r="2952" spans="1:13" x14ac:dyDescent="0.25">
      <c r="A2952">
        <v>420</v>
      </c>
      <c r="B2952" s="47" t="str">
        <f>VLOOKUP(Tabla6[[#This Row],['# Vuelo]],'Validacion reclamo de equipaje'!P:Q,2,0)</f>
        <v>BARATA Y MORADA</v>
      </c>
      <c r="C2952" s="48">
        <v>0.22569444444444445</v>
      </c>
      <c r="D2952" s="48">
        <v>0.24027777777777778</v>
      </c>
      <c r="E2952" s="49">
        <f>'Reclamo de equipaje rediseñado'!$D2952-'Reclamo de equipaje rediseñado'!$C2952</f>
        <v>1.4583333333333337E-2</v>
      </c>
      <c r="F2952" s="48">
        <v>0.24791666666666667</v>
      </c>
      <c r="G2952" s="49">
        <f t="shared" si="46"/>
        <v>7.6388888888888895E-3</v>
      </c>
      <c r="H2952" s="50">
        <v>41743</v>
      </c>
      <c r="I2952" s="51" t="s">
        <v>549</v>
      </c>
      <c r="J2952" s="51">
        <v>320</v>
      </c>
      <c r="K2952" s="51">
        <f>VLOOKUP(J2952,'Validacion reclamo de equipaje'!L:M,2,0)</f>
        <v>179</v>
      </c>
      <c r="L2952" s="51" t="str">
        <f>VLOOKUP(I2952,'Validacion reclamo de equipaje'!H:I,2,0)</f>
        <v>Nacional</v>
      </c>
      <c r="M2952" s="51" t="s">
        <v>523</v>
      </c>
    </row>
    <row r="2953" spans="1:13" x14ac:dyDescent="0.25">
      <c r="A2953">
        <v>420</v>
      </c>
      <c r="B2953" s="47" t="str">
        <f>VLOOKUP(Tabla6[[#This Row],['# Vuelo]],'Validacion reclamo de equipaje'!P:Q,2,0)</f>
        <v>BARATA Y MORADA</v>
      </c>
      <c r="C2953" s="52">
        <v>0.22916666666666666</v>
      </c>
      <c r="D2953" s="52">
        <v>0.23611111111111113</v>
      </c>
      <c r="E2953" s="53">
        <f>'Reclamo de equipaje rediseñado'!$D2953-'Reclamo de equipaje rediseñado'!$C2953</f>
        <v>6.9444444444444753E-3</v>
      </c>
      <c r="F2953" s="52">
        <v>0.24930555555555556</v>
      </c>
      <c r="G2953" s="53">
        <f t="shared" si="46"/>
        <v>1.3194444444444425E-2</v>
      </c>
      <c r="H2953" s="54">
        <v>41745</v>
      </c>
      <c r="I2953" s="55" t="s">
        <v>549</v>
      </c>
      <c r="J2953" s="55">
        <v>320</v>
      </c>
      <c r="K2953" s="55">
        <f>VLOOKUP(J2953,'Validacion reclamo de equipaje'!L:M,2,0)</f>
        <v>179</v>
      </c>
      <c r="L2953" s="55" t="str">
        <f>VLOOKUP(I2953,'Validacion reclamo de equipaje'!H:I,2,0)</f>
        <v>Nacional</v>
      </c>
      <c r="M2953" s="55" t="s">
        <v>523</v>
      </c>
    </row>
    <row r="2954" spans="1:13" x14ac:dyDescent="0.25">
      <c r="A2954">
        <v>420</v>
      </c>
      <c r="B2954" s="47" t="str">
        <f>VLOOKUP(Tabla6[[#This Row],['# Vuelo]],'Validacion reclamo de equipaje'!P:Q,2,0)</f>
        <v>BARATA Y MORADA</v>
      </c>
      <c r="C2954" s="48">
        <v>0.22291666666666665</v>
      </c>
      <c r="D2954" s="48">
        <v>0.23402777777777781</v>
      </c>
      <c r="E2954" s="49">
        <f>'Reclamo de equipaje rediseñado'!$D2954-'Reclamo de equipaje rediseñado'!$C2954</f>
        <v>1.1111111111111155E-2</v>
      </c>
      <c r="F2954" s="48">
        <v>0.24583333333333335</v>
      </c>
      <c r="G2954" s="49">
        <f t="shared" si="46"/>
        <v>1.1805555555555541E-2</v>
      </c>
      <c r="H2954" s="50">
        <v>41744</v>
      </c>
      <c r="I2954" s="51" t="s">
        <v>549</v>
      </c>
      <c r="J2954" s="51">
        <v>320</v>
      </c>
      <c r="K2954" s="51">
        <f>VLOOKUP(J2954,'Validacion reclamo de equipaje'!L:M,2,0)</f>
        <v>179</v>
      </c>
      <c r="L2954" s="51" t="str">
        <f>VLOOKUP(I2954,'Validacion reclamo de equipaje'!H:I,2,0)</f>
        <v>Nacional</v>
      </c>
      <c r="M2954" s="51" t="s">
        <v>523</v>
      </c>
    </row>
    <row r="2955" spans="1:13" x14ac:dyDescent="0.25">
      <c r="A2955">
        <v>420</v>
      </c>
      <c r="B2955" s="47" t="str">
        <f>VLOOKUP(Tabla6[[#This Row],['# Vuelo]],'Validacion reclamo de equipaje'!P:Q,2,0)</f>
        <v>BARATA Y MORADA</v>
      </c>
      <c r="C2955" s="52">
        <v>0.22847222222222222</v>
      </c>
      <c r="D2955" s="52">
        <v>0.23750000000000002</v>
      </c>
      <c r="E2955" s="53">
        <f>'Reclamo de equipaje rediseñado'!$D2955-'Reclamo de equipaje rediseñado'!$C2955</f>
        <v>9.0277777777778012E-3</v>
      </c>
      <c r="F2955" s="52">
        <v>0.24444444444444446</v>
      </c>
      <c r="G2955" s="53">
        <f t="shared" si="46"/>
        <v>6.9444444444444475E-3</v>
      </c>
      <c r="H2955" s="54">
        <v>41746</v>
      </c>
      <c r="I2955" s="55" t="s">
        <v>549</v>
      </c>
      <c r="J2955" s="55">
        <v>320</v>
      </c>
      <c r="K2955" s="55">
        <f>VLOOKUP(J2955,'Validacion reclamo de equipaje'!L:M,2,0)</f>
        <v>179</v>
      </c>
      <c r="L2955" s="55" t="str">
        <f>VLOOKUP(I2955,'Validacion reclamo de equipaje'!H:I,2,0)</f>
        <v>Nacional</v>
      </c>
      <c r="M2955" s="55" t="s">
        <v>523</v>
      </c>
    </row>
    <row r="2956" spans="1:13" x14ac:dyDescent="0.25">
      <c r="A2956">
        <v>420</v>
      </c>
      <c r="B2956" s="47" t="str">
        <f>VLOOKUP(Tabla6[[#This Row],['# Vuelo]],'Validacion reclamo de equipaje'!P:Q,2,0)</f>
        <v>BARATA Y MORADA</v>
      </c>
      <c r="C2956" s="48">
        <v>0.25</v>
      </c>
      <c r="D2956" s="48">
        <v>0.26250000000000001</v>
      </c>
      <c r="E2956" s="49">
        <f>'Reclamo de equipaje rediseñado'!$D2956-'Reclamo de equipaje rediseñado'!$C2956</f>
        <v>1.2500000000000011E-2</v>
      </c>
      <c r="F2956" s="48">
        <v>0.2638888888888889</v>
      </c>
      <c r="G2956" s="49">
        <f t="shared" si="46"/>
        <v>1.388888888888884E-3</v>
      </c>
      <c r="H2956" s="50">
        <v>41747</v>
      </c>
      <c r="I2956" s="51" t="s">
        <v>549</v>
      </c>
      <c r="J2956" s="51">
        <v>320</v>
      </c>
      <c r="K2956" s="51">
        <f>VLOOKUP(J2956,'Validacion reclamo de equipaje'!L:M,2,0)</f>
        <v>179</v>
      </c>
      <c r="L2956" s="51" t="str">
        <f>VLOOKUP(I2956,'Validacion reclamo de equipaje'!H:I,2,0)</f>
        <v>Nacional</v>
      </c>
      <c r="M2956" s="51" t="s">
        <v>523</v>
      </c>
    </row>
    <row r="2957" spans="1:13" x14ac:dyDescent="0.25">
      <c r="A2957">
        <v>420</v>
      </c>
      <c r="B2957" s="47" t="str">
        <f>VLOOKUP(Tabla6[[#This Row],['# Vuelo]],'Validacion reclamo de equipaje'!P:Q,2,0)</f>
        <v>BARATA Y MORADA</v>
      </c>
      <c r="C2957" s="52">
        <v>0.22708333333333333</v>
      </c>
      <c r="D2957" s="52">
        <v>0.23611111111111113</v>
      </c>
      <c r="E2957" s="53">
        <f>'Reclamo de equipaje rediseñado'!$D2957-'Reclamo de equipaje rediseñado'!$C2957</f>
        <v>9.0277777777778012E-3</v>
      </c>
      <c r="F2957" s="52">
        <v>0.24861111111111112</v>
      </c>
      <c r="G2957" s="53">
        <f t="shared" si="46"/>
        <v>1.2499999999999983E-2</v>
      </c>
      <c r="H2957" s="54">
        <v>41749</v>
      </c>
      <c r="I2957" s="55" t="s">
        <v>549</v>
      </c>
      <c r="J2957" s="55">
        <v>320</v>
      </c>
      <c r="K2957" s="55">
        <f>VLOOKUP(J2957,'Validacion reclamo de equipaje'!L:M,2,0)</f>
        <v>179</v>
      </c>
      <c r="L2957" s="55" t="str">
        <f>VLOOKUP(I2957,'Validacion reclamo de equipaje'!H:I,2,0)</f>
        <v>Nacional</v>
      </c>
      <c r="M2957" s="55" t="s">
        <v>523</v>
      </c>
    </row>
    <row r="2958" spans="1:13" x14ac:dyDescent="0.25">
      <c r="A2958">
        <v>420</v>
      </c>
      <c r="B2958" s="47" t="str">
        <f>VLOOKUP(Tabla6[[#This Row],['# Vuelo]],'Validacion reclamo de equipaje'!P:Q,2,0)</f>
        <v>BARATA Y MORADA</v>
      </c>
      <c r="C2958" s="48">
        <v>0.22916666666666666</v>
      </c>
      <c r="D2958" s="48">
        <v>0.24305555555555555</v>
      </c>
      <c r="E2958" s="49">
        <f>'Reclamo de equipaje rediseñado'!$D2958-'Reclamo de equipaje rediseñado'!$C2958</f>
        <v>1.3888888888888895E-2</v>
      </c>
      <c r="F2958" s="48">
        <v>0.25625000000000003</v>
      </c>
      <c r="G2958" s="49">
        <f t="shared" si="46"/>
        <v>1.3194444444444481E-2</v>
      </c>
      <c r="H2958" s="50">
        <v>41749</v>
      </c>
      <c r="I2958" s="51" t="s">
        <v>549</v>
      </c>
      <c r="J2958" s="51">
        <v>320</v>
      </c>
      <c r="K2958" s="51">
        <f>VLOOKUP(J2958,'Validacion reclamo de equipaje'!L:M,2,0)</f>
        <v>179</v>
      </c>
      <c r="L2958" s="51" t="str">
        <f>VLOOKUP(I2958,'Validacion reclamo de equipaje'!H:I,2,0)</f>
        <v>Nacional</v>
      </c>
      <c r="M2958" s="51" t="s">
        <v>523</v>
      </c>
    </row>
    <row r="2959" spans="1:13" x14ac:dyDescent="0.25">
      <c r="A2959">
        <v>420</v>
      </c>
      <c r="B2959" s="47" t="str">
        <f>VLOOKUP(Tabla6[[#This Row],['# Vuelo]],'Validacion reclamo de equipaje'!P:Q,2,0)</f>
        <v>BARATA Y MORADA</v>
      </c>
      <c r="C2959" s="52">
        <v>0.24166666666666667</v>
      </c>
      <c r="D2959" s="52">
        <v>0.24791666666666667</v>
      </c>
      <c r="E2959" s="53">
        <f>'Reclamo de equipaje rediseñado'!$D2959-'Reclamo de equipaje rediseñado'!$C2959</f>
        <v>6.2500000000000056E-3</v>
      </c>
      <c r="F2959" s="52">
        <v>0.26527777777777778</v>
      </c>
      <c r="G2959" s="53">
        <f t="shared" si="46"/>
        <v>1.7361111111111105E-2</v>
      </c>
      <c r="H2959" s="54">
        <v>41751</v>
      </c>
      <c r="I2959" s="55" t="s">
        <v>549</v>
      </c>
      <c r="J2959" s="55">
        <v>320</v>
      </c>
      <c r="K2959" s="55">
        <f>VLOOKUP(J2959,'Validacion reclamo de equipaje'!L:M,2,0)</f>
        <v>179</v>
      </c>
      <c r="L2959" s="55" t="str">
        <f>VLOOKUP(I2959,'Validacion reclamo de equipaje'!H:I,2,0)</f>
        <v>Nacional</v>
      </c>
      <c r="M2959" s="55" t="s">
        <v>523</v>
      </c>
    </row>
    <row r="2960" spans="1:13" x14ac:dyDescent="0.25">
      <c r="A2960">
        <v>420</v>
      </c>
      <c r="B2960" s="47" t="str">
        <f>VLOOKUP(Tabla6[[#This Row],['# Vuelo]],'Validacion reclamo de equipaje'!P:Q,2,0)</f>
        <v>BARATA Y MORADA</v>
      </c>
      <c r="C2960" s="48">
        <v>0.23611111111111113</v>
      </c>
      <c r="D2960" s="48">
        <v>0.25625000000000003</v>
      </c>
      <c r="E2960" s="49">
        <f>'Reclamo de equipaje rediseñado'!$D2960-'Reclamo de equipaje rediseñado'!$C2960</f>
        <v>2.0138888888888901E-2</v>
      </c>
      <c r="F2960" s="48">
        <v>0.28055555555555556</v>
      </c>
      <c r="G2960" s="49">
        <f t="shared" si="46"/>
        <v>2.4305555555555525E-2</v>
      </c>
      <c r="H2960" s="50">
        <v>41753</v>
      </c>
      <c r="I2960" s="51" t="s">
        <v>549</v>
      </c>
      <c r="J2960" s="51">
        <v>320</v>
      </c>
      <c r="K2960" s="51">
        <f>VLOOKUP(J2960,'Validacion reclamo de equipaje'!L:M,2,0)</f>
        <v>179</v>
      </c>
      <c r="L2960" s="51" t="str">
        <f>VLOOKUP(I2960,'Validacion reclamo de equipaje'!H:I,2,0)</f>
        <v>Nacional</v>
      </c>
      <c r="M2960" s="51" t="s">
        <v>523</v>
      </c>
    </row>
    <row r="2961" spans="1:13" x14ac:dyDescent="0.25">
      <c r="A2961">
        <v>420</v>
      </c>
      <c r="B2961" s="47" t="str">
        <f>VLOOKUP(Tabla6[[#This Row],['# Vuelo]],'Validacion reclamo de equipaje'!P:Q,2,0)</f>
        <v>BARATA Y MORADA</v>
      </c>
      <c r="C2961" s="52">
        <v>0.23124999999999998</v>
      </c>
      <c r="D2961" s="52">
        <v>0.23958333333333334</v>
      </c>
      <c r="E2961" s="53">
        <f>'Reclamo de equipaje rediseñado'!$D2961-'Reclamo de equipaje rediseñado'!$C2961</f>
        <v>8.3333333333333592E-3</v>
      </c>
      <c r="F2961" s="52">
        <v>0.25833333333333336</v>
      </c>
      <c r="G2961" s="53">
        <f t="shared" si="46"/>
        <v>1.8750000000000017E-2</v>
      </c>
      <c r="H2961" s="54">
        <v>41755</v>
      </c>
      <c r="I2961" s="55" t="s">
        <v>549</v>
      </c>
      <c r="J2961" s="55">
        <v>320</v>
      </c>
      <c r="K2961" s="55">
        <f>VLOOKUP(J2961,'Validacion reclamo de equipaje'!L:M,2,0)</f>
        <v>179</v>
      </c>
      <c r="L2961" s="55" t="str">
        <f>VLOOKUP(I2961,'Validacion reclamo de equipaje'!H:I,2,0)</f>
        <v>Nacional</v>
      </c>
      <c r="M2961" s="55" t="s">
        <v>523</v>
      </c>
    </row>
    <row r="2962" spans="1:13" x14ac:dyDescent="0.25">
      <c r="A2962">
        <v>420</v>
      </c>
      <c r="B2962" s="47" t="str">
        <f>VLOOKUP(Tabla6[[#This Row],['# Vuelo]],'Validacion reclamo de equipaje'!P:Q,2,0)</f>
        <v>BARATA Y MORADA</v>
      </c>
      <c r="C2962" s="48">
        <v>0.22916666666666666</v>
      </c>
      <c r="D2962" s="48">
        <v>0.24027777777777778</v>
      </c>
      <c r="E2962" s="49">
        <f>'Reclamo de equipaje rediseñado'!$D2962-'Reclamo de equipaje rediseñado'!$C2962</f>
        <v>1.1111111111111127E-2</v>
      </c>
      <c r="F2962" s="48">
        <v>0.25416666666666665</v>
      </c>
      <c r="G2962" s="49">
        <f t="shared" si="46"/>
        <v>1.3888888888888867E-2</v>
      </c>
      <c r="H2962" s="50">
        <v>41757</v>
      </c>
      <c r="I2962" s="51" t="s">
        <v>549</v>
      </c>
      <c r="J2962" s="51">
        <v>320</v>
      </c>
      <c r="K2962" s="51">
        <f>VLOOKUP(J2962,'Validacion reclamo de equipaje'!L:M,2,0)</f>
        <v>179</v>
      </c>
      <c r="L2962" s="51" t="str">
        <f>VLOOKUP(I2962,'Validacion reclamo de equipaje'!H:I,2,0)</f>
        <v>Nacional</v>
      </c>
      <c r="M2962" s="51" t="s">
        <v>523</v>
      </c>
    </row>
    <row r="2963" spans="1:13" x14ac:dyDescent="0.25">
      <c r="A2963">
        <v>420</v>
      </c>
      <c r="B2963" s="47" t="str">
        <f>VLOOKUP(Tabla6[[#This Row],['# Vuelo]],'Validacion reclamo de equipaje'!P:Q,2,0)</f>
        <v>BARATA Y MORADA</v>
      </c>
      <c r="C2963" s="52">
        <v>0.23472222222222219</v>
      </c>
      <c r="D2963" s="52">
        <v>0.24305555555555555</v>
      </c>
      <c r="E2963" s="53">
        <f>'Reclamo de equipaje rediseñado'!$D2963-'Reclamo de equipaje rediseñado'!$C2963</f>
        <v>8.3333333333333592E-3</v>
      </c>
      <c r="F2963" s="52">
        <v>0.25486111111111109</v>
      </c>
      <c r="G2963" s="53">
        <f t="shared" si="46"/>
        <v>1.1805555555555541E-2</v>
      </c>
      <c r="H2963" s="54">
        <v>41759</v>
      </c>
      <c r="I2963" s="55" t="s">
        <v>549</v>
      </c>
      <c r="J2963" s="55">
        <v>320</v>
      </c>
      <c r="K2963" s="55">
        <f>VLOOKUP(J2963,'Validacion reclamo de equipaje'!L:M,2,0)</f>
        <v>179</v>
      </c>
      <c r="L2963" s="55" t="str">
        <f>VLOOKUP(I2963,'Validacion reclamo de equipaje'!H:I,2,0)</f>
        <v>Nacional</v>
      </c>
      <c r="M2963" s="55" t="s">
        <v>523</v>
      </c>
    </row>
    <row r="2964" spans="1:13" x14ac:dyDescent="0.25">
      <c r="A2964">
        <v>420</v>
      </c>
      <c r="B2964" s="47" t="str">
        <f>VLOOKUP(Tabla6[[#This Row],['# Vuelo]],'Validacion reclamo de equipaje'!P:Q,2,0)</f>
        <v>BARATA Y MORADA</v>
      </c>
      <c r="C2964" s="48">
        <v>0.2388888888888889</v>
      </c>
      <c r="D2964" s="48">
        <v>0.25277777777777777</v>
      </c>
      <c r="E2964" s="49">
        <f>'Reclamo de equipaje rediseñado'!$D2964-'Reclamo de equipaje rediseñado'!$C2964</f>
        <v>1.3888888888888867E-2</v>
      </c>
      <c r="F2964" s="48">
        <v>0.26041666666666669</v>
      </c>
      <c r="G2964" s="49">
        <f t="shared" si="46"/>
        <v>7.6388888888889173E-3</v>
      </c>
      <c r="H2964" s="50">
        <v>41759</v>
      </c>
      <c r="I2964" s="51" t="s">
        <v>549</v>
      </c>
      <c r="J2964" s="51">
        <v>320</v>
      </c>
      <c r="K2964" s="51">
        <f>VLOOKUP(J2964,'Validacion reclamo de equipaje'!L:M,2,0)</f>
        <v>179</v>
      </c>
      <c r="L2964" s="51" t="str">
        <f>VLOOKUP(I2964,'Validacion reclamo de equipaje'!H:I,2,0)</f>
        <v>Nacional</v>
      </c>
      <c r="M2964" s="51" t="s">
        <v>523</v>
      </c>
    </row>
    <row r="2965" spans="1:13" x14ac:dyDescent="0.25">
      <c r="A2965">
        <v>422</v>
      </c>
      <c r="B2965" s="47" t="str">
        <f>VLOOKUP(Tabla6[[#This Row],['# Vuelo]],'Validacion reclamo de equipaje'!P:Q,2,0)</f>
        <v>BARATA Y MORADA</v>
      </c>
      <c r="C2965" s="52">
        <v>0.25694444444444448</v>
      </c>
      <c r="D2965" s="52">
        <v>0.26944444444444443</v>
      </c>
      <c r="E2965" s="53">
        <f>'Reclamo de equipaje rediseñado'!$D2965-'Reclamo de equipaje rediseñado'!$C2965</f>
        <v>1.2499999999999956E-2</v>
      </c>
      <c r="F2965" s="52">
        <v>0.28402777777777777</v>
      </c>
      <c r="G2965" s="53">
        <f t="shared" si="46"/>
        <v>1.4583333333333337E-2</v>
      </c>
      <c r="H2965" s="54">
        <v>41730</v>
      </c>
      <c r="I2965" s="55" t="s">
        <v>549</v>
      </c>
      <c r="J2965" s="55">
        <v>320</v>
      </c>
      <c r="K2965" s="55">
        <f>VLOOKUP(J2965,'Validacion reclamo de equipaje'!L:M,2,0)</f>
        <v>179</v>
      </c>
      <c r="L2965" s="55" t="str">
        <f>VLOOKUP(I2965,'Validacion reclamo de equipaje'!H:I,2,0)</f>
        <v>Nacional</v>
      </c>
      <c r="M2965" s="55" t="s">
        <v>523</v>
      </c>
    </row>
    <row r="2966" spans="1:13" x14ac:dyDescent="0.25">
      <c r="A2966">
        <v>422</v>
      </c>
      <c r="B2966" s="47" t="str">
        <f>VLOOKUP(Tabla6[[#This Row],['# Vuelo]],'Validacion reclamo de equipaje'!P:Q,2,0)</f>
        <v>BARATA Y MORADA</v>
      </c>
      <c r="C2966" s="48">
        <v>0.26458333333333334</v>
      </c>
      <c r="D2966" s="48">
        <v>0.27569444444444446</v>
      </c>
      <c r="E2966" s="49">
        <f>'Reclamo de equipaje rediseñado'!$D2966-'Reclamo de equipaje rediseñado'!$C2966</f>
        <v>1.1111111111111127E-2</v>
      </c>
      <c r="F2966" s="48">
        <v>0.28194444444444444</v>
      </c>
      <c r="G2966" s="49">
        <f t="shared" si="46"/>
        <v>6.2499999999999778E-3</v>
      </c>
      <c r="H2966" s="50">
        <v>41732</v>
      </c>
      <c r="I2966" s="51" t="s">
        <v>549</v>
      </c>
      <c r="J2966" s="51">
        <v>320</v>
      </c>
      <c r="K2966" s="51">
        <f>VLOOKUP(J2966,'Validacion reclamo de equipaje'!L:M,2,0)</f>
        <v>179</v>
      </c>
      <c r="L2966" s="51" t="str">
        <f>VLOOKUP(I2966,'Validacion reclamo de equipaje'!H:I,2,0)</f>
        <v>Nacional</v>
      </c>
      <c r="M2966" s="51" t="s">
        <v>523</v>
      </c>
    </row>
    <row r="2967" spans="1:13" x14ac:dyDescent="0.25">
      <c r="A2967">
        <v>422</v>
      </c>
      <c r="B2967" s="47" t="str">
        <f>VLOOKUP(Tabla6[[#This Row],['# Vuelo]],'Validacion reclamo de equipaje'!P:Q,2,0)</f>
        <v>BARATA Y MORADA</v>
      </c>
      <c r="C2967" s="52">
        <v>0.26527777777777778</v>
      </c>
      <c r="D2967" s="52">
        <v>0.27083333333333331</v>
      </c>
      <c r="E2967" s="53">
        <f>'Reclamo de equipaje rediseñado'!$D2967-'Reclamo de equipaje rediseñado'!$C2967</f>
        <v>5.5555555555555358E-3</v>
      </c>
      <c r="F2967" s="52">
        <v>0.28125</v>
      </c>
      <c r="G2967" s="53">
        <f t="shared" si="46"/>
        <v>1.0416666666666685E-2</v>
      </c>
      <c r="H2967" s="54">
        <v>41736</v>
      </c>
      <c r="I2967" s="55" t="s">
        <v>549</v>
      </c>
      <c r="J2967" s="55">
        <v>320</v>
      </c>
      <c r="K2967" s="55">
        <f>VLOOKUP(J2967,'Validacion reclamo de equipaje'!L:M,2,0)</f>
        <v>179</v>
      </c>
      <c r="L2967" s="55" t="str">
        <f>VLOOKUP(I2967,'Validacion reclamo de equipaje'!H:I,2,0)</f>
        <v>Nacional</v>
      </c>
      <c r="M2967" s="55" t="s">
        <v>523</v>
      </c>
    </row>
    <row r="2968" spans="1:13" x14ac:dyDescent="0.25">
      <c r="A2968">
        <v>422</v>
      </c>
      <c r="B2968" s="47" t="str">
        <f>VLOOKUP(Tabla6[[#This Row],['# Vuelo]],'Validacion reclamo de equipaje'!P:Q,2,0)</f>
        <v>BARATA Y MORADA</v>
      </c>
      <c r="C2968" s="48">
        <v>0.26111111111111113</v>
      </c>
      <c r="D2968" s="48">
        <v>0.27499999999999997</v>
      </c>
      <c r="E2968" s="49">
        <f>'Reclamo de equipaje rediseñado'!$D2968-'Reclamo de equipaje rediseñado'!$C2968</f>
        <v>1.388888888888884E-2</v>
      </c>
      <c r="F2968" s="48">
        <v>0.28819444444444448</v>
      </c>
      <c r="G2968" s="49">
        <f t="shared" si="46"/>
        <v>1.3194444444444509E-2</v>
      </c>
      <c r="H2968" s="50">
        <v>41739</v>
      </c>
      <c r="I2968" s="51" t="s">
        <v>549</v>
      </c>
      <c r="J2968" s="51">
        <v>320</v>
      </c>
      <c r="K2968" s="51">
        <f>VLOOKUP(J2968,'Validacion reclamo de equipaje'!L:M,2,0)</f>
        <v>179</v>
      </c>
      <c r="L2968" s="51" t="str">
        <f>VLOOKUP(I2968,'Validacion reclamo de equipaje'!H:I,2,0)</f>
        <v>Nacional</v>
      </c>
      <c r="M2968" s="51" t="s">
        <v>523</v>
      </c>
    </row>
    <row r="2969" spans="1:13" x14ac:dyDescent="0.25">
      <c r="A2969">
        <v>422</v>
      </c>
      <c r="B2969" s="47" t="str">
        <f>VLOOKUP(Tabla6[[#This Row],['# Vuelo]],'Validacion reclamo de equipaje'!P:Q,2,0)</f>
        <v>BARATA Y MORADA</v>
      </c>
      <c r="C2969" s="52">
        <v>0.27361111111111108</v>
      </c>
      <c r="D2969" s="52">
        <v>0.28194444444444444</v>
      </c>
      <c r="E2969" s="53">
        <f>'Reclamo de equipaje rediseñado'!$D2969-'Reclamo de equipaje rediseñado'!$C2969</f>
        <v>8.3333333333333592E-3</v>
      </c>
      <c r="F2969" s="52">
        <v>0.29305555555555557</v>
      </c>
      <c r="G2969" s="53">
        <f t="shared" si="46"/>
        <v>1.1111111111111127E-2</v>
      </c>
      <c r="H2969" s="54">
        <v>41740</v>
      </c>
      <c r="I2969" s="55" t="s">
        <v>549</v>
      </c>
      <c r="J2969" s="55">
        <v>320</v>
      </c>
      <c r="K2969" s="55">
        <f>VLOOKUP(J2969,'Validacion reclamo de equipaje'!L:M,2,0)</f>
        <v>179</v>
      </c>
      <c r="L2969" s="55" t="str">
        <f>VLOOKUP(I2969,'Validacion reclamo de equipaje'!H:I,2,0)</f>
        <v>Nacional</v>
      </c>
      <c r="M2969" s="55" t="s">
        <v>523</v>
      </c>
    </row>
    <row r="2970" spans="1:13" x14ac:dyDescent="0.25">
      <c r="A2970">
        <v>422</v>
      </c>
      <c r="B2970" s="47" t="str">
        <f>VLOOKUP(Tabla6[[#This Row],['# Vuelo]],'Validacion reclamo de equipaje'!P:Q,2,0)</f>
        <v>BARATA Y MORADA</v>
      </c>
      <c r="C2970" s="48">
        <v>0.25694444444444448</v>
      </c>
      <c r="D2970" s="48">
        <v>0.26944444444444443</v>
      </c>
      <c r="E2970" s="49">
        <f>'Reclamo de equipaje rediseñado'!$D2970-'Reclamo de equipaje rediseñado'!$C2970</f>
        <v>1.2499999999999956E-2</v>
      </c>
      <c r="F2970" s="48">
        <v>0.28402777777777777</v>
      </c>
      <c r="G2970" s="49">
        <f t="shared" si="46"/>
        <v>1.4583333333333337E-2</v>
      </c>
      <c r="H2970" s="50">
        <v>41742</v>
      </c>
      <c r="I2970" s="51" t="s">
        <v>549</v>
      </c>
      <c r="J2970" s="51">
        <v>320</v>
      </c>
      <c r="K2970" s="51">
        <f>VLOOKUP(J2970,'Validacion reclamo de equipaje'!L:M,2,0)</f>
        <v>179</v>
      </c>
      <c r="L2970" s="51" t="str">
        <f>VLOOKUP(I2970,'Validacion reclamo de equipaje'!H:I,2,0)</f>
        <v>Nacional</v>
      </c>
      <c r="M2970" s="51" t="s">
        <v>523</v>
      </c>
    </row>
    <row r="2971" spans="1:13" x14ac:dyDescent="0.25">
      <c r="A2971">
        <v>422</v>
      </c>
      <c r="B2971" s="47" t="str">
        <f>VLOOKUP(Tabla6[[#This Row],['# Vuelo]],'Validacion reclamo de equipaje'!P:Q,2,0)</f>
        <v>BARATA Y MORADA</v>
      </c>
      <c r="C2971" s="52">
        <v>0.2673611111111111</v>
      </c>
      <c r="D2971" s="52">
        <v>0.27361111111111108</v>
      </c>
      <c r="E2971" s="53">
        <f>'Reclamo de equipaje rediseñado'!$D2971-'Reclamo de equipaje rediseñado'!$C2971</f>
        <v>6.2499999999999778E-3</v>
      </c>
      <c r="F2971" s="52">
        <v>0.28958333333333336</v>
      </c>
      <c r="G2971" s="53">
        <f t="shared" si="46"/>
        <v>1.5972222222222276E-2</v>
      </c>
      <c r="H2971" s="54">
        <v>41746</v>
      </c>
      <c r="I2971" s="55" t="s">
        <v>549</v>
      </c>
      <c r="J2971" s="55">
        <v>320</v>
      </c>
      <c r="K2971" s="55">
        <f>VLOOKUP(J2971,'Validacion reclamo de equipaje'!L:M,2,0)</f>
        <v>179</v>
      </c>
      <c r="L2971" s="55" t="str">
        <f>VLOOKUP(I2971,'Validacion reclamo de equipaje'!H:I,2,0)</f>
        <v>Nacional</v>
      </c>
      <c r="M2971" s="55" t="s">
        <v>523</v>
      </c>
    </row>
    <row r="2972" spans="1:13" x14ac:dyDescent="0.25">
      <c r="A2972">
        <v>422</v>
      </c>
      <c r="B2972" s="47" t="str">
        <f>VLOOKUP(Tabla6[[#This Row],['# Vuelo]],'Validacion reclamo de equipaje'!P:Q,2,0)</f>
        <v>BARATA Y MORADA</v>
      </c>
      <c r="C2972" s="48">
        <v>0.28472222222222221</v>
      </c>
      <c r="D2972" s="48">
        <v>0.28819444444444448</v>
      </c>
      <c r="E2972" s="49">
        <f>'Reclamo de equipaje rediseñado'!$D2972-'Reclamo de equipaje rediseñado'!$C2972</f>
        <v>3.4722222222222654E-3</v>
      </c>
      <c r="F2972" s="48">
        <v>0.28888888888888892</v>
      </c>
      <c r="G2972" s="49">
        <f t="shared" si="46"/>
        <v>6.9444444444444198E-4</v>
      </c>
      <c r="H2972" s="50">
        <v>41747</v>
      </c>
      <c r="I2972" s="51" t="s">
        <v>549</v>
      </c>
      <c r="J2972" s="51">
        <v>320</v>
      </c>
      <c r="K2972" s="51">
        <f>VLOOKUP(J2972,'Validacion reclamo de equipaje'!L:M,2,0)</f>
        <v>179</v>
      </c>
      <c r="L2972" s="51" t="str">
        <f>VLOOKUP(I2972,'Validacion reclamo de equipaje'!H:I,2,0)</f>
        <v>Nacional</v>
      </c>
      <c r="M2972" s="51" t="s">
        <v>523</v>
      </c>
    </row>
    <row r="2973" spans="1:13" x14ac:dyDescent="0.25">
      <c r="A2973">
        <v>422</v>
      </c>
      <c r="B2973" s="47" t="str">
        <f>VLOOKUP(Tabla6[[#This Row],['# Vuelo]],'Validacion reclamo de equipaje'!P:Q,2,0)</f>
        <v>BARATA Y MORADA</v>
      </c>
      <c r="C2973" s="52">
        <v>0.26180555555555557</v>
      </c>
      <c r="D2973" s="52">
        <v>0.26666666666666666</v>
      </c>
      <c r="E2973" s="53">
        <f>'Reclamo de equipaje rediseñado'!$D2973-'Reclamo de equipaje rediseñado'!$C2973</f>
        <v>4.8611111111110938E-3</v>
      </c>
      <c r="F2973" s="52">
        <v>0.28194444444444444</v>
      </c>
      <c r="G2973" s="53">
        <f t="shared" si="46"/>
        <v>1.5277777777777779E-2</v>
      </c>
      <c r="H2973" s="54">
        <v>41749</v>
      </c>
      <c r="I2973" s="55" t="s">
        <v>549</v>
      </c>
      <c r="J2973" s="55">
        <v>320</v>
      </c>
      <c r="K2973" s="55">
        <f>VLOOKUP(J2973,'Validacion reclamo de equipaje'!L:M,2,0)</f>
        <v>179</v>
      </c>
      <c r="L2973" s="55" t="str">
        <f>VLOOKUP(I2973,'Validacion reclamo de equipaje'!H:I,2,0)</f>
        <v>Nacional</v>
      </c>
      <c r="M2973" s="55" t="s">
        <v>523</v>
      </c>
    </row>
    <row r="2974" spans="1:13" x14ac:dyDescent="0.25">
      <c r="A2974">
        <v>422</v>
      </c>
      <c r="B2974" s="47" t="str">
        <f>VLOOKUP(Tabla6[[#This Row],['# Vuelo]],'Validacion reclamo de equipaje'!P:Q,2,0)</f>
        <v>BARATA Y MORADA</v>
      </c>
      <c r="C2974" s="48">
        <v>0.27986111111111112</v>
      </c>
      <c r="D2974" s="48">
        <v>0.28333333333333333</v>
      </c>
      <c r="E2974" s="49">
        <f>'Reclamo de equipaje rediseñado'!$D2974-'Reclamo de equipaje rediseñado'!$C2974</f>
        <v>3.4722222222222099E-3</v>
      </c>
      <c r="F2974" s="48">
        <v>0.29791666666666666</v>
      </c>
      <c r="G2974" s="49">
        <f t="shared" si="46"/>
        <v>1.4583333333333337E-2</v>
      </c>
      <c r="H2974" s="50">
        <v>41753</v>
      </c>
      <c r="I2974" s="51" t="s">
        <v>549</v>
      </c>
      <c r="J2974" s="51">
        <v>320</v>
      </c>
      <c r="K2974" s="51">
        <f>VLOOKUP(J2974,'Validacion reclamo de equipaje'!L:M,2,0)</f>
        <v>179</v>
      </c>
      <c r="L2974" s="51" t="str">
        <f>VLOOKUP(I2974,'Validacion reclamo de equipaje'!H:I,2,0)</f>
        <v>Nacional</v>
      </c>
      <c r="M2974" s="51" t="s">
        <v>523</v>
      </c>
    </row>
    <row r="2975" spans="1:13" x14ac:dyDescent="0.25">
      <c r="A2975">
        <v>422</v>
      </c>
      <c r="B2975" s="47" t="str">
        <f>VLOOKUP(Tabla6[[#This Row],['# Vuelo]],'Validacion reclamo de equipaje'!P:Q,2,0)</f>
        <v>BARATA Y MORADA</v>
      </c>
      <c r="C2975" s="52">
        <v>0.26527777777777778</v>
      </c>
      <c r="D2975" s="52">
        <v>0.27291666666666664</v>
      </c>
      <c r="E2975" s="53">
        <f>'Reclamo de equipaje rediseñado'!$D2975-'Reclamo de equipaje rediseñado'!$C2975</f>
        <v>7.6388888888888618E-3</v>
      </c>
      <c r="F2975" s="52">
        <v>0.28750000000000003</v>
      </c>
      <c r="G2975" s="53">
        <f t="shared" si="46"/>
        <v>1.4583333333333393E-2</v>
      </c>
      <c r="H2975" s="54">
        <v>41757</v>
      </c>
      <c r="I2975" s="55" t="s">
        <v>549</v>
      </c>
      <c r="J2975" s="55">
        <v>320</v>
      </c>
      <c r="K2975" s="55">
        <f>VLOOKUP(J2975,'Validacion reclamo de equipaje'!L:M,2,0)</f>
        <v>179</v>
      </c>
      <c r="L2975" s="55" t="str">
        <f>VLOOKUP(I2975,'Validacion reclamo de equipaje'!H:I,2,0)</f>
        <v>Nacional</v>
      </c>
      <c r="M2975" s="55" t="s">
        <v>523</v>
      </c>
    </row>
    <row r="2976" spans="1:13" x14ac:dyDescent="0.25">
      <c r="A2976">
        <v>422</v>
      </c>
      <c r="B2976" s="47" t="str">
        <f>VLOOKUP(Tabla6[[#This Row],['# Vuelo]],'Validacion reclamo de equipaje'!P:Q,2,0)</f>
        <v>BARATA Y MORADA</v>
      </c>
      <c r="C2976" s="48">
        <v>0.27430555555555552</v>
      </c>
      <c r="D2976" s="48">
        <v>0.28333333333333333</v>
      </c>
      <c r="E2976" s="49">
        <f>'Reclamo de equipaje rediseñado'!$D2976-'Reclamo de equipaje rediseñado'!$C2976</f>
        <v>9.0277777777778012E-3</v>
      </c>
      <c r="F2976" s="48">
        <v>0.29097222222222224</v>
      </c>
      <c r="G2976" s="49">
        <f t="shared" si="46"/>
        <v>7.6388888888889173E-3</v>
      </c>
      <c r="H2976" s="50">
        <v>41759</v>
      </c>
      <c r="I2976" s="51" t="s">
        <v>549</v>
      </c>
      <c r="J2976" s="51">
        <v>320</v>
      </c>
      <c r="K2976" s="51">
        <f>VLOOKUP(J2976,'Validacion reclamo de equipaje'!L:M,2,0)</f>
        <v>179</v>
      </c>
      <c r="L2976" s="51" t="str">
        <f>VLOOKUP(I2976,'Validacion reclamo de equipaje'!H:I,2,0)</f>
        <v>Nacional</v>
      </c>
      <c r="M2976" s="51" t="s">
        <v>523</v>
      </c>
    </row>
    <row r="2977" spans="1:13" x14ac:dyDescent="0.25">
      <c r="A2977">
        <v>424</v>
      </c>
      <c r="B2977" s="47" t="str">
        <f>VLOOKUP(Tabla6[[#This Row],['# Vuelo]],'Validacion reclamo de equipaje'!P:Q,2,0)</f>
        <v>BARATA Y MORADA</v>
      </c>
      <c r="C2977" s="52">
        <v>0.52152777777777781</v>
      </c>
      <c r="D2977" s="52">
        <v>0.52916666666666667</v>
      </c>
      <c r="E2977" s="53">
        <f>'Reclamo de equipaje rediseñado'!$D2977-'Reclamo de equipaje rediseñado'!$C2977</f>
        <v>7.6388888888888618E-3</v>
      </c>
      <c r="F2977" s="52">
        <v>0.53888888888888886</v>
      </c>
      <c r="G2977" s="53">
        <f t="shared" si="46"/>
        <v>9.7222222222221877E-3</v>
      </c>
      <c r="H2977" s="54">
        <v>41730</v>
      </c>
      <c r="I2977" s="55" t="s">
        <v>549</v>
      </c>
      <c r="J2977" s="55">
        <v>320</v>
      </c>
      <c r="K2977" s="55">
        <f>VLOOKUP(J2977,'Validacion reclamo de equipaje'!L:M,2,0)</f>
        <v>179</v>
      </c>
      <c r="L2977" s="55" t="str">
        <f>VLOOKUP(I2977,'Validacion reclamo de equipaje'!H:I,2,0)</f>
        <v>Nacional</v>
      </c>
      <c r="M2977" s="55" t="s">
        <v>523</v>
      </c>
    </row>
    <row r="2978" spans="1:13" x14ac:dyDescent="0.25">
      <c r="A2978">
        <v>424</v>
      </c>
      <c r="B2978" s="47" t="str">
        <f>VLOOKUP(Tabla6[[#This Row],['# Vuelo]],'Validacion reclamo de equipaje'!P:Q,2,0)</f>
        <v>BARATA Y MORADA</v>
      </c>
      <c r="C2978" s="48">
        <v>0.51250000000000007</v>
      </c>
      <c r="D2978" s="48">
        <v>0.52152777777777781</v>
      </c>
      <c r="E2978" s="49">
        <f>'Reclamo de equipaje rediseñado'!$D2978-'Reclamo de equipaje rediseñado'!$C2978</f>
        <v>9.0277777777777457E-3</v>
      </c>
      <c r="F2978" s="48">
        <v>0.53333333333333333</v>
      </c>
      <c r="G2978" s="49">
        <f t="shared" si="46"/>
        <v>1.1805555555555514E-2</v>
      </c>
      <c r="H2978" s="50">
        <v>41733</v>
      </c>
      <c r="I2978" s="51" t="s">
        <v>549</v>
      </c>
      <c r="J2978" s="51">
        <v>320</v>
      </c>
      <c r="K2978" s="51">
        <f>VLOOKUP(J2978,'Validacion reclamo de equipaje'!L:M,2,0)</f>
        <v>179</v>
      </c>
      <c r="L2978" s="51" t="str">
        <f>VLOOKUP(I2978,'Validacion reclamo de equipaje'!H:I,2,0)</f>
        <v>Nacional</v>
      </c>
      <c r="M2978" s="51" t="s">
        <v>523</v>
      </c>
    </row>
    <row r="2979" spans="1:13" x14ac:dyDescent="0.25">
      <c r="A2979">
        <v>424</v>
      </c>
      <c r="B2979" s="47" t="str">
        <f>VLOOKUP(Tabla6[[#This Row],['# Vuelo]],'Validacion reclamo de equipaje'!P:Q,2,0)</f>
        <v>BARATA Y MORADA</v>
      </c>
      <c r="C2979" s="52">
        <v>0.52083333333333337</v>
      </c>
      <c r="D2979" s="52">
        <v>0.52777777777777779</v>
      </c>
      <c r="E2979" s="53">
        <f>'Reclamo de equipaje rediseñado'!$D2979-'Reclamo de equipaje rediseñado'!$C2979</f>
        <v>6.9444444444444198E-3</v>
      </c>
      <c r="F2979" s="52">
        <v>0.53541666666666665</v>
      </c>
      <c r="G2979" s="53">
        <f t="shared" si="46"/>
        <v>7.6388888888888618E-3</v>
      </c>
      <c r="H2979" s="54">
        <v>41737</v>
      </c>
      <c r="I2979" s="55" t="s">
        <v>549</v>
      </c>
      <c r="J2979" s="55">
        <v>320</v>
      </c>
      <c r="K2979" s="55">
        <f>VLOOKUP(J2979,'Validacion reclamo de equipaje'!L:M,2,0)</f>
        <v>179</v>
      </c>
      <c r="L2979" s="55" t="str">
        <f>VLOOKUP(I2979,'Validacion reclamo de equipaje'!H:I,2,0)</f>
        <v>Nacional</v>
      </c>
      <c r="M2979" s="55" t="s">
        <v>523</v>
      </c>
    </row>
    <row r="2980" spans="1:13" x14ac:dyDescent="0.25">
      <c r="A2980">
        <v>424</v>
      </c>
      <c r="B2980" s="47" t="str">
        <f>VLOOKUP(Tabla6[[#This Row],['# Vuelo]],'Validacion reclamo de equipaje'!P:Q,2,0)</f>
        <v>BARATA Y MORADA</v>
      </c>
      <c r="C2980" s="48">
        <v>0.51041666666666663</v>
      </c>
      <c r="D2980" s="48">
        <v>0.51736111111111105</v>
      </c>
      <c r="E2980" s="49">
        <f>'Reclamo de equipaje rediseñado'!$D2980-'Reclamo de equipaje rediseñado'!$C2980</f>
        <v>6.9444444444444198E-3</v>
      </c>
      <c r="F2980" s="48">
        <v>0.52777777777777779</v>
      </c>
      <c r="G2980" s="49">
        <f t="shared" si="46"/>
        <v>1.0416666666666741E-2</v>
      </c>
      <c r="H2980" s="50">
        <v>41738</v>
      </c>
      <c r="I2980" s="51" t="s">
        <v>549</v>
      </c>
      <c r="J2980" s="51">
        <v>320</v>
      </c>
      <c r="K2980" s="51">
        <f>VLOOKUP(J2980,'Validacion reclamo de equipaje'!L:M,2,0)</f>
        <v>179</v>
      </c>
      <c r="L2980" s="51" t="str">
        <f>VLOOKUP(I2980,'Validacion reclamo de equipaje'!H:I,2,0)</f>
        <v>Nacional</v>
      </c>
      <c r="M2980" s="51" t="s">
        <v>523</v>
      </c>
    </row>
    <row r="2981" spans="1:13" x14ac:dyDescent="0.25">
      <c r="A2981">
        <v>424</v>
      </c>
      <c r="B2981" s="47" t="str">
        <f>VLOOKUP(Tabla6[[#This Row],['# Vuelo]],'Validacion reclamo de equipaje'!P:Q,2,0)</f>
        <v>BARATA Y MORADA</v>
      </c>
      <c r="C2981" s="52">
        <v>0.53888888888888886</v>
      </c>
      <c r="D2981" s="52">
        <v>0.54722222222222217</v>
      </c>
      <c r="E2981" s="53">
        <f>'Reclamo de equipaje rediseñado'!$D2981-'Reclamo de equipaje rediseñado'!$C2981</f>
        <v>8.3333333333333037E-3</v>
      </c>
      <c r="F2981" s="52">
        <v>0.55069444444444449</v>
      </c>
      <c r="G2981" s="53">
        <f t="shared" si="46"/>
        <v>3.4722222222223209E-3</v>
      </c>
      <c r="H2981" s="54">
        <v>41739</v>
      </c>
      <c r="I2981" s="55" t="s">
        <v>549</v>
      </c>
      <c r="J2981" s="55">
        <v>320</v>
      </c>
      <c r="K2981" s="55">
        <f>VLOOKUP(J2981,'Validacion reclamo de equipaje'!L:M,2,0)</f>
        <v>179</v>
      </c>
      <c r="L2981" s="55" t="str">
        <f>VLOOKUP(I2981,'Validacion reclamo de equipaje'!H:I,2,0)</f>
        <v>Nacional</v>
      </c>
      <c r="M2981" s="55" t="s">
        <v>523</v>
      </c>
    </row>
    <row r="2982" spans="1:13" x14ac:dyDescent="0.25">
      <c r="A2982">
        <v>424</v>
      </c>
      <c r="B2982" s="47" t="str">
        <f>VLOOKUP(Tabla6[[#This Row],['# Vuelo]],'Validacion reclamo de equipaje'!P:Q,2,0)</f>
        <v>BARATA Y MORADA</v>
      </c>
      <c r="C2982" s="48">
        <v>0.58333333333333337</v>
      </c>
      <c r="D2982" s="48">
        <v>0.59305555555555556</v>
      </c>
      <c r="E2982" s="49">
        <f>'Reclamo de equipaje rediseñado'!$D2982-'Reclamo de equipaje rediseñado'!$C2982</f>
        <v>9.7222222222221877E-3</v>
      </c>
      <c r="F2982" s="48">
        <v>0.60625000000000007</v>
      </c>
      <c r="G2982" s="49">
        <f t="shared" si="46"/>
        <v>1.3194444444444509E-2</v>
      </c>
      <c r="H2982" s="50">
        <v>41741</v>
      </c>
      <c r="I2982" s="51" t="s">
        <v>549</v>
      </c>
      <c r="J2982" s="51">
        <v>320</v>
      </c>
      <c r="K2982" s="51">
        <f>VLOOKUP(J2982,'Validacion reclamo de equipaje'!L:M,2,0)</f>
        <v>179</v>
      </c>
      <c r="L2982" s="51" t="str">
        <f>VLOOKUP(I2982,'Validacion reclamo de equipaje'!H:I,2,0)</f>
        <v>Nacional</v>
      </c>
      <c r="M2982" s="51" t="s">
        <v>523</v>
      </c>
    </row>
    <row r="2983" spans="1:13" x14ac:dyDescent="0.25">
      <c r="A2983">
        <v>424</v>
      </c>
      <c r="B2983" s="47" t="str">
        <f>VLOOKUP(Tabla6[[#This Row],['# Vuelo]],'Validacion reclamo de equipaje'!P:Q,2,0)</f>
        <v>BARATA Y MORADA</v>
      </c>
      <c r="C2983" s="52">
        <v>0.52152777777777781</v>
      </c>
      <c r="D2983" s="52">
        <v>0.52916666666666667</v>
      </c>
      <c r="E2983" s="53">
        <f>'Reclamo de equipaje rediseñado'!$D2983-'Reclamo de equipaje rediseñado'!$C2983</f>
        <v>7.6388888888888618E-3</v>
      </c>
      <c r="F2983" s="52">
        <v>0.53888888888888886</v>
      </c>
      <c r="G2983" s="53">
        <f t="shared" si="46"/>
        <v>9.7222222222221877E-3</v>
      </c>
      <c r="H2983" s="54">
        <v>41742</v>
      </c>
      <c r="I2983" s="55" t="s">
        <v>549</v>
      </c>
      <c r="J2983" s="55">
        <v>320</v>
      </c>
      <c r="K2983" s="55">
        <f>VLOOKUP(J2983,'Validacion reclamo de equipaje'!L:M,2,0)</f>
        <v>179</v>
      </c>
      <c r="L2983" s="55" t="str">
        <f>VLOOKUP(I2983,'Validacion reclamo de equipaje'!H:I,2,0)</f>
        <v>Nacional</v>
      </c>
      <c r="M2983" s="55" t="s">
        <v>523</v>
      </c>
    </row>
    <row r="2984" spans="1:13" x14ac:dyDescent="0.25">
      <c r="A2984">
        <v>424</v>
      </c>
      <c r="B2984" s="47" t="str">
        <f>VLOOKUP(Tabla6[[#This Row],['# Vuelo]],'Validacion reclamo de equipaje'!P:Q,2,0)</f>
        <v>BARATA Y MORADA</v>
      </c>
      <c r="C2984" s="48">
        <v>0.47361111111111115</v>
      </c>
      <c r="D2984" s="48">
        <v>0.52361111111111114</v>
      </c>
      <c r="E2984" s="49">
        <f>'Reclamo de equipaje rediseñado'!$D2984-'Reclamo de equipaje rediseñado'!$C2984</f>
        <v>4.9999999999999989E-2</v>
      </c>
      <c r="F2984" s="48">
        <v>0.53333333333333333</v>
      </c>
      <c r="G2984" s="49">
        <f t="shared" si="46"/>
        <v>9.7222222222221877E-3</v>
      </c>
      <c r="H2984" s="50">
        <v>41743</v>
      </c>
      <c r="I2984" s="51" t="s">
        <v>549</v>
      </c>
      <c r="J2984" s="51">
        <v>320</v>
      </c>
      <c r="K2984" s="51">
        <f>VLOOKUP(J2984,'Validacion reclamo de equipaje'!L:M,2,0)</f>
        <v>179</v>
      </c>
      <c r="L2984" s="51" t="str">
        <f>VLOOKUP(I2984,'Validacion reclamo de equipaje'!H:I,2,0)</f>
        <v>Nacional</v>
      </c>
      <c r="M2984" s="51" t="s">
        <v>523</v>
      </c>
    </row>
    <row r="2985" spans="1:13" x14ac:dyDescent="0.25">
      <c r="A2985">
        <v>424</v>
      </c>
      <c r="B2985" s="47" t="str">
        <f>VLOOKUP(Tabla6[[#This Row],['# Vuelo]],'Validacion reclamo de equipaje'!P:Q,2,0)</f>
        <v>BARATA Y MORADA</v>
      </c>
      <c r="C2985" s="52">
        <v>0.50763888888888886</v>
      </c>
      <c r="D2985" s="52">
        <v>0.5131944444444444</v>
      </c>
      <c r="E2985" s="53">
        <f>'Reclamo de equipaje rediseñado'!$D2985-'Reclamo de equipaje rediseñado'!$C2985</f>
        <v>5.5555555555555358E-3</v>
      </c>
      <c r="F2985" s="52">
        <v>0.52638888888888891</v>
      </c>
      <c r="G2985" s="53">
        <f t="shared" si="46"/>
        <v>1.3194444444444509E-2</v>
      </c>
      <c r="H2985" s="54">
        <v>41744</v>
      </c>
      <c r="I2985" s="55" t="s">
        <v>549</v>
      </c>
      <c r="J2985" s="55">
        <v>320</v>
      </c>
      <c r="K2985" s="55">
        <f>VLOOKUP(J2985,'Validacion reclamo de equipaje'!L:M,2,0)</f>
        <v>179</v>
      </c>
      <c r="L2985" s="55" t="str">
        <f>VLOOKUP(I2985,'Validacion reclamo de equipaje'!H:I,2,0)</f>
        <v>Nacional</v>
      </c>
      <c r="M2985" s="55" t="s">
        <v>523</v>
      </c>
    </row>
    <row r="2986" spans="1:13" x14ac:dyDescent="0.25">
      <c r="A2986">
        <v>424</v>
      </c>
      <c r="B2986" s="47" t="str">
        <f>VLOOKUP(Tabla6[[#This Row],['# Vuelo]],'Validacion reclamo de equipaje'!P:Q,2,0)</f>
        <v>BARATA Y MORADA</v>
      </c>
      <c r="C2986" s="48">
        <v>0.57847222222222217</v>
      </c>
      <c r="D2986" s="48">
        <v>0.58750000000000002</v>
      </c>
      <c r="E2986" s="49">
        <f>'Reclamo de equipaje rediseñado'!$D2986-'Reclamo de equipaje rediseñado'!$C2986</f>
        <v>9.0277777777778567E-3</v>
      </c>
      <c r="F2986" s="48">
        <v>0.59305555555555556</v>
      </c>
      <c r="G2986" s="49">
        <f t="shared" si="46"/>
        <v>5.5555555555555358E-3</v>
      </c>
      <c r="H2986" s="50">
        <v>41745</v>
      </c>
      <c r="I2986" s="51" t="s">
        <v>549</v>
      </c>
      <c r="J2986" s="51">
        <v>320</v>
      </c>
      <c r="K2986" s="51">
        <f>VLOOKUP(J2986,'Validacion reclamo de equipaje'!L:M,2,0)</f>
        <v>179</v>
      </c>
      <c r="L2986" s="51" t="str">
        <f>VLOOKUP(I2986,'Validacion reclamo de equipaje'!H:I,2,0)</f>
        <v>Nacional</v>
      </c>
      <c r="M2986" s="51" t="s">
        <v>523</v>
      </c>
    </row>
    <row r="2987" spans="1:13" x14ac:dyDescent="0.25">
      <c r="A2987">
        <v>424</v>
      </c>
      <c r="B2987" s="47" t="str">
        <f>VLOOKUP(Tabla6[[#This Row],['# Vuelo]],'Validacion reclamo de equipaje'!P:Q,2,0)</f>
        <v>BARATA Y MORADA</v>
      </c>
      <c r="C2987" s="52">
        <v>0.50208333333333333</v>
      </c>
      <c r="D2987" s="52">
        <v>0.50763888888888886</v>
      </c>
      <c r="E2987" s="53">
        <f>'Reclamo de equipaje rediseñado'!$D2987-'Reclamo de equipaje rediseñado'!$C2987</f>
        <v>5.5555555555555358E-3</v>
      </c>
      <c r="F2987" s="52">
        <v>0.51597222222222217</v>
      </c>
      <c r="G2987" s="53">
        <f t="shared" si="46"/>
        <v>8.3333333333333037E-3</v>
      </c>
      <c r="H2987" s="54">
        <v>41745</v>
      </c>
      <c r="I2987" s="55" t="s">
        <v>549</v>
      </c>
      <c r="J2987" s="55">
        <v>320</v>
      </c>
      <c r="K2987" s="55">
        <f>VLOOKUP(J2987,'Validacion reclamo de equipaje'!L:M,2,0)</f>
        <v>179</v>
      </c>
      <c r="L2987" s="55" t="str">
        <f>VLOOKUP(I2987,'Validacion reclamo de equipaje'!H:I,2,0)</f>
        <v>Nacional</v>
      </c>
      <c r="M2987" s="55" t="s">
        <v>523</v>
      </c>
    </row>
    <row r="2988" spans="1:13" x14ac:dyDescent="0.25">
      <c r="A2988">
        <v>424</v>
      </c>
      <c r="B2988" s="47" t="str">
        <f>VLOOKUP(Tabla6[[#This Row],['# Vuelo]],'Validacion reclamo de equipaje'!P:Q,2,0)</f>
        <v>BARATA Y MORADA</v>
      </c>
      <c r="C2988" s="48">
        <v>0.51041666666666663</v>
      </c>
      <c r="D2988" s="48">
        <v>0.52083333333333337</v>
      </c>
      <c r="E2988" s="49">
        <f>'Reclamo de equipaje rediseñado'!$D2988-'Reclamo de equipaje rediseñado'!$C2988</f>
        <v>1.0416666666666741E-2</v>
      </c>
      <c r="F2988" s="48">
        <v>0.53125</v>
      </c>
      <c r="G2988" s="49">
        <f t="shared" si="46"/>
        <v>1.041666666666663E-2</v>
      </c>
      <c r="H2988" s="50">
        <v>41746</v>
      </c>
      <c r="I2988" s="51" t="s">
        <v>549</v>
      </c>
      <c r="J2988" s="51">
        <v>320</v>
      </c>
      <c r="K2988" s="51">
        <f>VLOOKUP(J2988,'Validacion reclamo de equipaje'!L:M,2,0)</f>
        <v>179</v>
      </c>
      <c r="L2988" s="51" t="str">
        <f>VLOOKUP(I2988,'Validacion reclamo de equipaje'!H:I,2,0)</f>
        <v>Nacional</v>
      </c>
      <c r="M2988" s="51" t="s">
        <v>523</v>
      </c>
    </row>
    <row r="2989" spans="1:13" x14ac:dyDescent="0.25">
      <c r="A2989">
        <v>424</v>
      </c>
      <c r="B2989" s="47" t="str">
        <f>VLOOKUP(Tabla6[[#This Row],['# Vuelo]],'Validacion reclamo de equipaje'!P:Q,2,0)</f>
        <v>BARATA Y MORADA</v>
      </c>
      <c r="C2989" s="52">
        <v>0.5</v>
      </c>
      <c r="D2989" s="52">
        <v>0.50416666666666665</v>
      </c>
      <c r="E2989" s="53">
        <f>'Reclamo de equipaje rediseñado'!$D2989-'Reclamo de equipaje rediseñado'!$C2989</f>
        <v>4.1666666666666519E-3</v>
      </c>
      <c r="F2989" s="52">
        <v>0.5083333333333333</v>
      </c>
      <c r="G2989" s="53">
        <f t="shared" si="46"/>
        <v>4.1666666666666519E-3</v>
      </c>
      <c r="H2989" s="54">
        <v>41747</v>
      </c>
      <c r="I2989" s="55" t="s">
        <v>549</v>
      </c>
      <c r="J2989" s="55">
        <v>320</v>
      </c>
      <c r="K2989" s="55">
        <f>VLOOKUP(J2989,'Validacion reclamo de equipaje'!L:M,2,0)</f>
        <v>179</v>
      </c>
      <c r="L2989" s="55" t="str">
        <f>VLOOKUP(I2989,'Validacion reclamo de equipaje'!H:I,2,0)</f>
        <v>Nacional</v>
      </c>
      <c r="M2989" s="55" t="s">
        <v>523</v>
      </c>
    </row>
    <row r="2990" spans="1:13" x14ac:dyDescent="0.25">
      <c r="A2990">
        <v>424</v>
      </c>
      <c r="B2990" s="47" t="str">
        <f>VLOOKUP(Tabla6[[#This Row],['# Vuelo]],'Validacion reclamo de equipaje'!P:Q,2,0)</f>
        <v>BARATA Y MORADA</v>
      </c>
      <c r="C2990" s="48">
        <v>0.51250000000000007</v>
      </c>
      <c r="D2990" s="48">
        <v>0.52013888888888882</v>
      </c>
      <c r="E2990" s="49">
        <f>'Reclamo de equipaje rediseñado'!$D2990-'Reclamo de equipaje rediseñado'!$C2990</f>
        <v>7.6388888888887507E-3</v>
      </c>
      <c r="F2990" s="48">
        <v>0.52777777777777779</v>
      </c>
      <c r="G2990" s="49">
        <f t="shared" si="46"/>
        <v>7.6388888888889728E-3</v>
      </c>
      <c r="H2990" s="50">
        <v>41747</v>
      </c>
      <c r="I2990" s="51" t="s">
        <v>549</v>
      </c>
      <c r="J2990" s="51">
        <v>320</v>
      </c>
      <c r="K2990" s="51">
        <f>VLOOKUP(J2990,'Validacion reclamo de equipaje'!L:M,2,0)</f>
        <v>179</v>
      </c>
      <c r="L2990" s="51" t="str">
        <f>VLOOKUP(I2990,'Validacion reclamo de equipaje'!H:I,2,0)</f>
        <v>Nacional</v>
      </c>
      <c r="M2990" s="51" t="s">
        <v>523</v>
      </c>
    </row>
    <row r="2991" spans="1:13" x14ac:dyDescent="0.25">
      <c r="A2991">
        <v>424</v>
      </c>
      <c r="B2991" s="47" t="str">
        <f>VLOOKUP(Tabla6[[#This Row],['# Vuelo]],'Validacion reclamo de equipaje'!P:Q,2,0)</f>
        <v>BARATA Y MORADA</v>
      </c>
      <c r="C2991" s="52">
        <v>0.52013888888888882</v>
      </c>
      <c r="D2991" s="52">
        <v>0.52847222222222223</v>
      </c>
      <c r="E2991" s="53">
        <f>'Reclamo de equipaje rediseñado'!$D2991-'Reclamo de equipaje rediseñado'!$C2991</f>
        <v>8.3333333333334147E-3</v>
      </c>
      <c r="F2991" s="52">
        <v>0.53680555555555554</v>
      </c>
      <c r="G2991" s="53">
        <f t="shared" si="46"/>
        <v>8.3333333333333037E-3</v>
      </c>
      <c r="H2991" s="54">
        <v>41748</v>
      </c>
      <c r="I2991" s="55" t="s">
        <v>549</v>
      </c>
      <c r="J2991" s="55">
        <v>320</v>
      </c>
      <c r="K2991" s="55">
        <f>VLOOKUP(J2991,'Validacion reclamo de equipaje'!L:M,2,0)</f>
        <v>179</v>
      </c>
      <c r="L2991" s="55" t="str">
        <f>VLOOKUP(I2991,'Validacion reclamo de equipaje'!H:I,2,0)</f>
        <v>Nacional</v>
      </c>
      <c r="M2991" s="55" t="s">
        <v>523</v>
      </c>
    </row>
    <row r="2992" spans="1:13" x14ac:dyDescent="0.25">
      <c r="A2992">
        <v>424</v>
      </c>
      <c r="B2992" s="47" t="str">
        <f>VLOOKUP(Tabla6[[#This Row],['# Vuelo]],'Validacion reclamo de equipaje'!P:Q,2,0)</f>
        <v>BARATA Y MORADA</v>
      </c>
      <c r="C2992" s="48">
        <v>0.51180555555555551</v>
      </c>
      <c r="D2992" s="48">
        <v>0.51388888888888895</v>
      </c>
      <c r="E2992" s="49">
        <f>'Reclamo de equipaje rediseñado'!$D2992-'Reclamo de equipaje rediseñado'!$C2992</f>
        <v>2.083333333333437E-3</v>
      </c>
      <c r="F2992" s="48">
        <v>0.52152777777777781</v>
      </c>
      <c r="G2992" s="49">
        <f t="shared" si="46"/>
        <v>7.6388888888888618E-3</v>
      </c>
      <c r="H2992" s="50">
        <v>41749</v>
      </c>
      <c r="I2992" s="51" t="s">
        <v>549</v>
      </c>
      <c r="J2992" s="51">
        <v>320</v>
      </c>
      <c r="K2992" s="51">
        <f>VLOOKUP(J2992,'Validacion reclamo de equipaje'!L:M,2,0)</f>
        <v>179</v>
      </c>
      <c r="L2992" s="51" t="str">
        <f>VLOOKUP(I2992,'Validacion reclamo de equipaje'!H:I,2,0)</f>
        <v>Nacional</v>
      </c>
      <c r="M2992" s="51" t="s">
        <v>523</v>
      </c>
    </row>
    <row r="2993" spans="1:13" x14ac:dyDescent="0.25">
      <c r="A2993">
        <v>424</v>
      </c>
      <c r="B2993" s="47" t="str">
        <f>VLOOKUP(Tabla6[[#This Row],['# Vuelo]],'Validacion reclamo de equipaje'!P:Q,2,0)</f>
        <v>BARATA Y MORADA</v>
      </c>
      <c r="C2993" s="52">
        <v>0.50347222222222221</v>
      </c>
      <c r="D2993" s="52">
        <v>0.51388888888888895</v>
      </c>
      <c r="E2993" s="53">
        <f>'Reclamo de equipaje rediseñado'!$D2993-'Reclamo de equipaje rediseñado'!$C2993</f>
        <v>1.0416666666666741E-2</v>
      </c>
      <c r="F2993" s="52">
        <v>0.52083333333333337</v>
      </c>
      <c r="G2993" s="53">
        <f t="shared" si="46"/>
        <v>6.9444444444444198E-3</v>
      </c>
      <c r="H2993" s="54">
        <v>41750</v>
      </c>
      <c r="I2993" s="55" t="s">
        <v>549</v>
      </c>
      <c r="J2993" s="55">
        <v>320</v>
      </c>
      <c r="K2993" s="55">
        <f>VLOOKUP(J2993,'Validacion reclamo de equipaje'!L:M,2,0)</f>
        <v>179</v>
      </c>
      <c r="L2993" s="55" t="str">
        <f>VLOOKUP(I2993,'Validacion reclamo de equipaje'!H:I,2,0)</f>
        <v>Nacional</v>
      </c>
      <c r="M2993" s="55" t="s">
        <v>523</v>
      </c>
    </row>
    <row r="2994" spans="1:13" x14ac:dyDescent="0.25">
      <c r="A2994">
        <v>424</v>
      </c>
      <c r="B2994" s="47" t="str">
        <f>VLOOKUP(Tabla6[[#This Row],['# Vuelo]],'Validacion reclamo de equipaje'!P:Q,2,0)</f>
        <v>BARATA Y MORADA</v>
      </c>
      <c r="C2994" s="48">
        <v>0.51388888888888895</v>
      </c>
      <c r="D2994" s="48">
        <v>0.51944444444444449</v>
      </c>
      <c r="E2994" s="49">
        <f>'Reclamo de equipaje rediseñado'!$D2994-'Reclamo de equipaje rediseñado'!$C2994</f>
        <v>5.5555555555555358E-3</v>
      </c>
      <c r="F2994" s="48">
        <v>0.52777777777777779</v>
      </c>
      <c r="G2994" s="49">
        <f t="shared" si="46"/>
        <v>8.3333333333333037E-3</v>
      </c>
      <c r="H2994" s="50">
        <v>41751</v>
      </c>
      <c r="I2994" s="51" t="s">
        <v>549</v>
      </c>
      <c r="J2994" s="51">
        <v>320</v>
      </c>
      <c r="K2994" s="51">
        <f>VLOOKUP(J2994,'Validacion reclamo de equipaje'!L:M,2,0)</f>
        <v>179</v>
      </c>
      <c r="L2994" s="51" t="str">
        <f>VLOOKUP(I2994,'Validacion reclamo de equipaje'!H:I,2,0)</f>
        <v>Nacional</v>
      </c>
      <c r="M2994" s="51" t="s">
        <v>523</v>
      </c>
    </row>
    <row r="2995" spans="1:13" x14ac:dyDescent="0.25">
      <c r="A2995">
        <v>424</v>
      </c>
      <c r="B2995" s="47" t="str">
        <f>VLOOKUP(Tabla6[[#This Row],['# Vuelo]],'Validacion reclamo de equipaje'!P:Q,2,0)</f>
        <v>BARATA Y MORADA</v>
      </c>
      <c r="C2995" s="52">
        <v>0.51874999999999993</v>
      </c>
      <c r="D2995" s="52">
        <v>0.52361111111111114</v>
      </c>
      <c r="E2995" s="53">
        <f>'Reclamo de equipaje rediseñado'!$D2995-'Reclamo de equipaje rediseñado'!$C2995</f>
        <v>4.8611111111112049E-3</v>
      </c>
      <c r="F2995" s="52">
        <v>0.53402777777777777</v>
      </c>
      <c r="G2995" s="53">
        <f t="shared" si="46"/>
        <v>1.041666666666663E-2</v>
      </c>
      <c r="H2995" s="54">
        <v>41753</v>
      </c>
      <c r="I2995" s="55" t="s">
        <v>549</v>
      </c>
      <c r="J2995" s="55">
        <v>320</v>
      </c>
      <c r="K2995" s="55">
        <f>VLOOKUP(J2995,'Validacion reclamo de equipaje'!L:M,2,0)</f>
        <v>179</v>
      </c>
      <c r="L2995" s="55" t="str">
        <f>VLOOKUP(I2995,'Validacion reclamo de equipaje'!H:I,2,0)</f>
        <v>Nacional</v>
      </c>
      <c r="M2995" s="55" t="s">
        <v>523</v>
      </c>
    </row>
    <row r="2996" spans="1:13" x14ac:dyDescent="0.25">
      <c r="A2996">
        <v>424</v>
      </c>
      <c r="B2996" s="47" t="str">
        <f>VLOOKUP(Tabla6[[#This Row],['# Vuelo]],'Validacion reclamo de equipaje'!P:Q,2,0)</f>
        <v>BARATA Y MORADA</v>
      </c>
      <c r="C2996" s="48">
        <v>0.51874999999999993</v>
      </c>
      <c r="D2996" s="48">
        <v>0.52500000000000002</v>
      </c>
      <c r="E2996" s="49">
        <f>'Reclamo de equipaje rediseñado'!$D2996-'Reclamo de equipaje rediseñado'!$C2996</f>
        <v>6.2500000000000888E-3</v>
      </c>
      <c r="F2996" s="48">
        <v>0.53611111111111109</v>
      </c>
      <c r="G2996" s="49">
        <f t="shared" si="46"/>
        <v>1.1111111111111072E-2</v>
      </c>
      <c r="H2996" s="50">
        <v>41754</v>
      </c>
      <c r="I2996" s="51" t="s">
        <v>549</v>
      </c>
      <c r="J2996" s="51">
        <v>320</v>
      </c>
      <c r="K2996" s="51">
        <f>VLOOKUP(J2996,'Validacion reclamo de equipaje'!L:M,2,0)</f>
        <v>179</v>
      </c>
      <c r="L2996" s="51" t="str">
        <f>VLOOKUP(I2996,'Validacion reclamo de equipaje'!H:I,2,0)</f>
        <v>Nacional</v>
      </c>
      <c r="M2996" s="51" t="s">
        <v>523</v>
      </c>
    </row>
    <row r="2997" spans="1:13" x14ac:dyDescent="0.25">
      <c r="A2997">
        <v>424</v>
      </c>
      <c r="B2997" s="47" t="str">
        <f>VLOOKUP(Tabla6[[#This Row],['# Vuelo]],'Validacion reclamo de equipaje'!P:Q,2,0)</f>
        <v>BARATA Y MORADA</v>
      </c>
      <c r="C2997" s="52">
        <v>0.51666666666666672</v>
      </c>
      <c r="D2997" s="52">
        <v>0.52083333333333337</v>
      </c>
      <c r="E2997" s="53">
        <f>'Reclamo de equipaje rediseñado'!$D2997-'Reclamo de equipaje rediseñado'!$C2997</f>
        <v>4.1666666666666519E-3</v>
      </c>
      <c r="F2997" s="52">
        <v>0.53263888888888888</v>
      </c>
      <c r="G2997" s="53">
        <f t="shared" si="46"/>
        <v>1.1805555555555514E-2</v>
      </c>
      <c r="H2997" s="54">
        <v>41756</v>
      </c>
      <c r="I2997" s="55" t="s">
        <v>549</v>
      </c>
      <c r="J2997" s="55">
        <v>320</v>
      </c>
      <c r="K2997" s="55">
        <f>VLOOKUP(J2997,'Validacion reclamo de equipaje'!L:M,2,0)</f>
        <v>179</v>
      </c>
      <c r="L2997" s="55" t="str">
        <f>VLOOKUP(I2997,'Validacion reclamo de equipaje'!H:I,2,0)</f>
        <v>Nacional</v>
      </c>
      <c r="M2997" s="55" t="s">
        <v>523</v>
      </c>
    </row>
    <row r="2998" spans="1:13" x14ac:dyDescent="0.25">
      <c r="A2998">
        <v>424</v>
      </c>
      <c r="B2998" s="47" t="str">
        <f>VLOOKUP(Tabla6[[#This Row],['# Vuelo]],'Validacion reclamo de equipaje'!P:Q,2,0)</f>
        <v>BARATA Y MORADA</v>
      </c>
      <c r="C2998" s="48">
        <v>0.51666666666666672</v>
      </c>
      <c r="D2998" s="48">
        <v>0.52083333333333337</v>
      </c>
      <c r="E2998" s="49">
        <f>'Reclamo de equipaje rediseñado'!$D2998-'Reclamo de equipaje rediseñado'!$C2998</f>
        <v>4.1666666666666519E-3</v>
      </c>
      <c r="F2998" s="48">
        <v>0.53263888888888888</v>
      </c>
      <c r="G2998" s="49">
        <f t="shared" si="46"/>
        <v>1.1805555555555514E-2</v>
      </c>
      <c r="H2998" s="50">
        <v>41756</v>
      </c>
      <c r="I2998" s="51" t="s">
        <v>549</v>
      </c>
      <c r="J2998" s="51">
        <v>320</v>
      </c>
      <c r="K2998" s="51">
        <f>VLOOKUP(J2998,'Validacion reclamo de equipaje'!L:M,2,0)</f>
        <v>179</v>
      </c>
      <c r="L2998" s="51" t="str">
        <f>VLOOKUP(I2998,'Validacion reclamo de equipaje'!H:I,2,0)</f>
        <v>Nacional</v>
      </c>
      <c r="M2998" s="51" t="s">
        <v>523</v>
      </c>
    </row>
    <row r="2999" spans="1:13" x14ac:dyDescent="0.25">
      <c r="A2999">
        <v>424</v>
      </c>
      <c r="B2999" s="47" t="str">
        <f>VLOOKUP(Tabla6[[#This Row],['# Vuelo]],'Validacion reclamo de equipaje'!P:Q,2,0)</f>
        <v>BARATA Y MORADA</v>
      </c>
      <c r="C2999" s="52">
        <v>0.50694444444444442</v>
      </c>
      <c r="D2999" s="52">
        <v>0.51527777777777783</v>
      </c>
      <c r="E2999" s="53">
        <f>'Reclamo de equipaje rediseñado'!$D2999-'Reclamo de equipaje rediseñado'!$C2999</f>
        <v>8.3333333333334147E-3</v>
      </c>
      <c r="F2999" s="52">
        <v>0.52708333333333335</v>
      </c>
      <c r="G2999" s="53">
        <f t="shared" si="46"/>
        <v>1.1805555555555514E-2</v>
      </c>
      <c r="H2999" s="54">
        <v>41757</v>
      </c>
      <c r="I2999" s="55" t="s">
        <v>549</v>
      </c>
      <c r="J2999" s="55">
        <v>320</v>
      </c>
      <c r="K2999" s="55">
        <f>VLOOKUP(J2999,'Validacion reclamo de equipaje'!L:M,2,0)</f>
        <v>179</v>
      </c>
      <c r="L2999" s="55" t="str">
        <f>VLOOKUP(I2999,'Validacion reclamo de equipaje'!H:I,2,0)</f>
        <v>Nacional</v>
      </c>
      <c r="M2999" s="55" t="s">
        <v>523</v>
      </c>
    </row>
    <row r="3000" spans="1:13" x14ac:dyDescent="0.25">
      <c r="A3000">
        <v>424</v>
      </c>
      <c r="B3000" s="47" t="str">
        <f>VLOOKUP(Tabla6[[#This Row],['# Vuelo]],'Validacion reclamo de equipaje'!P:Q,2,0)</f>
        <v>BARATA Y MORADA</v>
      </c>
      <c r="C3000" s="48">
        <v>0.52083333333333337</v>
      </c>
      <c r="D3000" s="48">
        <v>0.52777777777777779</v>
      </c>
      <c r="E3000" s="49">
        <f>'Reclamo de equipaje rediseñado'!$D3000-'Reclamo de equipaje rediseñado'!$C3000</f>
        <v>6.9444444444444198E-3</v>
      </c>
      <c r="F3000" s="48">
        <v>0.54166666666666663</v>
      </c>
      <c r="G3000" s="49">
        <f t="shared" si="46"/>
        <v>1.388888888888884E-2</v>
      </c>
      <c r="H3000" s="50">
        <v>41758</v>
      </c>
      <c r="I3000" s="51" t="s">
        <v>549</v>
      </c>
      <c r="J3000" s="51">
        <v>320</v>
      </c>
      <c r="K3000" s="51">
        <f>VLOOKUP(J3000,'Validacion reclamo de equipaje'!L:M,2,0)</f>
        <v>179</v>
      </c>
      <c r="L3000" s="51" t="str">
        <f>VLOOKUP(I3000,'Validacion reclamo de equipaje'!H:I,2,0)</f>
        <v>Nacional</v>
      </c>
      <c r="M3000" s="51" t="s">
        <v>523</v>
      </c>
    </row>
    <row r="3001" spans="1:13" x14ac:dyDescent="0.25">
      <c r="A3001">
        <v>424</v>
      </c>
      <c r="B3001" s="47" t="str">
        <f>VLOOKUP(Tabla6[[#This Row],['# Vuelo]],'Validacion reclamo de equipaje'!P:Q,2,0)</f>
        <v>BARATA Y MORADA</v>
      </c>
      <c r="C3001" s="52">
        <v>0.5180555555555556</v>
      </c>
      <c r="D3001" s="52">
        <v>0.52361111111111114</v>
      </c>
      <c r="E3001" s="53">
        <f>'Reclamo de equipaje rediseñado'!$D3001-'Reclamo de equipaje rediseñado'!$C3001</f>
        <v>5.5555555555555358E-3</v>
      </c>
      <c r="F3001" s="52">
        <v>0.53402777777777777</v>
      </c>
      <c r="G3001" s="53">
        <f t="shared" si="46"/>
        <v>1.041666666666663E-2</v>
      </c>
      <c r="H3001" s="54">
        <v>41759</v>
      </c>
      <c r="I3001" s="55" t="s">
        <v>549</v>
      </c>
      <c r="J3001" s="55">
        <v>320</v>
      </c>
      <c r="K3001" s="55">
        <f>VLOOKUP(J3001,'Validacion reclamo de equipaje'!L:M,2,0)</f>
        <v>179</v>
      </c>
      <c r="L3001" s="55" t="str">
        <f>VLOOKUP(I3001,'Validacion reclamo de equipaje'!H:I,2,0)</f>
        <v>Nacional</v>
      </c>
      <c r="M3001" s="55" t="s">
        <v>523</v>
      </c>
    </row>
    <row r="3002" spans="1:13" x14ac:dyDescent="0.25">
      <c r="A3002">
        <v>426</v>
      </c>
      <c r="B3002" s="47" t="str">
        <f>VLOOKUP(Tabla6[[#This Row],['# Vuelo]],'Validacion reclamo de equipaje'!P:Q,2,0)</f>
        <v>BARATA Y MORADA</v>
      </c>
      <c r="C3002" s="48">
        <v>0.5805555555555556</v>
      </c>
      <c r="D3002" s="48">
        <v>0.59166666666666667</v>
      </c>
      <c r="E3002" s="49">
        <f>'Reclamo de equipaje rediseñado'!$D3002-'Reclamo de equipaje rediseñado'!$C3002</f>
        <v>1.1111111111111072E-2</v>
      </c>
      <c r="F3002" s="48">
        <v>0.59722222222222221</v>
      </c>
      <c r="G3002" s="49">
        <f t="shared" si="46"/>
        <v>5.5555555555555358E-3</v>
      </c>
      <c r="H3002" s="50">
        <v>41731</v>
      </c>
      <c r="I3002" s="51" t="s">
        <v>549</v>
      </c>
      <c r="J3002" s="51">
        <v>320</v>
      </c>
      <c r="K3002" s="51">
        <f>VLOOKUP(J3002,'Validacion reclamo de equipaje'!L:M,2,0)</f>
        <v>179</v>
      </c>
      <c r="L3002" s="51" t="str">
        <f>VLOOKUP(I3002,'Validacion reclamo de equipaje'!H:I,2,0)</f>
        <v>Nacional</v>
      </c>
      <c r="M3002" s="51" t="s">
        <v>523</v>
      </c>
    </row>
    <row r="3003" spans="1:13" x14ac:dyDescent="0.25">
      <c r="A3003">
        <v>426</v>
      </c>
      <c r="B3003" s="47" t="str">
        <f>VLOOKUP(Tabla6[[#This Row],['# Vuelo]],'Validacion reclamo de equipaje'!P:Q,2,0)</f>
        <v>BARATA Y MORADA</v>
      </c>
      <c r="C3003" s="52">
        <v>7.1527777777777787E-2</v>
      </c>
      <c r="D3003" s="52">
        <v>8.1250000000000003E-2</v>
      </c>
      <c r="E3003" s="53">
        <f>'Reclamo de equipaje rediseñado'!$D3003-'Reclamo de equipaje rediseñado'!$C3003</f>
        <v>9.7222222222222154E-3</v>
      </c>
      <c r="F3003" s="52">
        <v>9.0277777777777776E-2</v>
      </c>
      <c r="G3003" s="53">
        <f t="shared" si="46"/>
        <v>9.0277777777777735E-3</v>
      </c>
      <c r="H3003" s="54">
        <v>41732</v>
      </c>
      <c r="I3003" s="55" t="s">
        <v>549</v>
      </c>
      <c r="J3003" s="55">
        <v>320</v>
      </c>
      <c r="K3003" s="55">
        <f>VLOOKUP(J3003,'Validacion reclamo de equipaje'!L:M,2,0)</f>
        <v>179</v>
      </c>
      <c r="L3003" s="55" t="str">
        <f>VLOOKUP(I3003,'Validacion reclamo de equipaje'!H:I,2,0)</f>
        <v>Nacional</v>
      </c>
      <c r="M3003" s="55" t="s">
        <v>523</v>
      </c>
    </row>
    <row r="3004" spans="1:13" x14ac:dyDescent="0.25">
      <c r="A3004">
        <v>426</v>
      </c>
      <c r="B3004" s="47" t="str">
        <f>VLOOKUP(Tabla6[[#This Row],['# Vuelo]],'Validacion reclamo de equipaje'!P:Q,2,0)</f>
        <v>BARATA Y MORADA</v>
      </c>
      <c r="C3004" s="48">
        <v>0.57430555555555551</v>
      </c>
      <c r="D3004" s="48">
        <v>0.57986111111111105</v>
      </c>
      <c r="E3004" s="49">
        <f>'Reclamo de equipaje rediseñado'!$D3004-'Reclamo de equipaje rediseñado'!$C3004</f>
        <v>5.5555555555555358E-3</v>
      </c>
      <c r="F3004" s="48">
        <v>0.59444444444444444</v>
      </c>
      <c r="G3004" s="49">
        <f t="shared" si="46"/>
        <v>1.4583333333333393E-2</v>
      </c>
      <c r="H3004" s="50">
        <v>41733</v>
      </c>
      <c r="I3004" s="51" t="s">
        <v>549</v>
      </c>
      <c r="J3004" s="51">
        <v>320</v>
      </c>
      <c r="K3004" s="51">
        <f>VLOOKUP(J3004,'Validacion reclamo de equipaje'!L:M,2,0)</f>
        <v>179</v>
      </c>
      <c r="L3004" s="51" t="str">
        <f>VLOOKUP(I3004,'Validacion reclamo de equipaje'!H:I,2,0)</f>
        <v>Nacional</v>
      </c>
      <c r="M3004" s="51" t="s">
        <v>523</v>
      </c>
    </row>
    <row r="3005" spans="1:13" x14ac:dyDescent="0.25">
      <c r="A3005">
        <v>426</v>
      </c>
      <c r="B3005" s="47" t="str">
        <f>VLOOKUP(Tabla6[[#This Row],['# Vuelo]],'Validacion reclamo de equipaje'!P:Q,2,0)</f>
        <v>BARATA Y MORADA</v>
      </c>
      <c r="C3005" s="52">
        <v>0.56666666666666665</v>
      </c>
      <c r="D3005" s="52">
        <v>0.57291666666666663</v>
      </c>
      <c r="E3005" s="53">
        <f>'Reclamo de equipaje rediseñado'!$D3005-'Reclamo de equipaje rediseñado'!$C3005</f>
        <v>6.2499999999999778E-3</v>
      </c>
      <c r="F3005" s="52">
        <v>0.58472222222222225</v>
      </c>
      <c r="G3005" s="53">
        <f t="shared" si="46"/>
        <v>1.1805555555555625E-2</v>
      </c>
      <c r="H3005" s="54">
        <v>41735</v>
      </c>
      <c r="I3005" s="55" t="s">
        <v>549</v>
      </c>
      <c r="J3005" s="55">
        <v>320</v>
      </c>
      <c r="K3005" s="55">
        <f>VLOOKUP(J3005,'Validacion reclamo de equipaje'!L:M,2,0)</f>
        <v>179</v>
      </c>
      <c r="L3005" s="55" t="str">
        <f>VLOOKUP(I3005,'Validacion reclamo de equipaje'!H:I,2,0)</f>
        <v>Nacional</v>
      </c>
      <c r="M3005" s="55" t="s">
        <v>523</v>
      </c>
    </row>
    <row r="3006" spans="1:13" x14ac:dyDescent="0.25">
      <c r="A3006">
        <v>426</v>
      </c>
      <c r="B3006" s="47" t="str">
        <f>VLOOKUP(Tabla6[[#This Row],['# Vuelo]],'Validacion reclamo de equipaje'!P:Q,2,0)</f>
        <v>BARATA Y MORADA</v>
      </c>
      <c r="C3006" s="48">
        <v>0.57500000000000007</v>
      </c>
      <c r="D3006" s="48">
        <v>0.58124999999999993</v>
      </c>
      <c r="E3006" s="49">
        <f>'Reclamo de equipaje rediseñado'!$D3006-'Reclamo de equipaje rediseñado'!$C3006</f>
        <v>6.2499999999998668E-3</v>
      </c>
      <c r="F3006" s="48">
        <v>0.59027777777777779</v>
      </c>
      <c r="G3006" s="49">
        <f t="shared" si="46"/>
        <v>9.0277777777778567E-3</v>
      </c>
      <c r="H3006" s="50">
        <v>41737</v>
      </c>
      <c r="I3006" s="51" t="s">
        <v>549</v>
      </c>
      <c r="J3006" s="51">
        <v>320</v>
      </c>
      <c r="K3006" s="51">
        <f>VLOOKUP(J3006,'Validacion reclamo de equipaje'!L:M,2,0)</f>
        <v>179</v>
      </c>
      <c r="L3006" s="51" t="str">
        <f>VLOOKUP(I3006,'Validacion reclamo de equipaje'!H:I,2,0)</f>
        <v>Nacional</v>
      </c>
      <c r="M3006" s="51" t="s">
        <v>523</v>
      </c>
    </row>
    <row r="3007" spans="1:13" x14ac:dyDescent="0.25">
      <c r="A3007">
        <v>426</v>
      </c>
      <c r="B3007" s="47" t="str">
        <f>VLOOKUP(Tabla6[[#This Row],['# Vuelo]],'Validacion reclamo de equipaje'!P:Q,2,0)</f>
        <v>BARATA Y MORADA</v>
      </c>
      <c r="C3007" s="52">
        <v>0.57291666666666663</v>
      </c>
      <c r="D3007" s="52">
        <v>0.57708333333333328</v>
      </c>
      <c r="E3007" s="53">
        <f>'Reclamo de equipaje rediseñado'!$D3007-'Reclamo de equipaje rediseñado'!$C3007</f>
        <v>4.1666666666666519E-3</v>
      </c>
      <c r="F3007" s="52">
        <v>0.58402777777777781</v>
      </c>
      <c r="G3007" s="53">
        <f t="shared" si="46"/>
        <v>6.9444444444445308E-3</v>
      </c>
      <c r="H3007" s="54">
        <v>41739</v>
      </c>
      <c r="I3007" s="55" t="s">
        <v>549</v>
      </c>
      <c r="J3007" s="55">
        <v>320</v>
      </c>
      <c r="K3007" s="55">
        <f>VLOOKUP(J3007,'Validacion reclamo de equipaje'!L:M,2,0)</f>
        <v>179</v>
      </c>
      <c r="L3007" s="55" t="str">
        <f>VLOOKUP(I3007,'Validacion reclamo de equipaje'!H:I,2,0)</f>
        <v>Nacional</v>
      </c>
      <c r="M3007" s="55" t="s">
        <v>523</v>
      </c>
    </row>
    <row r="3008" spans="1:13" x14ac:dyDescent="0.25">
      <c r="A3008">
        <v>426</v>
      </c>
      <c r="B3008" s="47" t="str">
        <f>VLOOKUP(Tabla6[[#This Row],['# Vuelo]],'Validacion reclamo de equipaje'!P:Q,2,0)</f>
        <v>BARATA Y MORADA</v>
      </c>
      <c r="C3008" s="48">
        <v>0.56944444444444442</v>
      </c>
      <c r="D3008" s="48">
        <v>0.57986111111111105</v>
      </c>
      <c r="E3008" s="49">
        <f>'Reclamo de equipaje rediseñado'!$D3008-'Reclamo de equipaje rediseñado'!$C3008</f>
        <v>1.041666666666663E-2</v>
      </c>
      <c r="F3008" s="48">
        <v>0.5854166666666667</v>
      </c>
      <c r="G3008" s="49">
        <f t="shared" si="46"/>
        <v>5.5555555555556468E-3</v>
      </c>
      <c r="H3008" s="50">
        <v>41743</v>
      </c>
      <c r="I3008" s="51" t="s">
        <v>549</v>
      </c>
      <c r="J3008" s="51">
        <v>320</v>
      </c>
      <c r="K3008" s="51">
        <f>VLOOKUP(J3008,'Validacion reclamo de equipaje'!L:M,2,0)</f>
        <v>179</v>
      </c>
      <c r="L3008" s="51" t="str">
        <f>VLOOKUP(I3008,'Validacion reclamo de equipaje'!H:I,2,0)</f>
        <v>Nacional</v>
      </c>
      <c r="M3008" s="51" t="s">
        <v>523</v>
      </c>
    </row>
    <row r="3009" spans="1:13" x14ac:dyDescent="0.25">
      <c r="A3009">
        <v>426</v>
      </c>
      <c r="B3009" s="47" t="str">
        <f>VLOOKUP(Tabla6[[#This Row],['# Vuelo]],'Validacion reclamo de equipaje'!P:Q,2,0)</f>
        <v>BARATA Y MORADA</v>
      </c>
      <c r="C3009" s="52">
        <v>0.56319444444444444</v>
      </c>
      <c r="D3009" s="52">
        <v>0.57152777777777775</v>
      </c>
      <c r="E3009" s="53">
        <f>'Reclamo de equipaje rediseñado'!$D3009-'Reclamo de equipaje rediseñado'!$C3009</f>
        <v>8.3333333333333037E-3</v>
      </c>
      <c r="F3009" s="52">
        <v>0.57986111111111105</v>
      </c>
      <c r="G3009" s="53">
        <f t="shared" si="46"/>
        <v>8.3333333333333037E-3</v>
      </c>
      <c r="H3009" s="54">
        <v>41744</v>
      </c>
      <c r="I3009" s="55" t="s">
        <v>549</v>
      </c>
      <c r="J3009" s="55">
        <v>320</v>
      </c>
      <c r="K3009" s="55">
        <f>VLOOKUP(J3009,'Validacion reclamo de equipaje'!L:M,2,0)</f>
        <v>179</v>
      </c>
      <c r="L3009" s="55" t="str">
        <f>VLOOKUP(I3009,'Validacion reclamo de equipaje'!H:I,2,0)</f>
        <v>Nacional</v>
      </c>
      <c r="M3009" s="55" t="s">
        <v>523</v>
      </c>
    </row>
    <row r="3010" spans="1:13" x14ac:dyDescent="0.25">
      <c r="A3010">
        <v>426</v>
      </c>
      <c r="B3010" s="47" t="str">
        <f>VLOOKUP(Tabla6[[#This Row],['# Vuelo]],'Validacion reclamo de equipaje'!P:Q,2,0)</f>
        <v>BARATA Y MORADA</v>
      </c>
      <c r="C3010" s="48">
        <v>0.56944444444444442</v>
      </c>
      <c r="D3010" s="48">
        <v>0.57708333333333328</v>
      </c>
      <c r="E3010" s="49">
        <f>'Reclamo de equipaje rediseñado'!$D3010-'Reclamo de equipaje rediseñado'!$C3010</f>
        <v>7.6388888888888618E-3</v>
      </c>
      <c r="F3010" s="48">
        <v>0.58472222222222225</v>
      </c>
      <c r="G3010" s="49">
        <f t="shared" si="46"/>
        <v>7.6388888888889728E-3</v>
      </c>
      <c r="H3010" s="50">
        <v>41746</v>
      </c>
      <c r="I3010" s="51" t="s">
        <v>549</v>
      </c>
      <c r="J3010" s="51">
        <v>320</v>
      </c>
      <c r="K3010" s="51">
        <f>VLOOKUP(J3010,'Validacion reclamo de equipaje'!L:M,2,0)</f>
        <v>179</v>
      </c>
      <c r="L3010" s="51" t="str">
        <f>VLOOKUP(I3010,'Validacion reclamo de equipaje'!H:I,2,0)</f>
        <v>Nacional</v>
      </c>
      <c r="M3010" s="51" t="s">
        <v>523</v>
      </c>
    </row>
    <row r="3011" spans="1:13" x14ac:dyDescent="0.25">
      <c r="A3011">
        <v>426</v>
      </c>
      <c r="B3011" s="47" t="str">
        <f>VLOOKUP(Tabla6[[#This Row],['# Vuelo]],'Validacion reclamo de equipaje'!P:Q,2,0)</f>
        <v>BARATA Y MORADA</v>
      </c>
      <c r="C3011" s="52">
        <v>0.57847222222222217</v>
      </c>
      <c r="D3011" s="52">
        <v>0.58333333333333337</v>
      </c>
      <c r="E3011" s="53">
        <f>'Reclamo de equipaje rediseñado'!$D3011-'Reclamo de equipaje rediseñado'!$C3011</f>
        <v>4.8611111111112049E-3</v>
      </c>
      <c r="F3011" s="52">
        <v>0.59236111111111112</v>
      </c>
      <c r="G3011" s="53">
        <f t="shared" ref="G3011:G3074" si="47">F3011-D3011</f>
        <v>9.0277777777777457E-3</v>
      </c>
      <c r="H3011" s="54">
        <v>41748</v>
      </c>
      <c r="I3011" s="55" t="s">
        <v>549</v>
      </c>
      <c r="J3011" s="55">
        <v>320</v>
      </c>
      <c r="K3011" s="55">
        <f>VLOOKUP(J3011,'Validacion reclamo de equipaje'!L:M,2,0)</f>
        <v>179</v>
      </c>
      <c r="L3011" s="55" t="str">
        <f>VLOOKUP(I3011,'Validacion reclamo de equipaje'!H:I,2,0)</f>
        <v>Nacional</v>
      </c>
      <c r="M3011" s="55" t="s">
        <v>523</v>
      </c>
    </row>
    <row r="3012" spans="1:13" x14ac:dyDescent="0.25">
      <c r="A3012">
        <v>426</v>
      </c>
      <c r="B3012" s="47" t="str">
        <f>VLOOKUP(Tabla6[[#This Row],['# Vuelo]],'Validacion reclamo de equipaje'!P:Q,2,0)</f>
        <v>BARATA Y MORADA</v>
      </c>
      <c r="C3012" s="48">
        <v>0.62152777777777779</v>
      </c>
      <c r="D3012" s="48">
        <v>0.63055555555555554</v>
      </c>
      <c r="E3012" s="49">
        <f>'Reclamo de equipaje rediseñado'!$D3012-'Reclamo de equipaje rediseñado'!$C3012</f>
        <v>9.0277777777777457E-3</v>
      </c>
      <c r="F3012" s="48">
        <v>0.64236111111111105</v>
      </c>
      <c r="G3012" s="49">
        <f t="shared" si="47"/>
        <v>1.1805555555555514E-2</v>
      </c>
      <c r="H3012" s="50">
        <v>41749</v>
      </c>
      <c r="I3012" s="51" t="s">
        <v>549</v>
      </c>
      <c r="J3012" s="51">
        <v>320</v>
      </c>
      <c r="K3012" s="51">
        <f>VLOOKUP(J3012,'Validacion reclamo de equipaje'!L:M,2,0)</f>
        <v>179</v>
      </c>
      <c r="L3012" s="51" t="str">
        <f>VLOOKUP(I3012,'Validacion reclamo de equipaje'!H:I,2,0)</f>
        <v>Nacional</v>
      </c>
      <c r="M3012" s="51" t="s">
        <v>523</v>
      </c>
    </row>
    <row r="3013" spans="1:13" x14ac:dyDescent="0.25">
      <c r="A3013">
        <v>426</v>
      </c>
      <c r="B3013" s="47" t="str">
        <f>VLOOKUP(Tabla6[[#This Row],['# Vuelo]],'Validacion reclamo de equipaje'!P:Q,2,0)</f>
        <v>BARATA Y MORADA</v>
      </c>
      <c r="C3013" s="52">
        <v>0.58680555555555558</v>
      </c>
      <c r="D3013" s="52">
        <v>0.59722222222222221</v>
      </c>
      <c r="E3013" s="53">
        <f>'Reclamo de equipaje rediseñado'!$D3013-'Reclamo de equipaje rediseñado'!$C3013</f>
        <v>1.041666666666663E-2</v>
      </c>
      <c r="F3013" s="52">
        <v>0.60763888888888895</v>
      </c>
      <c r="G3013" s="53">
        <f t="shared" si="47"/>
        <v>1.0416666666666741E-2</v>
      </c>
      <c r="H3013" s="54">
        <v>41750</v>
      </c>
      <c r="I3013" s="55" t="s">
        <v>549</v>
      </c>
      <c r="J3013" s="55">
        <v>320</v>
      </c>
      <c r="K3013" s="55">
        <f>VLOOKUP(J3013,'Validacion reclamo de equipaje'!L:M,2,0)</f>
        <v>179</v>
      </c>
      <c r="L3013" s="55" t="str">
        <f>VLOOKUP(I3013,'Validacion reclamo de equipaje'!H:I,2,0)</f>
        <v>Nacional</v>
      </c>
      <c r="M3013" s="55" t="s">
        <v>523</v>
      </c>
    </row>
    <row r="3014" spans="1:13" x14ac:dyDescent="0.25">
      <c r="A3014">
        <v>426</v>
      </c>
      <c r="B3014" s="47" t="str">
        <f>VLOOKUP(Tabla6[[#This Row],['# Vuelo]],'Validacion reclamo de equipaje'!P:Q,2,0)</f>
        <v>BARATA Y MORADA</v>
      </c>
      <c r="C3014" s="48">
        <v>0.56458333333333333</v>
      </c>
      <c r="D3014" s="48">
        <v>0.57291666666666663</v>
      </c>
      <c r="E3014" s="49">
        <f>'Reclamo de equipaje rediseñado'!$D3014-'Reclamo de equipaje rediseñado'!$C3014</f>
        <v>8.3333333333333037E-3</v>
      </c>
      <c r="F3014" s="48">
        <v>0.59027777777777779</v>
      </c>
      <c r="G3014" s="49">
        <f t="shared" si="47"/>
        <v>1.736111111111116E-2</v>
      </c>
      <c r="H3014" s="50">
        <v>41753</v>
      </c>
      <c r="I3014" s="51" t="s">
        <v>549</v>
      </c>
      <c r="J3014" s="51">
        <v>320</v>
      </c>
      <c r="K3014" s="51">
        <f>VLOOKUP(J3014,'Validacion reclamo de equipaje'!L:M,2,0)</f>
        <v>179</v>
      </c>
      <c r="L3014" s="51" t="str">
        <f>VLOOKUP(I3014,'Validacion reclamo de equipaje'!H:I,2,0)</f>
        <v>Nacional</v>
      </c>
      <c r="M3014" s="51" t="s">
        <v>523</v>
      </c>
    </row>
    <row r="3015" spans="1:13" x14ac:dyDescent="0.25">
      <c r="A3015">
        <v>426</v>
      </c>
      <c r="B3015" s="47" t="str">
        <f>VLOOKUP(Tabla6[[#This Row],['# Vuelo]],'Validacion reclamo de equipaje'!P:Q,2,0)</f>
        <v>BARATA Y MORADA</v>
      </c>
      <c r="C3015" s="52">
        <v>0.57222222222222219</v>
      </c>
      <c r="D3015" s="52">
        <v>0.57638888888888895</v>
      </c>
      <c r="E3015" s="53">
        <f>'Reclamo de equipaje rediseñado'!$D3015-'Reclamo de equipaje rediseñado'!$C3015</f>
        <v>4.1666666666667629E-3</v>
      </c>
      <c r="F3015" s="52">
        <v>0.59236111111111112</v>
      </c>
      <c r="G3015" s="53">
        <f t="shared" si="47"/>
        <v>1.5972222222222165E-2</v>
      </c>
      <c r="H3015" s="54">
        <v>41756</v>
      </c>
      <c r="I3015" s="55" t="s">
        <v>549</v>
      </c>
      <c r="J3015" s="55">
        <v>320</v>
      </c>
      <c r="K3015" s="55">
        <f>VLOOKUP(J3015,'Validacion reclamo de equipaje'!L:M,2,0)</f>
        <v>179</v>
      </c>
      <c r="L3015" s="55" t="str">
        <f>VLOOKUP(I3015,'Validacion reclamo de equipaje'!H:I,2,0)</f>
        <v>Nacional</v>
      </c>
      <c r="M3015" s="55" t="s">
        <v>523</v>
      </c>
    </row>
    <row r="3016" spans="1:13" x14ac:dyDescent="0.25">
      <c r="A3016">
        <v>426</v>
      </c>
      <c r="B3016" s="47" t="str">
        <f>VLOOKUP(Tabla6[[#This Row],['# Vuelo]],'Validacion reclamo de equipaje'!P:Q,2,0)</f>
        <v>BARATA Y MORADA</v>
      </c>
      <c r="C3016" s="48">
        <v>0.57291666666666663</v>
      </c>
      <c r="D3016" s="48">
        <v>0.57916666666666672</v>
      </c>
      <c r="E3016" s="49">
        <f>'Reclamo de equipaje rediseñado'!$D3016-'Reclamo de equipaje rediseñado'!$C3016</f>
        <v>6.2500000000000888E-3</v>
      </c>
      <c r="F3016" s="48">
        <v>0.59027777777777779</v>
      </c>
      <c r="G3016" s="49">
        <f t="shared" si="47"/>
        <v>1.1111111111111072E-2</v>
      </c>
      <c r="H3016" s="50">
        <v>41757</v>
      </c>
      <c r="I3016" s="51" t="s">
        <v>549</v>
      </c>
      <c r="J3016" s="51">
        <v>320</v>
      </c>
      <c r="K3016" s="51">
        <f>VLOOKUP(J3016,'Validacion reclamo de equipaje'!L:M,2,0)</f>
        <v>179</v>
      </c>
      <c r="L3016" s="51" t="str">
        <f>VLOOKUP(I3016,'Validacion reclamo de equipaje'!H:I,2,0)</f>
        <v>Nacional</v>
      </c>
      <c r="M3016" s="51" t="s">
        <v>523</v>
      </c>
    </row>
    <row r="3017" spans="1:13" x14ac:dyDescent="0.25">
      <c r="A3017">
        <v>426</v>
      </c>
      <c r="B3017" s="47" t="str">
        <f>VLOOKUP(Tabla6[[#This Row],['# Vuelo]],'Validacion reclamo de equipaje'!P:Q,2,0)</f>
        <v>BARATA Y MORADA</v>
      </c>
      <c r="C3017" s="52">
        <v>0.56944444444444442</v>
      </c>
      <c r="D3017" s="52">
        <v>0.57986111111111105</v>
      </c>
      <c r="E3017" s="53">
        <f>'Reclamo de equipaje rediseñado'!$D3017-'Reclamo de equipaje rediseñado'!$C3017</f>
        <v>1.041666666666663E-2</v>
      </c>
      <c r="F3017" s="52">
        <v>0.59027777777777779</v>
      </c>
      <c r="G3017" s="53">
        <f t="shared" si="47"/>
        <v>1.0416666666666741E-2</v>
      </c>
      <c r="H3017" s="54">
        <v>41758</v>
      </c>
      <c r="I3017" s="55" t="s">
        <v>549</v>
      </c>
      <c r="J3017" s="55">
        <v>320</v>
      </c>
      <c r="K3017" s="55">
        <f>VLOOKUP(J3017,'Validacion reclamo de equipaje'!L:M,2,0)</f>
        <v>179</v>
      </c>
      <c r="L3017" s="55" t="str">
        <f>VLOOKUP(I3017,'Validacion reclamo de equipaje'!H:I,2,0)</f>
        <v>Nacional</v>
      </c>
      <c r="M3017" s="55" t="s">
        <v>523</v>
      </c>
    </row>
    <row r="3018" spans="1:13" x14ac:dyDescent="0.25">
      <c r="A3018">
        <v>426</v>
      </c>
      <c r="B3018" s="47" t="str">
        <f>VLOOKUP(Tabla6[[#This Row],['# Vuelo]],'Validacion reclamo de equipaje'!P:Q,2,0)</f>
        <v>BARATA Y MORADA</v>
      </c>
      <c r="C3018" s="48">
        <v>0.58194444444444449</v>
      </c>
      <c r="D3018" s="48">
        <v>0.59097222222222223</v>
      </c>
      <c r="E3018" s="49">
        <f>'Reclamo de equipaje rediseñado'!$D3018-'Reclamo de equipaje rediseñado'!$C3018</f>
        <v>9.0277777777777457E-3</v>
      </c>
      <c r="F3018" s="48">
        <v>0.59652777777777777</v>
      </c>
      <c r="G3018" s="49">
        <f t="shared" si="47"/>
        <v>5.5555555555555358E-3</v>
      </c>
      <c r="H3018" s="50">
        <v>41759</v>
      </c>
      <c r="I3018" s="51" t="s">
        <v>549</v>
      </c>
      <c r="J3018" s="51">
        <v>320</v>
      </c>
      <c r="K3018" s="51">
        <f>VLOOKUP(J3018,'Validacion reclamo de equipaje'!L:M,2,0)</f>
        <v>179</v>
      </c>
      <c r="L3018" s="51" t="str">
        <f>VLOOKUP(I3018,'Validacion reclamo de equipaje'!H:I,2,0)</f>
        <v>Nacional</v>
      </c>
      <c r="M3018" s="51" t="s">
        <v>523</v>
      </c>
    </row>
    <row r="3019" spans="1:13" x14ac:dyDescent="0.25">
      <c r="A3019">
        <v>428</v>
      </c>
      <c r="B3019" s="47" t="str">
        <f>VLOOKUP(Tabla6[[#This Row],['# Vuelo]],'Validacion reclamo de equipaje'!P:Q,2,0)</f>
        <v>BARATA Y MORADA</v>
      </c>
      <c r="C3019" s="52">
        <v>0.66319444444444442</v>
      </c>
      <c r="D3019" s="52">
        <v>0.67152777777777783</v>
      </c>
      <c r="E3019" s="53">
        <f>'Reclamo de equipaje rediseñado'!$D3019-'Reclamo de equipaje rediseñado'!$C3019</f>
        <v>8.3333333333334147E-3</v>
      </c>
      <c r="F3019" s="52">
        <v>0.67986111111111114</v>
      </c>
      <c r="G3019" s="53">
        <f t="shared" si="47"/>
        <v>8.3333333333333037E-3</v>
      </c>
      <c r="H3019" s="54">
        <v>41730</v>
      </c>
      <c r="I3019" s="55" t="s">
        <v>549</v>
      </c>
      <c r="J3019" s="55">
        <v>320</v>
      </c>
      <c r="K3019" s="55">
        <f>VLOOKUP(J3019,'Validacion reclamo de equipaje'!L:M,2,0)</f>
        <v>179</v>
      </c>
      <c r="L3019" s="55" t="str">
        <f>VLOOKUP(I3019,'Validacion reclamo de equipaje'!H:I,2,0)</f>
        <v>Nacional</v>
      </c>
      <c r="M3019" s="55" t="s">
        <v>523</v>
      </c>
    </row>
    <row r="3020" spans="1:13" x14ac:dyDescent="0.25">
      <c r="A3020">
        <v>428</v>
      </c>
      <c r="B3020" s="47" t="str">
        <f>VLOOKUP(Tabla6[[#This Row],['# Vuelo]],'Validacion reclamo de equipaje'!P:Q,2,0)</f>
        <v>BARATA Y MORADA</v>
      </c>
      <c r="C3020" s="48">
        <v>0.14583333333333334</v>
      </c>
      <c r="D3020" s="48">
        <v>0.15694444444444444</v>
      </c>
      <c r="E3020" s="49">
        <f>'Reclamo de equipaje rediseñado'!$D3020-'Reclamo de equipaje rediseñado'!$C3020</f>
        <v>1.1111111111111099E-2</v>
      </c>
      <c r="F3020" s="48">
        <v>0.1673611111111111</v>
      </c>
      <c r="G3020" s="49">
        <f t="shared" si="47"/>
        <v>1.0416666666666657E-2</v>
      </c>
      <c r="H3020" s="50">
        <v>41732</v>
      </c>
      <c r="I3020" s="51" t="s">
        <v>549</v>
      </c>
      <c r="J3020" s="51">
        <v>320</v>
      </c>
      <c r="K3020" s="51">
        <f>VLOOKUP(J3020,'Validacion reclamo de equipaje'!L:M,2,0)</f>
        <v>179</v>
      </c>
      <c r="L3020" s="51" t="str">
        <f>VLOOKUP(I3020,'Validacion reclamo de equipaje'!H:I,2,0)</f>
        <v>Nacional</v>
      </c>
      <c r="M3020" s="51" t="s">
        <v>523</v>
      </c>
    </row>
    <row r="3021" spans="1:13" x14ac:dyDescent="0.25">
      <c r="A3021">
        <v>428</v>
      </c>
      <c r="B3021" s="47" t="str">
        <f>VLOOKUP(Tabla6[[#This Row],['# Vuelo]],'Validacion reclamo de equipaje'!P:Q,2,0)</f>
        <v>BARATA Y MORADA</v>
      </c>
      <c r="C3021" s="52">
        <v>0.66875000000000007</v>
      </c>
      <c r="D3021" s="52">
        <v>0.67499999999999993</v>
      </c>
      <c r="E3021" s="53">
        <f>'Reclamo de equipaje rediseñado'!$D3021-'Reclamo de equipaje rediseñado'!$C3021</f>
        <v>6.2499999999998668E-3</v>
      </c>
      <c r="F3021" s="52">
        <v>0.68680555555555556</v>
      </c>
      <c r="G3021" s="53">
        <f t="shared" si="47"/>
        <v>1.1805555555555625E-2</v>
      </c>
      <c r="H3021" s="54">
        <v>41733</v>
      </c>
      <c r="I3021" s="55" t="s">
        <v>549</v>
      </c>
      <c r="J3021" s="55">
        <v>320</v>
      </c>
      <c r="K3021" s="55">
        <f>VLOOKUP(J3021,'Validacion reclamo de equipaje'!L:M,2,0)</f>
        <v>179</v>
      </c>
      <c r="L3021" s="55" t="str">
        <f>VLOOKUP(I3021,'Validacion reclamo de equipaje'!H:I,2,0)</f>
        <v>Nacional</v>
      </c>
      <c r="M3021" s="55" t="s">
        <v>523</v>
      </c>
    </row>
    <row r="3022" spans="1:13" x14ac:dyDescent="0.25">
      <c r="A3022">
        <v>428</v>
      </c>
      <c r="B3022" s="47" t="str">
        <f>VLOOKUP(Tabla6[[#This Row],['# Vuelo]],'Validacion reclamo de equipaje'!P:Q,2,0)</f>
        <v>BARATA Y MORADA</v>
      </c>
      <c r="C3022" s="48">
        <v>0.67361111111111116</v>
      </c>
      <c r="D3022" s="48">
        <v>0.67708333333333337</v>
      </c>
      <c r="E3022" s="49">
        <f>'Reclamo de equipaje rediseñado'!$D3022-'Reclamo de equipaje rediseñado'!$C3022</f>
        <v>3.4722222222222099E-3</v>
      </c>
      <c r="F3022" s="48">
        <v>0.68819444444444444</v>
      </c>
      <c r="G3022" s="49">
        <f t="shared" si="47"/>
        <v>1.1111111111111072E-2</v>
      </c>
      <c r="H3022" s="50">
        <v>41735</v>
      </c>
      <c r="I3022" s="51" t="s">
        <v>549</v>
      </c>
      <c r="J3022" s="51">
        <v>320</v>
      </c>
      <c r="K3022" s="51">
        <f>VLOOKUP(J3022,'Validacion reclamo de equipaje'!L:M,2,0)</f>
        <v>179</v>
      </c>
      <c r="L3022" s="51" t="str">
        <f>VLOOKUP(I3022,'Validacion reclamo de equipaje'!H:I,2,0)</f>
        <v>Nacional</v>
      </c>
      <c r="M3022" s="51" t="s">
        <v>523</v>
      </c>
    </row>
    <row r="3023" spans="1:13" x14ac:dyDescent="0.25">
      <c r="A3023">
        <v>428</v>
      </c>
      <c r="B3023" s="47" t="str">
        <f>VLOOKUP(Tabla6[[#This Row],['# Vuelo]],'Validacion reclamo de equipaje'!P:Q,2,0)</f>
        <v>BARATA Y MORADA</v>
      </c>
      <c r="C3023" s="52">
        <v>0.66527777777777775</v>
      </c>
      <c r="D3023" s="52">
        <v>0.67013888888888884</v>
      </c>
      <c r="E3023" s="53">
        <f>'Reclamo de equipaje rediseñado'!$D3023-'Reclamo de equipaje rediseñado'!$C3023</f>
        <v>4.8611111111110938E-3</v>
      </c>
      <c r="F3023" s="52">
        <v>0.67638888888888893</v>
      </c>
      <c r="G3023" s="53">
        <f t="shared" si="47"/>
        <v>6.2500000000000888E-3</v>
      </c>
      <c r="H3023" s="54">
        <v>41736</v>
      </c>
      <c r="I3023" s="55" t="s">
        <v>549</v>
      </c>
      <c r="J3023" s="55">
        <v>320</v>
      </c>
      <c r="K3023" s="55">
        <f>VLOOKUP(J3023,'Validacion reclamo de equipaje'!L:M,2,0)</f>
        <v>179</v>
      </c>
      <c r="L3023" s="55" t="str">
        <f>VLOOKUP(I3023,'Validacion reclamo de equipaje'!H:I,2,0)</f>
        <v>Nacional</v>
      </c>
      <c r="M3023" s="55" t="s">
        <v>523</v>
      </c>
    </row>
    <row r="3024" spans="1:13" x14ac:dyDescent="0.25">
      <c r="A3024">
        <v>428</v>
      </c>
      <c r="B3024" s="47" t="str">
        <f>VLOOKUP(Tabla6[[#This Row],['# Vuelo]],'Validacion reclamo de equipaje'!P:Q,2,0)</f>
        <v>BARATA Y MORADA</v>
      </c>
      <c r="C3024" s="48">
        <v>0.67708333333333337</v>
      </c>
      <c r="D3024" s="48">
        <v>0.67986111111111114</v>
      </c>
      <c r="E3024" s="49">
        <f>'Reclamo de equipaje rediseñado'!$D3024-'Reclamo de equipaje rediseñado'!$C3024</f>
        <v>2.7777777777777679E-3</v>
      </c>
      <c r="F3024" s="48">
        <v>0.68125000000000002</v>
      </c>
      <c r="G3024" s="49">
        <f t="shared" si="47"/>
        <v>1.388888888888884E-3</v>
      </c>
      <c r="H3024" s="50">
        <v>41737</v>
      </c>
      <c r="I3024" s="51" t="s">
        <v>549</v>
      </c>
      <c r="J3024" s="51">
        <v>320</v>
      </c>
      <c r="K3024" s="51">
        <f>VLOOKUP(J3024,'Validacion reclamo de equipaje'!L:M,2,0)</f>
        <v>179</v>
      </c>
      <c r="L3024" s="51" t="str">
        <f>VLOOKUP(I3024,'Validacion reclamo de equipaje'!H:I,2,0)</f>
        <v>Nacional</v>
      </c>
      <c r="M3024" s="51" t="s">
        <v>523</v>
      </c>
    </row>
    <row r="3025" spans="1:13" x14ac:dyDescent="0.25">
      <c r="A3025">
        <v>428</v>
      </c>
      <c r="B3025" s="47" t="str">
        <f>VLOOKUP(Tabla6[[#This Row],['# Vuelo]],'Validacion reclamo de equipaje'!P:Q,2,0)</f>
        <v>BARATA Y MORADA</v>
      </c>
      <c r="C3025" s="52">
        <v>0.67708333333333337</v>
      </c>
      <c r="D3025" s="52">
        <v>0.67847222222222225</v>
      </c>
      <c r="E3025" s="53">
        <f>'Reclamo de equipaje rediseñado'!$D3025-'Reclamo de equipaje rediseñado'!$C3025</f>
        <v>1.388888888888884E-3</v>
      </c>
      <c r="F3025" s="52">
        <v>0.68194444444444446</v>
      </c>
      <c r="G3025" s="53">
        <f t="shared" si="47"/>
        <v>3.4722222222222099E-3</v>
      </c>
      <c r="H3025" s="54">
        <v>41738</v>
      </c>
      <c r="I3025" s="55" t="s">
        <v>549</v>
      </c>
      <c r="J3025" s="55">
        <v>320</v>
      </c>
      <c r="K3025" s="55">
        <f>VLOOKUP(J3025,'Validacion reclamo de equipaje'!L:M,2,0)</f>
        <v>179</v>
      </c>
      <c r="L3025" s="55" t="str">
        <f>VLOOKUP(I3025,'Validacion reclamo de equipaje'!H:I,2,0)</f>
        <v>Nacional</v>
      </c>
      <c r="M3025" s="55" t="s">
        <v>523</v>
      </c>
    </row>
    <row r="3026" spans="1:13" x14ac:dyDescent="0.25">
      <c r="A3026">
        <v>428</v>
      </c>
      <c r="B3026" s="47" t="str">
        <f>VLOOKUP(Tabla6[[#This Row],['# Vuelo]],'Validacion reclamo de equipaje'!P:Q,2,0)</f>
        <v>BARATA Y MORADA</v>
      </c>
      <c r="C3026" s="48">
        <v>0.67847222222222225</v>
      </c>
      <c r="D3026" s="48">
        <v>0.67986111111111114</v>
      </c>
      <c r="E3026" s="49">
        <f>'Reclamo de equipaje rediseñado'!$D3026-'Reclamo de equipaje rediseñado'!$C3026</f>
        <v>1.388888888888884E-3</v>
      </c>
      <c r="F3026" s="48">
        <v>0.69027777777777777</v>
      </c>
      <c r="G3026" s="49">
        <f t="shared" si="47"/>
        <v>1.041666666666663E-2</v>
      </c>
      <c r="H3026" s="50">
        <v>41739</v>
      </c>
      <c r="I3026" s="51" t="s">
        <v>549</v>
      </c>
      <c r="J3026" s="51">
        <v>320</v>
      </c>
      <c r="K3026" s="51">
        <f>VLOOKUP(J3026,'Validacion reclamo de equipaje'!L:M,2,0)</f>
        <v>179</v>
      </c>
      <c r="L3026" s="51" t="str">
        <f>VLOOKUP(I3026,'Validacion reclamo de equipaje'!H:I,2,0)</f>
        <v>Nacional</v>
      </c>
      <c r="M3026" s="51" t="s">
        <v>523</v>
      </c>
    </row>
    <row r="3027" spans="1:13" x14ac:dyDescent="0.25">
      <c r="A3027">
        <v>428</v>
      </c>
      <c r="B3027" s="47" t="str">
        <f>VLOOKUP(Tabla6[[#This Row],['# Vuelo]],'Validacion reclamo de equipaje'!P:Q,2,0)</f>
        <v>BARATA Y MORADA</v>
      </c>
      <c r="C3027" s="52">
        <v>0.66319444444444442</v>
      </c>
      <c r="D3027" s="52">
        <v>0.67152777777777783</v>
      </c>
      <c r="E3027" s="53">
        <f>'Reclamo de equipaje rediseñado'!$D3027-'Reclamo de equipaje rediseñado'!$C3027</f>
        <v>8.3333333333334147E-3</v>
      </c>
      <c r="F3027" s="52">
        <v>0.67986111111111114</v>
      </c>
      <c r="G3027" s="53">
        <f t="shared" si="47"/>
        <v>8.3333333333333037E-3</v>
      </c>
      <c r="H3027" s="54">
        <v>41742</v>
      </c>
      <c r="I3027" s="55" t="s">
        <v>549</v>
      </c>
      <c r="J3027" s="55">
        <v>320</v>
      </c>
      <c r="K3027" s="55">
        <f>VLOOKUP(J3027,'Validacion reclamo de equipaje'!L:M,2,0)</f>
        <v>179</v>
      </c>
      <c r="L3027" s="55" t="str">
        <f>VLOOKUP(I3027,'Validacion reclamo de equipaje'!H:I,2,0)</f>
        <v>Nacional</v>
      </c>
      <c r="M3027" s="55" t="s">
        <v>523</v>
      </c>
    </row>
    <row r="3028" spans="1:13" x14ac:dyDescent="0.25">
      <c r="A3028">
        <v>428</v>
      </c>
      <c r="B3028" s="47" t="str">
        <f>VLOOKUP(Tabla6[[#This Row],['# Vuelo]],'Validacion reclamo de equipaje'!P:Q,2,0)</f>
        <v>BARATA Y MORADA</v>
      </c>
      <c r="C3028" s="48">
        <v>0.69513888888888886</v>
      </c>
      <c r="D3028" s="48">
        <v>0.70138888888888884</v>
      </c>
      <c r="E3028" s="49">
        <f>'Reclamo de equipaje rediseñado'!$D3028-'Reclamo de equipaje rediseñado'!$C3028</f>
        <v>6.2499999999999778E-3</v>
      </c>
      <c r="F3028" s="48">
        <v>0.71250000000000002</v>
      </c>
      <c r="G3028" s="49">
        <f t="shared" si="47"/>
        <v>1.1111111111111183E-2</v>
      </c>
      <c r="H3028" s="50">
        <v>41743</v>
      </c>
      <c r="I3028" s="51" t="s">
        <v>549</v>
      </c>
      <c r="J3028" s="51">
        <v>320</v>
      </c>
      <c r="K3028" s="51">
        <f>VLOOKUP(J3028,'Validacion reclamo de equipaje'!L:M,2,0)</f>
        <v>179</v>
      </c>
      <c r="L3028" s="51" t="str">
        <f>VLOOKUP(I3028,'Validacion reclamo de equipaje'!H:I,2,0)</f>
        <v>Nacional</v>
      </c>
      <c r="M3028" s="51" t="s">
        <v>523</v>
      </c>
    </row>
    <row r="3029" spans="1:13" x14ac:dyDescent="0.25">
      <c r="A3029">
        <v>428</v>
      </c>
      <c r="B3029" s="47" t="str">
        <f>VLOOKUP(Tabla6[[#This Row],['# Vuelo]],'Validacion reclamo de equipaje'!P:Q,2,0)</f>
        <v>BARATA Y MORADA</v>
      </c>
      <c r="C3029" s="52">
        <v>0.6645833333333333</v>
      </c>
      <c r="D3029" s="52">
        <v>0.67361111111111116</v>
      </c>
      <c r="E3029" s="53">
        <f>'Reclamo de equipaje rediseñado'!$D3029-'Reclamo de equipaje rediseñado'!$C3029</f>
        <v>9.0277777777778567E-3</v>
      </c>
      <c r="F3029" s="52">
        <v>0.68333333333333324</v>
      </c>
      <c r="G3029" s="53">
        <f t="shared" si="47"/>
        <v>9.7222222222220767E-3</v>
      </c>
      <c r="H3029" s="54">
        <v>41744</v>
      </c>
      <c r="I3029" s="55" t="s">
        <v>549</v>
      </c>
      <c r="J3029" s="55">
        <v>320</v>
      </c>
      <c r="K3029" s="55">
        <f>VLOOKUP(J3029,'Validacion reclamo de equipaje'!L:M,2,0)</f>
        <v>179</v>
      </c>
      <c r="L3029" s="55" t="str">
        <f>VLOOKUP(I3029,'Validacion reclamo de equipaje'!H:I,2,0)</f>
        <v>Nacional</v>
      </c>
      <c r="M3029" s="55" t="s">
        <v>523</v>
      </c>
    </row>
    <row r="3030" spans="1:13" x14ac:dyDescent="0.25">
      <c r="A3030">
        <v>428</v>
      </c>
      <c r="B3030" s="47" t="str">
        <f>VLOOKUP(Tabla6[[#This Row],['# Vuelo]],'Validacion reclamo de equipaje'!P:Q,2,0)</f>
        <v>BARATA Y MORADA</v>
      </c>
      <c r="C3030" s="48">
        <v>0.66597222222222219</v>
      </c>
      <c r="D3030" s="48">
        <v>0.66666666666666663</v>
      </c>
      <c r="E3030" s="49">
        <f>'Reclamo de equipaje rediseñado'!$D3030-'Reclamo de equipaje rediseñado'!$C3030</f>
        <v>6.9444444444444198E-4</v>
      </c>
      <c r="F3030" s="48">
        <v>0.67638888888888893</v>
      </c>
      <c r="G3030" s="49">
        <f t="shared" si="47"/>
        <v>9.7222222222222987E-3</v>
      </c>
      <c r="H3030" s="50">
        <v>41745</v>
      </c>
      <c r="I3030" s="51" t="s">
        <v>549</v>
      </c>
      <c r="J3030" s="51">
        <v>320</v>
      </c>
      <c r="K3030" s="51">
        <f>VLOOKUP(J3030,'Validacion reclamo de equipaje'!L:M,2,0)</f>
        <v>179</v>
      </c>
      <c r="L3030" s="51" t="str">
        <f>VLOOKUP(I3030,'Validacion reclamo de equipaje'!H:I,2,0)</f>
        <v>Nacional</v>
      </c>
      <c r="M3030" s="51" t="s">
        <v>523</v>
      </c>
    </row>
    <row r="3031" spans="1:13" x14ac:dyDescent="0.25">
      <c r="A3031">
        <v>428</v>
      </c>
      <c r="B3031" s="47" t="str">
        <f>VLOOKUP(Tabla6[[#This Row],['# Vuelo]],'Validacion reclamo de equipaje'!P:Q,2,0)</f>
        <v>BARATA Y MORADA</v>
      </c>
      <c r="C3031" s="52">
        <v>0.67013888888888884</v>
      </c>
      <c r="D3031" s="52">
        <v>0.67708333333333337</v>
      </c>
      <c r="E3031" s="53">
        <f>'Reclamo de equipaje rediseñado'!$D3031-'Reclamo de equipaje rediseñado'!$C3031</f>
        <v>6.9444444444445308E-3</v>
      </c>
      <c r="F3031" s="52">
        <v>0.69027777777777777</v>
      </c>
      <c r="G3031" s="53">
        <f t="shared" si="47"/>
        <v>1.3194444444444398E-2</v>
      </c>
      <c r="H3031" s="54">
        <v>41746</v>
      </c>
      <c r="I3031" s="55" t="s">
        <v>549</v>
      </c>
      <c r="J3031" s="55">
        <v>320</v>
      </c>
      <c r="K3031" s="55">
        <f>VLOOKUP(J3031,'Validacion reclamo de equipaje'!L:M,2,0)</f>
        <v>179</v>
      </c>
      <c r="L3031" s="55" t="str">
        <f>VLOOKUP(I3031,'Validacion reclamo de equipaje'!H:I,2,0)</f>
        <v>Nacional</v>
      </c>
      <c r="M3031" s="55" t="s">
        <v>523</v>
      </c>
    </row>
    <row r="3032" spans="1:13" x14ac:dyDescent="0.25">
      <c r="A3032">
        <v>428</v>
      </c>
      <c r="B3032" s="47" t="str">
        <f>VLOOKUP(Tabla6[[#This Row],['# Vuelo]],'Validacion reclamo de equipaje'!P:Q,2,0)</f>
        <v>BARATA Y MORADA</v>
      </c>
      <c r="C3032" s="48">
        <v>0.66319444444444442</v>
      </c>
      <c r="D3032" s="48">
        <v>0.6694444444444444</v>
      </c>
      <c r="E3032" s="49">
        <f>'Reclamo de equipaje rediseñado'!$D3032-'Reclamo de equipaje rediseñado'!$C3032</f>
        <v>6.2499999999999778E-3</v>
      </c>
      <c r="F3032" s="48">
        <v>0.67986111111111114</v>
      </c>
      <c r="G3032" s="49">
        <f t="shared" si="47"/>
        <v>1.0416666666666741E-2</v>
      </c>
      <c r="H3032" s="50">
        <v>41747</v>
      </c>
      <c r="I3032" s="51" t="s">
        <v>549</v>
      </c>
      <c r="J3032" s="51">
        <v>320</v>
      </c>
      <c r="K3032" s="51">
        <f>VLOOKUP(J3032,'Validacion reclamo de equipaje'!L:M,2,0)</f>
        <v>179</v>
      </c>
      <c r="L3032" s="51" t="str">
        <f>VLOOKUP(I3032,'Validacion reclamo de equipaje'!H:I,2,0)</f>
        <v>Nacional</v>
      </c>
      <c r="M3032" s="51" t="s">
        <v>523</v>
      </c>
    </row>
    <row r="3033" spans="1:13" x14ac:dyDescent="0.25">
      <c r="A3033">
        <v>428</v>
      </c>
      <c r="B3033" s="47" t="str">
        <f>VLOOKUP(Tabla6[[#This Row],['# Vuelo]],'Validacion reclamo de equipaje'!P:Q,2,0)</f>
        <v>BARATA Y MORADA</v>
      </c>
      <c r="C3033" s="52">
        <v>0.67083333333333339</v>
      </c>
      <c r="D3033" s="52">
        <v>0.67638888888888893</v>
      </c>
      <c r="E3033" s="53">
        <f>'Reclamo de equipaje rediseñado'!$D3033-'Reclamo de equipaje rediseñado'!$C3033</f>
        <v>5.5555555555555358E-3</v>
      </c>
      <c r="F3033" s="52">
        <v>0.69166666666666676</v>
      </c>
      <c r="G3033" s="53">
        <f t="shared" si="47"/>
        <v>1.5277777777777835E-2</v>
      </c>
      <c r="H3033" s="54">
        <v>41748</v>
      </c>
      <c r="I3033" s="55" t="s">
        <v>549</v>
      </c>
      <c r="J3033" s="55">
        <v>320</v>
      </c>
      <c r="K3033" s="55">
        <f>VLOOKUP(J3033,'Validacion reclamo de equipaje'!L:M,2,0)</f>
        <v>179</v>
      </c>
      <c r="L3033" s="55" t="str">
        <f>VLOOKUP(I3033,'Validacion reclamo de equipaje'!H:I,2,0)</f>
        <v>Nacional</v>
      </c>
      <c r="M3033" s="55" t="s">
        <v>523</v>
      </c>
    </row>
    <row r="3034" spans="1:13" x14ac:dyDescent="0.25">
      <c r="A3034">
        <v>428</v>
      </c>
      <c r="B3034" s="47" t="str">
        <f>VLOOKUP(Tabla6[[#This Row],['# Vuelo]],'Validacion reclamo de equipaje'!P:Q,2,0)</f>
        <v>BARATA Y MORADA</v>
      </c>
      <c r="C3034" s="48">
        <v>0.85555555555555562</v>
      </c>
      <c r="D3034" s="48">
        <v>0.8652777777777777</v>
      </c>
      <c r="E3034" s="49">
        <f>'Reclamo de equipaje rediseñado'!$D3034-'Reclamo de equipaje rediseñado'!$C3034</f>
        <v>9.7222222222220767E-3</v>
      </c>
      <c r="F3034" s="48">
        <v>0.87430555555555556</v>
      </c>
      <c r="G3034" s="49">
        <f t="shared" si="47"/>
        <v>9.0277777777778567E-3</v>
      </c>
      <c r="H3034" s="50">
        <v>41749</v>
      </c>
      <c r="I3034" s="51" t="s">
        <v>549</v>
      </c>
      <c r="J3034" s="51">
        <v>320</v>
      </c>
      <c r="K3034" s="51">
        <f>VLOOKUP(J3034,'Validacion reclamo de equipaje'!L:M,2,0)</f>
        <v>179</v>
      </c>
      <c r="L3034" s="51" t="str">
        <f>VLOOKUP(I3034,'Validacion reclamo de equipaje'!H:I,2,0)</f>
        <v>Nacional</v>
      </c>
      <c r="M3034" s="51" t="s">
        <v>523</v>
      </c>
    </row>
    <row r="3035" spans="1:13" x14ac:dyDescent="0.25">
      <c r="A3035">
        <v>428</v>
      </c>
      <c r="B3035" s="47" t="str">
        <f>VLOOKUP(Tabla6[[#This Row],['# Vuelo]],'Validacion reclamo de equipaje'!P:Q,2,0)</f>
        <v>BARATA Y MORADA</v>
      </c>
      <c r="C3035" s="52">
        <v>0.65972222222222221</v>
      </c>
      <c r="D3035" s="52">
        <v>0.67013888888888884</v>
      </c>
      <c r="E3035" s="53">
        <f>'Reclamo de equipaje rediseñado'!$D3035-'Reclamo de equipaje rediseñado'!$C3035</f>
        <v>1.041666666666663E-2</v>
      </c>
      <c r="F3035" s="52">
        <v>0.67708333333333337</v>
      </c>
      <c r="G3035" s="53">
        <f t="shared" si="47"/>
        <v>6.9444444444445308E-3</v>
      </c>
      <c r="H3035" s="54">
        <v>41750</v>
      </c>
      <c r="I3035" s="55" t="s">
        <v>549</v>
      </c>
      <c r="J3035" s="55">
        <v>320</v>
      </c>
      <c r="K3035" s="55">
        <f>VLOOKUP(J3035,'Validacion reclamo de equipaje'!L:M,2,0)</f>
        <v>179</v>
      </c>
      <c r="L3035" s="55" t="str">
        <f>VLOOKUP(I3035,'Validacion reclamo de equipaje'!H:I,2,0)</f>
        <v>Nacional</v>
      </c>
      <c r="M3035" s="55" t="s">
        <v>523</v>
      </c>
    </row>
    <row r="3036" spans="1:13" x14ac:dyDescent="0.25">
      <c r="A3036">
        <v>428</v>
      </c>
      <c r="B3036" s="47" t="str">
        <f>VLOOKUP(Tabla6[[#This Row],['# Vuelo]],'Validacion reclamo de equipaje'!P:Q,2,0)</f>
        <v>BARATA Y MORADA</v>
      </c>
      <c r="C3036" s="48">
        <v>0.65972222222222221</v>
      </c>
      <c r="D3036" s="48">
        <v>0.66666666666666663</v>
      </c>
      <c r="E3036" s="49">
        <f>'Reclamo de equipaje rediseñado'!$D3036-'Reclamo de equipaje rediseñado'!$C3036</f>
        <v>6.9444444444444198E-3</v>
      </c>
      <c r="F3036" s="48">
        <v>0.68055555555555547</v>
      </c>
      <c r="G3036" s="49">
        <f t="shared" si="47"/>
        <v>1.388888888888884E-2</v>
      </c>
      <c r="H3036" s="50">
        <v>41753</v>
      </c>
      <c r="I3036" s="51" t="s">
        <v>549</v>
      </c>
      <c r="J3036" s="51">
        <v>320</v>
      </c>
      <c r="K3036" s="51">
        <f>VLOOKUP(J3036,'Validacion reclamo de equipaje'!L:M,2,0)</f>
        <v>179</v>
      </c>
      <c r="L3036" s="51" t="str">
        <f>VLOOKUP(I3036,'Validacion reclamo de equipaje'!H:I,2,0)</f>
        <v>Nacional</v>
      </c>
      <c r="M3036" s="51" t="s">
        <v>523</v>
      </c>
    </row>
    <row r="3037" spans="1:13" x14ac:dyDescent="0.25">
      <c r="A3037">
        <v>428</v>
      </c>
      <c r="B3037" s="47" t="str">
        <f>VLOOKUP(Tabla6[[#This Row],['# Vuelo]],'Validacion reclamo de equipaje'!P:Q,2,0)</f>
        <v>BARATA Y MORADA</v>
      </c>
      <c r="C3037" s="52">
        <v>0.66180555555555554</v>
      </c>
      <c r="D3037" s="52">
        <v>0.66805555555555562</v>
      </c>
      <c r="E3037" s="53">
        <f>'Reclamo de equipaje rediseñado'!$D3037-'Reclamo de equipaje rediseñado'!$C3037</f>
        <v>6.2500000000000888E-3</v>
      </c>
      <c r="F3037" s="52">
        <v>0.6791666666666667</v>
      </c>
      <c r="G3037" s="53">
        <f t="shared" si="47"/>
        <v>1.1111111111111072E-2</v>
      </c>
      <c r="H3037" s="54">
        <v>41754</v>
      </c>
      <c r="I3037" s="55" t="s">
        <v>549</v>
      </c>
      <c r="J3037" s="55">
        <v>320</v>
      </c>
      <c r="K3037" s="55">
        <f>VLOOKUP(J3037,'Validacion reclamo de equipaje'!L:M,2,0)</f>
        <v>179</v>
      </c>
      <c r="L3037" s="55" t="str">
        <f>VLOOKUP(I3037,'Validacion reclamo de equipaje'!H:I,2,0)</f>
        <v>Nacional</v>
      </c>
      <c r="M3037" s="55" t="s">
        <v>523</v>
      </c>
    </row>
    <row r="3038" spans="1:13" x14ac:dyDescent="0.25">
      <c r="A3038">
        <v>428</v>
      </c>
      <c r="B3038" s="47" t="str">
        <f>VLOOKUP(Tabla6[[#This Row],['# Vuelo]],'Validacion reclamo de equipaje'!P:Q,2,0)</f>
        <v>BARATA Y MORADA</v>
      </c>
      <c r="C3038" s="48">
        <v>0.6743055555555556</v>
      </c>
      <c r="D3038" s="48">
        <v>0.68263888888888891</v>
      </c>
      <c r="E3038" s="49">
        <f>'Reclamo de equipaje rediseñado'!$D3038-'Reclamo de equipaje rediseñado'!$C3038</f>
        <v>8.3333333333333037E-3</v>
      </c>
      <c r="F3038" s="48">
        <v>0.70000000000000007</v>
      </c>
      <c r="G3038" s="49">
        <f t="shared" si="47"/>
        <v>1.736111111111116E-2</v>
      </c>
      <c r="H3038" s="50">
        <v>41756</v>
      </c>
      <c r="I3038" s="51" t="s">
        <v>549</v>
      </c>
      <c r="J3038" s="51">
        <v>320</v>
      </c>
      <c r="K3038" s="51">
        <f>VLOOKUP(J3038,'Validacion reclamo de equipaje'!L:M,2,0)</f>
        <v>179</v>
      </c>
      <c r="L3038" s="51" t="str">
        <f>VLOOKUP(I3038,'Validacion reclamo de equipaje'!H:I,2,0)</f>
        <v>Nacional</v>
      </c>
      <c r="M3038" s="51" t="s">
        <v>523</v>
      </c>
    </row>
    <row r="3039" spans="1:13" x14ac:dyDescent="0.25">
      <c r="A3039">
        <v>428</v>
      </c>
      <c r="B3039" s="47" t="str">
        <f>VLOOKUP(Tabla6[[#This Row],['# Vuelo]],'Validacion reclamo de equipaje'!P:Q,2,0)</f>
        <v>BARATA Y MORADA</v>
      </c>
      <c r="C3039" s="52">
        <v>0.6645833333333333</v>
      </c>
      <c r="D3039" s="52">
        <v>0.67361111111111116</v>
      </c>
      <c r="E3039" s="53">
        <f>'Reclamo de equipaje rediseñado'!$D3039-'Reclamo de equipaje rediseñado'!$C3039</f>
        <v>9.0277777777778567E-3</v>
      </c>
      <c r="F3039" s="52">
        <v>0.68680555555555556</v>
      </c>
      <c r="G3039" s="53">
        <f t="shared" si="47"/>
        <v>1.3194444444444398E-2</v>
      </c>
      <c r="H3039" s="54">
        <v>41757</v>
      </c>
      <c r="I3039" s="55" t="s">
        <v>549</v>
      </c>
      <c r="J3039" s="55">
        <v>320</v>
      </c>
      <c r="K3039" s="55">
        <f>VLOOKUP(J3039,'Validacion reclamo de equipaje'!L:M,2,0)</f>
        <v>179</v>
      </c>
      <c r="L3039" s="55" t="str">
        <f>VLOOKUP(I3039,'Validacion reclamo de equipaje'!H:I,2,0)</f>
        <v>Nacional</v>
      </c>
      <c r="M3039" s="55" t="s">
        <v>523</v>
      </c>
    </row>
    <row r="3040" spans="1:13" x14ac:dyDescent="0.25">
      <c r="A3040">
        <v>428</v>
      </c>
      <c r="B3040" s="47" t="str">
        <f>VLOOKUP(Tabla6[[#This Row],['# Vuelo]],'Validacion reclamo de equipaje'!P:Q,2,0)</f>
        <v>BARATA Y MORADA</v>
      </c>
      <c r="C3040" s="48">
        <v>0.6645833333333333</v>
      </c>
      <c r="D3040" s="48">
        <v>0.67083333333333339</v>
      </c>
      <c r="E3040" s="49">
        <f>'Reclamo de equipaje rediseñado'!$D3040-'Reclamo de equipaje rediseñado'!$C3040</f>
        <v>6.2500000000000888E-3</v>
      </c>
      <c r="F3040" s="48">
        <v>0.69097222222222221</v>
      </c>
      <c r="G3040" s="49">
        <f t="shared" si="47"/>
        <v>2.0138888888888817E-2</v>
      </c>
      <c r="H3040" s="50">
        <v>41758</v>
      </c>
      <c r="I3040" s="51" t="s">
        <v>549</v>
      </c>
      <c r="J3040" s="51">
        <v>320</v>
      </c>
      <c r="K3040" s="51">
        <f>VLOOKUP(J3040,'Validacion reclamo de equipaje'!L:M,2,0)</f>
        <v>179</v>
      </c>
      <c r="L3040" s="51" t="str">
        <f>VLOOKUP(I3040,'Validacion reclamo de equipaje'!H:I,2,0)</f>
        <v>Nacional</v>
      </c>
      <c r="M3040" s="51" t="s">
        <v>523</v>
      </c>
    </row>
    <row r="3041" spans="1:13" x14ac:dyDescent="0.25">
      <c r="A3041">
        <v>430</v>
      </c>
      <c r="B3041" s="47" t="str">
        <f>VLOOKUP(Tabla6[[#This Row],['# Vuelo]],'Validacion reclamo de equipaje'!P:Q,2,0)</f>
        <v>BARATA Y MORADA</v>
      </c>
      <c r="C3041" s="52">
        <v>0.76527777777777783</v>
      </c>
      <c r="D3041" s="52">
        <v>0.77361111111111114</v>
      </c>
      <c r="E3041" s="53">
        <f>'Reclamo de equipaje rediseñado'!$D3041-'Reclamo de equipaje rediseñado'!$C3041</f>
        <v>8.3333333333333037E-3</v>
      </c>
      <c r="F3041" s="52">
        <v>0.78194444444444444</v>
      </c>
      <c r="G3041" s="53">
        <f t="shared" si="47"/>
        <v>8.3333333333333037E-3</v>
      </c>
      <c r="H3041" s="54">
        <v>41730</v>
      </c>
      <c r="I3041" s="55" t="s">
        <v>549</v>
      </c>
      <c r="J3041" s="55">
        <v>320</v>
      </c>
      <c r="K3041" s="55">
        <f>VLOOKUP(J3041,'Validacion reclamo de equipaje'!L:M,2,0)</f>
        <v>179</v>
      </c>
      <c r="L3041" s="55" t="str">
        <f>VLOOKUP(I3041,'Validacion reclamo de equipaje'!H:I,2,0)</f>
        <v>Nacional</v>
      </c>
      <c r="M3041" s="55" t="s">
        <v>523</v>
      </c>
    </row>
    <row r="3042" spans="1:13" x14ac:dyDescent="0.25">
      <c r="A3042">
        <v>430</v>
      </c>
      <c r="B3042" s="47" t="str">
        <f>VLOOKUP(Tabla6[[#This Row],['# Vuelo]],'Validacion reclamo de equipaje'!P:Q,2,0)</f>
        <v>BARATA Y MORADA</v>
      </c>
      <c r="C3042" s="48">
        <v>0.75208333333333333</v>
      </c>
      <c r="D3042" s="48">
        <v>0.76180555555555562</v>
      </c>
      <c r="E3042" s="49">
        <f>'Reclamo de equipaje rediseñado'!$D3042-'Reclamo de equipaje rediseñado'!$C3042</f>
        <v>9.7222222222222987E-3</v>
      </c>
      <c r="F3042" s="48">
        <v>0.77638888888888891</v>
      </c>
      <c r="G3042" s="49">
        <f t="shared" si="47"/>
        <v>1.4583333333333282E-2</v>
      </c>
      <c r="H3042" s="50">
        <v>41731</v>
      </c>
      <c r="I3042" s="51" t="s">
        <v>549</v>
      </c>
      <c r="J3042" s="51">
        <v>320</v>
      </c>
      <c r="K3042" s="51">
        <f>VLOOKUP(J3042,'Validacion reclamo de equipaje'!L:M,2,0)</f>
        <v>179</v>
      </c>
      <c r="L3042" s="51" t="str">
        <f>VLOOKUP(I3042,'Validacion reclamo de equipaje'!H:I,2,0)</f>
        <v>Nacional</v>
      </c>
      <c r="M3042" s="51" t="s">
        <v>523</v>
      </c>
    </row>
    <row r="3043" spans="1:13" x14ac:dyDescent="0.25">
      <c r="A3043">
        <v>430</v>
      </c>
      <c r="B3043" s="47" t="str">
        <f>VLOOKUP(Tabla6[[#This Row],['# Vuelo]],'Validacion reclamo de equipaje'!P:Q,2,0)</f>
        <v>BARATA Y MORADA</v>
      </c>
      <c r="C3043" s="52">
        <v>0.75069444444444444</v>
      </c>
      <c r="D3043" s="52">
        <v>0.76111111111111107</v>
      </c>
      <c r="E3043" s="53">
        <f>'Reclamo de equipaje rediseñado'!$D3043-'Reclamo de equipaje rediseñado'!$C3043</f>
        <v>1.041666666666663E-2</v>
      </c>
      <c r="F3043" s="52">
        <v>0.76874999999999993</v>
      </c>
      <c r="G3043" s="53">
        <f t="shared" si="47"/>
        <v>7.6388888888888618E-3</v>
      </c>
      <c r="H3043" s="54">
        <v>41732</v>
      </c>
      <c r="I3043" s="55" t="s">
        <v>549</v>
      </c>
      <c r="J3043" s="55">
        <v>320</v>
      </c>
      <c r="K3043" s="55">
        <f>VLOOKUP(J3043,'Validacion reclamo de equipaje'!L:M,2,0)</f>
        <v>179</v>
      </c>
      <c r="L3043" s="55" t="str">
        <f>VLOOKUP(I3043,'Validacion reclamo de equipaje'!H:I,2,0)</f>
        <v>Nacional</v>
      </c>
      <c r="M3043" s="55" t="s">
        <v>523</v>
      </c>
    </row>
    <row r="3044" spans="1:13" x14ac:dyDescent="0.25">
      <c r="A3044">
        <v>430</v>
      </c>
      <c r="B3044" s="47" t="str">
        <f>VLOOKUP(Tabla6[[#This Row],['# Vuelo]],'Validacion reclamo de equipaje'!P:Q,2,0)</f>
        <v>BARATA Y MORADA</v>
      </c>
      <c r="C3044" s="48">
        <v>0.7597222222222223</v>
      </c>
      <c r="D3044" s="48">
        <v>0.76666666666666661</v>
      </c>
      <c r="E3044" s="49">
        <f>'Reclamo de equipaje rediseñado'!$D3044-'Reclamo de equipaje rediseñado'!$C3044</f>
        <v>6.9444444444443088E-3</v>
      </c>
      <c r="F3044" s="48">
        <v>0.77847222222222223</v>
      </c>
      <c r="G3044" s="49">
        <f t="shared" si="47"/>
        <v>1.1805555555555625E-2</v>
      </c>
      <c r="H3044" s="50">
        <v>41733</v>
      </c>
      <c r="I3044" s="51" t="s">
        <v>549</v>
      </c>
      <c r="J3044" s="51">
        <v>320</v>
      </c>
      <c r="K3044" s="51">
        <f>VLOOKUP(J3044,'Validacion reclamo de equipaje'!L:M,2,0)</f>
        <v>179</v>
      </c>
      <c r="L3044" s="51" t="str">
        <f>VLOOKUP(I3044,'Validacion reclamo de equipaje'!H:I,2,0)</f>
        <v>Nacional</v>
      </c>
      <c r="M3044" s="51" t="s">
        <v>523</v>
      </c>
    </row>
    <row r="3045" spans="1:13" x14ac:dyDescent="0.25">
      <c r="A3045">
        <v>430</v>
      </c>
      <c r="B3045" s="47" t="str">
        <f>VLOOKUP(Tabla6[[#This Row],['# Vuelo]],'Validacion reclamo de equipaje'!P:Q,2,0)</f>
        <v>BARATA Y MORADA</v>
      </c>
      <c r="C3045" s="52">
        <v>0.9277777777777777</v>
      </c>
      <c r="D3045" s="52">
        <v>0.93541666666666667</v>
      </c>
      <c r="E3045" s="53">
        <f>'Reclamo de equipaje rediseñado'!$D3045-'Reclamo de equipaje rediseñado'!$C3045</f>
        <v>7.6388888888889728E-3</v>
      </c>
      <c r="F3045" s="52">
        <v>0.94791666666666663</v>
      </c>
      <c r="G3045" s="53">
        <f t="shared" si="47"/>
        <v>1.2499999999999956E-2</v>
      </c>
      <c r="H3045" s="54">
        <v>41734</v>
      </c>
      <c r="I3045" s="55" t="s">
        <v>549</v>
      </c>
      <c r="J3045" s="55">
        <v>320</v>
      </c>
      <c r="K3045" s="55">
        <f>VLOOKUP(J3045,'Validacion reclamo de equipaje'!L:M,2,0)</f>
        <v>179</v>
      </c>
      <c r="L3045" s="55" t="str">
        <f>VLOOKUP(I3045,'Validacion reclamo de equipaje'!H:I,2,0)</f>
        <v>Nacional</v>
      </c>
      <c r="M3045" s="55" t="s">
        <v>523</v>
      </c>
    </row>
    <row r="3046" spans="1:13" x14ac:dyDescent="0.25">
      <c r="A3046">
        <v>430</v>
      </c>
      <c r="B3046" s="47" t="str">
        <f>VLOOKUP(Tabla6[[#This Row],['# Vuelo]],'Validacion reclamo de equipaje'!P:Q,2,0)</f>
        <v>BARATA Y MORADA</v>
      </c>
      <c r="C3046" s="48">
        <v>0.71527777777777779</v>
      </c>
      <c r="D3046" s="48">
        <v>0.72569444444444453</v>
      </c>
      <c r="E3046" s="49">
        <f>'Reclamo de equipaje rediseñado'!$D3046-'Reclamo de equipaje rediseñado'!$C3046</f>
        <v>1.0416666666666741E-2</v>
      </c>
      <c r="F3046" s="48">
        <v>0.74583333333333324</v>
      </c>
      <c r="G3046" s="49">
        <f t="shared" si="47"/>
        <v>2.0138888888888706E-2</v>
      </c>
      <c r="H3046" s="50">
        <v>41735</v>
      </c>
      <c r="I3046" s="51" t="s">
        <v>549</v>
      </c>
      <c r="J3046" s="51">
        <v>320</v>
      </c>
      <c r="K3046" s="51">
        <f>VLOOKUP(J3046,'Validacion reclamo de equipaje'!L:M,2,0)</f>
        <v>179</v>
      </c>
      <c r="L3046" s="51" t="str">
        <f>VLOOKUP(I3046,'Validacion reclamo de equipaje'!H:I,2,0)</f>
        <v>Nacional</v>
      </c>
      <c r="M3046" s="51" t="s">
        <v>523</v>
      </c>
    </row>
    <row r="3047" spans="1:13" x14ac:dyDescent="0.25">
      <c r="A3047">
        <v>430</v>
      </c>
      <c r="B3047" s="47" t="str">
        <f>VLOOKUP(Tabla6[[#This Row],['# Vuelo]],'Validacion reclamo de equipaje'!P:Q,2,0)</f>
        <v>BARATA Y MORADA</v>
      </c>
      <c r="C3047" s="52">
        <v>0.75555555555555554</v>
      </c>
      <c r="D3047" s="52">
        <v>0.76041666666666663</v>
      </c>
      <c r="E3047" s="53">
        <f>'Reclamo de equipaje rediseñado'!$D3047-'Reclamo de equipaje rediseñado'!$C3047</f>
        <v>4.8611111111110938E-3</v>
      </c>
      <c r="F3047" s="52">
        <v>0.76944444444444438</v>
      </c>
      <c r="G3047" s="53">
        <f t="shared" si="47"/>
        <v>9.0277777777777457E-3</v>
      </c>
      <c r="H3047" s="54">
        <v>41736</v>
      </c>
      <c r="I3047" s="55" t="s">
        <v>549</v>
      </c>
      <c r="J3047" s="55">
        <v>320</v>
      </c>
      <c r="K3047" s="55">
        <f>VLOOKUP(J3047,'Validacion reclamo de equipaje'!L:M,2,0)</f>
        <v>179</v>
      </c>
      <c r="L3047" s="55" t="str">
        <f>VLOOKUP(I3047,'Validacion reclamo de equipaje'!H:I,2,0)</f>
        <v>Nacional</v>
      </c>
      <c r="M3047" s="55" t="s">
        <v>523</v>
      </c>
    </row>
    <row r="3048" spans="1:13" x14ac:dyDescent="0.25">
      <c r="A3048">
        <v>430</v>
      </c>
      <c r="B3048" s="47" t="str">
        <f>VLOOKUP(Tabla6[[#This Row],['# Vuelo]],'Validacion reclamo de equipaje'!P:Q,2,0)</f>
        <v>BARATA Y MORADA</v>
      </c>
      <c r="C3048" s="48">
        <v>0.76041666666666663</v>
      </c>
      <c r="D3048" s="48">
        <v>0.7631944444444444</v>
      </c>
      <c r="E3048" s="49">
        <f>'Reclamo de equipaje rediseñado'!$D3048-'Reclamo de equipaje rediseñado'!$C3048</f>
        <v>2.7777777777777679E-3</v>
      </c>
      <c r="F3048" s="48">
        <v>0.7715277777777777</v>
      </c>
      <c r="G3048" s="49">
        <f t="shared" si="47"/>
        <v>8.3333333333333037E-3</v>
      </c>
      <c r="H3048" s="50">
        <v>41737</v>
      </c>
      <c r="I3048" s="51" t="s">
        <v>549</v>
      </c>
      <c r="J3048" s="51">
        <v>320</v>
      </c>
      <c r="K3048" s="51">
        <f>VLOOKUP(J3048,'Validacion reclamo de equipaje'!L:M,2,0)</f>
        <v>179</v>
      </c>
      <c r="L3048" s="51" t="str">
        <f>VLOOKUP(I3048,'Validacion reclamo de equipaje'!H:I,2,0)</f>
        <v>Nacional</v>
      </c>
      <c r="M3048" s="51" t="s">
        <v>523</v>
      </c>
    </row>
    <row r="3049" spans="1:13" x14ac:dyDescent="0.25">
      <c r="A3049">
        <v>430</v>
      </c>
      <c r="B3049" s="47" t="str">
        <f>VLOOKUP(Tabla6[[#This Row],['# Vuelo]],'Validacion reclamo de equipaje'!P:Q,2,0)</f>
        <v>BARATA Y MORADA</v>
      </c>
      <c r="C3049" s="52">
        <v>0.72916666666666663</v>
      </c>
      <c r="D3049" s="52">
        <v>0.75277777777777777</v>
      </c>
      <c r="E3049" s="53">
        <f>'Reclamo de equipaje rediseñado'!$D3049-'Reclamo de equipaje rediseñado'!$C3049</f>
        <v>2.3611111111111138E-2</v>
      </c>
      <c r="F3049" s="52">
        <v>0.75902777777777775</v>
      </c>
      <c r="G3049" s="53">
        <f t="shared" si="47"/>
        <v>6.2499999999999778E-3</v>
      </c>
      <c r="H3049" s="54">
        <v>41739</v>
      </c>
      <c r="I3049" s="55" t="s">
        <v>549</v>
      </c>
      <c r="J3049" s="55">
        <v>320</v>
      </c>
      <c r="K3049" s="55">
        <f>VLOOKUP(J3049,'Validacion reclamo de equipaje'!L:M,2,0)</f>
        <v>179</v>
      </c>
      <c r="L3049" s="55" t="str">
        <f>VLOOKUP(I3049,'Validacion reclamo de equipaje'!H:I,2,0)</f>
        <v>Nacional</v>
      </c>
      <c r="M3049" s="55" t="s">
        <v>523</v>
      </c>
    </row>
    <row r="3050" spans="1:13" x14ac:dyDescent="0.25">
      <c r="A3050">
        <v>430</v>
      </c>
      <c r="B3050" s="47" t="str">
        <f>VLOOKUP(Tabla6[[#This Row],['# Vuelo]],'Validacion reclamo de equipaje'!P:Q,2,0)</f>
        <v>BARATA Y MORADA</v>
      </c>
      <c r="C3050" s="48">
        <v>0.76527777777777783</v>
      </c>
      <c r="D3050" s="48">
        <v>0.77361111111111114</v>
      </c>
      <c r="E3050" s="49">
        <f>'Reclamo de equipaje rediseñado'!$D3050-'Reclamo de equipaje rediseñado'!$C3050</f>
        <v>8.3333333333333037E-3</v>
      </c>
      <c r="F3050" s="48">
        <v>0.78194444444444444</v>
      </c>
      <c r="G3050" s="49">
        <f t="shared" si="47"/>
        <v>8.3333333333333037E-3</v>
      </c>
      <c r="H3050" s="50">
        <v>41742</v>
      </c>
      <c r="I3050" s="51" t="s">
        <v>549</v>
      </c>
      <c r="J3050" s="51">
        <v>320</v>
      </c>
      <c r="K3050" s="51">
        <f>VLOOKUP(J3050,'Validacion reclamo de equipaje'!L:M,2,0)</f>
        <v>179</v>
      </c>
      <c r="L3050" s="51" t="str">
        <f>VLOOKUP(I3050,'Validacion reclamo de equipaje'!H:I,2,0)</f>
        <v>Nacional</v>
      </c>
      <c r="M3050" s="51" t="s">
        <v>523</v>
      </c>
    </row>
    <row r="3051" spans="1:13" x14ac:dyDescent="0.25">
      <c r="A3051">
        <v>430</v>
      </c>
      <c r="B3051" s="47" t="str">
        <f>VLOOKUP(Tabla6[[#This Row],['# Vuelo]],'Validacion reclamo de equipaje'!P:Q,2,0)</f>
        <v>BARATA Y MORADA</v>
      </c>
      <c r="C3051" s="52">
        <v>0.75277777777777777</v>
      </c>
      <c r="D3051" s="52">
        <v>0.76666666666666661</v>
      </c>
      <c r="E3051" s="53">
        <f>'Reclamo de equipaje rediseñado'!$D3051-'Reclamo de equipaje rediseñado'!$C3051</f>
        <v>1.388888888888884E-2</v>
      </c>
      <c r="F3051" s="52">
        <v>0.77638888888888891</v>
      </c>
      <c r="G3051" s="53">
        <f t="shared" si="47"/>
        <v>9.7222222222222987E-3</v>
      </c>
      <c r="H3051" s="54">
        <v>41743</v>
      </c>
      <c r="I3051" s="55" t="s">
        <v>549</v>
      </c>
      <c r="J3051" s="55">
        <v>320</v>
      </c>
      <c r="K3051" s="55">
        <f>VLOOKUP(J3051,'Validacion reclamo de equipaje'!L:M,2,0)</f>
        <v>179</v>
      </c>
      <c r="L3051" s="55" t="str">
        <f>VLOOKUP(I3051,'Validacion reclamo de equipaje'!H:I,2,0)</f>
        <v>Nacional</v>
      </c>
      <c r="M3051" s="55" t="s">
        <v>523</v>
      </c>
    </row>
    <row r="3052" spans="1:13" x14ac:dyDescent="0.25">
      <c r="A3052">
        <v>430</v>
      </c>
      <c r="B3052" s="47" t="str">
        <f>VLOOKUP(Tabla6[[#This Row],['# Vuelo]],'Validacion reclamo de equipaje'!P:Q,2,0)</f>
        <v>BARATA Y MORADA</v>
      </c>
      <c r="C3052" s="48">
        <v>0.75416666666666676</v>
      </c>
      <c r="D3052" s="48">
        <v>0.76250000000000007</v>
      </c>
      <c r="E3052" s="49">
        <f>'Reclamo de equipaje rediseñado'!$D3052-'Reclamo de equipaje rediseñado'!$C3052</f>
        <v>8.3333333333333037E-3</v>
      </c>
      <c r="F3052" s="48">
        <v>0.7680555555555556</v>
      </c>
      <c r="G3052" s="49">
        <f t="shared" si="47"/>
        <v>5.5555555555555358E-3</v>
      </c>
      <c r="H3052" s="50">
        <v>41744</v>
      </c>
      <c r="I3052" s="51" t="s">
        <v>549</v>
      </c>
      <c r="J3052" s="51">
        <v>320</v>
      </c>
      <c r="K3052" s="51">
        <f>VLOOKUP(J3052,'Validacion reclamo de equipaje'!L:M,2,0)</f>
        <v>179</v>
      </c>
      <c r="L3052" s="51" t="str">
        <f>VLOOKUP(I3052,'Validacion reclamo de equipaje'!H:I,2,0)</f>
        <v>Nacional</v>
      </c>
      <c r="M3052" s="51" t="s">
        <v>523</v>
      </c>
    </row>
    <row r="3053" spans="1:13" x14ac:dyDescent="0.25">
      <c r="A3053">
        <v>430</v>
      </c>
      <c r="B3053" s="47" t="str">
        <f>VLOOKUP(Tabla6[[#This Row],['# Vuelo]],'Validacion reclamo de equipaje'!P:Q,2,0)</f>
        <v>BARATA Y MORADA</v>
      </c>
      <c r="C3053" s="52">
        <v>0.75277777777777777</v>
      </c>
      <c r="D3053" s="52">
        <v>0.7597222222222223</v>
      </c>
      <c r="E3053" s="53">
        <f>'Reclamo de equipaje rediseñado'!$D3053-'Reclamo de equipaje rediseñado'!$C3053</f>
        <v>6.9444444444445308E-3</v>
      </c>
      <c r="F3053" s="52">
        <v>0.76874999999999993</v>
      </c>
      <c r="G3053" s="53">
        <f t="shared" si="47"/>
        <v>9.0277777777776347E-3</v>
      </c>
      <c r="H3053" s="54">
        <v>41745</v>
      </c>
      <c r="I3053" s="55" t="s">
        <v>549</v>
      </c>
      <c r="J3053" s="55">
        <v>320</v>
      </c>
      <c r="K3053" s="55">
        <f>VLOOKUP(J3053,'Validacion reclamo de equipaje'!L:M,2,0)</f>
        <v>179</v>
      </c>
      <c r="L3053" s="55" t="str">
        <f>VLOOKUP(I3053,'Validacion reclamo de equipaje'!H:I,2,0)</f>
        <v>Nacional</v>
      </c>
      <c r="M3053" s="55" t="s">
        <v>523</v>
      </c>
    </row>
    <row r="3054" spans="1:13" x14ac:dyDescent="0.25">
      <c r="A3054">
        <v>430</v>
      </c>
      <c r="B3054" s="47" t="str">
        <f>VLOOKUP(Tabla6[[#This Row],['# Vuelo]],'Validacion reclamo de equipaje'!P:Q,2,0)</f>
        <v>BARATA Y MORADA</v>
      </c>
      <c r="C3054" s="48">
        <v>0.74652777777777779</v>
      </c>
      <c r="D3054" s="48">
        <v>0.75624999999999998</v>
      </c>
      <c r="E3054" s="49">
        <f>'Reclamo de equipaje rediseñado'!$D3054-'Reclamo de equipaje rediseñado'!$C3054</f>
        <v>9.7222222222221877E-3</v>
      </c>
      <c r="F3054" s="48">
        <v>0.76736111111111116</v>
      </c>
      <c r="G3054" s="49">
        <f t="shared" si="47"/>
        <v>1.1111111111111183E-2</v>
      </c>
      <c r="H3054" s="50">
        <v>41746</v>
      </c>
      <c r="I3054" s="51" t="s">
        <v>549</v>
      </c>
      <c r="J3054" s="51">
        <v>320</v>
      </c>
      <c r="K3054" s="51">
        <f>VLOOKUP(J3054,'Validacion reclamo de equipaje'!L:M,2,0)</f>
        <v>179</v>
      </c>
      <c r="L3054" s="51" t="str">
        <f>VLOOKUP(I3054,'Validacion reclamo de equipaje'!H:I,2,0)</f>
        <v>Nacional</v>
      </c>
      <c r="M3054" s="51" t="s">
        <v>523</v>
      </c>
    </row>
    <row r="3055" spans="1:13" x14ac:dyDescent="0.25">
      <c r="A3055">
        <v>430</v>
      </c>
      <c r="B3055" s="47" t="str">
        <f>VLOOKUP(Tabla6[[#This Row],['# Vuelo]],'Validacion reclamo de equipaje'!P:Q,2,0)</f>
        <v>BARATA Y MORADA</v>
      </c>
      <c r="C3055" s="52">
        <v>0.26041666666666669</v>
      </c>
      <c r="D3055" s="52">
        <v>0.26944444444444443</v>
      </c>
      <c r="E3055" s="53">
        <f>'Reclamo de equipaje rediseñado'!$D3055-'Reclamo de equipaje rediseñado'!$C3055</f>
        <v>9.0277777777777457E-3</v>
      </c>
      <c r="F3055" s="52">
        <v>0.27638888888888885</v>
      </c>
      <c r="G3055" s="53">
        <f t="shared" si="47"/>
        <v>6.9444444444444198E-3</v>
      </c>
      <c r="H3055" s="54">
        <v>41747</v>
      </c>
      <c r="I3055" s="55" t="s">
        <v>549</v>
      </c>
      <c r="J3055" s="55">
        <v>320</v>
      </c>
      <c r="K3055" s="55">
        <f>VLOOKUP(J3055,'Validacion reclamo de equipaje'!L:M,2,0)</f>
        <v>179</v>
      </c>
      <c r="L3055" s="55" t="str">
        <f>VLOOKUP(I3055,'Validacion reclamo de equipaje'!H:I,2,0)</f>
        <v>Nacional</v>
      </c>
      <c r="M3055" s="55" t="s">
        <v>523</v>
      </c>
    </row>
    <row r="3056" spans="1:13" x14ac:dyDescent="0.25">
      <c r="A3056">
        <v>430</v>
      </c>
      <c r="B3056" s="47" t="str">
        <f>VLOOKUP(Tabla6[[#This Row],['# Vuelo]],'Validacion reclamo de equipaje'!P:Q,2,0)</f>
        <v>BARATA Y MORADA</v>
      </c>
      <c r="C3056" s="48">
        <v>0.75416666666666676</v>
      </c>
      <c r="D3056" s="48">
        <v>0.7631944444444444</v>
      </c>
      <c r="E3056" s="49">
        <f>'Reclamo de equipaje rediseñado'!$D3056-'Reclamo de equipaje rediseñado'!$C3056</f>
        <v>9.0277777777776347E-3</v>
      </c>
      <c r="F3056" s="48">
        <v>0.77569444444444446</v>
      </c>
      <c r="G3056" s="49">
        <f t="shared" si="47"/>
        <v>1.2500000000000067E-2</v>
      </c>
      <c r="H3056" s="50">
        <v>41748</v>
      </c>
      <c r="I3056" s="51" t="s">
        <v>549</v>
      </c>
      <c r="J3056" s="51">
        <v>320</v>
      </c>
      <c r="K3056" s="51">
        <f>VLOOKUP(J3056,'Validacion reclamo de equipaje'!L:M,2,0)</f>
        <v>179</v>
      </c>
      <c r="L3056" s="51" t="str">
        <f>VLOOKUP(I3056,'Validacion reclamo de equipaje'!H:I,2,0)</f>
        <v>Nacional</v>
      </c>
      <c r="M3056" s="51" t="s">
        <v>523</v>
      </c>
    </row>
    <row r="3057" spans="1:13" x14ac:dyDescent="0.25">
      <c r="A3057">
        <v>430</v>
      </c>
      <c r="B3057" s="47" t="str">
        <f>VLOOKUP(Tabla6[[#This Row],['# Vuelo]],'Validacion reclamo de equipaje'!P:Q,2,0)</f>
        <v>BARATA Y MORADA</v>
      </c>
      <c r="C3057" s="52">
        <v>0.75694444444444453</v>
      </c>
      <c r="D3057" s="52">
        <v>0.76041666666666663</v>
      </c>
      <c r="E3057" s="53">
        <f>'Reclamo de equipaje rediseñado'!$D3057-'Reclamo de equipaje rediseñado'!$C3057</f>
        <v>3.4722222222220989E-3</v>
      </c>
      <c r="F3057" s="52">
        <v>0.76597222222222217</v>
      </c>
      <c r="G3057" s="53">
        <f t="shared" si="47"/>
        <v>5.5555555555555358E-3</v>
      </c>
      <c r="H3057" s="54">
        <v>41749</v>
      </c>
      <c r="I3057" s="55" t="s">
        <v>549</v>
      </c>
      <c r="J3057" s="55">
        <v>320</v>
      </c>
      <c r="K3057" s="55">
        <f>VLOOKUP(J3057,'Validacion reclamo de equipaje'!L:M,2,0)</f>
        <v>179</v>
      </c>
      <c r="L3057" s="55" t="str">
        <f>VLOOKUP(I3057,'Validacion reclamo de equipaje'!H:I,2,0)</f>
        <v>Nacional</v>
      </c>
      <c r="M3057" s="55" t="s">
        <v>523</v>
      </c>
    </row>
    <row r="3058" spans="1:13" x14ac:dyDescent="0.25">
      <c r="A3058">
        <v>430</v>
      </c>
      <c r="B3058" s="47" t="str">
        <f>VLOOKUP(Tabla6[[#This Row],['# Vuelo]],'Validacion reclamo de equipaje'!P:Q,2,0)</f>
        <v>BARATA Y MORADA</v>
      </c>
      <c r="C3058" s="48">
        <v>0.75</v>
      </c>
      <c r="D3058" s="48">
        <v>0.76388888888888884</v>
      </c>
      <c r="E3058" s="49">
        <f>'Reclamo de equipaje rediseñado'!$D3058-'Reclamo de equipaje rediseñado'!$C3058</f>
        <v>1.388888888888884E-2</v>
      </c>
      <c r="F3058" s="48">
        <v>0.77430555555555547</v>
      </c>
      <c r="G3058" s="49">
        <f t="shared" si="47"/>
        <v>1.041666666666663E-2</v>
      </c>
      <c r="H3058" s="50">
        <v>41750</v>
      </c>
      <c r="I3058" s="51" t="s">
        <v>549</v>
      </c>
      <c r="J3058" s="51">
        <v>320</v>
      </c>
      <c r="K3058" s="51">
        <f>VLOOKUP(J3058,'Validacion reclamo de equipaje'!L:M,2,0)</f>
        <v>179</v>
      </c>
      <c r="L3058" s="51" t="str">
        <f>VLOOKUP(I3058,'Validacion reclamo de equipaje'!H:I,2,0)</f>
        <v>Nacional</v>
      </c>
      <c r="M3058" s="51" t="s">
        <v>523</v>
      </c>
    </row>
    <row r="3059" spans="1:13" x14ac:dyDescent="0.25">
      <c r="A3059">
        <v>430</v>
      </c>
      <c r="B3059" s="47" t="str">
        <f>VLOOKUP(Tabla6[[#This Row],['# Vuelo]],'Validacion reclamo de equipaje'!P:Q,2,0)</f>
        <v>BARATA Y MORADA</v>
      </c>
      <c r="C3059" s="52">
        <v>0.75</v>
      </c>
      <c r="D3059" s="52">
        <v>0.76180555555555562</v>
      </c>
      <c r="E3059" s="53">
        <f>'Reclamo de equipaje rediseñado'!$D3059-'Reclamo de equipaje rediseñado'!$C3059</f>
        <v>1.1805555555555625E-2</v>
      </c>
      <c r="F3059" s="52">
        <v>0.77013888888888893</v>
      </c>
      <c r="G3059" s="53">
        <f t="shared" si="47"/>
        <v>8.3333333333333037E-3</v>
      </c>
      <c r="H3059" s="54">
        <v>41754</v>
      </c>
      <c r="I3059" s="55" t="s">
        <v>549</v>
      </c>
      <c r="J3059" s="55">
        <v>320</v>
      </c>
      <c r="K3059" s="55">
        <f>VLOOKUP(J3059,'Validacion reclamo de equipaje'!L:M,2,0)</f>
        <v>179</v>
      </c>
      <c r="L3059" s="55" t="str">
        <f>VLOOKUP(I3059,'Validacion reclamo de equipaje'!H:I,2,0)</f>
        <v>Nacional</v>
      </c>
      <c r="M3059" s="55" t="s">
        <v>523</v>
      </c>
    </row>
    <row r="3060" spans="1:13" x14ac:dyDescent="0.25">
      <c r="A3060">
        <v>430</v>
      </c>
      <c r="B3060" s="47" t="str">
        <f>VLOOKUP(Tabla6[[#This Row],['# Vuelo]],'Validacion reclamo de equipaje'!P:Q,2,0)</f>
        <v>BARATA Y MORADA</v>
      </c>
      <c r="C3060" s="48">
        <v>0.75694444444444453</v>
      </c>
      <c r="D3060" s="48">
        <v>0.76250000000000007</v>
      </c>
      <c r="E3060" s="49">
        <f>'Reclamo de equipaje rediseñado'!$D3060-'Reclamo de equipaje rediseñado'!$C3060</f>
        <v>5.5555555555555358E-3</v>
      </c>
      <c r="F3060" s="48">
        <v>0.77708333333333324</v>
      </c>
      <c r="G3060" s="49">
        <f t="shared" si="47"/>
        <v>1.4583333333333171E-2</v>
      </c>
      <c r="H3060" s="50">
        <v>41756</v>
      </c>
      <c r="I3060" s="51" t="s">
        <v>549</v>
      </c>
      <c r="J3060" s="51">
        <v>320</v>
      </c>
      <c r="K3060" s="51">
        <f>VLOOKUP(J3060,'Validacion reclamo de equipaje'!L:M,2,0)</f>
        <v>179</v>
      </c>
      <c r="L3060" s="51" t="str">
        <f>VLOOKUP(I3060,'Validacion reclamo de equipaje'!H:I,2,0)</f>
        <v>Nacional</v>
      </c>
      <c r="M3060" s="51" t="s">
        <v>523</v>
      </c>
    </row>
    <row r="3061" spans="1:13" x14ac:dyDescent="0.25">
      <c r="A3061">
        <v>430</v>
      </c>
      <c r="B3061" s="47" t="str">
        <f>VLOOKUP(Tabla6[[#This Row],['# Vuelo]],'Validacion reclamo de equipaje'!P:Q,2,0)</f>
        <v>BARATA Y MORADA</v>
      </c>
      <c r="C3061" s="52">
        <v>0.76527777777777783</v>
      </c>
      <c r="D3061" s="52">
        <v>0.77361111111111114</v>
      </c>
      <c r="E3061" s="53">
        <f>'Reclamo de equipaje rediseñado'!$D3061-'Reclamo de equipaje rediseñado'!$C3061</f>
        <v>8.3333333333333037E-3</v>
      </c>
      <c r="F3061" s="52">
        <v>0.78194444444444444</v>
      </c>
      <c r="G3061" s="53">
        <f t="shared" si="47"/>
        <v>8.3333333333333037E-3</v>
      </c>
      <c r="H3061" s="54">
        <v>41757</v>
      </c>
      <c r="I3061" s="55" t="s">
        <v>549</v>
      </c>
      <c r="J3061" s="55">
        <v>320</v>
      </c>
      <c r="K3061" s="55">
        <f>VLOOKUP(J3061,'Validacion reclamo de equipaje'!L:M,2,0)</f>
        <v>179</v>
      </c>
      <c r="L3061" s="55" t="str">
        <f>VLOOKUP(I3061,'Validacion reclamo de equipaje'!H:I,2,0)</f>
        <v>Nacional</v>
      </c>
      <c r="M3061" s="55" t="s">
        <v>523</v>
      </c>
    </row>
    <row r="3062" spans="1:13" x14ac:dyDescent="0.25">
      <c r="A3062">
        <v>430</v>
      </c>
      <c r="B3062" s="47" t="str">
        <f>VLOOKUP(Tabla6[[#This Row],['# Vuelo]],'Validacion reclamo de equipaje'!P:Q,2,0)</f>
        <v>BARATA Y MORADA</v>
      </c>
      <c r="C3062" s="48">
        <v>0.75069444444444444</v>
      </c>
      <c r="D3062" s="48">
        <v>0.7597222222222223</v>
      </c>
      <c r="E3062" s="49">
        <f>'Reclamo de equipaje rediseñado'!$D3062-'Reclamo de equipaje rediseñado'!$C3062</f>
        <v>9.0277777777778567E-3</v>
      </c>
      <c r="F3062" s="48">
        <v>0.76944444444444438</v>
      </c>
      <c r="G3062" s="49">
        <f t="shared" si="47"/>
        <v>9.7222222222220767E-3</v>
      </c>
      <c r="H3062" s="50">
        <v>41758</v>
      </c>
      <c r="I3062" s="51" t="s">
        <v>549</v>
      </c>
      <c r="J3062" s="51">
        <v>320</v>
      </c>
      <c r="K3062" s="51">
        <f>VLOOKUP(J3062,'Validacion reclamo de equipaje'!L:M,2,0)</f>
        <v>179</v>
      </c>
      <c r="L3062" s="51" t="str">
        <f>VLOOKUP(I3062,'Validacion reclamo de equipaje'!H:I,2,0)</f>
        <v>Nacional</v>
      </c>
      <c r="M3062" s="51" t="s">
        <v>523</v>
      </c>
    </row>
    <row r="3063" spans="1:13" x14ac:dyDescent="0.25">
      <c r="A3063">
        <v>430</v>
      </c>
      <c r="B3063" s="47" t="str">
        <f>VLOOKUP(Tabla6[[#This Row],['# Vuelo]],'Validacion reclamo de equipaje'!P:Q,2,0)</f>
        <v>BARATA Y MORADA</v>
      </c>
      <c r="C3063" s="52">
        <v>0.76666666666666661</v>
      </c>
      <c r="D3063" s="52">
        <v>0.77500000000000002</v>
      </c>
      <c r="E3063" s="53">
        <f>'Reclamo de equipaje rediseñado'!$D3063-'Reclamo de equipaje rediseñado'!$C3063</f>
        <v>8.3333333333334147E-3</v>
      </c>
      <c r="F3063" s="52">
        <v>0.78402777777777777</v>
      </c>
      <c r="G3063" s="53">
        <f t="shared" si="47"/>
        <v>9.0277777777777457E-3</v>
      </c>
      <c r="H3063" s="54">
        <v>41759</v>
      </c>
      <c r="I3063" s="55" t="s">
        <v>549</v>
      </c>
      <c r="J3063" s="55">
        <v>320</v>
      </c>
      <c r="K3063" s="55">
        <f>VLOOKUP(J3063,'Validacion reclamo de equipaje'!L:M,2,0)</f>
        <v>179</v>
      </c>
      <c r="L3063" s="55" t="str">
        <f>VLOOKUP(I3063,'Validacion reclamo de equipaje'!H:I,2,0)</f>
        <v>Nacional</v>
      </c>
      <c r="M3063" s="55" t="s">
        <v>523</v>
      </c>
    </row>
    <row r="3064" spans="1:13" x14ac:dyDescent="0.25">
      <c r="A3064">
        <v>432</v>
      </c>
      <c r="B3064" s="47" t="str">
        <f>VLOOKUP(Tabla6[[#This Row],['# Vuelo]],'Validacion reclamo de equipaje'!P:Q,2,0)</f>
        <v>BARATA Y MORADA</v>
      </c>
      <c r="C3064" s="48">
        <v>0.86944444444444446</v>
      </c>
      <c r="D3064" s="48">
        <v>0.87569444444444444</v>
      </c>
      <c r="E3064" s="49">
        <f>'Reclamo de equipaje rediseñado'!$D3064-'Reclamo de equipaje rediseñado'!$C3064</f>
        <v>6.2499999999999778E-3</v>
      </c>
      <c r="F3064" s="48">
        <v>0.89722222222222225</v>
      </c>
      <c r="G3064" s="49">
        <f t="shared" si="47"/>
        <v>2.1527777777777812E-2</v>
      </c>
      <c r="H3064" s="50">
        <v>41732</v>
      </c>
      <c r="I3064" s="51" t="s">
        <v>549</v>
      </c>
      <c r="J3064" s="51">
        <v>320</v>
      </c>
      <c r="K3064" s="51">
        <f>VLOOKUP(J3064,'Validacion reclamo de equipaje'!L:M,2,0)</f>
        <v>179</v>
      </c>
      <c r="L3064" s="51" t="str">
        <f>VLOOKUP(I3064,'Validacion reclamo de equipaje'!H:I,2,0)</f>
        <v>Nacional</v>
      </c>
      <c r="M3064" s="51" t="s">
        <v>523</v>
      </c>
    </row>
    <row r="3065" spans="1:13" x14ac:dyDescent="0.25">
      <c r="A3065">
        <v>432</v>
      </c>
      <c r="B3065" s="47" t="str">
        <f>VLOOKUP(Tabla6[[#This Row],['# Vuelo]],'Validacion reclamo de equipaje'!P:Q,2,0)</f>
        <v>BARATA Y MORADA</v>
      </c>
      <c r="C3065" s="52">
        <v>0.875</v>
      </c>
      <c r="D3065" s="52">
        <v>0.88541666666666663</v>
      </c>
      <c r="E3065" s="53">
        <f>'Reclamo de equipaje rediseñado'!$D3065-'Reclamo de equipaje rediseñado'!$C3065</f>
        <v>1.041666666666663E-2</v>
      </c>
      <c r="F3065" s="52">
        <v>0.89374999999999993</v>
      </c>
      <c r="G3065" s="53">
        <f t="shared" si="47"/>
        <v>8.3333333333333037E-3</v>
      </c>
      <c r="H3065" s="54">
        <v>41734</v>
      </c>
      <c r="I3065" s="55" t="s">
        <v>549</v>
      </c>
      <c r="J3065" s="55">
        <v>320</v>
      </c>
      <c r="K3065" s="55">
        <f>VLOOKUP(J3065,'Validacion reclamo de equipaje'!L:M,2,0)</f>
        <v>179</v>
      </c>
      <c r="L3065" s="55" t="str">
        <f>VLOOKUP(I3065,'Validacion reclamo de equipaje'!H:I,2,0)</f>
        <v>Nacional</v>
      </c>
      <c r="M3065" s="55" t="s">
        <v>523</v>
      </c>
    </row>
    <row r="3066" spans="1:13" x14ac:dyDescent="0.25">
      <c r="A3066">
        <v>432</v>
      </c>
      <c r="B3066" s="47" t="str">
        <f>VLOOKUP(Tabla6[[#This Row],['# Vuelo]],'Validacion reclamo de equipaje'!P:Q,2,0)</f>
        <v>BARATA Y MORADA</v>
      </c>
      <c r="C3066" s="48">
        <v>0.37708333333333338</v>
      </c>
      <c r="D3066" s="48">
        <v>0.37847222222222227</v>
      </c>
      <c r="E3066" s="49">
        <f>'Reclamo de equipaje rediseñado'!$D3066-'Reclamo de equipaje rediseñado'!$C3066</f>
        <v>1.388888888888884E-3</v>
      </c>
      <c r="F3066" s="48">
        <v>0.38194444444444442</v>
      </c>
      <c r="G3066" s="49">
        <f t="shared" si="47"/>
        <v>3.4722222222221544E-3</v>
      </c>
      <c r="H3066" s="50">
        <v>41735</v>
      </c>
      <c r="I3066" s="51" t="s">
        <v>549</v>
      </c>
      <c r="J3066" s="51">
        <v>320</v>
      </c>
      <c r="K3066" s="51">
        <f>VLOOKUP(J3066,'Validacion reclamo de equipaje'!L:M,2,0)</f>
        <v>179</v>
      </c>
      <c r="L3066" s="51" t="str">
        <f>VLOOKUP(I3066,'Validacion reclamo de equipaje'!H:I,2,0)</f>
        <v>Nacional</v>
      </c>
      <c r="M3066" s="51" t="s">
        <v>523</v>
      </c>
    </row>
    <row r="3067" spans="1:13" x14ac:dyDescent="0.25">
      <c r="A3067">
        <v>432</v>
      </c>
      <c r="B3067" s="47" t="str">
        <f>VLOOKUP(Tabla6[[#This Row],['# Vuelo]],'Validacion reclamo de equipaje'!P:Q,2,0)</f>
        <v>BARATA Y MORADA</v>
      </c>
      <c r="C3067" s="52">
        <v>0.87569444444444444</v>
      </c>
      <c r="D3067" s="52">
        <v>0.88194444444444453</v>
      </c>
      <c r="E3067" s="53">
        <f>'Reclamo de equipaje rediseñado'!$D3067-'Reclamo de equipaje rediseñado'!$C3067</f>
        <v>6.2500000000000888E-3</v>
      </c>
      <c r="F3067" s="52">
        <v>0.89027777777777783</v>
      </c>
      <c r="G3067" s="53">
        <f t="shared" si="47"/>
        <v>8.3333333333333037E-3</v>
      </c>
      <c r="H3067" s="54">
        <v>41736</v>
      </c>
      <c r="I3067" s="55" t="s">
        <v>549</v>
      </c>
      <c r="J3067" s="55">
        <v>320</v>
      </c>
      <c r="K3067" s="55">
        <f>VLOOKUP(J3067,'Validacion reclamo de equipaje'!L:M,2,0)</f>
        <v>179</v>
      </c>
      <c r="L3067" s="55" t="str">
        <f>VLOOKUP(I3067,'Validacion reclamo de equipaje'!H:I,2,0)</f>
        <v>Nacional</v>
      </c>
      <c r="M3067" s="55" t="s">
        <v>523</v>
      </c>
    </row>
    <row r="3068" spans="1:13" x14ac:dyDescent="0.25">
      <c r="A3068">
        <v>432</v>
      </c>
      <c r="B3068" s="47" t="str">
        <f>VLOOKUP(Tabla6[[#This Row],['# Vuelo]],'Validacion reclamo de equipaje'!P:Q,2,0)</f>
        <v>BARATA Y MORADA</v>
      </c>
      <c r="C3068" s="48">
        <v>0.86944444444444446</v>
      </c>
      <c r="D3068" s="48">
        <v>0.875</v>
      </c>
      <c r="E3068" s="49">
        <f>'Reclamo de equipaje rediseñado'!$D3068-'Reclamo de equipaje rediseñado'!$C3068</f>
        <v>5.5555555555555358E-3</v>
      </c>
      <c r="F3068" s="48">
        <v>0.89444444444444438</v>
      </c>
      <c r="G3068" s="49">
        <f t="shared" si="47"/>
        <v>1.9444444444444375E-2</v>
      </c>
      <c r="H3068" s="50">
        <v>41739</v>
      </c>
      <c r="I3068" s="51" t="s">
        <v>549</v>
      </c>
      <c r="J3068" s="51">
        <v>320</v>
      </c>
      <c r="K3068" s="51">
        <f>VLOOKUP(J3068,'Validacion reclamo de equipaje'!L:M,2,0)</f>
        <v>179</v>
      </c>
      <c r="L3068" s="51" t="str">
        <f>VLOOKUP(I3068,'Validacion reclamo de equipaje'!H:I,2,0)</f>
        <v>Nacional</v>
      </c>
      <c r="M3068" s="51" t="s">
        <v>523</v>
      </c>
    </row>
    <row r="3069" spans="1:13" x14ac:dyDescent="0.25">
      <c r="A3069">
        <v>432</v>
      </c>
      <c r="B3069" s="47" t="str">
        <f>VLOOKUP(Tabla6[[#This Row],['# Vuelo]],'Validacion reclamo de equipaje'!P:Q,2,0)</f>
        <v>BARATA Y MORADA</v>
      </c>
      <c r="C3069" s="52">
        <v>0.86597222222222225</v>
      </c>
      <c r="D3069" s="52">
        <v>0.86736111111111114</v>
      </c>
      <c r="E3069" s="53">
        <f>'Reclamo de equipaje rediseñado'!$D3069-'Reclamo de equipaje rediseñado'!$C3069</f>
        <v>1.388888888888884E-3</v>
      </c>
      <c r="F3069" s="52">
        <v>0.88263888888888886</v>
      </c>
      <c r="G3069" s="53">
        <f t="shared" si="47"/>
        <v>1.5277777777777724E-2</v>
      </c>
      <c r="H3069" s="54">
        <v>41740</v>
      </c>
      <c r="I3069" s="55" t="s">
        <v>549</v>
      </c>
      <c r="J3069" s="55">
        <v>320</v>
      </c>
      <c r="K3069" s="55">
        <f>VLOOKUP(J3069,'Validacion reclamo de equipaje'!L:M,2,0)</f>
        <v>179</v>
      </c>
      <c r="L3069" s="55" t="str">
        <f>VLOOKUP(I3069,'Validacion reclamo de equipaje'!H:I,2,0)</f>
        <v>Nacional</v>
      </c>
      <c r="M3069" s="55" t="s">
        <v>523</v>
      </c>
    </row>
    <row r="3070" spans="1:13" x14ac:dyDescent="0.25">
      <c r="A3070">
        <v>432</v>
      </c>
      <c r="B3070" s="47" t="str">
        <f>VLOOKUP(Tabla6[[#This Row],['# Vuelo]],'Validacion reclamo de equipaje'!P:Q,2,0)</f>
        <v>BARATA Y MORADA</v>
      </c>
      <c r="C3070" s="48">
        <v>0.87847222222222221</v>
      </c>
      <c r="D3070" s="48">
        <v>0.88541666666666663</v>
      </c>
      <c r="E3070" s="49">
        <f>'Reclamo de equipaje rediseñado'!$D3070-'Reclamo de equipaje rediseñado'!$C3070</f>
        <v>6.9444444444444198E-3</v>
      </c>
      <c r="F3070" s="48">
        <v>0.89583333333333337</v>
      </c>
      <c r="G3070" s="49">
        <f t="shared" si="47"/>
        <v>1.0416666666666741E-2</v>
      </c>
      <c r="H3070" s="50">
        <v>41741</v>
      </c>
      <c r="I3070" s="51" t="s">
        <v>549</v>
      </c>
      <c r="J3070" s="51">
        <v>320</v>
      </c>
      <c r="K3070" s="51">
        <f>VLOOKUP(J3070,'Validacion reclamo de equipaje'!L:M,2,0)</f>
        <v>179</v>
      </c>
      <c r="L3070" s="51" t="str">
        <f>VLOOKUP(I3070,'Validacion reclamo de equipaje'!H:I,2,0)</f>
        <v>Nacional</v>
      </c>
      <c r="M3070" s="51" t="s">
        <v>523</v>
      </c>
    </row>
    <row r="3071" spans="1:13" x14ac:dyDescent="0.25">
      <c r="A3071">
        <v>432</v>
      </c>
      <c r="B3071" s="47" t="str">
        <f>VLOOKUP(Tabla6[[#This Row],['# Vuelo]],'Validacion reclamo de equipaje'!P:Q,2,0)</f>
        <v>BARATA Y MORADA</v>
      </c>
      <c r="C3071" s="52">
        <v>0.86597222222222225</v>
      </c>
      <c r="D3071" s="52">
        <v>0.87569444444444444</v>
      </c>
      <c r="E3071" s="53">
        <f>'Reclamo de equipaje rediseñado'!$D3071-'Reclamo de equipaje rediseñado'!$C3071</f>
        <v>9.7222222222221877E-3</v>
      </c>
      <c r="F3071" s="52">
        <v>0.87916666666666676</v>
      </c>
      <c r="G3071" s="53">
        <f t="shared" si="47"/>
        <v>3.4722222222223209E-3</v>
      </c>
      <c r="H3071" s="54">
        <v>41743</v>
      </c>
      <c r="I3071" s="55" t="s">
        <v>549</v>
      </c>
      <c r="J3071" s="55">
        <v>320</v>
      </c>
      <c r="K3071" s="55">
        <f>VLOOKUP(J3071,'Validacion reclamo de equipaje'!L:M,2,0)</f>
        <v>179</v>
      </c>
      <c r="L3071" s="55" t="str">
        <f>VLOOKUP(I3071,'Validacion reclamo de equipaje'!H:I,2,0)</f>
        <v>Nacional</v>
      </c>
      <c r="M3071" s="55" t="s">
        <v>523</v>
      </c>
    </row>
    <row r="3072" spans="1:13" x14ac:dyDescent="0.25">
      <c r="A3072">
        <v>432</v>
      </c>
      <c r="B3072" s="47" t="str">
        <f>VLOOKUP(Tabla6[[#This Row],['# Vuelo]],'Validacion reclamo de equipaje'!P:Q,2,0)</f>
        <v>BARATA Y MORADA</v>
      </c>
      <c r="C3072" s="48">
        <v>0.87430555555555556</v>
      </c>
      <c r="D3072" s="48">
        <v>0.87986111111111109</v>
      </c>
      <c r="E3072" s="49">
        <f>'Reclamo de equipaje rediseñado'!$D3072-'Reclamo de equipaje rediseñado'!$C3072</f>
        <v>5.5555555555555358E-3</v>
      </c>
      <c r="F3072" s="48">
        <v>0.8881944444444444</v>
      </c>
      <c r="G3072" s="49">
        <f t="shared" si="47"/>
        <v>8.3333333333333037E-3</v>
      </c>
      <c r="H3072" s="50">
        <v>41744</v>
      </c>
      <c r="I3072" s="51" t="s">
        <v>549</v>
      </c>
      <c r="J3072" s="51">
        <v>320</v>
      </c>
      <c r="K3072" s="51">
        <f>VLOOKUP(J3072,'Validacion reclamo de equipaje'!L:M,2,0)</f>
        <v>179</v>
      </c>
      <c r="L3072" s="51" t="str">
        <f>VLOOKUP(I3072,'Validacion reclamo de equipaje'!H:I,2,0)</f>
        <v>Nacional</v>
      </c>
      <c r="M3072" s="51" t="s">
        <v>523</v>
      </c>
    </row>
    <row r="3073" spans="1:13" x14ac:dyDescent="0.25">
      <c r="A3073">
        <v>432</v>
      </c>
      <c r="B3073" s="47" t="str">
        <f>VLOOKUP(Tabla6[[#This Row],['# Vuelo]],'Validacion reclamo de equipaje'!P:Q,2,0)</f>
        <v>BARATA Y MORADA</v>
      </c>
      <c r="C3073" s="52">
        <v>0.90138888888888891</v>
      </c>
      <c r="D3073" s="52">
        <v>0.91041666666666676</v>
      </c>
      <c r="E3073" s="53">
        <f>'Reclamo de equipaje rediseñado'!$D3073-'Reclamo de equipaje rediseñado'!$C3073</f>
        <v>9.0277777777778567E-3</v>
      </c>
      <c r="F3073" s="52">
        <v>0.92708333333333337</v>
      </c>
      <c r="G3073" s="53">
        <f t="shared" si="47"/>
        <v>1.6666666666666607E-2</v>
      </c>
      <c r="H3073" s="54">
        <v>41749</v>
      </c>
      <c r="I3073" s="55" t="s">
        <v>549</v>
      </c>
      <c r="J3073" s="55">
        <v>320</v>
      </c>
      <c r="K3073" s="55">
        <f>VLOOKUP(J3073,'Validacion reclamo de equipaje'!L:M,2,0)</f>
        <v>179</v>
      </c>
      <c r="L3073" s="55" t="str">
        <f>VLOOKUP(I3073,'Validacion reclamo de equipaje'!H:I,2,0)</f>
        <v>Nacional</v>
      </c>
      <c r="M3073" s="55" t="s">
        <v>523</v>
      </c>
    </row>
    <row r="3074" spans="1:13" x14ac:dyDescent="0.25">
      <c r="A3074">
        <v>432</v>
      </c>
      <c r="B3074" s="47" t="str">
        <f>VLOOKUP(Tabla6[[#This Row],['# Vuelo]],'Validacion reclamo de equipaje'!P:Q,2,0)</f>
        <v>BARATA Y MORADA</v>
      </c>
      <c r="C3074" s="48">
        <v>0.87222222222222223</v>
      </c>
      <c r="D3074" s="48">
        <v>0.88124999999999998</v>
      </c>
      <c r="E3074" s="49">
        <f>'Reclamo de equipaje rediseñado'!$D3074-'Reclamo de equipaje rediseñado'!$C3074</f>
        <v>9.0277777777777457E-3</v>
      </c>
      <c r="F3074" s="48">
        <v>0.89166666666666661</v>
      </c>
      <c r="G3074" s="49">
        <f t="shared" si="47"/>
        <v>1.041666666666663E-2</v>
      </c>
      <c r="H3074" s="50">
        <v>41749</v>
      </c>
      <c r="I3074" s="51" t="s">
        <v>549</v>
      </c>
      <c r="J3074" s="51">
        <v>320</v>
      </c>
      <c r="K3074" s="51">
        <f>VLOOKUP(J3074,'Validacion reclamo de equipaje'!L:M,2,0)</f>
        <v>179</v>
      </c>
      <c r="L3074" s="51" t="str">
        <f>VLOOKUP(I3074,'Validacion reclamo de equipaje'!H:I,2,0)</f>
        <v>Nacional</v>
      </c>
      <c r="M3074" s="51" t="s">
        <v>523</v>
      </c>
    </row>
    <row r="3075" spans="1:13" x14ac:dyDescent="0.25">
      <c r="A3075">
        <v>432</v>
      </c>
      <c r="B3075" s="47" t="str">
        <f>VLOOKUP(Tabla6[[#This Row],['# Vuelo]],'Validacion reclamo de equipaje'!P:Q,2,0)</f>
        <v>BARATA Y MORADA</v>
      </c>
      <c r="C3075" s="52">
        <v>0.86944444444444446</v>
      </c>
      <c r="D3075" s="52">
        <v>0.88194444444444453</v>
      </c>
      <c r="E3075" s="53">
        <f>'Reclamo de equipaje rediseñado'!$D3075-'Reclamo de equipaje rediseñado'!$C3075</f>
        <v>1.2500000000000067E-2</v>
      </c>
      <c r="F3075" s="52">
        <v>0.89236111111111116</v>
      </c>
      <c r="G3075" s="53">
        <f t="shared" ref="G3075:G3138" si="48">F3075-D3075</f>
        <v>1.041666666666663E-2</v>
      </c>
      <c r="H3075" s="54">
        <v>41751</v>
      </c>
      <c r="I3075" s="55" t="s">
        <v>549</v>
      </c>
      <c r="J3075" s="55">
        <v>320</v>
      </c>
      <c r="K3075" s="55">
        <f>VLOOKUP(J3075,'Validacion reclamo de equipaje'!L:M,2,0)</f>
        <v>179</v>
      </c>
      <c r="L3075" s="55" t="str">
        <f>VLOOKUP(I3075,'Validacion reclamo de equipaje'!H:I,2,0)</f>
        <v>Nacional</v>
      </c>
      <c r="M3075" s="55" t="s">
        <v>523</v>
      </c>
    </row>
    <row r="3076" spans="1:13" x14ac:dyDescent="0.25">
      <c r="A3076">
        <v>432</v>
      </c>
      <c r="B3076" s="47" t="str">
        <f>VLOOKUP(Tabla6[[#This Row],['# Vuelo]],'Validacion reclamo de equipaje'!P:Q,2,0)</f>
        <v>BARATA Y MORADA</v>
      </c>
      <c r="C3076" s="48">
        <v>0.87777777777777777</v>
      </c>
      <c r="D3076" s="48">
        <v>0.88541666666666663</v>
      </c>
      <c r="E3076" s="49">
        <f>'Reclamo de equipaje rediseñado'!$D3076-'Reclamo de equipaje rediseñado'!$C3076</f>
        <v>7.6388888888888618E-3</v>
      </c>
      <c r="F3076" s="48">
        <v>0.89930555555555547</v>
      </c>
      <c r="G3076" s="49">
        <f t="shared" si="48"/>
        <v>1.388888888888884E-2</v>
      </c>
      <c r="H3076" s="50">
        <v>41755</v>
      </c>
      <c r="I3076" s="51" t="s">
        <v>549</v>
      </c>
      <c r="J3076" s="51">
        <v>320</v>
      </c>
      <c r="K3076" s="51">
        <f>VLOOKUP(J3076,'Validacion reclamo de equipaje'!L:M,2,0)</f>
        <v>179</v>
      </c>
      <c r="L3076" s="51" t="str">
        <f>VLOOKUP(I3076,'Validacion reclamo de equipaje'!H:I,2,0)</f>
        <v>Nacional</v>
      </c>
      <c r="M3076" s="51" t="s">
        <v>523</v>
      </c>
    </row>
    <row r="3077" spans="1:13" x14ac:dyDescent="0.25">
      <c r="A3077">
        <v>432</v>
      </c>
      <c r="B3077" s="47" t="str">
        <f>VLOOKUP(Tabla6[[#This Row],['# Vuelo]],'Validacion reclamo de equipaje'!P:Q,2,0)</f>
        <v>BARATA Y MORADA</v>
      </c>
      <c r="C3077" s="52">
        <v>0.89374999999999993</v>
      </c>
      <c r="D3077" s="52">
        <v>0.90347222222222223</v>
      </c>
      <c r="E3077" s="53">
        <f>'Reclamo de equipaje rediseñado'!$D3077-'Reclamo de equipaje rediseñado'!$C3077</f>
        <v>9.7222222222222987E-3</v>
      </c>
      <c r="F3077" s="52">
        <v>0.91805555555555562</v>
      </c>
      <c r="G3077" s="53">
        <f t="shared" si="48"/>
        <v>1.4583333333333393E-2</v>
      </c>
      <c r="H3077" s="54">
        <v>41759</v>
      </c>
      <c r="I3077" s="55" t="s">
        <v>549</v>
      </c>
      <c r="J3077" s="55">
        <v>320</v>
      </c>
      <c r="K3077" s="55">
        <f>VLOOKUP(J3077,'Validacion reclamo de equipaje'!L:M,2,0)</f>
        <v>179</v>
      </c>
      <c r="L3077" s="55" t="str">
        <f>VLOOKUP(I3077,'Validacion reclamo de equipaje'!H:I,2,0)</f>
        <v>Nacional</v>
      </c>
      <c r="M3077" s="55" t="s">
        <v>523</v>
      </c>
    </row>
    <row r="3078" spans="1:13" x14ac:dyDescent="0.25">
      <c r="A3078">
        <v>432</v>
      </c>
      <c r="B3078" s="47" t="str">
        <f>VLOOKUP(Tabla6[[#This Row],['# Vuelo]],'Validacion reclamo de equipaje'!P:Q,2,0)</f>
        <v>BARATA Y MORADA</v>
      </c>
      <c r="C3078" s="48">
        <v>0.87569444444444444</v>
      </c>
      <c r="D3078" s="48">
        <v>0.88541666666666663</v>
      </c>
      <c r="E3078" s="49">
        <f>'Reclamo de equipaje rediseñado'!$D3078-'Reclamo de equipaje rediseñado'!$C3078</f>
        <v>9.7222222222221877E-3</v>
      </c>
      <c r="F3078" s="48">
        <v>0.89236111111111116</v>
      </c>
      <c r="G3078" s="49">
        <f t="shared" si="48"/>
        <v>6.9444444444445308E-3</v>
      </c>
      <c r="H3078" s="50">
        <v>41759</v>
      </c>
      <c r="I3078" s="51" t="s">
        <v>549</v>
      </c>
      <c r="J3078" s="51">
        <v>320</v>
      </c>
      <c r="K3078" s="51">
        <f>VLOOKUP(J3078,'Validacion reclamo de equipaje'!L:M,2,0)</f>
        <v>179</v>
      </c>
      <c r="L3078" s="51" t="str">
        <f>VLOOKUP(I3078,'Validacion reclamo de equipaje'!H:I,2,0)</f>
        <v>Nacional</v>
      </c>
      <c r="M3078" s="51" t="s">
        <v>523</v>
      </c>
    </row>
    <row r="3079" spans="1:13" x14ac:dyDescent="0.25">
      <c r="A3079">
        <v>436</v>
      </c>
      <c r="B3079" s="47" t="str">
        <f>VLOOKUP(Tabla6[[#This Row],['# Vuelo]],'Validacion reclamo de equipaje'!P:Q,2,0)</f>
        <v>BARATA Y MORADA</v>
      </c>
      <c r="C3079" s="52">
        <v>0.9784722222222223</v>
      </c>
      <c r="D3079" s="52">
        <v>0.98263888888888884</v>
      </c>
      <c r="E3079" s="53">
        <f>'Reclamo de equipaje rediseñado'!$D3079-'Reclamo de equipaje rediseñado'!$C3079</f>
        <v>4.1666666666665408E-3</v>
      </c>
      <c r="F3079" s="52">
        <v>0.98819444444444438</v>
      </c>
      <c r="G3079" s="53">
        <f t="shared" si="48"/>
        <v>5.5555555555555358E-3</v>
      </c>
      <c r="H3079" s="54">
        <v>41736</v>
      </c>
      <c r="I3079" s="55" t="s">
        <v>549</v>
      </c>
      <c r="J3079" s="55">
        <v>320</v>
      </c>
      <c r="K3079" s="55">
        <f>VLOOKUP(J3079,'Validacion reclamo de equipaje'!L:M,2,0)</f>
        <v>179</v>
      </c>
      <c r="L3079" s="55" t="str">
        <f>VLOOKUP(I3079,'Validacion reclamo de equipaje'!H:I,2,0)</f>
        <v>Nacional</v>
      </c>
      <c r="M3079" s="55" t="s">
        <v>523</v>
      </c>
    </row>
    <row r="3080" spans="1:13" x14ac:dyDescent="0.25">
      <c r="A3080">
        <v>436</v>
      </c>
      <c r="B3080" s="47" t="str">
        <f>VLOOKUP(Tabla6[[#This Row],['# Vuelo]],'Validacion reclamo de equipaje'!P:Q,2,0)</f>
        <v>BARATA Y MORADA</v>
      </c>
      <c r="C3080" s="48">
        <v>0.99305555555555547</v>
      </c>
      <c r="D3080" s="48">
        <v>0.99652777777777779</v>
      </c>
      <c r="E3080" s="49">
        <f>'Reclamo de equipaje rediseñado'!$D3080-'Reclamo de equipaje rediseñado'!$C3080</f>
        <v>3.4722222222223209E-3</v>
      </c>
      <c r="F3080" s="48">
        <v>1.0048611111111112</v>
      </c>
      <c r="G3080" s="49">
        <f t="shared" si="48"/>
        <v>8.3333333333334147E-3</v>
      </c>
      <c r="H3080" s="50">
        <v>41736</v>
      </c>
      <c r="I3080" s="51" t="s">
        <v>549</v>
      </c>
      <c r="J3080" s="51">
        <v>320</v>
      </c>
      <c r="K3080" s="51">
        <f>VLOOKUP(J3080,'Validacion reclamo de equipaje'!L:M,2,0)</f>
        <v>179</v>
      </c>
      <c r="L3080" s="51" t="str">
        <f>VLOOKUP(I3080,'Validacion reclamo de equipaje'!H:I,2,0)</f>
        <v>Nacional</v>
      </c>
      <c r="M3080" s="51" t="s">
        <v>523</v>
      </c>
    </row>
    <row r="3081" spans="1:13" x14ac:dyDescent="0.25">
      <c r="A3081">
        <v>436</v>
      </c>
      <c r="B3081" s="47" t="str">
        <f>VLOOKUP(Tabla6[[#This Row],['# Vuelo]],'Validacion reclamo de equipaje'!P:Q,2,0)</f>
        <v>BARATA Y MORADA</v>
      </c>
      <c r="C3081" s="52">
        <v>0.98263888888888884</v>
      </c>
      <c r="D3081" s="52">
        <v>0.9902777777777777</v>
      </c>
      <c r="E3081" s="53">
        <f>'Reclamo de equipaje rediseñado'!$D3081-'Reclamo de equipaje rediseñado'!$C3081</f>
        <v>7.6388888888888618E-3</v>
      </c>
      <c r="F3081" s="52">
        <v>1.0034722222222221</v>
      </c>
      <c r="G3081" s="53">
        <f t="shared" si="48"/>
        <v>1.3194444444444398E-2</v>
      </c>
      <c r="H3081" s="54">
        <v>41738</v>
      </c>
      <c r="I3081" s="55" t="s">
        <v>549</v>
      </c>
      <c r="J3081" s="55">
        <v>320</v>
      </c>
      <c r="K3081" s="55">
        <f>VLOOKUP(J3081,'Validacion reclamo de equipaje'!L:M,2,0)</f>
        <v>179</v>
      </c>
      <c r="L3081" s="55" t="str">
        <f>VLOOKUP(I3081,'Validacion reclamo de equipaje'!H:I,2,0)</f>
        <v>Nacional</v>
      </c>
      <c r="M3081" s="55" t="s">
        <v>523</v>
      </c>
    </row>
    <row r="3082" spans="1:13" x14ac:dyDescent="0.25">
      <c r="A3082">
        <v>436</v>
      </c>
      <c r="B3082" s="47" t="str">
        <f>VLOOKUP(Tabla6[[#This Row],['# Vuelo]],'Validacion reclamo de equipaje'!P:Q,2,0)</f>
        <v>BARATA Y MORADA</v>
      </c>
      <c r="C3082" s="48">
        <v>0.99652777777777779</v>
      </c>
      <c r="D3082" s="48">
        <v>1.0034722222222221</v>
      </c>
      <c r="E3082" s="49">
        <f>'Reclamo de equipaje rediseñado'!$D3082-'Reclamo de equipaje rediseñado'!$C3082</f>
        <v>6.9444444444443088E-3</v>
      </c>
      <c r="F3082" s="48">
        <v>1.0166666666666666</v>
      </c>
      <c r="G3082" s="49">
        <f t="shared" si="48"/>
        <v>1.3194444444444509E-2</v>
      </c>
      <c r="H3082" s="50">
        <v>41739</v>
      </c>
      <c r="I3082" s="51" t="s">
        <v>549</v>
      </c>
      <c r="J3082" s="51">
        <v>320</v>
      </c>
      <c r="K3082" s="51">
        <f>VLOOKUP(J3082,'Validacion reclamo de equipaje'!L:M,2,0)</f>
        <v>179</v>
      </c>
      <c r="L3082" s="51" t="str">
        <f>VLOOKUP(I3082,'Validacion reclamo de equipaje'!H:I,2,0)</f>
        <v>Nacional</v>
      </c>
      <c r="M3082" s="51" t="s">
        <v>523</v>
      </c>
    </row>
    <row r="3083" spans="1:13" x14ac:dyDescent="0.25">
      <c r="A3083">
        <v>436</v>
      </c>
      <c r="B3083" s="47" t="str">
        <f>VLOOKUP(Tabla6[[#This Row],['# Vuelo]],'Validacion reclamo de equipaje'!P:Q,2,0)</f>
        <v>BARATA Y MORADA</v>
      </c>
      <c r="C3083" s="52">
        <v>0.98958333333333337</v>
      </c>
      <c r="D3083" s="52">
        <v>0.99513888888888891</v>
      </c>
      <c r="E3083" s="53">
        <f>'Reclamo de equipaje rediseñado'!$D3083-'Reclamo de equipaje rediseñado'!$C3083</f>
        <v>5.5555555555555358E-3</v>
      </c>
      <c r="F3083" s="52">
        <v>1.0034722222222221</v>
      </c>
      <c r="G3083" s="53">
        <f t="shared" si="48"/>
        <v>8.3333333333331927E-3</v>
      </c>
      <c r="H3083" s="54">
        <v>41740</v>
      </c>
      <c r="I3083" s="55" t="s">
        <v>549</v>
      </c>
      <c r="J3083" s="55">
        <v>320</v>
      </c>
      <c r="K3083" s="55">
        <f>VLOOKUP(J3083,'Validacion reclamo de equipaje'!L:M,2,0)</f>
        <v>179</v>
      </c>
      <c r="L3083" s="55" t="str">
        <f>VLOOKUP(I3083,'Validacion reclamo de equipaje'!H:I,2,0)</f>
        <v>Nacional</v>
      </c>
      <c r="M3083" s="55" t="s">
        <v>523</v>
      </c>
    </row>
    <row r="3084" spans="1:13" x14ac:dyDescent="0.25">
      <c r="A3084">
        <v>436</v>
      </c>
      <c r="B3084" s="47" t="str">
        <f>VLOOKUP(Tabla6[[#This Row],['# Vuelo]],'Validacion reclamo de equipaje'!P:Q,2,0)</f>
        <v>BARATA Y MORADA</v>
      </c>
      <c r="C3084" s="48">
        <v>0.97777777777777775</v>
      </c>
      <c r="D3084" s="48">
        <v>0.98819444444444438</v>
      </c>
      <c r="E3084" s="49">
        <f>'Reclamo de equipaje rediseñado'!$D3084-'Reclamo de equipaje rediseñado'!$C3084</f>
        <v>1.041666666666663E-2</v>
      </c>
      <c r="F3084" s="48">
        <v>0.99722222222222223</v>
      </c>
      <c r="G3084" s="49">
        <f t="shared" si="48"/>
        <v>9.0277777777778567E-3</v>
      </c>
      <c r="H3084" s="50">
        <v>41743</v>
      </c>
      <c r="I3084" s="51" t="s">
        <v>549</v>
      </c>
      <c r="J3084" s="51">
        <v>320</v>
      </c>
      <c r="K3084" s="51">
        <f>VLOOKUP(J3084,'Validacion reclamo de equipaje'!L:M,2,0)</f>
        <v>179</v>
      </c>
      <c r="L3084" s="51" t="str">
        <f>VLOOKUP(I3084,'Validacion reclamo de equipaje'!H:I,2,0)</f>
        <v>Nacional</v>
      </c>
      <c r="M3084" s="51" t="s">
        <v>523</v>
      </c>
    </row>
    <row r="3085" spans="1:13" x14ac:dyDescent="0.25">
      <c r="A3085">
        <v>436</v>
      </c>
      <c r="B3085" s="47" t="str">
        <f>VLOOKUP(Tabla6[[#This Row],['# Vuelo]],'Validacion reclamo de equipaje'!P:Q,2,0)</f>
        <v>BARATA Y MORADA</v>
      </c>
      <c r="C3085" s="52">
        <v>0.97083333333333333</v>
      </c>
      <c r="D3085" s="52">
        <v>0.98263888888888884</v>
      </c>
      <c r="E3085" s="53">
        <f>'Reclamo de equipaje rediseñado'!$D3085-'Reclamo de equipaje rediseñado'!$C3085</f>
        <v>1.1805555555555514E-2</v>
      </c>
      <c r="F3085" s="52">
        <v>0.98749999999999993</v>
      </c>
      <c r="G3085" s="53">
        <f t="shared" si="48"/>
        <v>4.8611111111110938E-3</v>
      </c>
      <c r="H3085" s="54">
        <v>41745</v>
      </c>
      <c r="I3085" s="55" t="s">
        <v>549</v>
      </c>
      <c r="J3085" s="55">
        <v>320</v>
      </c>
      <c r="K3085" s="55">
        <f>VLOOKUP(J3085,'Validacion reclamo de equipaje'!L:M,2,0)</f>
        <v>179</v>
      </c>
      <c r="L3085" s="55" t="str">
        <f>VLOOKUP(I3085,'Validacion reclamo de equipaje'!H:I,2,0)</f>
        <v>Nacional</v>
      </c>
      <c r="M3085" s="55" t="s">
        <v>523</v>
      </c>
    </row>
    <row r="3086" spans="1:13" x14ac:dyDescent="0.25">
      <c r="A3086">
        <v>436</v>
      </c>
      <c r="B3086" s="47" t="str">
        <f>VLOOKUP(Tabla6[[#This Row],['# Vuelo]],'Validacion reclamo de equipaje'!P:Q,2,0)</f>
        <v>BARATA Y MORADA</v>
      </c>
      <c r="C3086" s="48">
        <v>0.9784722222222223</v>
      </c>
      <c r="D3086" s="48">
        <v>0.98611111111111116</v>
      </c>
      <c r="E3086" s="49">
        <f>'Reclamo de equipaje rediseñado'!$D3086-'Reclamo de equipaje rediseñado'!$C3086</f>
        <v>7.6388888888888618E-3</v>
      </c>
      <c r="F3086" s="48">
        <v>0.99583333333333324</v>
      </c>
      <c r="G3086" s="49">
        <f t="shared" si="48"/>
        <v>9.7222222222220767E-3</v>
      </c>
      <c r="H3086" s="50">
        <v>41744</v>
      </c>
      <c r="I3086" s="51" t="s">
        <v>549</v>
      </c>
      <c r="J3086" s="51">
        <v>320</v>
      </c>
      <c r="K3086" s="51">
        <f>VLOOKUP(J3086,'Validacion reclamo de equipaje'!L:M,2,0)</f>
        <v>179</v>
      </c>
      <c r="L3086" s="51" t="str">
        <f>VLOOKUP(I3086,'Validacion reclamo de equipaje'!H:I,2,0)</f>
        <v>Nacional</v>
      </c>
      <c r="M3086" s="51" t="s">
        <v>523</v>
      </c>
    </row>
    <row r="3087" spans="1:13" x14ac:dyDescent="0.25">
      <c r="A3087">
        <v>436</v>
      </c>
      <c r="B3087" s="47" t="str">
        <f>VLOOKUP(Tabla6[[#This Row],['# Vuelo]],'Validacion reclamo de equipaje'!P:Q,2,0)</f>
        <v>BARATA Y MORADA</v>
      </c>
      <c r="C3087" s="52">
        <v>0.97777777777777775</v>
      </c>
      <c r="D3087" s="52">
        <v>0.98611111111111116</v>
      </c>
      <c r="E3087" s="53">
        <f>'Reclamo de equipaje rediseñado'!$D3087-'Reclamo de equipaje rediseñado'!$C3087</f>
        <v>8.3333333333334147E-3</v>
      </c>
      <c r="F3087" s="52">
        <v>0.99652777777777779</v>
      </c>
      <c r="G3087" s="53">
        <f t="shared" si="48"/>
        <v>1.041666666666663E-2</v>
      </c>
      <c r="H3087" s="54">
        <v>41746</v>
      </c>
      <c r="I3087" s="55" t="s">
        <v>549</v>
      </c>
      <c r="J3087" s="55">
        <v>320</v>
      </c>
      <c r="K3087" s="55">
        <f>VLOOKUP(J3087,'Validacion reclamo de equipaje'!L:M,2,0)</f>
        <v>179</v>
      </c>
      <c r="L3087" s="55" t="str">
        <f>VLOOKUP(I3087,'Validacion reclamo de equipaje'!H:I,2,0)</f>
        <v>Nacional</v>
      </c>
      <c r="M3087" s="55" t="s">
        <v>523</v>
      </c>
    </row>
    <row r="3088" spans="1:13" x14ac:dyDescent="0.25">
      <c r="A3088">
        <v>436</v>
      </c>
      <c r="B3088" s="47" t="str">
        <f>VLOOKUP(Tabla6[[#This Row],['# Vuelo]],'Validacion reclamo de equipaje'!P:Q,2,0)</f>
        <v>BARATA Y MORADA</v>
      </c>
      <c r="C3088" s="48">
        <v>0.97430555555555554</v>
      </c>
      <c r="D3088" s="48">
        <v>0.98402777777777783</v>
      </c>
      <c r="E3088" s="49">
        <f>'Reclamo de equipaje rediseñado'!$D3088-'Reclamo de equipaje rediseñado'!$C3088</f>
        <v>9.7222222222222987E-3</v>
      </c>
      <c r="F3088" s="48">
        <v>0.99722222222222223</v>
      </c>
      <c r="G3088" s="49">
        <f t="shared" si="48"/>
        <v>1.3194444444444398E-2</v>
      </c>
      <c r="H3088" s="50">
        <v>41749</v>
      </c>
      <c r="I3088" s="51" t="s">
        <v>549</v>
      </c>
      <c r="J3088" s="51">
        <v>320</v>
      </c>
      <c r="K3088" s="51">
        <f>VLOOKUP(J3088,'Validacion reclamo de equipaje'!L:M,2,0)</f>
        <v>179</v>
      </c>
      <c r="L3088" s="51" t="str">
        <f>VLOOKUP(I3088,'Validacion reclamo de equipaje'!H:I,2,0)</f>
        <v>Nacional</v>
      </c>
      <c r="M3088" s="51" t="s">
        <v>523</v>
      </c>
    </row>
    <row r="3089" spans="1:13" x14ac:dyDescent="0.25">
      <c r="A3089">
        <v>436</v>
      </c>
      <c r="B3089" s="47" t="str">
        <f>VLOOKUP(Tabla6[[#This Row],['# Vuelo]],'Validacion reclamo de equipaje'!P:Q,2,0)</f>
        <v>BARATA Y MORADA</v>
      </c>
      <c r="C3089" s="52">
        <v>0.97638888888888886</v>
      </c>
      <c r="D3089" s="52">
        <v>0.9868055555555556</v>
      </c>
      <c r="E3089" s="53">
        <f>'Reclamo de equipaje rediseñado'!$D3089-'Reclamo de equipaje rediseñado'!$C3089</f>
        <v>1.0416666666666741E-2</v>
      </c>
      <c r="F3089" s="52">
        <v>0.99444444444444446</v>
      </c>
      <c r="G3089" s="53">
        <f t="shared" si="48"/>
        <v>7.6388888888888618E-3</v>
      </c>
      <c r="H3089" s="54">
        <v>41749</v>
      </c>
      <c r="I3089" s="55" t="s">
        <v>549</v>
      </c>
      <c r="J3089" s="55">
        <v>320</v>
      </c>
      <c r="K3089" s="55">
        <f>VLOOKUP(J3089,'Validacion reclamo de equipaje'!L:M,2,0)</f>
        <v>179</v>
      </c>
      <c r="L3089" s="55" t="str">
        <f>VLOOKUP(I3089,'Validacion reclamo de equipaje'!H:I,2,0)</f>
        <v>Nacional</v>
      </c>
      <c r="M3089" s="55" t="s">
        <v>523</v>
      </c>
    </row>
    <row r="3090" spans="1:13" x14ac:dyDescent="0.25">
      <c r="A3090">
        <v>436</v>
      </c>
      <c r="B3090" s="47" t="str">
        <f>VLOOKUP(Tabla6[[#This Row],['# Vuelo]],'Validacion reclamo de equipaje'!P:Q,2,0)</f>
        <v>BARATA Y MORADA</v>
      </c>
      <c r="C3090" s="48">
        <v>0.89027777777777783</v>
      </c>
      <c r="D3090" s="48">
        <v>0.89513888888888893</v>
      </c>
      <c r="E3090" s="49">
        <f>'Reclamo de equipaje rediseñado'!$D3090-'Reclamo de equipaje rediseñado'!$C3090</f>
        <v>4.8611111111110938E-3</v>
      </c>
      <c r="F3090" s="48">
        <v>0.90277777777777779</v>
      </c>
      <c r="G3090" s="49">
        <f t="shared" si="48"/>
        <v>7.6388888888888618E-3</v>
      </c>
      <c r="H3090" s="50">
        <v>41751</v>
      </c>
      <c r="I3090" s="51" t="s">
        <v>549</v>
      </c>
      <c r="J3090" s="51">
        <v>320</v>
      </c>
      <c r="K3090" s="51">
        <f>VLOOKUP(J3090,'Validacion reclamo de equipaje'!L:M,2,0)</f>
        <v>179</v>
      </c>
      <c r="L3090" s="51" t="str">
        <f>VLOOKUP(I3090,'Validacion reclamo de equipaje'!H:I,2,0)</f>
        <v>Nacional</v>
      </c>
      <c r="M3090" s="51" t="s">
        <v>523</v>
      </c>
    </row>
    <row r="3091" spans="1:13" x14ac:dyDescent="0.25">
      <c r="A3091">
        <v>436</v>
      </c>
      <c r="B3091" s="47" t="str">
        <f>VLOOKUP(Tabla6[[#This Row],['# Vuelo]],'Validacion reclamo de equipaje'!P:Q,2,0)</f>
        <v>BARATA Y MORADA</v>
      </c>
      <c r="C3091" s="52">
        <v>0.98958333333333337</v>
      </c>
      <c r="D3091" s="52">
        <v>0.99861111111111101</v>
      </c>
      <c r="E3091" s="53">
        <f>'Reclamo de equipaje rediseñado'!$D3091-'Reclamo de equipaje rediseñado'!$C3091</f>
        <v>9.0277777777776347E-3</v>
      </c>
      <c r="F3091" s="52">
        <v>1.0125</v>
      </c>
      <c r="G3091" s="53">
        <f t="shared" si="48"/>
        <v>1.3888888888888951E-2</v>
      </c>
      <c r="H3091" s="54">
        <v>41753</v>
      </c>
      <c r="I3091" s="55" t="s">
        <v>549</v>
      </c>
      <c r="J3091" s="55">
        <v>320</v>
      </c>
      <c r="K3091" s="55">
        <f>VLOOKUP(J3091,'Validacion reclamo de equipaje'!L:M,2,0)</f>
        <v>179</v>
      </c>
      <c r="L3091" s="55" t="str">
        <f>VLOOKUP(I3091,'Validacion reclamo de equipaje'!H:I,2,0)</f>
        <v>Nacional</v>
      </c>
      <c r="M3091" s="55" t="s">
        <v>523</v>
      </c>
    </row>
    <row r="3092" spans="1:13" x14ac:dyDescent="0.25">
      <c r="A3092">
        <v>436</v>
      </c>
      <c r="B3092" s="47" t="str">
        <f>VLOOKUP(Tabla6[[#This Row],['# Vuelo]],'Validacion reclamo de equipaje'!P:Q,2,0)</f>
        <v>BARATA Y MORADA</v>
      </c>
      <c r="C3092" s="48">
        <v>0.9784722222222223</v>
      </c>
      <c r="D3092" s="48">
        <v>0.98888888888888893</v>
      </c>
      <c r="E3092" s="49">
        <f>'Reclamo de equipaje rediseñado'!$D3092-'Reclamo de equipaje rediseñado'!$C3092</f>
        <v>1.041666666666663E-2</v>
      </c>
      <c r="F3092" s="48">
        <v>1.0048611111111112</v>
      </c>
      <c r="G3092" s="49">
        <f t="shared" si="48"/>
        <v>1.5972222222222276E-2</v>
      </c>
      <c r="H3092" s="50">
        <v>41755</v>
      </c>
      <c r="I3092" s="51" t="s">
        <v>549</v>
      </c>
      <c r="J3092" s="51">
        <v>320</v>
      </c>
      <c r="K3092" s="51">
        <f>VLOOKUP(J3092,'Validacion reclamo de equipaje'!L:M,2,0)</f>
        <v>179</v>
      </c>
      <c r="L3092" s="51" t="str">
        <f>VLOOKUP(I3092,'Validacion reclamo de equipaje'!H:I,2,0)</f>
        <v>Nacional</v>
      </c>
      <c r="M3092" s="51" t="s">
        <v>523</v>
      </c>
    </row>
    <row r="3093" spans="1:13" x14ac:dyDescent="0.25">
      <c r="A3093">
        <v>436</v>
      </c>
      <c r="B3093" s="47" t="str">
        <f>VLOOKUP(Tabla6[[#This Row],['# Vuelo]],'Validacion reclamo de equipaje'!P:Q,2,0)</f>
        <v>BARATA Y MORADA</v>
      </c>
      <c r="C3093" s="52">
        <v>0.98541666666666661</v>
      </c>
      <c r="D3093" s="52">
        <v>0.99375000000000002</v>
      </c>
      <c r="E3093" s="53">
        <f>'Reclamo de equipaje rediseñado'!$D3093-'Reclamo de equipaje rediseñado'!$C3093</f>
        <v>8.3333333333334147E-3</v>
      </c>
      <c r="F3093" s="52">
        <v>1.0034722222222221</v>
      </c>
      <c r="G3093" s="53">
        <f t="shared" si="48"/>
        <v>9.7222222222220767E-3</v>
      </c>
      <c r="H3093" s="54">
        <v>41757</v>
      </c>
      <c r="I3093" s="55" t="s">
        <v>549</v>
      </c>
      <c r="J3093" s="55">
        <v>320</v>
      </c>
      <c r="K3093" s="55">
        <f>VLOOKUP(J3093,'Validacion reclamo de equipaje'!L:M,2,0)</f>
        <v>179</v>
      </c>
      <c r="L3093" s="55" t="str">
        <f>VLOOKUP(I3093,'Validacion reclamo de equipaje'!H:I,2,0)</f>
        <v>Nacional</v>
      </c>
      <c r="M3093" s="55" t="s">
        <v>523</v>
      </c>
    </row>
    <row r="3094" spans="1:13" x14ac:dyDescent="0.25">
      <c r="A3094">
        <v>436</v>
      </c>
      <c r="B3094" s="47" t="str">
        <f>VLOOKUP(Tabla6[[#This Row],['# Vuelo]],'Validacion reclamo de equipaje'!P:Q,2,0)</f>
        <v>BARATA Y MORADA</v>
      </c>
      <c r="C3094" s="48">
        <v>0.99236111111111114</v>
      </c>
      <c r="D3094" s="48">
        <v>0.99722222222222223</v>
      </c>
      <c r="E3094" s="49">
        <f>'Reclamo de equipaje rediseñado'!$D3094-'Reclamo de equipaje rediseñado'!$C3094</f>
        <v>4.8611111111110938E-3</v>
      </c>
      <c r="F3094" s="48">
        <v>1.0104166666666667</v>
      </c>
      <c r="G3094" s="49">
        <f t="shared" si="48"/>
        <v>1.3194444444444509E-2</v>
      </c>
      <c r="H3094" s="50">
        <v>41759</v>
      </c>
      <c r="I3094" s="51" t="s">
        <v>549</v>
      </c>
      <c r="J3094" s="51">
        <v>320</v>
      </c>
      <c r="K3094" s="51">
        <f>VLOOKUP(J3094,'Validacion reclamo de equipaje'!L:M,2,0)</f>
        <v>179</v>
      </c>
      <c r="L3094" s="51" t="str">
        <f>VLOOKUP(I3094,'Validacion reclamo de equipaje'!H:I,2,0)</f>
        <v>Nacional</v>
      </c>
      <c r="M3094" s="51" t="s">
        <v>523</v>
      </c>
    </row>
    <row r="3095" spans="1:13" x14ac:dyDescent="0.25">
      <c r="A3095">
        <v>436</v>
      </c>
      <c r="B3095" s="47" t="str">
        <f>VLOOKUP(Tabla6[[#This Row],['# Vuelo]],'Validacion reclamo de equipaje'!P:Q,2,0)</f>
        <v>BARATA Y MORADA</v>
      </c>
      <c r="C3095" s="52">
        <v>0.9902777777777777</v>
      </c>
      <c r="D3095" s="52">
        <v>0.99930555555555556</v>
      </c>
      <c r="E3095" s="53">
        <f>'Reclamo de equipaje rediseñado'!$D3095-'Reclamo de equipaje rediseñado'!$C3095</f>
        <v>9.0277777777778567E-3</v>
      </c>
      <c r="F3095" s="52">
        <v>1.0097222222222222</v>
      </c>
      <c r="G3095" s="53">
        <f t="shared" si="48"/>
        <v>1.041666666666663E-2</v>
      </c>
      <c r="H3095" s="54">
        <v>41759</v>
      </c>
      <c r="I3095" s="55" t="s">
        <v>549</v>
      </c>
      <c r="J3095" s="55">
        <v>320</v>
      </c>
      <c r="K3095" s="55">
        <f>VLOOKUP(J3095,'Validacion reclamo de equipaje'!L:M,2,0)</f>
        <v>179</v>
      </c>
      <c r="L3095" s="55" t="str">
        <f>VLOOKUP(I3095,'Validacion reclamo de equipaje'!H:I,2,0)</f>
        <v>Nacional</v>
      </c>
      <c r="M3095" s="55" t="s">
        <v>523</v>
      </c>
    </row>
    <row r="3096" spans="1:13" x14ac:dyDescent="0.25">
      <c r="A3096">
        <v>621</v>
      </c>
      <c r="B3096" s="47" t="str">
        <f>VLOOKUP(Tabla6[[#This Row],['# Vuelo]],'Validacion reclamo de equipaje'!P:Q,2,0)</f>
        <v>BARATA Y MORADA</v>
      </c>
      <c r="C3096" s="48">
        <v>0.21249999999999999</v>
      </c>
      <c r="D3096" s="48">
        <v>0.22500000000000001</v>
      </c>
      <c r="E3096" s="49">
        <f>'Reclamo de equipaje rediseñado'!$D3096-'Reclamo de equipaje rediseñado'!$C3096</f>
        <v>1.2500000000000011E-2</v>
      </c>
      <c r="F3096" s="48">
        <v>0.26041666666666669</v>
      </c>
      <c r="G3096" s="49">
        <f t="shared" si="48"/>
        <v>3.541666666666668E-2</v>
      </c>
      <c r="H3096" s="50">
        <v>41733</v>
      </c>
      <c r="I3096" s="51" t="s">
        <v>582</v>
      </c>
      <c r="J3096" s="51">
        <v>320</v>
      </c>
      <c r="K3096" s="51">
        <f>VLOOKUP(J3096,'Validacion reclamo de equipaje'!L:M,2,0)</f>
        <v>179</v>
      </c>
      <c r="L3096" s="51" t="str">
        <f>VLOOKUP(I3096,'Validacion reclamo de equipaje'!H:I,2,0)</f>
        <v>Nacional</v>
      </c>
      <c r="M3096" s="51" t="s">
        <v>523</v>
      </c>
    </row>
    <row r="3097" spans="1:13" x14ac:dyDescent="0.25">
      <c r="A3097">
        <v>621</v>
      </c>
      <c r="B3097" s="47" t="str">
        <f>VLOOKUP(Tabla6[[#This Row],['# Vuelo]],'Validacion reclamo de equipaje'!P:Q,2,0)</f>
        <v>BARATA Y MORADA</v>
      </c>
      <c r="C3097" s="52">
        <v>0.9458333333333333</v>
      </c>
      <c r="D3097" s="52">
        <v>0.95208333333333339</v>
      </c>
      <c r="E3097" s="53">
        <f>'Reclamo de equipaje rediseñado'!$D3097-'Reclamo de equipaje rediseñado'!$C3097</f>
        <v>6.2500000000000888E-3</v>
      </c>
      <c r="F3097" s="52">
        <v>0.95763888888888893</v>
      </c>
      <c r="G3097" s="53">
        <f t="shared" si="48"/>
        <v>5.5555555555555358E-3</v>
      </c>
      <c r="H3097" s="54">
        <v>41732</v>
      </c>
      <c r="I3097" s="55" t="s">
        <v>582</v>
      </c>
      <c r="J3097" s="55">
        <v>320</v>
      </c>
      <c r="K3097" s="55">
        <f>VLOOKUP(J3097,'Validacion reclamo de equipaje'!L:M,2,0)</f>
        <v>179</v>
      </c>
      <c r="L3097" s="55" t="str">
        <f>VLOOKUP(I3097,'Validacion reclamo de equipaje'!H:I,2,0)</f>
        <v>Nacional</v>
      </c>
      <c r="M3097" s="55" t="s">
        <v>523</v>
      </c>
    </row>
    <row r="3098" spans="1:13" x14ac:dyDescent="0.25">
      <c r="A3098">
        <v>621</v>
      </c>
      <c r="B3098" s="47" t="str">
        <f>VLOOKUP(Tabla6[[#This Row],['# Vuelo]],'Validacion reclamo de equipaje'!P:Q,2,0)</f>
        <v>BARATA Y MORADA</v>
      </c>
      <c r="C3098" s="48">
        <v>0.95694444444444438</v>
      </c>
      <c r="D3098" s="48">
        <v>0.96180555555555547</v>
      </c>
      <c r="E3098" s="49">
        <f>'Reclamo de equipaje rediseñado'!$D3098-'Reclamo de equipaje rediseñado'!$C3098</f>
        <v>4.8611111111110938E-3</v>
      </c>
      <c r="F3098" s="48">
        <v>0.96527777777777779</v>
      </c>
      <c r="G3098" s="49">
        <f t="shared" si="48"/>
        <v>3.4722222222223209E-3</v>
      </c>
      <c r="H3098" s="50">
        <v>41734</v>
      </c>
      <c r="I3098" s="51" t="s">
        <v>582</v>
      </c>
      <c r="J3098" s="51">
        <v>320</v>
      </c>
      <c r="K3098" s="51">
        <f>VLOOKUP(J3098,'Validacion reclamo de equipaje'!L:M,2,0)</f>
        <v>179</v>
      </c>
      <c r="L3098" s="51" t="str">
        <f>VLOOKUP(I3098,'Validacion reclamo de equipaje'!H:I,2,0)</f>
        <v>Nacional</v>
      </c>
      <c r="M3098" s="51" t="s">
        <v>523</v>
      </c>
    </row>
    <row r="3099" spans="1:13" x14ac:dyDescent="0.25">
      <c r="A3099">
        <v>621</v>
      </c>
      <c r="B3099" s="47" t="str">
        <f>VLOOKUP(Tabla6[[#This Row],['# Vuelo]],'Validacion reclamo de equipaje'!P:Q,2,0)</f>
        <v>BARATA Y MORADA</v>
      </c>
      <c r="C3099" s="52">
        <v>0.86944444444444446</v>
      </c>
      <c r="D3099" s="52">
        <v>0.91319444444444453</v>
      </c>
      <c r="E3099" s="53">
        <f>'Reclamo de equipaje rediseñado'!$D3099-'Reclamo de equipaje rediseñado'!$C3099</f>
        <v>4.3750000000000067E-2</v>
      </c>
      <c r="F3099" s="52">
        <v>0.91527777777777775</v>
      </c>
      <c r="G3099" s="53">
        <f t="shared" si="48"/>
        <v>2.0833333333332149E-3</v>
      </c>
      <c r="H3099" s="54">
        <v>41734</v>
      </c>
      <c r="I3099" s="55" t="s">
        <v>582</v>
      </c>
      <c r="J3099" s="55">
        <v>320</v>
      </c>
      <c r="K3099" s="55">
        <f>VLOOKUP(J3099,'Validacion reclamo de equipaje'!L:M,2,0)</f>
        <v>179</v>
      </c>
      <c r="L3099" s="55" t="str">
        <f>VLOOKUP(I3099,'Validacion reclamo de equipaje'!H:I,2,0)</f>
        <v>Nacional</v>
      </c>
      <c r="M3099" s="55" t="s">
        <v>523</v>
      </c>
    </row>
    <row r="3100" spans="1:13" x14ac:dyDescent="0.25">
      <c r="A3100">
        <v>621</v>
      </c>
      <c r="B3100" s="47" t="str">
        <f>VLOOKUP(Tabla6[[#This Row],['# Vuelo]],'Validacion reclamo de equipaje'!P:Q,2,0)</f>
        <v>BARATA Y MORADA</v>
      </c>
      <c r="C3100" s="48">
        <v>0.94374999999999998</v>
      </c>
      <c r="D3100" s="48">
        <v>0.95416666666666661</v>
      </c>
      <c r="E3100" s="49">
        <f>'Reclamo de equipaje rediseñado'!$D3100-'Reclamo de equipaje rediseñado'!$C3100</f>
        <v>1.041666666666663E-2</v>
      </c>
      <c r="F3100" s="48">
        <v>0.96180555555555547</v>
      </c>
      <c r="G3100" s="49">
        <f t="shared" si="48"/>
        <v>7.6388888888888618E-3</v>
      </c>
      <c r="H3100" s="50">
        <v>41736</v>
      </c>
      <c r="I3100" s="51" t="s">
        <v>582</v>
      </c>
      <c r="J3100" s="51">
        <v>320</v>
      </c>
      <c r="K3100" s="51">
        <f>VLOOKUP(J3100,'Validacion reclamo de equipaje'!L:M,2,0)</f>
        <v>179</v>
      </c>
      <c r="L3100" s="51" t="str">
        <f>VLOOKUP(I3100,'Validacion reclamo de equipaje'!H:I,2,0)</f>
        <v>Nacional</v>
      </c>
      <c r="M3100" s="51" t="s">
        <v>523</v>
      </c>
    </row>
    <row r="3101" spans="1:13" x14ac:dyDescent="0.25">
      <c r="A3101">
        <v>621</v>
      </c>
      <c r="B3101" s="47" t="str">
        <f>VLOOKUP(Tabla6[[#This Row],['# Vuelo]],'Validacion reclamo de equipaje'!P:Q,2,0)</f>
        <v>BARATA Y MORADA</v>
      </c>
      <c r="C3101" s="52">
        <v>0.94791666666666663</v>
      </c>
      <c r="D3101" s="52">
        <v>0.9555555555555556</v>
      </c>
      <c r="E3101" s="53">
        <f>'Reclamo de equipaje rediseñado'!$D3101-'Reclamo de equipaje rediseñado'!$C3101</f>
        <v>7.6388888888889728E-3</v>
      </c>
      <c r="F3101" s="52">
        <v>0.96527777777777779</v>
      </c>
      <c r="G3101" s="53">
        <f t="shared" si="48"/>
        <v>9.7222222222221877E-3</v>
      </c>
      <c r="H3101" s="54">
        <v>41739</v>
      </c>
      <c r="I3101" s="55" t="s">
        <v>582</v>
      </c>
      <c r="J3101" s="55">
        <v>320</v>
      </c>
      <c r="K3101" s="55">
        <f>VLOOKUP(J3101,'Validacion reclamo de equipaje'!L:M,2,0)</f>
        <v>179</v>
      </c>
      <c r="L3101" s="55" t="str">
        <f>VLOOKUP(I3101,'Validacion reclamo de equipaje'!H:I,2,0)</f>
        <v>Nacional</v>
      </c>
      <c r="M3101" s="55" t="s">
        <v>523</v>
      </c>
    </row>
    <row r="3102" spans="1:13" x14ac:dyDescent="0.25">
      <c r="A3102">
        <v>621</v>
      </c>
      <c r="B3102" s="47" t="str">
        <f>VLOOKUP(Tabla6[[#This Row],['# Vuelo]],'Validacion reclamo de equipaje'!P:Q,2,0)</f>
        <v>BARATA Y MORADA</v>
      </c>
      <c r="C3102" s="48">
        <v>0.94097222222222221</v>
      </c>
      <c r="D3102" s="48">
        <v>0.94861111111111107</v>
      </c>
      <c r="E3102" s="49">
        <f>'Reclamo de equipaje rediseñado'!$D3102-'Reclamo de equipaje rediseñado'!$C3102</f>
        <v>7.6388888888888618E-3</v>
      </c>
      <c r="F3102" s="48">
        <v>0.95763888888888893</v>
      </c>
      <c r="G3102" s="49">
        <f t="shared" si="48"/>
        <v>9.0277777777778567E-3</v>
      </c>
      <c r="H3102" s="50">
        <v>41740</v>
      </c>
      <c r="I3102" s="51" t="s">
        <v>582</v>
      </c>
      <c r="J3102" s="51">
        <v>320</v>
      </c>
      <c r="K3102" s="51">
        <f>VLOOKUP(J3102,'Validacion reclamo de equipaje'!L:M,2,0)</f>
        <v>179</v>
      </c>
      <c r="L3102" s="51" t="str">
        <f>VLOOKUP(I3102,'Validacion reclamo de equipaje'!H:I,2,0)</f>
        <v>Nacional</v>
      </c>
      <c r="M3102" s="51" t="s">
        <v>523</v>
      </c>
    </row>
    <row r="3103" spans="1:13" x14ac:dyDescent="0.25">
      <c r="A3103">
        <v>621</v>
      </c>
      <c r="B3103" s="47" t="str">
        <f>VLOOKUP(Tabla6[[#This Row],['# Vuelo]],'Validacion reclamo de equipaje'!P:Q,2,0)</f>
        <v>BARATA Y MORADA</v>
      </c>
      <c r="C3103" s="52">
        <v>0.45208333333333334</v>
      </c>
      <c r="D3103" s="52">
        <v>0.46180555555555558</v>
      </c>
      <c r="E3103" s="53">
        <f>'Reclamo de equipaje rediseñado'!$D3103-'Reclamo de equipaje rediseñado'!$C3103</f>
        <v>9.7222222222222432E-3</v>
      </c>
      <c r="F3103" s="52">
        <v>0.47222222222222227</v>
      </c>
      <c r="G3103" s="53">
        <f t="shared" si="48"/>
        <v>1.0416666666666685E-2</v>
      </c>
      <c r="H3103" s="54">
        <v>41741</v>
      </c>
      <c r="I3103" s="55" t="s">
        <v>582</v>
      </c>
      <c r="J3103" s="55">
        <v>320</v>
      </c>
      <c r="K3103" s="55">
        <f>VLOOKUP(J3103,'Validacion reclamo de equipaje'!L:M,2,0)</f>
        <v>179</v>
      </c>
      <c r="L3103" s="55" t="str">
        <f>VLOOKUP(I3103,'Validacion reclamo de equipaje'!H:I,2,0)</f>
        <v>Nacional</v>
      </c>
      <c r="M3103" s="55" t="s">
        <v>523</v>
      </c>
    </row>
    <row r="3104" spans="1:13" x14ac:dyDescent="0.25">
      <c r="A3104">
        <v>621</v>
      </c>
      <c r="B3104" s="47" t="str">
        <f>VLOOKUP(Tabla6[[#This Row],['# Vuelo]],'Validacion reclamo de equipaje'!P:Q,2,0)</f>
        <v>BARATA Y MORADA</v>
      </c>
      <c r="C3104" s="48">
        <v>0.44444444444444442</v>
      </c>
      <c r="D3104" s="48">
        <v>0.44930555555555557</v>
      </c>
      <c r="E3104" s="49">
        <f>'Reclamo de equipaje rediseñado'!$D3104-'Reclamo de equipaje rediseñado'!$C3104</f>
        <v>4.8611111111111494E-3</v>
      </c>
      <c r="F3104" s="48">
        <v>0.45</v>
      </c>
      <c r="G3104" s="49">
        <f t="shared" si="48"/>
        <v>6.9444444444444198E-4</v>
      </c>
      <c r="H3104" s="50">
        <v>41747</v>
      </c>
      <c r="I3104" s="51" t="s">
        <v>582</v>
      </c>
      <c r="J3104" s="51">
        <v>320</v>
      </c>
      <c r="K3104" s="51">
        <f>VLOOKUP(J3104,'Validacion reclamo de equipaje'!L:M,2,0)</f>
        <v>179</v>
      </c>
      <c r="L3104" s="51" t="str">
        <f>VLOOKUP(I3104,'Validacion reclamo de equipaje'!H:I,2,0)</f>
        <v>Nacional</v>
      </c>
      <c r="M3104" s="51" t="s">
        <v>523</v>
      </c>
    </row>
    <row r="3105" spans="1:13" x14ac:dyDescent="0.25">
      <c r="A3105">
        <v>621</v>
      </c>
      <c r="B3105" s="47" t="str">
        <f>VLOOKUP(Tabla6[[#This Row],['# Vuelo]],'Validacion reclamo de equipaje'!P:Q,2,0)</f>
        <v>BARATA Y MORADA</v>
      </c>
      <c r="C3105" s="52">
        <v>0.95000000000000007</v>
      </c>
      <c r="D3105" s="52">
        <v>0.96180555555555547</v>
      </c>
      <c r="E3105" s="53">
        <f>'Reclamo de equipaje rediseñado'!$D3105-'Reclamo de equipaje rediseñado'!$C3105</f>
        <v>1.1805555555555403E-2</v>
      </c>
      <c r="F3105" s="52">
        <v>0.97013888888888899</v>
      </c>
      <c r="G3105" s="53">
        <f t="shared" si="48"/>
        <v>8.3333333333335258E-3</v>
      </c>
      <c r="H3105" s="54">
        <v>41749</v>
      </c>
      <c r="I3105" s="55" t="s">
        <v>582</v>
      </c>
      <c r="J3105" s="55">
        <v>320</v>
      </c>
      <c r="K3105" s="55">
        <f>VLOOKUP(J3105,'Validacion reclamo de equipaje'!L:M,2,0)</f>
        <v>179</v>
      </c>
      <c r="L3105" s="55" t="str">
        <f>VLOOKUP(I3105,'Validacion reclamo de equipaje'!H:I,2,0)</f>
        <v>Nacional</v>
      </c>
      <c r="M3105" s="55" t="s">
        <v>523</v>
      </c>
    </row>
    <row r="3106" spans="1:13" x14ac:dyDescent="0.25">
      <c r="A3106">
        <v>621</v>
      </c>
      <c r="B3106" s="47" t="str">
        <f>VLOOKUP(Tabla6[[#This Row],['# Vuelo]],'Validacion reclamo de equipaje'!P:Q,2,0)</f>
        <v>BARATA Y MORADA</v>
      </c>
      <c r="C3106" s="48">
        <v>0.94444444444444453</v>
      </c>
      <c r="D3106" s="48">
        <v>0.95624999999999993</v>
      </c>
      <c r="E3106" s="49">
        <f>'Reclamo de equipaje rediseñado'!$D3106-'Reclamo de equipaje rediseñado'!$C3106</f>
        <v>1.1805555555555403E-2</v>
      </c>
      <c r="F3106" s="48">
        <v>0.96250000000000002</v>
      </c>
      <c r="G3106" s="49">
        <f t="shared" si="48"/>
        <v>6.2500000000000888E-3</v>
      </c>
      <c r="H3106" s="50">
        <v>41749</v>
      </c>
      <c r="I3106" s="51" t="s">
        <v>582</v>
      </c>
      <c r="J3106" s="51">
        <v>320</v>
      </c>
      <c r="K3106" s="51">
        <f>VLOOKUP(J3106,'Validacion reclamo de equipaje'!L:M,2,0)</f>
        <v>179</v>
      </c>
      <c r="L3106" s="51" t="str">
        <f>VLOOKUP(I3106,'Validacion reclamo de equipaje'!H:I,2,0)</f>
        <v>Nacional</v>
      </c>
      <c r="M3106" s="51" t="s">
        <v>523</v>
      </c>
    </row>
    <row r="3107" spans="1:13" x14ac:dyDescent="0.25">
      <c r="A3107">
        <v>621</v>
      </c>
      <c r="B3107" s="47" t="str">
        <f>VLOOKUP(Tabla6[[#This Row],['# Vuelo]],'Validacion reclamo de equipaje'!P:Q,2,0)</f>
        <v>BARATA Y MORADA</v>
      </c>
      <c r="C3107" s="52">
        <v>0.94236111111111109</v>
      </c>
      <c r="D3107" s="52">
        <v>0.94791666666666663</v>
      </c>
      <c r="E3107" s="53">
        <f>'Reclamo de equipaje rediseñado'!$D3107-'Reclamo de equipaje rediseñado'!$C3107</f>
        <v>5.5555555555555358E-3</v>
      </c>
      <c r="F3107" s="52">
        <v>0.9555555555555556</v>
      </c>
      <c r="G3107" s="53">
        <f t="shared" si="48"/>
        <v>7.6388888888889728E-3</v>
      </c>
      <c r="H3107" s="54">
        <v>41753</v>
      </c>
      <c r="I3107" s="55" t="s">
        <v>582</v>
      </c>
      <c r="J3107" s="55">
        <v>320</v>
      </c>
      <c r="K3107" s="55">
        <f>VLOOKUP(J3107,'Validacion reclamo de equipaje'!L:M,2,0)</f>
        <v>179</v>
      </c>
      <c r="L3107" s="55" t="str">
        <f>VLOOKUP(I3107,'Validacion reclamo de equipaje'!H:I,2,0)</f>
        <v>Nacional</v>
      </c>
      <c r="M3107" s="55" t="s">
        <v>523</v>
      </c>
    </row>
    <row r="3108" spans="1:13" x14ac:dyDescent="0.25">
      <c r="A3108">
        <v>621</v>
      </c>
      <c r="B3108" s="47" t="str">
        <f>VLOOKUP(Tabla6[[#This Row],['# Vuelo]],'Validacion reclamo de equipaje'!P:Q,2,0)</f>
        <v>BARATA Y MORADA</v>
      </c>
      <c r="C3108" s="48">
        <v>0.93888888888888899</v>
      </c>
      <c r="D3108" s="48">
        <v>0.94652777777777775</v>
      </c>
      <c r="E3108" s="49">
        <f>'Reclamo de equipaje rediseñado'!$D3108-'Reclamo de equipaje rediseñado'!$C3108</f>
        <v>7.6388888888887507E-3</v>
      </c>
      <c r="F3108" s="48">
        <v>0.95347222222222217</v>
      </c>
      <c r="G3108" s="49">
        <f t="shared" si="48"/>
        <v>6.9444444444444198E-3</v>
      </c>
      <c r="H3108" s="50">
        <v>41755</v>
      </c>
      <c r="I3108" s="51" t="s">
        <v>582</v>
      </c>
      <c r="J3108" s="51">
        <v>320</v>
      </c>
      <c r="K3108" s="51">
        <f>VLOOKUP(J3108,'Validacion reclamo de equipaje'!L:M,2,0)</f>
        <v>179</v>
      </c>
      <c r="L3108" s="51" t="str">
        <f>VLOOKUP(I3108,'Validacion reclamo de equipaje'!H:I,2,0)</f>
        <v>Nacional</v>
      </c>
      <c r="M3108" s="51" t="s">
        <v>523</v>
      </c>
    </row>
    <row r="3109" spans="1:13" x14ac:dyDescent="0.25">
      <c r="A3109">
        <v>621</v>
      </c>
      <c r="B3109" s="47" t="str">
        <f>VLOOKUP(Tabla6[[#This Row],['# Vuelo]],'Validacion reclamo de equipaje'!P:Q,2,0)</f>
        <v>BARATA Y MORADA</v>
      </c>
      <c r="C3109" s="52">
        <v>0.94097222222222221</v>
      </c>
      <c r="D3109" s="52">
        <v>0.9506944444444444</v>
      </c>
      <c r="E3109" s="53">
        <f>'Reclamo de equipaje rediseñado'!$D3109-'Reclamo de equipaje rediseñado'!$C3109</f>
        <v>9.7222222222221877E-3</v>
      </c>
      <c r="F3109" s="52">
        <v>0.95972222222222225</v>
      </c>
      <c r="G3109" s="53">
        <f t="shared" si="48"/>
        <v>9.0277777777778567E-3</v>
      </c>
      <c r="H3109" s="54">
        <v>41757</v>
      </c>
      <c r="I3109" s="55" t="s">
        <v>582</v>
      </c>
      <c r="J3109" s="55">
        <v>320</v>
      </c>
      <c r="K3109" s="55">
        <f>VLOOKUP(J3109,'Validacion reclamo de equipaje'!L:M,2,0)</f>
        <v>179</v>
      </c>
      <c r="L3109" s="55" t="str">
        <f>VLOOKUP(I3109,'Validacion reclamo de equipaje'!H:I,2,0)</f>
        <v>Nacional</v>
      </c>
      <c r="M3109" s="55" t="s">
        <v>523</v>
      </c>
    </row>
    <row r="3110" spans="1:13" x14ac:dyDescent="0.25">
      <c r="A3110">
        <v>623</v>
      </c>
      <c r="B3110" s="47" t="str">
        <f>VLOOKUP(Tabla6[[#This Row],['# Vuelo]],'Validacion reclamo de equipaje'!P:Q,2,0)</f>
        <v>INTERAVIÓN</v>
      </c>
      <c r="C3110" s="48">
        <v>0.54652777777777783</v>
      </c>
      <c r="D3110" s="48">
        <v>0.55208333333333337</v>
      </c>
      <c r="E3110" s="49">
        <f>'Reclamo de equipaje rediseñado'!$D3110-'Reclamo de equipaje rediseñado'!$C3110</f>
        <v>5.5555555555555358E-3</v>
      </c>
      <c r="F3110" s="48">
        <v>0.55833333333333335</v>
      </c>
      <c r="G3110" s="49">
        <f t="shared" si="48"/>
        <v>6.2499999999999778E-3</v>
      </c>
      <c r="H3110" s="50">
        <v>41730</v>
      </c>
      <c r="I3110" s="51" t="s">
        <v>582</v>
      </c>
      <c r="J3110" s="51">
        <v>320</v>
      </c>
      <c r="K3110" s="51">
        <f>VLOOKUP(J3110,'Validacion reclamo de equipaje'!L:M,2,0)</f>
        <v>179</v>
      </c>
      <c r="L3110" s="51" t="str">
        <f>VLOOKUP(I3110,'Validacion reclamo de equipaje'!H:I,2,0)</f>
        <v>Nacional</v>
      </c>
      <c r="M3110" s="51" t="s">
        <v>523</v>
      </c>
    </row>
    <row r="3111" spans="1:13" x14ac:dyDescent="0.25">
      <c r="A3111">
        <v>623</v>
      </c>
      <c r="B3111" s="47" t="str">
        <f>VLOOKUP(Tabla6[[#This Row],['# Vuelo]],'Validacion reclamo de equipaje'!P:Q,2,0)</f>
        <v>INTERAVIÓN</v>
      </c>
      <c r="C3111" s="52">
        <v>0.54236111111111118</v>
      </c>
      <c r="D3111" s="52">
        <v>0.55902777777777779</v>
      </c>
      <c r="E3111" s="53">
        <f>'Reclamo de equipaje rediseñado'!$D3111-'Reclamo de equipaje rediseñado'!$C3111</f>
        <v>1.6666666666666607E-2</v>
      </c>
      <c r="F3111" s="52">
        <v>0.56597222222222221</v>
      </c>
      <c r="G3111" s="53">
        <f t="shared" si="48"/>
        <v>6.9444444444444198E-3</v>
      </c>
      <c r="H3111" s="54">
        <v>41731</v>
      </c>
      <c r="I3111" s="55" t="s">
        <v>582</v>
      </c>
      <c r="J3111" s="55">
        <v>320</v>
      </c>
      <c r="K3111" s="55">
        <f>VLOOKUP(J3111,'Validacion reclamo de equipaje'!L:M,2,0)</f>
        <v>179</v>
      </c>
      <c r="L3111" s="55" t="str">
        <f>VLOOKUP(I3111,'Validacion reclamo de equipaje'!H:I,2,0)</f>
        <v>Nacional</v>
      </c>
      <c r="M3111" s="55" t="s">
        <v>523</v>
      </c>
    </row>
    <row r="3112" spans="1:13" x14ac:dyDescent="0.25">
      <c r="A3112">
        <v>623</v>
      </c>
      <c r="B3112" s="47" t="str">
        <f>VLOOKUP(Tabla6[[#This Row],['# Vuelo]],'Validacion reclamo de equipaje'!P:Q,2,0)</f>
        <v>INTERAVIÓN</v>
      </c>
      <c r="C3112" s="48">
        <v>4.7222222222222221E-2</v>
      </c>
      <c r="D3112" s="48">
        <v>5.347222222222222E-2</v>
      </c>
      <c r="E3112" s="49">
        <f>'Reclamo de equipaje rediseñado'!$D3112-'Reclamo de equipaje rediseñado'!$C3112</f>
        <v>6.2499999999999986E-3</v>
      </c>
      <c r="F3112" s="48">
        <v>6.25E-2</v>
      </c>
      <c r="G3112" s="49">
        <f t="shared" si="48"/>
        <v>9.0277777777777804E-3</v>
      </c>
      <c r="H3112" s="50">
        <v>41732</v>
      </c>
      <c r="I3112" s="51" t="s">
        <v>582</v>
      </c>
      <c r="J3112" s="51">
        <v>320</v>
      </c>
      <c r="K3112" s="51">
        <f>VLOOKUP(J3112,'Validacion reclamo de equipaje'!L:M,2,0)</f>
        <v>179</v>
      </c>
      <c r="L3112" s="51" t="str">
        <f>VLOOKUP(I3112,'Validacion reclamo de equipaje'!H:I,2,0)</f>
        <v>Nacional</v>
      </c>
      <c r="M3112" s="51" t="s">
        <v>523</v>
      </c>
    </row>
    <row r="3113" spans="1:13" x14ac:dyDescent="0.25">
      <c r="A3113">
        <v>623</v>
      </c>
      <c r="B3113" s="47" t="str">
        <f>VLOOKUP(Tabla6[[#This Row],['# Vuelo]],'Validacion reclamo de equipaje'!P:Q,2,0)</f>
        <v>INTERAVIÓN</v>
      </c>
      <c r="C3113" s="52">
        <v>0.56458333333333333</v>
      </c>
      <c r="D3113" s="52">
        <v>0.57222222222222219</v>
      </c>
      <c r="E3113" s="53">
        <f>'Reclamo de equipaje rediseñado'!$D3113-'Reclamo de equipaje rediseñado'!$C3113</f>
        <v>7.6388888888888618E-3</v>
      </c>
      <c r="F3113" s="52">
        <v>0.57708333333333328</v>
      </c>
      <c r="G3113" s="53">
        <f t="shared" si="48"/>
        <v>4.8611111111110938E-3</v>
      </c>
      <c r="H3113" s="54">
        <v>41733</v>
      </c>
      <c r="I3113" s="55" t="s">
        <v>582</v>
      </c>
      <c r="J3113" s="55">
        <v>320</v>
      </c>
      <c r="K3113" s="55">
        <f>VLOOKUP(J3113,'Validacion reclamo de equipaje'!L:M,2,0)</f>
        <v>179</v>
      </c>
      <c r="L3113" s="55" t="str">
        <f>VLOOKUP(I3113,'Validacion reclamo de equipaje'!H:I,2,0)</f>
        <v>Nacional</v>
      </c>
      <c r="M3113" s="55" t="s">
        <v>523</v>
      </c>
    </row>
    <row r="3114" spans="1:13" x14ac:dyDescent="0.25">
      <c r="A3114">
        <v>623</v>
      </c>
      <c r="B3114" s="47" t="str">
        <f>VLOOKUP(Tabla6[[#This Row],['# Vuelo]],'Validacion reclamo de equipaje'!P:Q,2,0)</f>
        <v>INTERAVIÓN</v>
      </c>
      <c r="C3114" s="48">
        <v>0.55625000000000002</v>
      </c>
      <c r="D3114" s="48">
        <v>0.56319444444444444</v>
      </c>
      <c r="E3114" s="49">
        <f>'Reclamo de equipaje rediseñado'!$D3114-'Reclamo de equipaje rediseñado'!$C3114</f>
        <v>6.9444444444444198E-3</v>
      </c>
      <c r="F3114" s="48">
        <v>0.57638888888888895</v>
      </c>
      <c r="G3114" s="49">
        <f t="shared" si="48"/>
        <v>1.3194444444444509E-2</v>
      </c>
      <c r="H3114" s="50">
        <v>41735</v>
      </c>
      <c r="I3114" s="51" t="s">
        <v>582</v>
      </c>
      <c r="J3114" s="51">
        <v>320</v>
      </c>
      <c r="K3114" s="51">
        <f>VLOOKUP(J3114,'Validacion reclamo de equipaje'!L:M,2,0)</f>
        <v>179</v>
      </c>
      <c r="L3114" s="51" t="str">
        <f>VLOOKUP(I3114,'Validacion reclamo de equipaje'!H:I,2,0)</f>
        <v>Nacional</v>
      </c>
      <c r="M3114" s="51" t="s">
        <v>523</v>
      </c>
    </row>
    <row r="3115" spans="1:13" x14ac:dyDescent="0.25">
      <c r="A3115">
        <v>623</v>
      </c>
      <c r="B3115" s="47" t="str">
        <f>VLOOKUP(Tabla6[[#This Row],['# Vuelo]],'Validacion reclamo de equipaje'!P:Q,2,0)</f>
        <v>INTERAVIÓN</v>
      </c>
      <c r="C3115" s="52">
        <v>0.52777777777777779</v>
      </c>
      <c r="D3115" s="52">
        <v>0.53680555555555554</v>
      </c>
      <c r="E3115" s="53">
        <f>'Reclamo de equipaje rediseñado'!$D3115-'Reclamo de equipaje rediseñado'!$C3115</f>
        <v>9.0277777777777457E-3</v>
      </c>
      <c r="F3115" s="52">
        <v>0.5395833333333333</v>
      </c>
      <c r="G3115" s="53">
        <f t="shared" si="48"/>
        <v>2.7777777777777679E-3</v>
      </c>
      <c r="H3115" s="54">
        <v>41737</v>
      </c>
      <c r="I3115" s="55" t="s">
        <v>582</v>
      </c>
      <c r="J3115" s="55">
        <v>320</v>
      </c>
      <c r="K3115" s="55">
        <f>VLOOKUP(J3115,'Validacion reclamo de equipaje'!L:M,2,0)</f>
        <v>179</v>
      </c>
      <c r="L3115" s="55" t="str">
        <f>VLOOKUP(I3115,'Validacion reclamo de equipaje'!H:I,2,0)</f>
        <v>Nacional</v>
      </c>
      <c r="M3115" s="55" t="s">
        <v>523</v>
      </c>
    </row>
    <row r="3116" spans="1:13" x14ac:dyDescent="0.25">
      <c r="A3116">
        <v>623</v>
      </c>
      <c r="B3116" s="47" t="str">
        <f>VLOOKUP(Tabla6[[#This Row],['# Vuelo]],'Validacion reclamo de equipaje'!P:Q,2,0)</f>
        <v>INTERAVIÓN</v>
      </c>
      <c r="C3116" s="48">
        <v>0.54166666666666663</v>
      </c>
      <c r="D3116" s="48">
        <v>0.54513888888888895</v>
      </c>
      <c r="E3116" s="49">
        <f>'Reclamo de equipaje rediseñado'!$D3116-'Reclamo de equipaje rediseñado'!$C3116</f>
        <v>3.4722222222223209E-3</v>
      </c>
      <c r="F3116" s="48">
        <v>0.55902777777777779</v>
      </c>
      <c r="G3116" s="49">
        <f t="shared" si="48"/>
        <v>1.388888888888884E-2</v>
      </c>
      <c r="H3116" s="50">
        <v>41738</v>
      </c>
      <c r="I3116" s="51" t="s">
        <v>582</v>
      </c>
      <c r="J3116" s="51">
        <v>320</v>
      </c>
      <c r="K3116" s="51">
        <f>VLOOKUP(J3116,'Validacion reclamo de equipaje'!L:M,2,0)</f>
        <v>179</v>
      </c>
      <c r="L3116" s="51" t="str">
        <f>VLOOKUP(I3116,'Validacion reclamo de equipaje'!H:I,2,0)</f>
        <v>Nacional</v>
      </c>
      <c r="M3116" s="51" t="s">
        <v>523</v>
      </c>
    </row>
    <row r="3117" spans="1:13" x14ac:dyDescent="0.25">
      <c r="A3117">
        <v>623</v>
      </c>
      <c r="B3117" s="47" t="str">
        <f>VLOOKUP(Tabla6[[#This Row],['# Vuelo]],'Validacion reclamo de equipaje'!P:Q,2,0)</f>
        <v>INTERAVIÓN</v>
      </c>
      <c r="C3117" s="52">
        <v>0.93819444444444444</v>
      </c>
      <c r="D3117" s="52">
        <v>0.9472222222222223</v>
      </c>
      <c r="E3117" s="53">
        <f>'Reclamo de equipaje rediseñado'!$D3117-'Reclamo de equipaje rediseñado'!$C3117</f>
        <v>9.0277777777778567E-3</v>
      </c>
      <c r="F3117" s="52">
        <v>0.95416666666666661</v>
      </c>
      <c r="G3117" s="53">
        <f t="shared" si="48"/>
        <v>6.9444444444443088E-3</v>
      </c>
      <c r="H3117" s="54">
        <v>41738</v>
      </c>
      <c r="I3117" s="55" t="s">
        <v>582</v>
      </c>
      <c r="J3117" s="55">
        <v>320</v>
      </c>
      <c r="K3117" s="55">
        <f>VLOOKUP(J3117,'Validacion reclamo de equipaje'!L:M,2,0)</f>
        <v>179</v>
      </c>
      <c r="L3117" s="55" t="str">
        <f>VLOOKUP(I3117,'Validacion reclamo de equipaje'!H:I,2,0)</f>
        <v>Nacional</v>
      </c>
      <c r="M3117" s="55" t="s">
        <v>523</v>
      </c>
    </row>
    <row r="3118" spans="1:13" x14ac:dyDescent="0.25">
      <c r="A3118">
        <v>623</v>
      </c>
      <c r="B3118" s="47" t="str">
        <f>VLOOKUP(Tabla6[[#This Row],['# Vuelo]],'Validacion reclamo de equipaje'!P:Q,2,0)</f>
        <v>INTERAVIÓN</v>
      </c>
      <c r="C3118" s="48">
        <v>0.55208333333333337</v>
      </c>
      <c r="D3118" s="48">
        <v>0.55694444444444446</v>
      </c>
      <c r="E3118" s="49">
        <f>'Reclamo de equipaje rediseñado'!$D3118-'Reclamo de equipaje rediseñado'!$C3118</f>
        <v>4.8611111111110938E-3</v>
      </c>
      <c r="F3118" s="48">
        <v>0.56319444444444444</v>
      </c>
      <c r="G3118" s="49">
        <f t="shared" si="48"/>
        <v>6.2499999999999778E-3</v>
      </c>
      <c r="H3118" s="50">
        <v>41739</v>
      </c>
      <c r="I3118" s="51" t="s">
        <v>582</v>
      </c>
      <c r="J3118" s="51">
        <v>320</v>
      </c>
      <c r="K3118" s="51">
        <f>VLOOKUP(J3118,'Validacion reclamo de equipaje'!L:M,2,0)</f>
        <v>179</v>
      </c>
      <c r="L3118" s="51" t="str">
        <f>VLOOKUP(I3118,'Validacion reclamo de equipaje'!H:I,2,0)</f>
        <v>Nacional</v>
      </c>
      <c r="M3118" s="51" t="s">
        <v>523</v>
      </c>
    </row>
    <row r="3119" spans="1:13" x14ac:dyDescent="0.25">
      <c r="A3119">
        <v>623</v>
      </c>
      <c r="B3119" s="47" t="str">
        <f>VLOOKUP(Tabla6[[#This Row],['# Vuelo]],'Validacion reclamo de equipaje'!P:Q,2,0)</f>
        <v>INTERAVIÓN</v>
      </c>
      <c r="C3119" s="52">
        <v>0.54861111111111105</v>
      </c>
      <c r="D3119" s="52">
        <v>0.5541666666666667</v>
      </c>
      <c r="E3119" s="53">
        <f>'Reclamo de equipaje rediseñado'!$D3119-'Reclamo de equipaje rediseñado'!$C3119</f>
        <v>5.5555555555556468E-3</v>
      </c>
      <c r="F3119" s="52">
        <v>0.60277777777777775</v>
      </c>
      <c r="G3119" s="53">
        <f t="shared" si="48"/>
        <v>4.8611111111111049E-2</v>
      </c>
      <c r="H3119" s="54">
        <v>41741</v>
      </c>
      <c r="I3119" s="55" t="s">
        <v>582</v>
      </c>
      <c r="J3119" s="55">
        <v>320</v>
      </c>
      <c r="K3119" s="55">
        <f>VLOOKUP(J3119,'Validacion reclamo de equipaje'!L:M,2,0)</f>
        <v>179</v>
      </c>
      <c r="L3119" s="55" t="str">
        <f>VLOOKUP(I3119,'Validacion reclamo de equipaje'!H:I,2,0)</f>
        <v>Nacional</v>
      </c>
      <c r="M3119" s="55" t="s">
        <v>523</v>
      </c>
    </row>
    <row r="3120" spans="1:13" x14ac:dyDescent="0.25">
      <c r="A3120">
        <v>623</v>
      </c>
      <c r="B3120" s="47" t="str">
        <f>VLOOKUP(Tabla6[[#This Row],['# Vuelo]],'Validacion reclamo de equipaje'!P:Q,2,0)</f>
        <v>INTERAVIÓN</v>
      </c>
      <c r="C3120" s="48">
        <v>0.54652777777777783</v>
      </c>
      <c r="D3120" s="48">
        <v>0.55208333333333337</v>
      </c>
      <c r="E3120" s="49">
        <f>'Reclamo de equipaje rediseñado'!$D3120-'Reclamo de equipaje rediseñado'!$C3120</f>
        <v>5.5555555555555358E-3</v>
      </c>
      <c r="F3120" s="48">
        <v>0.55833333333333335</v>
      </c>
      <c r="G3120" s="49">
        <f t="shared" si="48"/>
        <v>6.2499999999999778E-3</v>
      </c>
      <c r="H3120" s="50">
        <v>41742</v>
      </c>
      <c r="I3120" s="51" t="s">
        <v>582</v>
      </c>
      <c r="J3120" s="51">
        <v>320</v>
      </c>
      <c r="K3120" s="51">
        <f>VLOOKUP(J3120,'Validacion reclamo de equipaje'!L:M,2,0)</f>
        <v>179</v>
      </c>
      <c r="L3120" s="51" t="str">
        <f>VLOOKUP(I3120,'Validacion reclamo de equipaje'!H:I,2,0)</f>
        <v>Nacional</v>
      </c>
      <c r="M3120" s="51" t="s">
        <v>523</v>
      </c>
    </row>
    <row r="3121" spans="1:13" x14ac:dyDescent="0.25">
      <c r="A3121">
        <v>623</v>
      </c>
      <c r="B3121" s="47" t="str">
        <f>VLOOKUP(Tabla6[[#This Row],['# Vuelo]],'Validacion reclamo de equipaje'!P:Q,2,0)</f>
        <v>INTERAVIÓN</v>
      </c>
      <c r="C3121" s="52">
        <v>0.53611111111111109</v>
      </c>
      <c r="D3121" s="52">
        <v>0.5444444444444444</v>
      </c>
      <c r="E3121" s="53">
        <f>'Reclamo de equipaje rediseñado'!$D3121-'Reclamo de equipaje rediseñado'!$C3121</f>
        <v>8.3333333333333037E-3</v>
      </c>
      <c r="F3121" s="52">
        <v>0.55069444444444449</v>
      </c>
      <c r="G3121" s="53">
        <f t="shared" si="48"/>
        <v>6.2500000000000888E-3</v>
      </c>
      <c r="H3121" s="54">
        <v>41743</v>
      </c>
      <c r="I3121" s="55" t="s">
        <v>582</v>
      </c>
      <c r="J3121" s="55">
        <v>320</v>
      </c>
      <c r="K3121" s="55">
        <f>VLOOKUP(J3121,'Validacion reclamo de equipaje'!L:M,2,0)</f>
        <v>179</v>
      </c>
      <c r="L3121" s="55" t="str">
        <f>VLOOKUP(I3121,'Validacion reclamo de equipaje'!H:I,2,0)</f>
        <v>Nacional</v>
      </c>
      <c r="M3121" s="55" t="s">
        <v>523</v>
      </c>
    </row>
    <row r="3122" spans="1:13" x14ac:dyDescent="0.25">
      <c r="A3122">
        <v>623</v>
      </c>
      <c r="B3122" s="47" t="str">
        <f>VLOOKUP(Tabla6[[#This Row],['# Vuelo]],'Validacion reclamo de equipaje'!P:Q,2,0)</f>
        <v>INTERAVIÓN</v>
      </c>
      <c r="C3122" s="48">
        <v>0.55694444444444446</v>
      </c>
      <c r="D3122" s="48">
        <v>0.56944444444444442</v>
      </c>
      <c r="E3122" s="49">
        <f>'Reclamo de equipaje rediseñado'!$D3122-'Reclamo de equipaje rediseñado'!$C3122</f>
        <v>1.2499999999999956E-2</v>
      </c>
      <c r="F3122" s="48">
        <v>0.57638888888888895</v>
      </c>
      <c r="G3122" s="49">
        <f t="shared" si="48"/>
        <v>6.9444444444445308E-3</v>
      </c>
      <c r="H3122" s="50">
        <v>41744</v>
      </c>
      <c r="I3122" s="51" t="s">
        <v>582</v>
      </c>
      <c r="J3122" s="51">
        <v>320</v>
      </c>
      <c r="K3122" s="51">
        <f>VLOOKUP(J3122,'Validacion reclamo de equipaje'!L:M,2,0)</f>
        <v>179</v>
      </c>
      <c r="L3122" s="51" t="str">
        <f>VLOOKUP(I3122,'Validacion reclamo de equipaje'!H:I,2,0)</f>
        <v>Nacional</v>
      </c>
      <c r="M3122" s="51" t="s">
        <v>523</v>
      </c>
    </row>
    <row r="3123" spans="1:13" x14ac:dyDescent="0.25">
      <c r="A3123">
        <v>623</v>
      </c>
      <c r="B3123" s="47" t="str">
        <f>VLOOKUP(Tabla6[[#This Row],['# Vuelo]],'Validacion reclamo de equipaje'!P:Q,2,0)</f>
        <v>INTERAVIÓN</v>
      </c>
      <c r="C3123" s="52">
        <v>0.51736111111111105</v>
      </c>
      <c r="D3123" s="52">
        <v>0.57361111111111118</v>
      </c>
      <c r="E3123" s="53">
        <f>'Reclamo de equipaje rediseñado'!$D3123-'Reclamo de equipaje rediseñado'!$C3123</f>
        <v>5.6250000000000133E-2</v>
      </c>
      <c r="F3123" s="52">
        <v>0.57777777777777783</v>
      </c>
      <c r="G3123" s="53">
        <f t="shared" si="48"/>
        <v>4.1666666666666519E-3</v>
      </c>
      <c r="H3123" s="54">
        <v>41745</v>
      </c>
      <c r="I3123" s="55" t="s">
        <v>582</v>
      </c>
      <c r="J3123" s="55">
        <v>320</v>
      </c>
      <c r="K3123" s="55">
        <f>VLOOKUP(J3123,'Validacion reclamo de equipaje'!L:M,2,0)</f>
        <v>179</v>
      </c>
      <c r="L3123" s="55" t="str">
        <f>VLOOKUP(I3123,'Validacion reclamo de equipaje'!H:I,2,0)</f>
        <v>Nacional</v>
      </c>
      <c r="M3123" s="55" t="s">
        <v>523</v>
      </c>
    </row>
    <row r="3124" spans="1:13" x14ac:dyDescent="0.25">
      <c r="A3124">
        <v>623</v>
      </c>
      <c r="B3124" s="47" t="str">
        <f>VLOOKUP(Tabla6[[#This Row],['# Vuelo]],'Validacion reclamo de equipaje'!P:Q,2,0)</f>
        <v>INTERAVIÓN</v>
      </c>
      <c r="C3124" s="48">
        <v>0.55625000000000002</v>
      </c>
      <c r="D3124" s="48">
        <v>0.56041666666666667</v>
      </c>
      <c r="E3124" s="49">
        <f>'Reclamo de equipaje rediseñado'!$D3124-'Reclamo de equipaje rediseñado'!$C3124</f>
        <v>4.1666666666666519E-3</v>
      </c>
      <c r="F3124" s="48">
        <v>0.56805555555555554</v>
      </c>
      <c r="G3124" s="49">
        <f t="shared" si="48"/>
        <v>7.6388888888888618E-3</v>
      </c>
      <c r="H3124" s="50">
        <v>41749</v>
      </c>
      <c r="I3124" s="51" t="s">
        <v>582</v>
      </c>
      <c r="J3124" s="51">
        <v>320</v>
      </c>
      <c r="K3124" s="51">
        <f>VLOOKUP(J3124,'Validacion reclamo de equipaje'!L:M,2,0)</f>
        <v>179</v>
      </c>
      <c r="L3124" s="51" t="str">
        <f>VLOOKUP(I3124,'Validacion reclamo de equipaje'!H:I,2,0)</f>
        <v>Nacional</v>
      </c>
      <c r="M3124" s="51" t="s">
        <v>523</v>
      </c>
    </row>
    <row r="3125" spans="1:13" x14ac:dyDescent="0.25">
      <c r="A3125">
        <v>623</v>
      </c>
      <c r="B3125" s="47" t="str">
        <f>VLOOKUP(Tabla6[[#This Row],['# Vuelo]],'Validacion reclamo de equipaje'!P:Q,2,0)</f>
        <v>INTERAVIÓN</v>
      </c>
      <c r="C3125" s="52">
        <v>0.53472222222222221</v>
      </c>
      <c r="D3125" s="52">
        <v>0.54513888888888895</v>
      </c>
      <c r="E3125" s="53">
        <f>'Reclamo de equipaje rediseñado'!$D3125-'Reclamo de equipaje rediseñado'!$C3125</f>
        <v>1.0416666666666741E-2</v>
      </c>
      <c r="F3125" s="52">
        <v>0.55208333333333337</v>
      </c>
      <c r="G3125" s="53">
        <f t="shared" si="48"/>
        <v>6.9444444444444198E-3</v>
      </c>
      <c r="H3125" s="54">
        <v>41750</v>
      </c>
      <c r="I3125" s="55" t="s">
        <v>582</v>
      </c>
      <c r="J3125" s="55">
        <v>320</v>
      </c>
      <c r="K3125" s="55">
        <f>VLOOKUP(J3125,'Validacion reclamo de equipaje'!L:M,2,0)</f>
        <v>179</v>
      </c>
      <c r="L3125" s="55" t="str">
        <f>VLOOKUP(I3125,'Validacion reclamo de equipaje'!H:I,2,0)</f>
        <v>Nacional</v>
      </c>
      <c r="M3125" s="55" t="s">
        <v>523</v>
      </c>
    </row>
    <row r="3126" spans="1:13" x14ac:dyDescent="0.25">
      <c r="A3126">
        <v>623</v>
      </c>
      <c r="B3126" s="47" t="str">
        <f>VLOOKUP(Tabla6[[#This Row],['# Vuelo]],'Validacion reclamo de equipaje'!P:Q,2,0)</f>
        <v>INTERAVIÓN</v>
      </c>
      <c r="C3126" s="48">
        <v>0.55069444444444449</v>
      </c>
      <c r="D3126" s="48">
        <v>0.55625000000000002</v>
      </c>
      <c r="E3126" s="49">
        <f>'Reclamo de equipaje rediseñado'!$D3126-'Reclamo de equipaje rediseñado'!$C3126</f>
        <v>5.5555555555555358E-3</v>
      </c>
      <c r="F3126" s="48">
        <v>0.56666666666666665</v>
      </c>
      <c r="G3126" s="49">
        <f t="shared" si="48"/>
        <v>1.041666666666663E-2</v>
      </c>
      <c r="H3126" s="50">
        <v>41753</v>
      </c>
      <c r="I3126" s="51" t="s">
        <v>582</v>
      </c>
      <c r="J3126" s="51">
        <v>320</v>
      </c>
      <c r="K3126" s="51">
        <f>VLOOKUP(J3126,'Validacion reclamo de equipaje'!L:M,2,0)</f>
        <v>179</v>
      </c>
      <c r="L3126" s="51" t="str">
        <f>VLOOKUP(I3126,'Validacion reclamo de equipaje'!H:I,2,0)</f>
        <v>Nacional</v>
      </c>
      <c r="M3126" s="51" t="s">
        <v>523</v>
      </c>
    </row>
    <row r="3127" spans="1:13" x14ac:dyDescent="0.25">
      <c r="A3127">
        <v>623</v>
      </c>
      <c r="B3127" s="47" t="str">
        <f>VLOOKUP(Tabla6[[#This Row],['# Vuelo]],'Validacion reclamo de equipaje'!P:Q,2,0)</f>
        <v>INTERAVIÓN</v>
      </c>
      <c r="C3127" s="52">
        <v>0.55555555555555558</v>
      </c>
      <c r="D3127" s="52">
        <v>0.5625</v>
      </c>
      <c r="E3127" s="53">
        <f>'Reclamo de equipaje rediseñado'!$D3127-'Reclamo de equipaje rediseñado'!$C3127</f>
        <v>6.9444444444444198E-3</v>
      </c>
      <c r="F3127" s="52">
        <v>0.57291666666666663</v>
      </c>
      <c r="G3127" s="53">
        <f t="shared" si="48"/>
        <v>1.041666666666663E-2</v>
      </c>
      <c r="H3127" s="54">
        <v>41756</v>
      </c>
      <c r="I3127" s="55" t="s">
        <v>582</v>
      </c>
      <c r="J3127" s="55">
        <v>320</v>
      </c>
      <c r="K3127" s="55">
        <f>VLOOKUP(J3127,'Validacion reclamo de equipaje'!L:M,2,0)</f>
        <v>179</v>
      </c>
      <c r="L3127" s="55" t="str">
        <f>VLOOKUP(I3127,'Validacion reclamo de equipaje'!H:I,2,0)</f>
        <v>Nacional</v>
      </c>
      <c r="M3127" s="55" t="s">
        <v>523</v>
      </c>
    </row>
    <row r="3128" spans="1:13" x14ac:dyDescent="0.25">
      <c r="A3128">
        <v>623</v>
      </c>
      <c r="B3128" s="47" t="str">
        <f>VLOOKUP(Tabla6[[#This Row],['# Vuelo]],'Validacion reclamo de equipaje'!P:Q,2,0)</f>
        <v>INTERAVIÓN</v>
      </c>
      <c r="C3128" s="48">
        <v>0.54791666666666672</v>
      </c>
      <c r="D3128" s="48">
        <v>0.55486111111111114</v>
      </c>
      <c r="E3128" s="49">
        <f>'Reclamo de equipaje rediseñado'!$D3128-'Reclamo de equipaje rediseñado'!$C3128</f>
        <v>6.9444444444444198E-3</v>
      </c>
      <c r="F3128" s="48">
        <v>0.5625</v>
      </c>
      <c r="G3128" s="49">
        <f t="shared" si="48"/>
        <v>7.6388888888888618E-3</v>
      </c>
      <c r="H3128" s="50">
        <v>41758</v>
      </c>
      <c r="I3128" s="51" t="s">
        <v>582</v>
      </c>
      <c r="J3128" s="51">
        <v>320</v>
      </c>
      <c r="K3128" s="51">
        <f>VLOOKUP(J3128,'Validacion reclamo de equipaje'!L:M,2,0)</f>
        <v>179</v>
      </c>
      <c r="L3128" s="51" t="str">
        <f>VLOOKUP(I3128,'Validacion reclamo de equipaje'!H:I,2,0)</f>
        <v>Nacional</v>
      </c>
      <c r="M3128" s="51" t="s">
        <v>523</v>
      </c>
    </row>
    <row r="3129" spans="1:13" x14ac:dyDescent="0.25">
      <c r="A3129">
        <v>623</v>
      </c>
      <c r="B3129" s="47" t="str">
        <f>VLOOKUP(Tabla6[[#This Row],['# Vuelo]],'Validacion reclamo de equipaje'!P:Q,2,0)</f>
        <v>INTERAVIÓN</v>
      </c>
      <c r="C3129" s="52">
        <v>0.54791666666666672</v>
      </c>
      <c r="D3129" s="52">
        <v>0.55694444444444446</v>
      </c>
      <c r="E3129" s="53">
        <f>'Reclamo de equipaje rediseñado'!$D3129-'Reclamo de equipaje rediseñado'!$C3129</f>
        <v>9.0277777777777457E-3</v>
      </c>
      <c r="F3129" s="52">
        <v>0.56319444444444444</v>
      </c>
      <c r="G3129" s="53">
        <f t="shared" si="48"/>
        <v>6.2499999999999778E-3</v>
      </c>
      <c r="H3129" s="54">
        <v>41759</v>
      </c>
      <c r="I3129" s="55" t="s">
        <v>582</v>
      </c>
      <c r="J3129" s="55">
        <v>320</v>
      </c>
      <c r="K3129" s="55">
        <f>VLOOKUP(J3129,'Validacion reclamo de equipaje'!L:M,2,0)</f>
        <v>179</v>
      </c>
      <c r="L3129" s="55" t="str">
        <f>VLOOKUP(I3129,'Validacion reclamo de equipaje'!H:I,2,0)</f>
        <v>Nacional</v>
      </c>
      <c r="M3129" s="55" t="s">
        <v>523</v>
      </c>
    </row>
    <row r="3130" spans="1:13" x14ac:dyDescent="0.25">
      <c r="A3130">
        <v>627</v>
      </c>
      <c r="B3130" s="47" t="str">
        <f>VLOOKUP(Tabla6[[#This Row],['# Vuelo]],'Validacion reclamo de equipaje'!P:Q,2,0)</f>
        <v>BARATA Y MORADA</v>
      </c>
      <c r="C3130" s="48">
        <v>0.54999999999999993</v>
      </c>
      <c r="D3130" s="48">
        <v>0.55833333333333335</v>
      </c>
      <c r="E3130" s="49">
        <f>'Reclamo de equipaje rediseñado'!$D3130-'Reclamo de equipaje rediseñado'!$C3130</f>
        <v>8.3333333333334147E-3</v>
      </c>
      <c r="F3130" s="48">
        <v>0.56597222222222221</v>
      </c>
      <c r="G3130" s="49">
        <f t="shared" si="48"/>
        <v>7.6388888888888618E-3</v>
      </c>
      <c r="H3130" s="50">
        <v>41730</v>
      </c>
      <c r="I3130" s="51" t="s">
        <v>551</v>
      </c>
      <c r="J3130" s="51" t="s">
        <v>572</v>
      </c>
      <c r="K3130" s="51">
        <f>VLOOKUP(J3130,'Validacion reclamo de equipaje'!L:M,2,0)</f>
        <v>142</v>
      </c>
      <c r="L3130" s="51" t="str">
        <f>VLOOKUP(I3130,'Validacion reclamo de equipaje'!H:I,2,0)</f>
        <v>Nacional</v>
      </c>
      <c r="M3130" s="51" t="s">
        <v>523</v>
      </c>
    </row>
    <row r="3131" spans="1:13" x14ac:dyDescent="0.25">
      <c r="A3131">
        <v>627</v>
      </c>
      <c r="B3131" s="47" t="str">
        <f>VLOOKUP(Tabla6[[#This Row],['# Vuelo]],'Validacion reclamo de equipaje'!P:Q,2,0)</f>
        <v>BARATA Y MORADA</v>
      </c>
      <c r="C3131" s="52">
        <v>7.4999999999999997E-2</v>
      </c>
      <c r="D3131" s="52">
        <v>8.4027777777777771E-2</v>
      </c>
      <c r="E3131" s="53">
        <f>'Reclamo de equipaje rediseñado'!$D3131-'Reclamo de equipaje rediseñado'!$C3131</f>
        <v>9.0277777777777735E-3</v>
      </c>
      <c r="F3131" s="52">
        <v>9.375E-2</v>
      </c>
      <c r="G3131" s="53">
        <f t="shared" si="48"/>
        <v>9.7222222222222293E-3</v>
      </c>
      <c r="H3131" s="54">
        <v>41732</v>
      </c>
      <c r="I3131" s="55" t="s">
        <v>551</v>
      </c>
      <c r="J3131" s="55" t="s">
        <v>572</v>
      </c>
      <c r="K3131" s="55">
        <f>VLOOKUP(J3131,'Validacion reclamo de equipaje'!L:M,2,0)</f>
        <v>142</v>
      </c>
      <c r="L3131" s="55" t="str">
        <f>VLOOKUP(I3131,'Validacion reclamo de equipaje'!H:I,2,0)</f>
        <v>Nacional</v>
      </c>
      <c r="M3131" s="55" t="s">
        <v>523</v>
      </c>
    </row>
    <row r="3132" spans="1:13" x14ac:dyDescent="0.25">
      <c r="A3132">
        <v>627</v>
      </c>
      <c r="B3132" s="47" t="str">
        <f>VLOOKUP(Tabla6[[#This Row],['# Vuelo]],'Validacion reclamo de equipaje'!P:Q,2,0)</f>
        <v>BARATA Y MORADA</v>
      </c>
      <c r="C3132" s="48">
        <v>0.54513888888888895</v>
      </c>
      <c r="D3132" s="48">
        <v>0.54861111111111105</v>
      </c>
      <c r="E3132" s="49">
        <f>'Reclamo de equipaje rediseñado'!$D3132-'Reclamo de equipaje rediseñado'!$C3132</f>
        <v>3.4722222222220989E-3</v>
      </c>
      <c r="F3132" s="48">
        <v>0.5625</v>
      </c>
      <c r="G3132" s="49">
        <f t="shared" si="48"/>
        <v>1.3888888888888951E-2</v>
      </c>
      <c r="H3132" s="50">
        <v>41737</v>
      </c>
      <c r="I3132" s="51" t="s">
        <v>551</v>
      </c>
      <c r="J3132" s="51" t="s">
        <v>572</v>
      </c>
      <c r="K3132" s="51">
        <f>VLOOKUP(J3132,'Validacion reclamo de equipaje'!L:M,2,0)</f>
        <v>142</v>
      </c>
      <c r="L3132" s="51" t="str">
        <f>VLOOKUP(I3132,'Validacion reclamo de equipaje'!H:I,2,0)</f>
        <v>Nacional</v>
      </c>
      <c r="M3132" s="51" t="s">
        <v>523</v>
      </c>
    </row>
    <row r="3133" spans="1:13" x14ac:dyDescent="0.25">
      <c r="A3133">
        <v>627</v>
      </c>
      <c r="B3133" s="47" t="str">
        <f>VLOOKUP(Tabla6[[#This Row],['# Vuelo]],'Validacion reclamo de equipaje'!P:Q,2,0)</f>
        <v>BARATA Y MORADA</v>
      </c>
      <c r="C3133" s="52">
        <v>0.55694444444444446</v>
      </c>
      <c r="D3133" s="52">
        <v>0.56111111111111112</v>
      </c>
      <c r="E3133" s="53">
        <f>'Reclamo de equipaje rediseñado'!$D3133-'Reclamo de equipaje rediseñado'!$C3133</f>
        <v>4.1666666666666519E-3</v>
      </c>
      <c r="F3133" s="52">
        <v>0.56597222222222221</v>
      </c>
      <c r="G3133" s="53">
        <f t="shared" si="48"/>
        <v>4.8611111111110938E-3</v>
      </c>
      <c r="H3133" s="54">
        <v>41739</v>
      </c>
      <c r="I3133" s="55" t="s">
        <v>551</v>
      </c>
      <c r="J3133" s="55" t="s">
        <v>572</v>
      </c>
      <c r="K3133" s="55">
        <f>VLOOKUP(J3133,'Validacion reclamo de equipaje'!L:M,2,0)</f>
        <v>142</v>
      </c>
      <c r="L3133" s="55" t="str">
        <f>VLOOKUP(I3133,'Validacion reclamo de equipaje'!H:I,2,0)</f>
        <v>Nacional</v>
      </c>
      <c r="M3133" s="55" t="s">
        <v>523</v>
      </c>
    </row>
    <row r="3134" spans="1:13" x14ac:dyDescent="0.25">
      <c r="A3134">
        <v>627</v>
      </c>
      <c r="B3134" s="47" t="str">
        <f>VLOOKUP(Tabla6[[#This Row],['# Vuelo]],'Validacion reclamo de equipaje'!P:Q,2,0)</f>
        <v>BARATA Y MORADA</v>
      </c>
      <c r="C3134" s="48">
        <v>0.54999999999999993</v>
      </c>
      <c r="D3134" s="48">
        <v>0.55833333333333335</v>
      </c>
      <c r="E3134" s="49">
        <f>'Reclamo de equipaje rediseñado'!$D3134-'Reclamo de equipaje rediseñado'!$C3134</f>
        <v>8.3333333333334147E-3</v>
      </c>
      <c r="F3134" s="48">
        <v>0.56597222222222221</v>
      </c>
      <c r="G3134" s="49">
        <f t="shared" si="48"/>
        <v>7.6388888888888618E-3</v>
      </c>
      <c r="H3134" s="50">
        <v>41742</v>
      </c>
      <c r="I3134" s="51" t="s">
        <v>551</v>
      </c>
      <c r="J3134" s="51" t="s">
        <v>572</v>
      </c>
      <c r="K3134" s="51">
        <f>VLOOKUP(J3134,'Validacion reclamo de equipaje'!L:M,2,0)</f>
        <v>142</v>
      </c>
      <c r="L3134" s="51" t="str">
        <f>VLOOKUP(I3134,'Validacion reclamo de equipaje'!H:I,2,0)</f>
        <v>Nacional</v>
      </c>
      <c r="M3134" s="51" t="s">
        <v>523</v>
      </c>
    </row>
    <row r="3135" spans="1:13" x14ac:dyDescent="0.25">
      <c r="A3135">
        <v>627</v>
      </c>
      <c r="B3135" s="47" t="str">
        <f>VLOOKUP(Tabla6[[#This Row],['# Vuelo]],'Validacion reclamo de equipaje'!P:Q,2,0)</f>
        <v>BARATA Y MORADA</v>
      </c>
      <c r="C3135" s="52">
        <v>0.55208333333333337</v>
      </c>
      <c r="D3135" s="52">
        <v>0.55902777777777779</v>
      </c>
      <c r="E3135" s="53">
        <f>'Reclamo de equipaje rediseñado'!$D3135-'Reclamo de equipaje rediseñado'!$C3135</f>
        <v>6.9444444444444198E-3</v>
      </c>
      <c r="F3135" s="52">
        <v>0.56527777777777777</v>
      </c>
      <c r="G3135" s="53">
        <f t="shared" si="48"/>
        <v>6.2499999999999778E-3</v>
      </c>
      <c r="H3135" s="54">
        <v>41746</v>
      </c>
      <c r="I3135" s="55" t="s">
        <v>551</v>
      </c>
      <c r="J3135" s="55" t="s">
        <v>572</v>
      </c>
      <c r="K3135" s="55">
        <f>VLOOKUP(J3135,'Validacion reclamo de equipaje'!L:M,2,0)</f>
        <v>142</v>
      </c>
      <c r="L3135" s="55" t="str">
        <f>VLOOKUP(I3135,'Validacion reclamo de equipaje'!H:I,2,0)</f>
        <v>Nacional</v>
      </c>
      <c r="M3135" s="55" t="s">
        <v>523</v>
      </c>
    </row>
    <row r="3136" spans="1:13" x14ac:dyDescent="0.25">
      <c r="A3136">
        <v>627</v>
      </c>
      <c r="B3136" s="47" t="str">
        <f>VLOOKUP(Tabla6[[#This Row],['# Vuelo]],'Validacion reclamo de equipaje'!P:Q,2,0)</f>
        <v>BARATA Y MORADA</v>
      </c>
      <c r="C3136" s="48">
        <v>0.54861111111111105</v>
      </c>
      <c r="D3136" s="48">
        <v>0.55347222222222225</v>
      </c>
      <c r="E3136" s="49">
        <f>'Reclamo de equipaje rediseñado'!$D3136-'Reclamo de equipaje rediseñado'!$C3136</f>
        <v>4.8611111111112049E-3</v>
      </c>
      <c r="F3136" s="48">
        <v>0.56111111111111112</v>
      </c>
      <c r="G3136" s="49">
        <f t="shared" si="48"/>
        <v>7.6388888888888618E-3</v>
      </c>
      <c r="H3136" s="50">
        <v>41748</v>
      </c>
      <c r="I3136" s="51" t="s">
        <v>551</v>
      </c>
      <c r="J3136" s="51" t="s">
        <v>572</v>
      </c>
      <c r="K3136" s="51">
        <f>VLOOKUP(J3136,'Validacion reclamo de equipaje'!L:M,2,0)</f>
        <v>142</v>
      </c>
      <c r="L3136" s="51" t="str">
        <f>VLOOKUP(I3136,'Validacion reclamo de equipaje'!H:I,2,0)</f>
        <v>Nacional</v>
      </c>
      <c r="M3136" s="51" t="s">
        <v>523</v>
      </c>
    </row>
    <row r="3137" spans="1:13" x14ac:dyDescent="0.25">
      <c r="A3137">
        <v>627</v>
      </c>
      <c r="B3137" s="47" t="str">
        <f>VLOOKUP(Tabla6[[#This Row],['# Vuelo]],'Validacion reclamo de equipaje'!P:Q,2,0)</f>
        <v>BARATA Y MORADA</v>
      </c>
      <c r="C3137" s="52">
        <v>0.94027777777777777</v>
      </c>
      <c r="D3137" s="52">
        <v>0.94861111111111107</v>
      </c>
      <c r="E3137" s="53">
        <f>'Reclamo de equipaje rediseñado'!$D3137-'Reclamo de equipaje rediseñado'!$C3137</f>
        <v>8.3333333333333037E-3</v>
      </c>
      <c r="F3137" s="52">
        <v>0.96111111111111114</v>
      </c>
      <c r="G3137" s="53">
        <f t="shared" si="48"/>
        <v>1.2500000000000067E-2</v>
      </c>
      <c r="H3137" s="54">
        <v>41749</v>
      </c>
      <c r="I3137" s="55" t="s">
        <v>551</v>
      </c>
      <c r="J3137" s="55" t="s">
        <v>572</v>
      </c>
      <c r="K3137" s="55">
        <f>VLOOKUP(J3137,'Validacion reclamo de equipaje'!L:M,2,0)</f>
        <v>142</v>
      </c>
      <c r="L3137" s="55" t="str">
        <f>VLOOKUP(I3137,'Validacion reclamo de equipaje'!H:I,2,0)</f>
        <v>Nacional</v>
      </c>
      <c r="M3137" s="55" t="s">
        <v>523</v>
      </c>
    </row>
    <row r="3138" spans="1:13" x14ac:dyDescent="0.25">
      <c r="A3138">
        <v>627</v>
      </c>
      <c r="B3138" s="47" t="str">
        <f>VLOOKUP(Tabla6[[#This Row],['# Vuelo]],'Validacion reclamo de equipaje'!P:Q,2,0)</f>
        <v>BARATA Y MORADA</v>
      </c>
      <c r="C3138" s="48">
        <v>0.55277777777777781</v>
      </c>
      <c r="D3138" s="48">
        <v>0.56597222222222221</v>
      </c>
      <c r="E3138" s="49">
        <f>'Reclamo de equipaje rediseñado'!$D3138-'Reclamo de equipaje rediseñado'!$C3138</f>
        <v>1.3194444444444398E-2</v>
      </c>
      <c r="F3138" s="48">
        <v>0.5708333333333333</v>
      </c>
      <c r="G3138" s="49">
        <f t="shared" si="48"/>
        <v>4.8611111111110938E-3</v>
      </c>
      <c r="H3138" s="50">
        <v>41753</v>
      </c>
      <c r="I3138" s="51" t="s">
        <v>551</v>
      </c>
      <c r="J3138" s="51" t="s">
        <v>572</v>
      </c>
      <c r="K3138" s="51">
        <f>VLOOKUP(J3138,'Validacion reclamo de equipaje'!L:M,2,0)</f>
        <v>142</v>
      </c>
      <c r="L3138" s="51" t="str">
        <f>VLOOKUP(I3138,'Validacion reclamo de equipaje'!H:I,2,0)</f>
        <v>Nacional</v>
      </c>
      <c r="M3138" s="51" t="s">
        <v>523</v>
      </c>
    </row>
    <row r="3139" spans="1:13" x14ac:dyDescent="0.25">
      <c r="A3139">
        <v>631</v>
      </c>
      <c r="B3139" s="47" t="str">
        <f>VLOOKUP(Tabla6[[#This Row],['# Vuelo]],'Validacion reclamo de equipaje'!P:Q,2,0)</f>
        <v>BARATA Y MORADA</v>
      </c>
      <c r="C3139" s="52">
        <v>0.84097222222222223</v>
      </c>
      <c r="D3139" s="52">
        <v>0.85416666666666663</v>
      </c>
      <c r="E3139" s="53">
        <f>'Reclamo de equipaje rediseñado'!$D3139-'Reclamo de equipaje rediseñado'!$C3139</f>
        <v>1.3194444444444398E-2</v>
      </c>
      <c r="F3139" s="52">
        <v>0.86249999999999993</v>
      </c>
      <c r="G3139" s="53">
        <f t="shared" ref="G3139:G3202" si="49">F3139-D3139</f>
        <v>8.3333333333333037E-3</v>
      </c>
      <c r="H3139" s="54">
        <v>41730</v>
      </c>
      <c r="I3139" s="55">
        <v>620</v>
      </c>
      <c r="J3139" s="55">
        <v>320</v>
      </c>
      <c r="K3139" s="55">
        <f>VLOOKUP(J3139,'Validacion reclamo de equipaje'!L:M,2,0)</f>
        <v>179</v>
      </c>
      <c r="L3139" s="55" t="str">
        <f>VLOOKUP(I3139,'Validacion reclamo de equipaje'!H:I,2,0)</f>
        <v>Nacional</v>
      </c>
      <c r="M3139" s="55" t="s">
        <v>523</v>
      </c>
    </row>
    <row r="3140" spans="1:13" x14ac:dyDescent="0.25">
      <c r="A3140">
        <v>631</v>
      </c>
      <c r="B3140" s="47" t="str">
        <f>VLOOKUP(Tabla6[[#This Row],['# Vuelo]],'Validacion reclamo de equipaje'!P:Q,2,0)</f>
        <v>BARATA Y MORADA</v>
      </c>
      <c r="C3140" s="48">
        <v>0.84027777777777779</v>
      </c>
      <c r="D3140" s="48">
        <v>0.85</v>
      </c>
      <c r="E3140" s="49">
        <f>'Reclamo de equipaje rediseñado'!$D3140-'Reclamo de equipaje rediseñado'!$C3140</f>
        <v>9.7222222222221877E-3</v>
      </c>
      <c r="F3140" s="48">
        <v>0.85416666666666663</v>
      </c>
      <c r="G3140" s="49">
        <f t="shared" si="49"/>
        <v>4.1666666666666519E-3</v>
      </c>
      <c r="H3140" s="50">
        <v>41731</v>
      </c>
      <c r="I3140" s="51">
        <v>620</v>
      </c>
      <c r="J3140" s="51">
        <v>320</v>
      </c>
      <c r="K3140" s="51">
        <f>VLOOKUP(J3140,'Validacion reclamo de equipaje'!L:M,2,0)</f>
        <v>179</v>
      </c>
      <c r="L3140" s="51" t="str">
        <f>VLOOKUP(I3140,'Validacion reclamo de equipaje'!H:I,2,0)</f>
        <v>Nacional</v>
      </c>
      <c r="M3140" s="51" t="s">
        <v>523</v>
      </c>
    </row>
    <row r="3141" spans="1:13" x14ac:dyDescent="0.25">
      <c r="A3141">
        <v>631</v>
      </c>
      <c r="B3141" s="47" t="str">
        <f>VLOOKUP(Tabla6[[#This Row],['# Vuelo]],'Validacion reclamo de equipaje'!P:Q,2,0)</f>
        <v>BARATA Y MORADA</v>
      </c>
      <c r="C3141" s="52">
        <v>0.84513888888888899</v>
      </c>
      <c r="D3141" s="52">
        <v>0.85486111111111107</v>
      </c>
      <c r="E3141" s="53">
        <f>'Reclamo de equipaje rediseñado'!$D3141-'Reclamo de equipaje rediseñado'!$C3141</f>
        <v>9.7222222222220767E-3</v>
      </c>
      <c r="F3141" s="52">
        <v>0.86041666666666661</v>
      </c>
      <c r="G3141" s="53">
        <f t="shared" si="49"/>
        <v>5.5555555555555358E-3</v>
      </c>
      <c r="H3141" s="54">
        <v>41732</v>
      </c>
      <c r="I3141" s="55">
        <v>620</v>
      </c>
      <c r="J3141" s="55">
        <v>320</v>
      </c>
      <c r="K3141" s="55">
        <f>VLOOKUP(J3141,'Validacion reclamo de equipaje'!L:M,2,0)</f>
        <v>179</v>
      </c>
      <c r="L3141" s="55" t="str">
        <f>VLOOKUP(I3141,'Validacion reclamo de equipaje'!H:I,2,0)</f>
        <v>Nacional</v>
      </c>
      <c r="M3141" s="55" t="s">
        <v>523</v>
      </c>
    </row>
    <row r="3142" spans="1:13" x14ac:dyDescent="0.25">
      <c r="A3142">
        <v>631</v>
      </c>
      <c r="B3142" s="47" t="str">
        <f>VLOOKUP(Tabla6[[#This Row],['# Vuelo]],'Validacion reclamo de equipaje'!P:Q,2,0)</f>
        <v>BARATA Y MORADA</v>
      </c>
      <c r="C3142" s="48">
        <v>0.88124999999999998</v>
      </c>
      <c r="D3142" s="48">
        <v>0.89027777777777783</v>
      </c>
      <c r="E3142" s="49">
        <f>'Reclamo de equipaje rediseñado'!$D3142-'Reclamo de equipaje rediseñado'!$C3142</f>
        <v>9.0277777777778567E-3</v>
      </c>
      <c r="F3142" s="48">
        <v>0.90138888888888891</v>
      </c>
      <c r="G3142" s="49">
        <f t="shared" si="49"/>
        <v>1.1111111111111072E-2</v>
      </c>
      <c r="H3142" s="50">
        <v>41734</v>
      </c>
      <c r="I3142" s="51">
        <v>620</v>
      </c>
      <c r="J3142" s="51">
        <v>320</v>
      </c>
      <c r="K3142" s="51">
        <f>VLOOKUP(J3142,'Validacion reclamo de equipaje'!L:M,2,0)</f>
        <v>179</v>
      </c>
      <c r="L3142" s="51" t="str">
        <f>VLOOKUP(I3142,'Validacion reclamo de equipaje'!H:I,2,0)</f>
        <v>Nacional</v>
      </c>
      <c r="M3142" s="51" t="s">
        <v>523</v>
      </c>
    </row>
    <row r="3143" spans="1:13" x14ac:dyDescent="0.25">
      <c r="A3143">
        <v>631</v>
      </c>
      <c r="B3143" s="47" t="str">
        <f>VLOOKUP(Tabla6[[#This Row],['# Vuelo]],'Validacion reclamo de equipaje'!P:Q,2,0)</f>
        <v>BARATA Y MORADA</v>
      </c>
      <c r="C3143" s="52">
        <v>0.34027777777777773</v>
      </c>
      <c r="D3143" s="52">
        <v>0.34375</v>
      </c>
      <c r="E3143" s="53">
        <f>'Reclamo de equipaje rediseñado'!$D3143-'Reclamo de equipaje rediseñado'!$C3143</f>
        <v>3.4722222222222654E-3</v>
      </c>
      <c r="F3143" s="52">
        <v>0.3888888888888889</v>
      </c>
      <c r="G3143" s="53">
        <f t="shared" si="49"/>
        <v>4.5138888888888895E-2</v>
      </c>
      <c r="H3143" s="54">
        <v>41735</v>
      </c>
      <c r="I3143" s="55">
        <v>620</v>
      </c>
      <c r="J3143" s="55">
        <v>320</v>
      </c>
      <c r="K3143" s="55">
        <f>VLOOKUP(J3143,'Validacion reclamo de equipaje'!L:M,2,0)</f>
        <v>179</v>
      </c>
      <c r="L3143" s="55" t="str">
        <f>VLOOKUP(I3143,'Validacion reclamo de equipaje'!H:I,2,0)</f>
        <v>Nacional</v>
      </c>
      <c r="M3143" s="55" t="s">
        <v>523</v>
      </c>
    </row>
    <row r="3144" spans="1:13" x14ac:dyDescent="0.25">
      <c r="A3144">
        <v>631</v>
      </c>
      <c r="B3144" s="47" t="str">
        <f>VLOOKUP(Tabla6[[#This Row],['# Vuelo]],'Validacion reclamo de equipaje'!P:Q,2,0)</f>
        <v>BARATA Y MORADA</v>
      </c>
      <c r="C3144" s="48">
        <v>0.83333333333333337</v>
      </c>
      <c r="D3144" s="48">
        <v>0.84166666666666667</v>
      </c>
      <c r="E3144" s="49">
        <f>'Reclamo de equipaje rediseñado'!$D3144-'Reclamo de equipaje rediseñado'!$C3144</f>
        <v>8.3333333333333037E-3</v>
      </c>
      <c r="F3144" s="48">
        <v>0.84722222222222221</v>
      </c>
      <c r="G3144" s="49">
        <f t="shared" si="49"/>
        <v>5.5555555555555358E-3</v>
      </c>
      <c r="H3144" s="50">
        <v>41736</v>
      </c>
      <c r="I3144" s="51">
        <v>620</v>
      </c>
      <c r="J3144" s="51">
        <v>320</v>
      </c>
      <c r="K3144" s="51">
        <f>VLOOKUP(J3144,'Validacion reclamo de equipaje'!L:M,2,0)</f>
        <v>179</v>
      </c>
      <c r="L3144" s="51" t="str">
        <f>VLOOKUP(I3144,'Validacion reclamo de equipaje'!H:I,2,0)</f>
        <v>Nacional</v>
      </c>
      <c r="M3144" s="51" t="s">
        <v>523</v>
      </c>
    </row>
    <row r="3145" spans="1:13" x14ac:dyDescent="0.25">
      <c r="A3145">
        <v>631</v>
      </c>
      <c r="B3145" s="47" t="str">
        <f>VLOOKUP(Tabla6[[#This Row],['# Vuelo]],'Validacion reclamo de equipaje'!P:Q,2,0)</f>
        <v>BARATA Y MORADA</v>
      </c>
      <c r="C3145" s="52">
        <v>0.84652777777777777</v>
      </c>
      <c r="D3145" s="52">
        <v>0.86041666666666661</v>
      </c>
      <c r="E3145" s="53">
        <f>'Reclamo de equipaje rediseñado'!$D3145-'Reclamo de equipaje rediseñado'!$C3145</f>
        <v>1.388888888888884E-2</v>
      </c>
      <c r="F3145" s="52">
        <v>0.86388888888888893</v>
      </c>
      <c r="G3145" s="53">
        <f t="shared" si="49"/>
        <v>3.4722222222223209E-3</v>
      </c>
      <c r="H3145" s="54">
        <v>41736</v>
      </c>
      <c r="I3145" s="55">
        <v>620</v>
      </c>
      <c r="J3145" s="55">
        <v>320</v>
      </c>
      <c r="K3145" s="55">
        <f>VLOOKUP(J3145,'Validacion reclamo de equipaje'!L:M,2,0)</f>
        <v>179</v>
      </c>
      <c r="L3145" s="55" t="str">
        <f>VLOOKUP(I3145,'Validacion reclamo de equipaje'!H:I,2,0)</f>
        <v>Nacional</v>
      </c>
      <c r="M3145" s="55" t="s">
        <v>523</v>
      </c>
    </row>
    <row r="3146" spans="1:13" x14ac:dyDescent="0.25">
      <c r="A3146">
        <v>631</v>
      </c>
      <c r="B3146" s="47" t="str">
        <f>VLOOKUP(Tabla6[[#This Row],['# Vuelo]],'Validacion reclamo de equipaje'!P:Q,2,0)</f>
        <v>BARATA Y MORADA</v>
      </c>
      <c r="C3146" s="48">
        <v>0.83472222222222225</v>
      </c>
      <c r="D3146" s="48">
        <v>0.84444444444444444</v>
      </c>
      <c r="E3146" s="49">
        <f>'Reclamo de equipaje rediseñado'!$D3146-'Reclamo de equipaje rediseñado'!$C3146</f>
        <v>9.7222222222221877E-3</v>
      </c>
      <c r="F3146" s="48">
        <v>0.84930555555555554</v>
      </c>
      <c r="G3146" s="49">
        <f t="shared" si="49"/>
        <v>4.8611111111110938E-3</v>
      </c>
      <c r="H3146" s="50">
        <v>41738</v>
      </c>
      <c r="I3146" s="51">
        <v>620</v>
      </c>
      <c r="J3146" s="51">
        <v>320</v>
      </c>
      <c r="K3146" s="51">
        <f>VLOOKUP(J3146,'Validacion reclamo de equipaje'!L:M,2,0)</f>
        <v>179</v>
      </c>
      <c r="L3146" s="51" t="str">
        <f>VLOOKUP(I3146,'Validacion reclamo de equipaje'!H:I,2,0)</f>
        <v>Nacional</v>
      </c>
      <c r="M3146" s="51" t="s">
        <v>523</v>
      </c>
    </row>
    <row r="3147" spans="1:13" x14ac:dyDescent="0.25">
      <c r="A3147">
        <v>631</v>
      </c>
      <c r="B3147" s="47" t="str">
        <f>VLOOKUP(Tabla6[[#This Row],['# Vuelo]],'Validacion reclamo de equipaje'!P:Q,2,0)</f>
        <v>BARATA Y MORADA</v>
      </c>
      <c r="C3147" s="52">
        <v>0.83472222222222225</v>
      </c>
      <c r="D3147" s="52">
        <v>0.84027777777777779</v>
      </c>
      <c r="E3147" s="53">
        <f>'Reclamo de equipaje rediseñado'!$D3147-'Reclamo de equipaje rediseñado'!$C3147</f>
        <v>5.5555555555555358E-3</v>
      </c>
      <c r="F3147" s="52">
        <v>0.85</v>
      </c>
      <c r="G3147" s="53">
        <f t="shared" si="49"/>
        <v>9.7222222222221877E-3</v>
      </c>
      <c r="H3147" s="54">
        <v>41740</v>
      </c>
      <c r="I3147" s="55">
        <v>620</v>
      </c>
      <c r="J3147" s="55">
        <v>320</v>
      </c>
      <c r="K3147" s="55">
        <f>VLOOKUP(J3147,'Validacion reclamo de equipaje'!L:M,2,0)</f>
        <v>179</v>
      </c>
      <c r="L3147" s="55" t="str">
        <f>VLOOKUP(I3147,'Validacion reclamo de equipaje'!H:I,2,0)</f>
        <v>Nacional</v>
      </c>
      <c r="M3147" s="55" t="s">
        <v>523</v>
      </c>
    </row>
    <row r="3148" spans="1:13" x14ac:dyDescent="0.25">
      <c r="A3148">
        <v>631</v>
      </c>
      <c r="B3148" s="47" t="str">
        <f>VLOOKUP(Tabla6[[#This Row],['# Vuelo]],'Validacion reclamo de equipaje'!P:Q,2,0)</f>
        <v>BARATA Y MORADA</v>
      </c>
      <c r="C3148" s="48">
        <v>0.84375</v>
      </c>
      <c r="D3148" s="48">
        <v>0.85416666666666663</v>
      </c>
      <c r="E3148" s="49">
        <f>'Reclamo de equipaje rediseñado'!$D3148-'Reclamo de equipaje rediseñado'!$C3148</f>
        <v>1.041666666666663E-2</v>
      </c>
      <c r="F3148" s="48">
        <v>0.8652777777777777</v>
      </c>
      <c r="G3148" s="49">
        <f t="shared" si="49"/>
        <v>1.1111111111111072E-2</v>
      </c>
      <c r="H3148" s="50">
        <v>41741</v>
      </c>
      <c r="I3148" s="51">
        <v>620</v>
      </c>
      <c r="J3148" s="51">
        <v>320</v>
      </c>
      <c r="K3148" s="51">
        <f>VLOOKUP(J3148,'Validacion reclamo de equipaje'!L:M,2,0)</f>
        <v>179</v>
      </c>
      <c r="L3148" s="51" t="str">
        <f>VLOOKUP(I3148,'Validacion reclamo de equipaje'!H:I,2,0)</f>
        <v>Nacional</v>
      </c>
      <c r="M3148" s="51" t="s">
        <v>523</v>
      </c>
    </row>
    <row r="3149" spans="1:13" x14ac:dyDescent="0.25">
      <c r="A3149">
        <v>631</v>
      </c>
      <c r="B3149" s="47" t="str">
        <f>VLOOKUP(Tabla6[[#This Row],['# Vuelo]],'Validacion reclamo de equipaje'!P:Q,2,0)</f>
        <v>BARATA Y MORADA</v>
      </c>
      <c r="C3149" s="52">
        <v>0.84097222222222223</v>
      </c>
      <c r="D3149" s="52">
        <v>0.85416666666666663</v>
      </c>
      <c r="E3149" s="53">
        <f>'Reclamo de equipaje rediseñado'!$D3149-'Reclamo de equipaje rediseñado'!$C3149</f>
        <v>1.3194444444444398E-2</v>
      </c>
      <c r="F3149" s="52">
        <v>0.86249999999999993</v>
      </c>
      <c r="G3149" s="53">
        <f t="shared" si="49"/>
        <v>8.3333333333333037E-3</v>
      </c>
      <c r="H3149" s="54">
        <v>41742</v>
      </c>
      <c r="I3149" s="55">
        <v>620</v>
      </c>
      <c r="J3149" s="55">
        <v>320</v>
      </c>
      <c r="K3149" s="55">
        <f>VLOOKUP(J3149,'Validacion reclamo de equipaje'!L:M,2,0)</f>
        <v>179</v>
      </c>
      <c r="L3149" s="55" t="str">
        <f>VLOOKUP(I3149,'Validacion reclamo de equipaje'!H:I,2,0)</f>
        <v>Nacional</v>
      </c>
      <c r="M3149" s="55" t="s">
        <v>523</v>
      </c>
    </row>
    <row r="3150" spans="1:13" x14ac:dyDescent="0.25">
      <c r="A3150">
        <v>631</v>
      </c>
      <c r="B3150" s="47" t="str">
        <f>VLOOKUP(Tabla6[[#This Row],['# Vuelo]],'Validacion reclamo de equipaje'!P:Q,2,0)</f>
        <v>BARATA Y MORADA</v>
      </c>
      <c r="C3150" s="48">
        <v>0.82916666666666661</v>
      </c>
      <c r="D3150" s="48">
        <v>0.84027777777777779</v>
      </c>
      <c r="E3150" s="49">
        <f>'Reclamo de equipaje rediseñado'!$D3150-'Reclamo de equipaje rediseñado'!$C3150</f>
        <v>1.1111111111111183E-2</v>
      </c>
      <c r="F3150" s="48">
        <v>0.85</v>
      </c>
      <c r="G3150" s="49">
        <f t="shared" si="49"/>
        <v>9.7222222222221877E-3</v>
      </c>
      <c r="H3150" s="50">
        <v>41743</v>
      </c>
      <c r="I3150" s="51">
        <v>620</v>
      </c>
      <c r="J3150" s="51">
        <v>320</v>
      </c>
      <c r="K3150" s="51">
        <f>VLOOKUP(J3150,'Validacion reclamo de equipaje'!L:M,2,0)</f>
        <v>179</v>
      </c>
      <c r="L3150" s="51" t="str">
        <f>VLOOKUP(I3150,'Validacion reclamo de equipaje'!H:I,2,0)</f>
        <v>Nacional</v>
      </c>
      <c r="M3150" s="51" t="s">
        <v>523</v>
      </c>
    </row>
    <row r="3151" spans="1:13" x14ac:dyDescent="0.25">
      <c r="A3151">
        <v>631</v>
      </c>
      <c r="B3151" s="47" t="str">
        <f>VLOOKUP(Tabla6[[#This Row],['# Vuelo]],'Validacion reclamo de equipaje'!P:Q,2,0)</f>
        <v>BARATA Y MORADA</v>
      </c>
      <c r="C3151" s="52">
        <v>0.84305555555555556</v>
      </c>
      <c r="D3151" s="52">
        <v>0.8666666666666667</v>
      </c>
      <c r="E3151" s="53">
        <f>'Reclamo de equipaje rediseñado'!$D3151-'Reclamo de equipaje rediseñado'!$C3151</f>
        <v>2.3611111111111138E-2</v>
      </c>
      <c r="F3151" s="52">
        <v>0.86875000000000002</v>
      </c>
      <c r="G3151" s="53">
        <f t="shared" si="49"/>
        <v>2.0833333333333259E-3</v>
      </c>
      <c r="H3151" s="54">
        <v>41745</v>
      </c>
      <c r="I3151" s="55">
        <v>620</v>
      </c>
      <c r="J3151" s="55">
        <v>320</v>
      </c>
      <c r="K3151" s="55">
        <f>VLOOKUP(J3151,'Validacion reclamo de equipaje'!L:M,2,0)</f>
        <v>179</v>
      </c>
      <c r="L3151" s="55" t="str">
        <f>VLOOKUP(I3151,'Validacion reclamo de equipaje'!H:I,2,0)</f>
        <v>Nacional</v>
      </c>
      <c r="M3151" s="55" t="s">
        <v>523</v>
      </c>
    </row>
    <row r="3152" spans="1:13" x14ac:dyDescent="0.25">
      <c r="A3152">
        <v>631</v>
      </c>
      <c r="B3152" s="47" t="str">
        <f>VLOOKUP(Tabla6[[#This Row],['# Vuelo]],'Validacion reclamo de equipaje'!P:Q,2,0)</f>
        <v>BARATA Y MORADA</v>
      </c>
      <c r="C3152" s="48">
        <v>0.85277777777777775</v>
      </c>
      <c r="D3152" s="48">
        <v>0.86111111111111116</v>
      </c>
      <c r="E3152" s="49">
        <f>'Reclamo de equipaje rediseñado'!$D3152-'Reclamo de equipaje rediseñado'!$C3152</f>
        <v>8.3333333333334147E-3</v>
      </c>
      <c r="F3152" s="48">
        <v>0.87152777777777779</v>
      </c>
      <c r="G3152" s="49">
        <f t="shared" si="49"/>
        <v>1.041666666666663E-2</v>
      </c>
      <c r="H3152" s="50">
        <v>41744</v>
      </c>
      <c r="I3152" s="51">
        <v>620</v>
      </c>
      <c r="J3152" s="51">
        <v>320</v>
      </c>
      <c r="K3152" s="51">
        <f>VLOOKUP(J3152,'Validacion reclamo de equipaje'!L:M,2,0)</f>
        <v>179</v>
      </c>
      <c r="L3152" s="51" t="str">
        <f>VLOOKUP(I3152,'Validacion reclamo de equipaje'!H:I,2,0)</f>
        <v>Nacional</v>
      </c>
      <c r="M3152" s="51" t="s">
        <v>523</v>
      </c>
    </row>
    <row r="3153" spans="1:13" x14ac:dyDescent="0.25">
      <c r="A3153">
        <v>631</v>
      </c>
      <c r="B3153" s="47" t="str">
        <f>VLOOKUP(Tabla6[[#This Row],['# Vuelo]],'Validacion reclamo de equipaje'!P:Q,2,0)</f>
        <v>BARATA Y MORADA</v>
      </c>
      <c r="C3153" s="52">
        <v>0.84027777777777779</v>
      </c>
      <c r="D3153" s="52">
        <v>0.85555555555555562</v>
      </c>
      <c r="E3153" s="53">
        <f>'Reclamo de equipaje rediseñado'!$D3153-'Reclamo de equipaje rediseñado'!$C3153</f>
        <v>1.5277777777777835E-2</v>
      </c>
      <c r="F3153" s="52">
        <v>0.86805555555555547</v>
      </c>
      <c r="G3153" s="53">
        <f t="shared" si="49"/>
        <v>1.2499999999999845E-2</v>
      </c>
      <c r="H3153" s="54">
        <v>41746</v>
      </c>
      <c r="I3153" s="55">
        <v>620</v>
      </c>
      <c r="J3153" s="55">
        <v>320</v>
      </c>
      <c r="K3153" s="55">
        <f>VLOOKUP(J3153,'Validacion reclamo de equipaje'!L:M,2,0)</f>
        <v>179</v>
      </c>
      <c r="L3153" s="55" t="str">
        <f>VLOOKUP(I3153,'Validacion reclamo de equipaje'!H:I,2,0)</f>
        <v>Nacional</v>
      </c>
      <c r="M3153" s="55" t="s">
        <v>523</v>
      </c>
    </row>
    <row r="3154" spans="1:13" x14ac:dyDescent="0.25">
      <c r="A3154">
        <v>631</v>
      </c>
      <c r="B3154" s="47" t="str">
        <f>VLOOKUP(Tabla6[[#This Row],['# Vuelo]],'Validacion reclamo de equipaje'!P:Q,2,0)</f>
        <v>BARATA Y MORADA</v>
      </c>
      <c r="C3154" s="48">
        <v>0.82777777777777783</v>
      </c>
      <c r="D3154" s="48">
        <v>0.83888888888888891</v>
      </c>
      <c r="E3154" s="49">
        <f>'Reclamo de equipaje rediseñado'!$D3154-'Reclamo de equipaje rediseñado'!$C3154</f>
        <v>1.1111111111111072E-2</v>
      </c>
      <c r="F3154" s="48">
        <v>0.85625000000000007</v>
      </c>
      <c r="G3154" s="49">
        <f t="shared" si="49"/>
        <v>1.736111111111116E-2</v>
      </c>
      <c r="H3154" s="50">
        <v>41749</v>
      </c>
      <c r="I3154" s="51">
        <v>620</v>
      </c>
      <c r="J3154" s="51">
        <v>320</v>
      </c>
      <c r="K3154" s="51">
        <f>VLOOKUP(J3154,'Validacion reclamo de equipaje'!L:M,2,0)</f>
        <v>179</v>
      </c>
      <c r="L3154" s="51" t="str">
        <f>VLOOKUP(I3154,'Validacion reclamo de equipaje'!H:I,2,0)</f>
        <v>Nacional</v>
      </c>
      <c r="M3154" s="51" t="s">
        <v>523</v>
      </c>
    </row>
    <row r="3155" spans="1:13" x14ac:dyDescent="0.25">
      <c r="A3155">
        <v>631</v>
      </c>
      <c r="B3155" s="47" t="str">
        <f>VLOOKUP(Tabla6[[#This Row],['# Vuelo]],'Validacion reclamo de equipaje'!P:Q,2,0)</f>
        <v>BARATA Y MORADA</v>
      </c>
      <c r="C3155" s="52">
        <v>0.84027777777777779</v>
      </c>
      <c r="D3155" s="52">
        <v>0.84861111111111109</v>
      </c>
      <c r="E3155" s="53">
        <f>'Reclamo de equipaje rediseñado'!$D3155-'Reclamo de equipaje rediseñado'!$C3155</f>
        <v>8.3333333333333037E-3</v>
      </c>
      <c r="F3155" s="52">
        <v>0.86458333333333337</v>
      </c>
      <c r="G3155" s="53">
        <f t="shared" si="49"/>
        <v>1.5972222222222276E-2</v>
      </c>
      <c r="H3155" s="54">
        <v>41749</v>
      </c>
      <c r="I3155" s="55">
        <v>620</v>
      </c>
      <c r="J3155" s="55">
        <v>320</v>
      </c>
      <c r="K3155" s="55">
        <f>VLOOKUP(J3155,'Validacion reclamo de equipaje'!L:M,2,0)</f>
        <v>179</v>
      </c>
      <c r="L3155" s="55" t="str">
        <f>VLOOKUP(I3155,'Validacion reclamo de equipaje'!H:I,2,0)</f>
        <v>Nacional</v>
      </c>
      <c r="M3155" s="55" t="s">
        <v>523</v>
      </c>
    </row>
    <row r="3156" spans="1:13" x14ac:dyDescent="0.25">
      <c r="A3156">
        <v>631</v>
      </c>
      <c r="B3156" s="47" t="str">
        <f>VLOOKUP(Tabla6[[#This Row],['# Vuelo]],'Validacion reclamo de equipaje'!P:Q,2,0)</f>
        <v>BARATA Y MORADA</v>
      </c>
      <c r="C3156" s="48">
        <v>0.83333333333333337</v>
      </c>
      <c r="D3156" s="48">
        <v>0.83680555555555547</v>
      </c>
      <c r="E3156" s="49">
        <f>'Reclamo de equipaje rediseñado'!$D3156-'Reclamo de equipaje rediseñado'!$C3156</f>
        <v>3.4722222222220989E-3</v>
      </c>
      <c r="F3156" s="48">
        <v>0.84930555555555554</v>
      </c>
      <c r="G3156" s="49">
        <f t="shared" si="49"/>
        <v>1.2500000000000067E-2</v>
      </c>
      <c r="H3156" s="50">
        <v>41751</v>
      </c>
      <c r="I3156" s="51">
        <v>620</v>
      </c>
      <c r="J3156" s="51">
        <v>320</v>
      </c>
      <c r="K3156" s="51">
        <f>VLOOKUP(J3156,'Validacion reclamo de equipaje'!L:M,2,0)</f>
        <v>179</v>
      </c>
      <c r="L3156" s="51" t="str">
        <f>VLOOKUP(I3156,'Validacion reclamo de equipaje'!H:I,2,0)</f>
        <v>Nacional</v>
      </c>
      <c r="M3156" s="51" t="s">
        <v>523</v>
      </c>
    </row>
    <row r="3157" spans="1:13" x14ac:dyDescent="0.25">
      <c r="A3157">
        <v>631</v>
      </c>
      <c r="B3157" s="47" t="str">
        <f>VLOOKUP(Tabla6[[#This Row],['# Vuelo]],'Validacion reclamo de equipaje'!P:Q,2,0)</f>
        <v>BARATA Y MORADA</v>
      </c>
      <c r="C3157" s="52">
        <v>0.83819444444444446</v>
      </c>
      <c r="D3157" s="52">
        <v>0.84861111111111109</v>
      </c>
      <c r="E3157" s="53">
        <f>'Reclamo de equipaje rediseñado'!$D3157-'Reclamo de equipaje rediseñado'!$C3157</f>
        <v>1.041666666666663E-2</v>
      </c>
      <c r="F3157" s="52">
        <v>0.85625000000000007</v>
      </c>
      <c r="G3157" s="53">
        <f t="shared" si="49"/>
        <v>7.6388888888889728E-3</v>
      </c>
      <c r="H3157" s="54">
        <v>41753</v>
      </c>
      <c r="I3157" s="55">
        <v>620</v>
      </c>
      <c r="J3157" s="55">
        <v>320</v>
      </c>
      <c r="K3157" s="55">
        <f>VLOOKUP(J3157,'Validacion reclamo de equipaje'!L:M,2,0)</f>
        <v>179</v>
      </c>
      <c r="L3157" s="55" t="str">
        <f>VLOOKUP(I3157,'Validacion reclamo de equipaje'!H:I,2,0)</f>
        <v>Nacional</v>
      </c>
      <c r="M3157" s="55" t="s">
        <v>523</v>
      </c>
    </row>
    <row r="3158" spans="1:13" x14ac:dyDescent="0.25">
      <c r="A3158">
        <v>631</v>
      </c>
      <c r="B3158" s="47" t="str">
        <f>VLOOKUP(Tabla6[[#This Row],['# Vuelo]],'Validacion reclamo de equipaje'!P:Q,2,0)</f>
        <v>BARATA Y MORADA</v>
      </c>
      <c r="C3158" s="48">
        <v>0.87847222222222221</v>
      </c>
      <c r="D3158" s="48">
        <v>0.90833333333333333</v>
      </c>
      <c r="E3158" s="49">
        <f>'Reclamo de equipaje rediseñado'!$D3158-'Reclamo de equipaje rediseñado'!$C3158</f>
        <v>2.9861111111111116E-2</v>
      </c>
      <c r="F3158" s="48">
        <v>0.93166666666666664</v>
      </c>
      <c r="G3158" s="49">
        <f t="shared" si="49"/>
        <v>2.3333333333333317E-2</v>
      </c>
      <c r="H3158" s="50">
        <v>41755</v>
      </c>
      <c r="I3158" s="51">
        <v>620</v>
      </c>
      <c r="J3158" s="51">
        <v>320</v>
      </c>
      <c r="K3158" s="51">
        <f>VLOOKUP(J3158,'Validacion reclamo de equipaje'!L:M,2,0)</f>
        <v>179</v>
      </c>
      <c r="L3158" s="51" t="str">
        <f>VLOOKUP(I3158,'Validacion reclamo de equipaje'!H:I,2,0)</f>
        <v>Nacional</v>
      </c>
      <c r="M3158" s="51" t="s">
        <v>523</v>
      </c>
    </row>
    <row r="3159" spans="1:13" x14ac:dyDescent="0.25">
      <c r="A3159">
        <v>631</v>
      </c>
      <c r="B3159" s="47" t="str">
        <f>VLOOKUP(Tabla6[[#This Row],['# Vuelo]],'Validacion reclamo de equipaje'!P:Q,2,0)</f>
        <v>BARATA Y MORADA</v>
      </c>
      <c r="C3159" s="52">
        <v>0.83888888888888891</v>
      </c>
      <c r="D3159" s="52">
        <v>0.8520833333333333</v>
      </c>
      <c r="E3159" s="53">
        <f>'Reclamo de equipaje rediseñado'!$D3159-'Reclamo de equipaje rediseñado'!$C3159</f>
        <v>1.3194444444444398E-2</v>
      </c>
      <c r="F3159" s="52">
        <v>0.8652777777777777</v>
      </c>
      <c r="G3159" s="53">
        <f t="shared" si="49"/>
        <v>1.3194444444444398E-2</v>
      </c>
      <c r="H3159" s="54">
        <v>41757</v>
      </c>
      <c r="I3159" s="55">
        <v>620</v>
      </c>
      <c r="J3159" s="55">
        <v>320</v>
      </c>
      <c r="K3159" s="55">
        <f>VLOOKUP(J3159,'Validacion reclamo de equipaje'!L:M,2,0)</f>
        <v>179</v>
      </c>
      <c r="L3159" s="55" t="str">
        <f>VLOOKUP(I3159,'Validacion reclamo de equipaje'!H:I,2,0)</f>
        <v>Nacional</v>
      </c>
      <c r="M3159" s="55" t="s">
        <v>523</v>
      </c>
    </row>
    <row r="3160" spans="1:13" x14ac:dyDescent="0.25">
      <c r="A3160">
        <v>631</v>
      </c>
      <c r="B3160" s="47" t="str">
        <f>VLOOKUP(Tabla6[[#This Row],['# Vuelo]],'Validacion reclamo de equipaje'!P:Q,2,0)</f>
        <v>BARATA Y MORADA</v>
      </c>
      <c r="C3160" s="48">
        <v>0.83263888888888893</v>
      </c>
      <c r="D3160" s="48">
        <v>0.84166666666666667</v>
      </c>
      <c r="E3160" s="49">
        <f>'Reclamo de equipaje rediseñado'!$D3160-'Reclamo de equipaje rediseñado'!$C3160</f>
        <v>9.0277777777777457E-3</v>
      </c>
      <c r="F3160" s="48">
        <v>0.85416666666666663</v>
      </c>
      <c r="G3160" s="49">
        <f t="shared" si="49"/>
        <v>1.2499999999999956E-2</v>
      </c>
      <c r="H3160" s="50">
        <v>41759</v>
      </c>
      <c r="I3160" s="51">
        <v>620</v>
      </c>
      <c r="J3160" s="51">
        <v>320</v>
      </c>
      <c r="K3160" s="51">
        <f>VLOOKUP(J3160,'Validacion reclamo de equipaje'!L:M,2,0)</f>
        <v>179</v>
      </c>
      <c r="L3160" s="51" t="str">
        <f>VLOOKUP(I3160,'Validacion reclamo de equipaje'!H:I,2,0)</f>
        <v>Nacional</v>
      </c>
      <c r="M3160" s="51" t="s">
        <v>523</v>
      </c>
    </row>
    <row r="3161" spans="1:13" x14ac:dyDescent="0.25">
      <c r="A3161">
        <v>631</v>
      </c>
      <c r="B3161" s="47" t="str">
        <f>VLOOKUP(Tabla6[[#This Row],['# Vuelo]],'Validacion reclamo de equipaje'!P:Q,2,0)</f>
        <v>BARATA Y MORADA</v>
      </c>
      <c r="C3161" s="52">
        <v>0.83819444444444446</v>
      </c>
      <c r="D3161" s="52">
        <v>0.85069444444444453</v>
      </c>
      <c r="E3161" s="53">
        <f>'Reclamo de equipaje rediseñado'!$D3161-'Reclamo de equipaje rediseñado'!$C3161</f>
        <v>1.2500000000000067E-2</v>
      </c>
      <c r="F3161" s="52">
        <v>0.86319444444444438</v>
      </c>
      <c r="G3161" s="53">
        <f t="shared" si="49"/>
        <v>1.2499999999999845E-2</v>
      </c>
      <c r="H3161" s="54">
        <v>41759</v>
      </c>
      <c r="I3161" s="55">
        <v>620</v>
      </c>
      <c r="J3161" s="55">
        <v>320</v>
      </c>
      <c r="K3161" s="55">
        <f>VLOOKUP(J3161,'Validacion reclamo de equipaje'!L:M,2,0)</f>
        <v>179</v>
      </c>
      <c r="L3161" s="55" t="str">
        <f>VLOOKUP(I3161,'Validacion reclamo de equipaje'!H:I,2,0)</f>
        <v>Nacional</v>
      </c>
      <c r="M3161" s="55" t="s">
        <v>523</v>
      </c>
    </row>
    <row r="3162" spans="1:13" x14ac:dyDescent="0.25">
      <c r="A3162">
        <v>633</v>
      </c>
      <c r="B3162" s="47" t="str">
        <f>VLOOKUP(Tabla6[[#This Row],['# Vuelo]],'Validacion reclamo de equipaje'!P:Q,2,0)</f>
        <v>BARATA Y MORADA</v>
      </c>
      <c r="C3162" s="48">
        <v>0.67708333333333337</v>
      </c>
      <c r="D3162" s="48">
        <v>0.68680555555555556</v>
      </c>
      <c r="E3162" s="49">
        <f>'Reclamo de equipaje rediseñado'!$D3162-'Reclamo de equipaje rediseñado'!$C3162</f>
        <v>9.7222222222221877E-3</v>
      </c>
      <c r="F3162" s="48">
        <v>0.70347222222222217</v>
      </c>
      <c r="G3162" s="49">
        <f t="shared" si="49"/>
        <v>1.6666666666666607E-2</v>
      </c>
      <c r="H3162" s="50">
        <v>41730</v>
      </c>
      <c r="I3162" s="51" t="s">
        <v>561</v>
      </c>
      <c r="J3162" s="51" t="s">
        <v>572</v>
      </c>
      <c r="K3162" s="51">
        <f>VLOOKUP(J3162,'Validacion reclamo de equipaje'!L:M,2,0)</f>
        <v>142</v>
      </c>
      <c r="L3162" s="51" t="str">
        <f>VLOOKUP(I3162,'Validacion reclamo de equipaje'!H:I,2,0)</f>
        <v>Nacional</v>
      </c>
      <c r="M3162" s="51" t="s">
        <v>523</v>
      </c>
    </row>
    <row r="3163" spans="1:13" x14ac:dyDescent="0.25">
      <c r="A3163">
        <v>633</v>
      </c>
      <c r="B3163" s="47" t="str">
        <f>VLOOKUP(Tabla6[[#This Row],['# Vuelo]],'Validacion reclamo de equipaje'!P:Q,2,0)</f>
        <v>BARATA Y MORADA</v>
      </c>
      <c r="C3163" s="52">
        <v>0.67499999999999993</v>
      </c>
      <c r="D3163" s="52">
        <v>0.68402777777777779</v>
      </c>
      <c r="E3163" s="53">
        <f>'Reclamo de equipaje rediseñado'!$D3163-'Reclamo de equipaje rediseñado'!$C3163</f>
        <v>9.0277777777778567E-3</v>
      </c>
      <c r="F3163" s="52">
        <v>0.69444444444444453</v>
      </c>
      <c r="G3163" s="53">
        <f t="shared" si="49"/>
        <v>1.0416666666666741E-2</v>
      </c>
      <c r="H3163" s="54">
        <v>41731</v>
      </c>
      <c r="I3163" s="55" t="s">
        <v>561</v>
      </c>
      <c r="J3163" s="55" t="s">
        <v>572</v>
      </c>
      <c r="K3163" s="55">
        <f>VLOOKUP(J3163,'Validacion reclamo de equipaje'!L:M,2,0)</f>
        <v>142</v>
      </c>
      <c r="L3163" s="55" t="str">
        <f>VLOOKUP(I3163,'Validacion reclamo de equipaje'!H:I,2,0)</f>
        <v>Nacional</v>
      </c>
      <c r="M3163" s="55" t="s">
        <v>523</v>
      </c>
    </row>
    <row r="3164" spans="1:13" x14ac:dyDescent="0.25">
      <c r="A3164">
        <v>633</v>
      </c>
      <c r="B3164" s="47" t="str">
        <f>VLOOKUP(Tabla6[[#This Row],['# Vuelo]],'Validacion reclamo de equipaje'!P:Q,2,0)</f>
        <v>BARATA Y MORADA</v>
      </c>
      <c r="C3164" s="48">
        <v>0.68055555555555547</v>
      </c>
      <c r="D3164" s="48">
        <v>0.68680555555555556</v>
      </c>
      <c r="E3164" s="49">
        <f>'Reclamo de equipaje rediseñado'!$D3164-'Reclamo de equipaje rediseñado'!$C3164</f>
        <v>6.2500000000000888E-3</v>
      </c>
      <c r="F3164" s="48">
        <v>0.69513888888888886</v>
      </c>
      <c r="G3164" s="49">
        <f t="shared" si="49"/>
        <v>8.3333333333333037E-3</v>
      </c>
      <c r="H3164" s="50">
        <v>41732</v>
      </c>
      <c r="I3164" s="51" t="s">
        <v>561</v>
      </c>
      <c r="J3164" s="51" t="s">
        <v>572</v>
      </c>
      <c r="K3164" s="51">
        <f>VLOOKUP(J3164,'Validacion reclamo de equipaje'!L:M,2,0)</f>
        <v>142</v>
      </c>
      <c r="L3164" s="51" t="str">
        <f>VLOOKUP(I3164,'Validacion reclamo de equipaje'!H:I,2,0)</f>
        <v>Nacional</v>
      </c>
      <c r="M3164" s="51" t="s">
        <v>523</v>
      </c>
    </row>
    <row r="3165" spans="1:13" x14ac:dyDescent="0.25">
      <c r="A3165">
        <v>633</v>
      </c>
      <c r="B3165" s="47" t="str">
        <f>VLOOKUP(Tabla6[[#This Row],['# Vuelo]],'Validacion reclamo de equipaje'!P:Q,2,0)</f>
        <v>BARATA Y MORADA</v>
      </c>
      <c r="C3165" s="52">
        <v>0.68055555555555547</v>
      </c>
      <c r="D3165" s="52">
        <v>0.6875</v>
      </c>
      <c r="E3165" s="53">
        <f>'Reclamo de equipaje rediseñado'!$D3165-'Reclamo de equipaje rediseñado'!$C3165</f>
        <v>6.9444444444445308E-3</v>
      </c>
      <c r="F3165" s="52">
        <v>0.70138888888888884</v>
      </c>
      <c r="G3165" s="53">
        <f t="shared" si="49"/>
        <v>1.388888888888884E-2</v>
      </c>
      <c r="H3165" s="54">
        <v>41733</v>
      </c>
      <c r="I3165" s="55" t="s">
        <v>561</v>
      </c>
      <c r="J3165" s="55" t="s">
        <v>572</v>
      </c>
      <c r="K3165" s="55">
        <f>VLOOKUP(J3165,'Validacion reclamo de equipaje'!L:M,2,0)</f>
        <v>142</v>
      </c>
      <c r="L3165" s="55" t="str">
        <f>VLOOKUP(I3165,'Validacion reclamo de equipaje'!H:I,2,0)</f>
        <v>Nacional</v>
      </c>
      <c r="M3165" s="55" t="s">
        <v>523</v>
      </c>
    </row>
    <row r="3166" spans="1:13" x14ac:dyDescent="0.25">
      <c r="A3166">
        <v>633</v>
      </c>
      <c r="B3166" s="47" t="str">
        <f>VLOOKUP(Tabla6[[#This Row],['# Vuelo]],'Validacion reclamo de equipaje'!P:Q,2,0)</f>
        <v>BARATA Y MORADA</v>
      </c>
      <c r="C3166" s="48">
        <v>0.6743055555555556</v>
      </c>
      <c r="D3166" s="48">
        <v>0.68055555555555547</v>
      </c>
      <c r="E3166" s="49">
        <f>'Reclamo de equipaje rediseñado'!$D3166-'Reclamo de equipaje rediseñado'!$C3166</f>
        <v>6.2499999999998668E-3</v>
      </c>
      <c r="F3166" s="48">
        <v>0.69791666666666663</v>
      </c>
      <c r="G3166" s="49">
        <f t="shared" si="49"/>
        <v>1.736111111111116E-2</v>
      </c>
      <c r="H3166" s="50">
        <v>41735</v>
      </c>
      <c r="I3166" s="51" t="s">
        <v>561</v>
      </c>
      <c r="J3166" s="51" t="s">
        <v>572</v>
      </c>
      <c r="K3166" s="51">
        <f>VLOOKUP(J3166,'Validacion reclamo de equipaje'!L:M,2,0)</f>
        <v>142</v>
      </c>
      <c r="L3166" s="51" t="str">
        <f>VLOOKUP(I3166,'Validacion reclamo de equipaje'!H:I,2,0)</f>
        <v>Nacional</v>
      </c>
      <c r="M3166" s="51" t="s">
        <v>523</v>
      </c>
    </row>
    <row r="3167" spans="1:13" x14ac:dyDescent="0.25">
      <c r="A3167">
        <v>633</v>
      </c>
      <c r="B3167" s="47" t="str">
        <f>VLOOKUP(Tabla6[[#This Row],['# Vuelo]],'Validacion reclamo de equipaje'!P:Q,2,0)</f>
        <v>BARATA Y MORADA</v>
      </c>
      <c r="C3167" s="52">
        <v>0.93541666666666667</v>
      </c>
      <c r="D3167" s="52">
        <v>0.94444444444444453</v>
      </c>
      <c r="E3167" s="53">
        <f>'Reclamo de equipaje rediseñado'!$D3167-'Reclamo de equipaje rediseñado'!$C3167</f>
        <v>9.0277777777778567E-3</v>
      </c>
      <c r="F3167" s="52">
        <v>0.95208333333333339</v>
      </c>
      <c r="G3167" s="53">
        <f t="shared" si="49"/>
        <v>7.6388888888888618E-3</v>
      </c>
      <c r="H3167" s="54">
        <v>41736</v>
      </c>
      <c r="I3167" s="55" t="s">
        <v>561</v>
      </c>
      <c r="J3167" s="55" t="s">
        <v>572</v>
      </c>
      <c r="K3167" s="55">
        <f>VLOOKUP(J3167,'Validacion reclamo de equipaje'!L:M,2,0)</f>
        <v>142</v>
      </c>
      <c r="L3167" s="55" t="str">
        <f>VLOOKUP(I3167,'Validacion reclamo de equipaje'!H:I,2,0)</f>
        <v>Nacional</v>
      </c>
      <c r="M3167" s="55" t="s">
        <v>523</v>
      </c>
    </row>
    <row r="3168" spans="1:13" x14ac:dyDescent="0.25">
      <c r="A3168">
        <v>633</v>
      </c>
      <c r="B3168" s="47" t="str">
        <f>VLOOKUP(Tabla6[[#This Row],['# Vuelo]],'Validacion reclamo de equipaje'!P:Q,2,0)</f>
        <v>BARATA Y MORADA</v>
      </c>
      <c r="C3168" s="48">
        <v>0.68125000000000002</v>
      </c>
      <c r="D3168" s="48">
        <v>0.68194444444444446</v>
      </c>
      <c r="E3168" s="49">
        <f>'Reclamo de equipaje rediseñado'!$D3168-'Reclamo de equipaje rediseñado'!$C3168</f>
        <v>6.9444444444444198E-4</v>
      </c>
      <c r="F3168" s="48">
        <v>0.6875</v>
      </c>
      <c r="G3168" s="49">
        <f t="shared" si="49"/>
        <v>5.5555555555555358E-3</v>
      </c>
      <c r="H3168" s="50">
        <v>41737</v>
      </c>
      <c r="I3168" s="51" t="s">
        <v>561</v>
      </c>
      <c r="J3168" s="51" t="s">
        <v>572</v>
      </c>
      <c r="K3168" s="51">
        <f>VLOOKUP(J3168,'Validacion reclamo de equipaje'!L:M,2,0)</f>
        <v>142</v>
      </c>
      <c r="L3168" s="51" t="str">
        <f>VLOOKUP(I3168,'Validacion reclamo de equipaje'!H:I,2,0)</f>
        <v>Nacional</v>
      </c>
      <c r="M3168" s="51" t="s">
        <v>523</v>
      </c>
    </row>
    <row r="3169" spans="1:13" x14ac:dyDescent="0.25">
      <c r="A3169">
        <v>633</v>
      </c>
      <c r="B3169" s="47" t="str">
        <f>VLOOKUP(Tabla6[[#This Row],['# Vuelo]],'Validacion reclamo de equipaje'!P:Q,2,0)</f>
        <v>BARATA Y MORADA</v>
      </c>
      <c r="C3169" s="52">
        <v>0.68333333333333324</v>
      </c>
      <c r="D3169" s="52">
        <v>0.68611111111111101</v>
      </c>
      <c r="E3169" s="53">
        <f>'Reclamo de equipaje rediseñado'!$D3169-'Reclamo de equipaje rediseñado'!$C3169</f>
        <v>2.7777777777777679E-3</v>
      </c>
      <c r="F3169" s="52">
        <v>0.69166666666666676</v>
      </c>
      <c r="G3169" s="53">
        <f t="shared" si="49"/>
        <v>5.5555555555557579E-3</v>
      </c>
      <c r="H3169" s="54">
        <v>41738</v>
      </c>
      <c r="I3169" s="55" t="s">
        <v>561</v>
      </c>
      <c r="J3169" s="55" t="s">
        <v>572</v>
      </c>
      <c r="K3169" s="55">
        <f>VLOOKUP(J3169,'Validacion reclamo de equipaje'!L:M,2,0)</f>
        <v>142</v>
      </c>
      <c r="L3169" s="55" t="str">
        <f>VLOOKUP(I3169,'Validacion reclamo de equipaje'!H:I,2,0)</f>
        <v>Nacional</v>
      </c>
      <c r="M3169" s="55" t="s">
        <v>523</v>
      </c>
    </row>
    <row r="3170" spans="1:13" x14ac:dyDescent="0.25">
      <c r="A3170">
        <v>633</v>
      </c>
      <c r="B3170" s="47" t="str">
        <f>VLOOKUP(Tabla6[[#This Row],['# Vuelo]],'Validacion reclamo de equipaje'!P:Q,2,0)</f>
        <v>BARATA Y MORADA</v>
      </c>
      <c r="C3170" s="48">
        <v>0.68680555555555556</v>
      </c>
      <c r="D3170" s="48">
        <v>0.69097222222222221</v>
      </c>
      <c r="E3170" s="49">
        <f>'Reclamo de equipaje rediseñado'!$D3170-'Reclamo de equipaje rediseñado'!$C3170</f>
        <v>4.1666666666666519E-3</v>
      </c>
      <c r="F3170" s="48">
        <v>0.69791666666666663</v>
      </c>
      <c r="G3170" s="49">
        <f t="shared" si="49"/>
        <v>6.9444444444444198E-3</v>
      </c>
      <c r="H3170" s="50">
        <v>41739</v>
      </c>
      <c r="I3170" s="51" t="s">
        <v>561</v>
      </c>
      <c r="J3170" s="51" t="s">
        <v>572</v>
      </c>
      <c r="K3170" s="51">
        <f>VLOOKUP(J3170,'Validacion reclamo de equipaje'!L:M,2,0)</f>
        <v>142</v>
      </c>
      <c r="L3170" s="51" t="str">
        <f>VLOOKUP(I3170,'Validacion reclamo de equipaje'!H:I,2,0)</f>
        <v>Nacional</v>
      </c>
      <c r="M3170" s="51" t="s">
        <v>523</v>
      </c>
    </row>
    <row r="3171" spans="1:13" x14ac:dyDescent="0.25">
      <c r="A3171">
        <v>633</v>
      </c>
      <c r="B3171" s="47" t="str">
        <f>VLOOKUP(Tabla6[[#This Row],['# Vuelo]],'Validacion reclamo de equipaje'!P:Q,2,0)</f>
        <v>BARATA Y MORADA</v>
      </c>
      <c r="C3171" s="52">
        <v>0.58680555555555558</v>
      </c>
      <c r="D3171" s="52">
        <v>0.59722222222222221</v>
      </c>
      <c r="E3171" s="53">
        <f>'Reclamo de equipaje rediseñado'!$D3171-'Reclamo de equipaje rediseñado'!$C3171</f>
        <v>1.041666666666663E-2</v>
      </c>
      <c r="F3171" s="52">
        <v>0.60416666666666663</v>
      </c>
      <c r="G3171" s="53">
        <f t="shared" si="49"/>
        <v>6.9444444444444198E-3</v>
      </c>
      <c r="H3171" s="54">
        <v>41741</v>
      </c>
      <c r="I3171" s="55" t="s">
        <v>561</v>
      </c>
      <c r="J3171" s="55" t="s">
        <v>572</v>
      </c>
      <c r="K3171" s="55">
        <f>VLOOKUP(J3171,'Validacion reclamo de equipaje'!L:M,2,0)</f>
        <v>142</v>
      </c>
      <c r="L3171" s="55" t="str">
        <f>VLOOKUP(I3171,'Validacion reclamo de equipaje'!H:I,2,0)</f>
        <v>Nacional</v>
      </c>
      <c r="M3171" s="55" t="s">
        <v>523</v>
      </c>
    </row>
    <row r="3172" spans="1:13" x14ac:dyDescent="0.25">
      <c r="A3172">
        <v>633</v>
      </c>
      <c r="B3172" s="47" t="str">
        <f>VLOOKUP(Tabla6[[#This Row],['# Vuelo]],'Validacion reclamo de equipaje'!P:Q,2,0)</f>
        <v>BARATA Y MORADA</v>
      </c>
      <c r="C3172" s="48">
        <v>0.67708333333333337</v>
      </c>
      <c r="D3172" s="48">
        <v>0.68680555555555556</v>
      </c>
      <c r="E3172" s="49">
        <f>'Reclamo de equipaje rediseñado'!$D3172-'Reclamo de equipaje rediseñado'!$C3172</f>
        <v>9.7222222222221877E-3</v>
      </c>
      <c r="F3172" s="48">
        <v>0.70347222222222217</v>
      </c>
      <c r="G3172" s="49">
        <f t="shared" si="49"/>
        <v>1.6666666666666607E-2</v>
      </c>
      <c r="H3172" s="50">
        <v>41742</v>
      </c>
      <c r="I3172" s="51" t="s">
        <v>561</v>
      </c>
      <c r="J3172" s="51" t="s">
        <v>572</v>
      </c>
      <c r="K3172" s="51">
        <f>VLOOKUP(J3172,'Validacion reclamo de equipaje'!L:M,2,0)</f>
        <v>142</v>
      </c>
      <c r="L3172" s="51" t="str">
        <f>VLOOKUP(I3172,'Validacion reclamo de equipaje'!H:I,2,0)</f>
        <v>Nacional</v>
      </c>
      <c r="M3172" s="51" t="s">
        <v>523</v>
      </c>
    </row>
    <row r="3173" spans="1:13" x14ac:dyDescent="0.25">
      <c r="A3173">
        <v>633</v>
      </c>
      <c r="B3173" s="47" t="str">
        <f>VLOOKUP(Tabla6[[#This Row],['# Vuelo]],'Validacion reclamo de equipaje'!P:Q,2,0)</f>
        <v>BARATA Y MORADA</v>
      </c>
      <c r="C3173" s="52">
        <v>0.86805555555555547</v>
      </c>
      <c r="D3173" s="52">
        <v>0.88541666666666663</v>
      </c>
      <c r="E3173" s="53">
        <f>'Reclamo de equipaje rediseñado'!$D3173-'Reclamo de equipaje rediseñado'!$C3173</f>
        <v>1.736111111111116E-2</v>
      </c>
      <c r="F3173" s="52">
        <v>0.8881944444444444</v>
      </c>
      <c r="G3173" s="53">
        <f t="shared" si="49"/>
        <v>2.7777777777777679E-3</v>
      </c>
      <c r="H3173" s="54">
        <v>41743</v>
      </c>
      <c r="I3173" s="55" t="s">
        <v>561</v>
      </c>
      <c r="J3173" s="55" t="s">
        <v>572</v>
      </c>
      <c r="K3173" s="55">
        <f>VLOOKUP(J3173,'Validacion reclamo de equipaje'!L:M,2,0)</f>
        <v>142</v>
      </c>
      <c r="L3173" s="55" t="str">
        <f>VLOOKUP(I3173,'Validacion reclamo de equipaje'!H:I,2,0)</f>
        <v>Nacional</v>
      </c>
      <c r="M3173" s="55" t="s">
        <v>523</v>
      </c>
    </row>
    <row r="3174" spans="1:13" x14ac:dyDescent="0.25">
      <c r="A3174">
        <v>633</v>
      </c>
      <c r="B3174" s="47" t="str">
        <f>VLOOKUP(Tabla6[[#This Row],['# Vuelo]],'Validacion reclamo de equipaje'!P:Q,2,0)</f>
        <v>BARATA Y MORADA</v>
      </c>
      <c r="C3174" s="48">
        <v>0.67986111111111114</v>
      </c>
      <c r="D3174" s="48">
        <v>0.6875</v>
      </c>
      <c r="E3174" s="49">
        <f>'Reclamo de equipaje rediseñado'!$D3174-'Reclamo de equipaje rediseñado'!$C3174</f>
        <v>7.6388888888888618E-3</v>
      </c>
      <c r="F3174" s="48">
        <v>0.69236111111111109</v>
      </c>
      <c r="G3174" s="49">
        <f t="shared" si="49"/>
        <v>4.8611111111110938E-3</v>
      </c>
      <c r="H3174" s="50">
        <v>41744</v>
      </c>
      <c r="I3174" s="51" t="s">
        <v>561</v>
      </c>
      <c r="J3174" s="51" t="s">
        <v>572</v>
      </c>
      <c r="K3174" s="51">
        <f>VLOOKUP(J3174,'Validacion reclamo de equipaje'!L:M,2,0)</f>
        <v>142</v>
      </c>
      <c r="L3174" s="51" t="str">
        <f>VLOOKUP(I3174,'Validacion reclamo de equipaje'!H:I,2,0)</f>
        <v>Nacional</v>
      </c>
      <c r="M3174" s="51" t="s">
        <v>523</v>
      </c>
    </row>
    <row r="3175" spans="1:13" x14ac:dyDescent="0.25">
      <c r="A3175">
        <v>633</v>
      </c>
      <c r="B3175" s="47" t="str">
        <f>VLOOKUP(Tabla6[[#This Row],['# Vuelo]],'Validacion reclamo de equipaje'!P:Q,2,0)</f>
        <v>BARATA Y MORADA</v>
      </c>
      <c r="C3175" s="52">
        <v>0.68055555555555547</v>
      </c>
      <c r="D3175" s="52">
        <v>0.6958333333333333</v>
      </c>
      <c r="E3175" s="53">
        <f>'Reclamo de equipaje rediseñado'!$D3175-'Reclamo de equipaje rediseñado'!$C3175</f>
        <v>1.5277777777777835E-2</v>
      </c>
      <c r="F3175" s="52">
        <v>0.70138888888888884</v>
      </c>
      <c r="G3175" s="53">
        <f t="shared" si="49"/>
        <v>5.5555555555555358E-3</v>
      </c>
      <c r="H3175" s="54">
        <v>41745</v>
      </c>
      <c r="I3175" s="55" t="s">
        <v>561</v>
      </c>
      <c r="J3175" s="55" t="s">
        <v>572</v>
      </c>
      <c r="K3175" s="55">
        <f>VLOOKUP(J3175,'Validacion reclamo de equipaje'!L:M,2,0)</f>
        <v>142</v>
      </c>
      <c r="L3175" s="55" t="str">
        <f>VLOOKUP(I3175,'Validacion reclamo de equipaje'!H:I,2,0)</f>
        <v>Nacional</v>
      </c>
      <c r="M3175" s="55" t="s">
        <v>523</v>
      </c>
    </row>
    <row r="3176" spans="1:13" x14ac:dyDescent="0.25">
      <c r="A3176">
        <v>633</v>
      </c>
      <c r="B3176" s="47" t="str">
        <f>VLOOKUP(Tabla6[[#This Row],['# Vuelo]],'Validacion reclamo de equipaje'!P:Q,2,0)</f>
        <v>BARATA Y MORADA</v>
      </c>
      <c r="C3176" s="48">
        <v>0.68402777777777779</v>
      </c>
      <c r="D3176" s="48">
        <v>0.69652777777777775</v>
      </c>
      <c r="E3176" s="49">
        <f>'Reclamo de equipaje rediseñado'!$D3176-'Reclamo de equipaje rediseñado'!$C3176</f>
        <v>1.2499999999999956E-2</v>
      </c>
      <c r="F3176" s="48">
        <v>0.70138888888888884</v>
      </c>
      <c r="G3176" s="49">
        <f t="shared" si="49"/>
        <v>4.8611111111110938E-3</v>
      </c>
      <c r="H3176" s="50">
        <v>41746</v>
      </c>
      <c r="I3176" s="51" t="s">
        <v>561</v>
      </c>
      <c r="J3176" s="51" t="s">
        <v>572</v>
      </c>
      <c r="K3176" s="51">
        <f>VLOOKUP(J3176,'Validacion reclamo de equipaje'!L:M,2,0)</f>
        <v>142</v>
      </c>
      <c r="L3176" s="51" t="str">
        <f>VLOOKUP(I3176,'Validacion reclamo de equipaje'!H:I,2,0)</f>
        <v>Nacional</v>
      </c>
      <c r="M3176" s="51" t="s">
        <v>523</v>
      </c>
    </row>
    <row r="3177" spans="1:13" x14ac:dyDescent="0.25">
      <c r="A3177">
        <v>633</v>
      </c>
      <c r="B3177" s="47" t="str">
        <f>VLOOKUP(Tabla6[[#This Row],['# Vuelo]],'Validacion reclamo de equipaje'!P:Q,2,0)</f>
        <v>BARATA Y MORADA</v>
      </c>
      <c r="C3177" s="52">
        <v>0.1875</v>
      </c>
      <c r="D3177" s="52">
        <v>0.19375000000000001</v>
      </c>
      <c r="E3177" s="53">
        <f>'Reclamo de equipaje rediseñado'!$D3177-'Reclamo de equipaje rediseñado'!$C3177</f>
        <v>6.2500000000000056E-3</v>
      </c>
      <c r="F3177" s="52">
        <v>0.20625000000000002</v>
      </c>
      <c r="G3177" s="53">
        <f t="shared" si="49"/>
        <v>1.2500000000000011E-2</v>
      </c>
      <c r="H3177" s="54">
        <v>41747</v>
      </c>
      <c r="I3177" s="55" t="s">
        <v>561</v>
      </c>
      <c r="J3177" s="55" t="s">
        <v>572</v>
      </c>
      <c r="K3177" s="55">
        <f>VLOOKUP(J3177,'Validacion reclamo de equipaje'!L:M,2,0)</f>
        <v>142</v>
      </c>
      <c r="L3177" s="55" t="str">
        <f>VLOOKUP(I3177,'Validacion reclamo de equipaje'!H:I,2,0)</f>
        <v>Nacional</v>
      </c>
      <c r="M3177" s="55" t="s">
        <v>523</v>
      </c>
    </row>
    <row r="3178" spans="1:13" x14ac:dyDescent="0.25">
      <c r="A3178">
        <v>633</v>
      </c>
      <c r="B3178" s="47" t="str">
        <f>VLOOKUP(Tabla6[[#This Row],['# Vuelo]],'Validacion reclamo de equipaje'!P:Q,2,0)</f>
        <v>BARATA Y MORADA</v>
      </c>
      <c r="C3178" s="48">
        <v>0.67291666666666661</v>
      </c>
      <c r="D3178" s="48">
        <v>0.68263888888888891</v>
      </c>
      <c r="E3178" s="49">
        <f>'Reclamo de equipaje rediseñado'!$D3178-'Reclamo de equipaje rediseñado'!$C3178</f>
        <v>9.7222222222222987E-3</v>
      </c>
      <c r="F3178" s="48">
        <v>0.69305555555555554</v>
      </c>
      <c r="G3178" s="49">
        <f t="shared" si="49"/>
        <v>1.041666666666663E-2</v>
      </c>
      <c r="H3178" s="50">
        <v>41748</v>
      </c>
      <c r="I3178" s="51" t="s">
        <v>561</v>
      </c>
      <c r="J3178" s="51" t="s">
        <v>572</v>
      </c>
      <c r="K3178" s="51">
        <f>VLOOKUP(J3178,'Validacion reclamo de equipaje'!L:M,2,0)</f>
        <v>142</v>
      </c>
      <c r="L3178" s="51" t="str">
        <f>VLOOKUP(I3178,'Validacion reclamo de equipaje'!H:I,2,0)</f>
        <v>Nacional</v>
      </c>
      <c r="M3178" s="51" t="s">
        <v>523</v>
      </c>
    </row>
    <row r="3179" spans="1:13" x14ac:dyDescent="0.25">
      <c r="A3179">
        <v>633</v>
      </c>
      <c r="B3179" s="47" t="str">
        <f>VLOOKUP(Tabla6[[#This Row],['# Vuelo]],'Validacion reclamo de equipaje'!P:Q,2,0)</f>
        <v>BARATA Y MORADA</v>
      </c>
      <c r="C3179" s="52">
        <v>0.55486111111111114</v>
      </c>
      <c r="D3179" s="52">
        <v>0.55763888888888891</v>
      </c>
      <c r="E3179" s="53">
        <f>'Reclamo de equipaje rediseñado'!$D3179-'Reclamo de equipaje rediseñado'!$C3179</f>
        <v>2.7777777777777679E-3</v>
      </c>
      <c r="F3179" s="52">
        <v>0.56736111111111109</v>
      </c>
      <c r="G3179" s="53">
        <f t="shared" si="49"/>
        <v>9.7222222222221877E-3</v>
      </c>
      <c r="H3179" s="54">
        <v>41748</v>
      </c>
      <c r="I3179" s="55" t="s">
        <v>561</v>
      </c>
      <c r="J3179" s="55" t="s">
        <v>572</v>
      </c>
      <c r="K3179" s="55">
        <f>VLOOKUP(J3179,'Validacion reclamo de equipaje'!L:M,2,0)</f>
        <v>142</v>
      </c>
      <c r="L3179" s="55" t="str">
        <f>VLOOKUP(I3179,'Validacion reclamo de equipaje'!H:I,2,0)</f>
        <v>Nacional</v>
      </c>
      <c r="M3179" s="55" t="s">
        <v>523</v>
      </c>
    </row>
    <row r="3180" spans="1:13" x14ac:dyDescent="0.25">
      <c r="A3180">
        <v>633</v>
      </c>
      <c r="B3180" s="47" t="str">
        <f>VLOOKUP(Tabla6[[#This Row],['# Vuelo]],'Validacion reclamo de equipaje'!P:Q,2,0)</f>
        <v>BARATA Y MORADA</v>
      </c>
      <c r="C3180" s="48">
        <v>0.67569444444444438</v>
      </c>
      <c r="D3180" s="48">
        <v>0.68055555555555547</v>
      </c>
      <c r="E3180" s="49">
        <f>'Reclamo de equipaje rediseñado'!$D3180-'Reclamo de equipaje rediseñado'!$C3180</f>
        <v>4.8611111111110938E-3</v>
      </c>
      <c r="F3180" s="48">
        <v>0.68680555555555556</v>
      </c>
      <c r="G3180" s="49">
        <f t="shared" si="49"/>
        <v>6.2500000000000888E-3</v>
      </c>
      <c r="H3180" s="50">
        <v>41749</v>
      </c>
      <c r="I3180" s="51" t="s">
        <v>561</v>
      </c>
      <c r="J3180" s="51" t="s">
        <v>572</v>
      </c>
      <c r="K3180" s="51">
        <f>VLOOKUP(J3180,'Validacion reclamo de equipaje'!L:M,2,0)</f>
        <v>142</v>
      </c>
      <c r="L3180" s="51" t="str">
        <f>VLOOKUP(I3180,'Validacion reclamo de equipaje'!H:I,2,0)</f>
        <v>Nacional</v>
      </c>
      <c r="M3180" s="51" t="s">
        <v>523</v>
      </c>
    </row>
    <row r="3181" spans="1:13" x14ac:dyDescent="0.25">
      <c r="A3181">
        <v>633</v>
      </c>
      <c r="B3181" s="47" t="str">
        <f>VLOOKUP(Tabla6[[#This Row],['# Vuelo]],'Validacion reclamo de equipaje'!P:Q,2,0)</f>
        <v>BARATA Y MORADA</v>
      </c>
      <c r="C3181" s="52">
        <v>0.69027777777777777</v>
      </c>
      <c r="D3181" s="52">
        <v>0.69652777777777775</v>
      </c>
      <c r="E3181" s="53">
        <f>'Reclamo de equipaje rediseñado'!$D3181-'Reclamo de equipaje rediseñado'!$C3181</f>
        <v>6.2499999999999778E-3</v>
      </c>
      <c r="F3181" s="52">
        <v>0.70486111111111116</v>
      </c>
      <c r="G3181" s="53">
        <f t="shared" si="49"/>
        <v>8.3333333333334147E-3</v>
      </c>
      <c r="H3181" s="54">
        <v>41753</v>
      </c>
      <c r="I3181" s="55" t="s">
        <v>561</v>
      </c>
      <c r="J3181" s="55" t="s">
        <v>572</v>
      </c>
      <c r="K3181" s="55">
        <f>VLOOKUP(J3181,'Validacion reclamo de equipaje'!L:M,2,0)</f>
        <v>142</v>
      </c>
      <c r="L3181" s="55" t="str">
        <f>VLOOKUP(I3181,'Validacion reclamo de equipaje'!H:I,2,0)</f>
        <v>Nacional</v>
      </c>
      <c r="M3181" s="55" t="s">
        <v>523</v>
      </c>
    </row>
    <row r="3182" spans="1:13" x14ac:dyDescent="0.25">
      <c r="A3182">
        <v>633</v>
      </c>
      <c r="B3182" s="47" t="str">
        <f>VLOOKUP(Tabla6[[#This Row],['# Vuelo]],'Validacion reclamo de equipaje'!P:Q,2,0)</f>
        <v>BARATA Y MORADA</v>
      </c>
      <c r="C3182" s="48">
        <v>0.68402777777777779</v>
      </c>
      <c r="D3182" s="48">
        <v>0.69027777777777777</v>
      </c>
      <c r="E3182" s="49">
        <f>'Reclamo de equipaje rediseñado'!$D3182-'Reclamo de equipaje rediseñado'!$C3182</f>
        <v>6.2499999999999778E-3</v>
      </c>
      <c r="F3182" s="48">
        <v>0.7055555555555556</v>
      </c>
      <c r="G3182" s="49">
        <f t="shared" si="49"/>
        <v>1.5277777777777835E-2</v>
      </c>
      <c r="H3182" s="50">
        <v>41754</v>
      </c>
      <c r="I3182" s="51" t="s">
        <v>561</v>
      </c>
      <c r="J3182" s="51" t="s">
        <v>572</v>
      </c>
      <c r="K3182" s="51">
        <f>VLOOKUP(J3182,'Validacion reclamo de equipaje'!L:M,2,0)</f>
        <v>142</v>
      </c>
      <c r="L3182" s="51" t="str">
        <f>VLOOKUP(I3182,'Validacion reclamo de equipaje'!H:I,2,0)</f>
        <v>Nacional</v>
      </c>
      <c r="M3182" s="51" t="s">
        <v>523</v>
      </c>
    </row>
    <row r="3183" spans="1:13" x14ac:dyDescent="0.25">
      <c r="A3183">
        <v>633</v>
      </c>
      <c r="B3183" s="47" t="str">
        <f>VLOOKUP(Tabla6[[#This Row],['# Vuelo]],'Validacion reclamo de equipaje'!P:Q,2,0)</f>
        <v>BARATA Y MORADA</v>
      </c>
      <c r="C3183" s="52">
        <v>0.68055555555555547</v>
      </c>
      <c r="D3183" s="52">
        <v>0.6875</v>
      </c>
      <c r="E3183" s="53">
        <f>'Reclamo de equipaje rediseñado'!$D3183-'Reclamo de equipaje rediseñado'!$C3183</f>
        <v>6.9444444444445308E-3</v>
      </c>
      <c r="F3183" s="52">
        <v>0.69791666666666663</v>
      </c>
      <c r="G3183" s="53">
        <f t="shared" si="49"/>
        <v>1.041666666666663E-2</v>
      </c>
      <c r="H3183" s="54">
        <v>41756</v>
      </c>
      <c r="I3183" s="55" t="s">
        <v>561</v>
      </c>
      <c r="J3183" s="55" t="s">
        <v>572</v>
      </c>
      <c r="K3183" s="55">
        <f>VLOOKUP(J3183,'Validacion reclamo de equipaje'!L:M,2,0)</f>
        <v>142</v>
      </c>
      <c r="L3183" s="55" t="str">
        <f>VLOOKUP(I3183,'Validacion reclamo de equipaje'!H:I,2,0)</f>
        <v>Nacional</v>
      </c>
      <c r="M3183" s="55" t="s">
        <v>523</v>
      </c>
    </row>
    <row r="3184" spans="1:13" x14ac:dyDescent="0.25">
      <c r="A3184">
        <v>633</v>
      </c>
      <c r="B3184" s="47" t="str">
        <f>VLOOKUP(Tabla6[[#This Row],['# Vuelo]],'Validacion reclamo de equipaje'!P:Q,2,0)</f>
        <v>BARATA Y MORADA</v>
      </c>
      <c r="C3184" s="48">
        <v>0.69097222222222221</v>
      </c>
      <c r="D3184" s="48">
        <v>0.70208333333333339</v>
      </c>
      <c r="E3184" s="49">
        <f>'Reclamo de equipaje rediseñado'!$D3184-'Reclamo de equipaje rediseñado'!$C3184</f>
        <v>1.1111111111111183E-2</v>
      </c>
      <c r="F3184" s="48">
        <v>0.71805555555555556</v>
      </c>
      <c r="G3184" s="49">
        <f t="shared" si="49"/>
        <v>1.5972222222222165E-2</v>
      </c>
      <c r="H3184" s="50">
        <v>41757</v>
      </c>
      <c r="I3184" s="51" t="s">
        <v>561</v>
      </c>
      <c r="J3184" s="51" t="s">
        <v>572</v>
      </c>
      <c r="K3184" s="51">
        <f>VLOOKUP(J3184,'Validacion reclamo de equipaje'!L:M,2,0)</f>
        <v>142</v>
      </c>
      <c r="L3184" s="51" t="str">
        <f>VLOOKUP(I3184,'Validacion reclamo de equipaje'!H:I,2,0)</f>
        <v>Nacional</v>
      </c>
      <c r="M3184" s="51" t="s">
        <v>523</v>
      </c>
    </row>
    <row r="3185" spans="1:13" x14ac:dyDescent="0.25">
      <c r="A3185">
        <v>633</v>
      </c>
      <c r="B3185" s="47" t="str">
        <f>VLOOKUP(Tabla6[[#This Row],['# Vuelo]],'Validacion reclamo de equipaje'!P:Q,2,0)</f>
        <v>BARATA Y MORADA</v>
      </c>
      <c r="C3185" s="52">
        <v>0.68055555555555547</v>
      </c>
      <c r="D3185" s="52">
        <v>0.6875</v>
      </c>
      <c r="E3185" s="53">
        <f>'Reclamo de equipaje rediseñado'!$D3185-'Reclamo de equipaje rediseñado'!$C3185</f>
        <v>6.9444444444445308E-3</v>
      </c>
      <c r="F3185" s="52">
        <v>0.70624999999999993</v>
      </c>
      <c r="G3185" s="53">
        <f t="shared" si="49"/>
        <v>1.8749999999999933E-2</v>
      </c>
      <c r="H3185" s="54">
        <v>41758</v>
      </c>
      <c r="I3185" s="55" t="s">
        <v>561</v>
      </c>
      <c r="J3185" s="55" t="s">
        <v>572</v>
      </c>
      <c r="K3185" s="55">
        <f>VLOOKUP(J3185,'Validacion reclamo de equipaje'!L:M,2,0)</f>
        <v>142</v>
      </c>
      <c r="L3185" s="55" t="str">
        <f>VLOOKUP(I3185,'Validacion reclamo de equipaje'!H:I,2,0)</f>
        <v>Nacional</v>
      </c>
      <c r="M3185" s="55" t="s">
        <v>523</v>
      </c>
    </row>
    <row r="3186" spans="1:13" x14ac:dyDescent="0.25">
      <c r="A3186">
        <v>633</v>
      </c>
      <c r="B3186" s="47" t="str">
        <f>VLOOKUP(Tabla6[[#This Row],['# Vuelo]],'Validacion reclamo de equipaje'!P:Q,2,0)</f>
        <v>BARATA Y MORADA</v>
      </c>
      <c r="C3186" s="48">
        <v>0.6791666666666667</v>
      </c>
      <c r="D3186" s="48">
        <v>0.6875</v>
      </c>
      <c r="E3186" s="49">
        <f>'Reclamo de equipaje rediseñado'!$D3186-'Reclamo de equipaje rediseñado'!$C3186</f>
        <v>8.3333333333333037E-3</v>
      </c>
      <c r="F3186" s="48">
        <v>0.69374999999999998</v>
      </c>
      <c r="G3186" s="49">
        <f t="shared" si="49"/>
        <v>6.2499999999999778E-3</v>
      </c>
      <c r="H3186" s="50">
        <v>41759</v>
      </c>
      <c r="I3186" s="51" t="s">
        <v>561</v>
      </c>
      <c r="J3186" s="51" t="s">
        <v>572</v>
      </c>
      <c r="K3186" s="51">
        <f>VLOOKUP(J3186,'Validacion reclamo de equipaje'!L:M,2,0)</f>
        <v>142</v>
      </c>
      <c r="L3186" s="51" t="str">
        <f>VLOOKUP(I3186,'Validacion reclamo de equipaje'!H:I,2,0)</f>
        <v>Nacional</v>
      </c>
      <c r="M3186" s="51" t="s">
        <v>523</v>
      </c>
    </row>
    <row r="3187" spans="1:13" x14ac:dyDescent="0.25">
      <c r="A3187">
        <v>635</v>
      </c>
      <c r="B3187" s="47" t="str">
        <f>VLOOKUP(Tabla6[[#This Row],['# Vuelo]],'Validacion reclamo de equipaje'!P:Q,2,0)</f>
        <v>BARATA Y MORADA</v>
      </c>
      <c r="C3187" s="52">
        <v>0.8534722222222223</v>
      </c>
      <c r="D3187" s="52">
        <v>0.86111111111111116</v>
      </c>
      <c r="E3187" s="53">
        <f>'Reclamo de equipaje rediseñado'!$D3187-'Reclamo de equipaje rediseñado'!$C3187</f>
        <v>7.6388888888888618E-3</v>
      </c>
      <c r="F3187" s="52">
        <v>0.8666666666666667</v>
      </c>
      <c r="G3187" s="53">
        <f t="shared" si="49"/>
        <v>5.5555555555555358E-3</v>
      </c>
      <c r="H3187" s="54">
        <v>41732</v>
      </c>
      <c r="I3187" s="55" t="s">
        <v>561</v>
      </c>
      <c r="J3187" s="55" t="s">
        <v>572</v>
      </c>
      <c r="K3187" s="55">
        <f>VLOOKUP(J3187,'Validacion reclamo de equipaje'!L:M,2,0)</f>
        <v>142</v>
      </c>
      <c r="L3187" s="55" t="str">
        <f>VLOOKUP(I3187,'Validacion reclamo de equipaje'!H:I,2,0)</f>
        <v>Nacional</v>
      </c>
      <c r="M3187" s="55" t="s">
        <v>523</v>
      </c>
    </row>
    <row r="3188" spans="1:13" x14ac:dyDescent="0.25">
      <c r="A3188">
        <v>635</v>
      </c>
      <c r="B3188" s="47" t="str">
        <f>VLOOKUP(Tabla6[[#This Row],['# Vuelo]],'Validacion reclamo de equipaje'!P:Q,2,0)</f>
        <v>BARATA Y MORADA</v>
      </c>
      <c r="C3188" s="48">
        <v>0.6333333333333333</v>
      </c>
      <c r="D3188" s="48">
        <v>0.63888888888888895</v>
      </c>
      <c r="E3188" s="49">
        <f>'Reclamo de equipaje rediseñado'!$D3188-'Reclamo de equipaje rediseñado'!$C3188</f>
        <v>5.5555555555556468E-3</v>
      </c>
      <c r="F3188" s="48">
        <v>0.6479166666666667</v>
      </c>
      <c r="G3188" s="49">
        <f t="shared" si="49"/>
        <v>9.0277777777777457E-3</v>
      </c>
      <c r="H3188" s="50">
        <v>41735</v>
      </c>
      <c r="I3188" s="51" t="s">
        <v>561</v>
      </c>
      <c r="J3188" s="51" t="s">
        <v>572</v>
      </c>
      <c r="K3188" s="51">
        <f>VLOOKUP(J3188,'Validacion reclamo de equipaje'!L:M,2,0)</f>
        <v>142</v>
      </c>
      <c r="L3188" s="51" t="str">
        <f>VLOOKUP(I3188,'Validacion reclamo de equipaje'!H:I,2,0)</f>
        <v>Nacional</v>
      </c>
      <c r="M3188" s="51" t="s">
        <v>523</v>
      </c>
    </row>
    <row r="3189" spans="1:13" x14ac:dyDescent="0.25">
      <c r="A3189">
        <v>635</v>
      </c>
      <c r="B3189" s="47" t="str">
        <f>VLOOKUP(Tabla6[[#This Row],['# Vuelo]],'Validacion reclamo de equipaje'!P:Q,2,0)</f>
        <v>BARATA Y MORADA</v>
      </c>
      <c r="C3189" s="52">
        <v>0.64583333333333337</v>
      </c>
      <c r="D3189" s="52">
        <v>0.65</v>
      </c>
      <c r="E3189" s="53">
        <f>'Reclamo de equipaje rediseñado'!$D3189-'Reclamo de equipaje rediseñado'!$C3189</f>
        <v>4.1666666666666519E-3</v>
      </c>
      <c r="F3189" s="52">
        <v>0.65694444444444444</v>
      </c>
      <c r="G3189" s="53">
        <f t="shared" si="49"/>
        <v>6.9444444444444198E-3</v>
      </c>
      <c r="H3189" s="54">
        <v>41739</v>
      </c>
      <c r="I3189" s="55" t="s">
        <v>561</v>
      </c>
      <c r="J3189" s="55" t="s">
        <v>572</v>
      </c>
      <c r="K3189" s="55">
        <f>VLOOKUP(J3189,'Validacion reclamo de equipaje'!L:M,2,0)</f>
        <v>142</v>
      </c>
      <c r="L3189" s="55" t="str">
        <f>VLOOKUP(I3189,'Validacion reclamo de equipaje'!H:I,2,0)</f>
        <v>Nacional</v>
      </c>
      <c r="M3189" s="55" t="s">
        <v>523</v>
      </c>
    </row>
    <row r="3190" spans="1:13" x14ac:dyDescent="0.25">
      <c r="A3190">
        <v>635</v>
      </c>
      <c r="B3190" s="47" t="str">
        <f>VLOOKUP(Tabla6[[#This Row],['# Vuelo]],'Validacion reclamo de equipaje'!P:Q,2,0)</f>
        <v>BARATA Y MORADA</v>
      </c>
      <c r="C3190" s="48">
        <v>0.63888888888888895</v>
      </c>
      <c r="D3190" s="48">
        <v>0.6430555555555556</v>
      </c>
      <c r="E3190" s="49">
        <f>'Reclamo de equipaje rediseñado'!$D3190-'Reclamo de equipaje rediseñado'!$C3190</f>
        <v>4.1666666666666519E-3</v>
      </c>
      <c r="F3190" s="48">
        <v>0.6479166666666667</v>
      </c>
      <c r="G3190" s="49">
        <f t="shared" si="49"/>
        <v>4.8611111111110938E-3</v>
      </c>
      <c r="H3190" s="50">
        <v>41743</v>
      </c>
      <c r="I3190" s="51" t="s">
        <v>561</v>
      </c>
      <c r="J3190" s="51" t="s">
        <v>572</v>
      </c>
      <c r="K3190" s="51">
        <f>VLOOKUP(J3190,'Validacion reclamo de equipaje'!L:M,2,0)</f>
        <v>142</v>
      </c>
      <c r="L3190" s="51" t="str">
        <f>VLOOKUP(I3190,'Validacion reclamo de equipaje'!H:I,2,0)</f>
        <v>Nacional</v>
      </c>
      <c r="M3190" s="51" t="s">
        <v>523</v>
      </c>
    </row>
    <row r="3191" spans="1:13" x14ac:dyDescent="0.25">
      <c r="A3191">
        <v>635</v>
      </c>
      <c r="B3191" s="47" t="str">
        <f>VLOOKUP(Tabla6[[#This Row],['# Vuelo]],'Validacion reclamo de equipaje'!P:Q,2,0)</f>
        <v>BARATA Y MORADA</v>
      </c>
      <c r="C3191" s="52">
        <v>0.61944444444444446</v>
      </c>
      <c r="D3191" s="52">
        <v>0.62777777777777777</v>
      </c>
      <c r="E3191" s="53">
        <f>'Reclamo de equipaje rediseñado'!$D3191-'Reclamo de equipaje rediseñado'!$C3191</f>
        <v>8.3333333333333037E-3</v>
      </c>
      <c r="F3191" s="52">
        <v>0.63194444444444442</v>
      </c>
      <c r="G3191" s="53">
        <f t="shared" si="49"/>
        <v>4.1666666666666519E-3</v>
      </c>
      <c r="H3191" s="54">
        <v>41744</v>
      </c>
      <c r="I3191" s="55" t="s">
        <v>561</v>
      </c>
      <c r="J3191" s="55" t="s">
        <v>572</v>
      </c>
      <c r="K3191" s="55">
        <f>VLOOKUP(J3191,'Validacion reclamo de equipaje'!L:M,2,0)</f>
        <v>142</v>
      </c>
      <c r="L3191" s="55" t="str">
        <f>VLOOKUP(I3191,'Validacion reclamo de equipaje'!H:I,2,0)</f>
        <v>Nacional</v>
      </c>
      <c r="M3191" s="55" t="s">
        <v>523</v>
      </c>
    </row>
    <row r="3192" spans="1:13" x14ac:dyDescent="0.25">
      <c r="A3192">
        <v>635</v>
      </c>
      <c r="B3192" s="47" t="str">
        <f>VLOOKUP(Tabla6[[#This Row],['# Vuelo]],'Validacion reclamo de equipaje'!P:Q,2,0)</f>
        <v>BARATA Y MORADA</v>
      </c>
      <c r="C3192" s="48">
        <v>0.62986111111111109</v>
      </c>
      <c r="D3192" s="48">
        <v>0.63750000000000007</v>
      </c>
      <c r="E3192" s="49">
        <f>'Reclamo de equipaje rediseñado'!$D3192-'Reclamo de equipaje rediseñado'!$C3192</f>
        <v>7.6388888888889728E-3</v>
      </c>
      <c r="F3192" s="48">
        <v>0.6430555555555556</v>
      </c>
      <c r="G3192" s="49">
        <f t="shared" si="49"/>
        <v>5.5555555555555358E-3</v>
      </c>
      <c r="H3192" s="50">
        <v>41745</v>
      </c>
      <c r="I3192" s="51" t="s">
        <v>561</v>
      </c>
      <c r="J3192" s="51" t="s">
        <v>572</v>
      </c>
      <c r="K3192" s="51">
        <f>VLOOKUP(J3192,'Validacion reclamo de equipaje'!L:M,2,0)</f>
        <v>142</v>
      </c>
      <c r="L3192" s="51" t="str">
        <f>VLOOKUP(I3192,'Validacion reclamo de equipaje'!H:I,2,0)</f>
        <v>Nacional</v>
      </c>
      <c r="M3192" s="51" t="s">
        <v>523</v>
      </c>
    </row>
    <row r="3193" spans="1:13" x14ac:dyDescent="0.25">
      <c r="A3193">
        <v>635</v>
      </c>
      <c r="B3193" s="47" t="str">
        <f>VLOOKUP(Tabla6[[#This Row],['# Vuelo]],'Validacion reclamo de equipaje'!P:Q,2,0)</f>
        <v>BARATA Y MORADA</v>
      </c>
      <c r="C3193" s="52">
        <v>0.62708333333333333</v>
      </c>
      <c r="D3193" s="52">
        <v>0.63888888888888895</v>
      </c>
      <c r="E3193" s="53">
        <f>'Reclamo de equipaje rediseñado'!$D3193-'Reclamo de equipaje rediseñado'!$C3193</f>
        <v>1.1805555555555625E-2</v>
      </c>
      <c r="F3193" s="52">
        <v>0.6430555555555556</v>
      </c>
      <c r="G3193" s="53">
        <f t="shared" si="49"/>
        <v>4.1666666666666519E-3</v>
      </c>
      <c r="H3193" s="54">
        <v>41746</v>
      </c>
      <c r="I3193" s="55" t="s">
        <v>561</v>
      </c>
      <c r="J3193" s="55" t="s">
        <v>572</v>
      </c>
      <c r="K3193" s="55">
        <f>VLOOKUP(J3193,'Validacion reclamo de equipaje'!L:M,2,0)</f>
        <v>142</v>
      </c>
      <c r="L3193" s="55" t="str">
        <f>VLOOKUP(I3193,'Validacion reclamo de equipaje'!H:I,2,0)</f>
        <v>Nacional</v>
      </c>
      <c r="M3193" s="55" t="s">
        <v>523</v>
      </c>
    </row>
    <row r="3194" spans="1:13" x14ac:dyDescent="0.25">
      <c r="A3194">
        <v>635</v>
      </c>
      <c r="B3194" s="47" t="str">
        <f>VLOOKUP(Tabla6[[#This Row],['# Vuelo]],'Validacion reclamo de equipaje'!P:Q,2,0)</f>
        <v>BARATA Y MORADA</v>
      </c>
      <c r="C3194" s="48">
        <v>0.625</v>
      </c>
      <c r="D3194" s="48">
        <v>0.63194444444444442</v>
      </c>
      <c r="E3194" s="49">
        <f>'Reclamo de equipaje rediseñado'!$D3194-'Reclamo de equipaje rediseñado'!$C3194</f>
        <v>6.9444444444444198E-3</v>
      </c>
      <c r="F3194" s="48">
        <v>0.63888888888888895</v>
      </c>
      <c r="G3194" s="49">
        <f t="shared" si="49"/>
        <v>6.9444444444445308E-3</v>
      </c>
      <c r="H3194" s="50">
        <v>41750</v>
      </c>
      <c r="I3194" s="51" t="s">
        <v>561</v>
      </c>
      <c r="J3194" s="51" t="s">
        <v>572</v>
      </c>
      <c r="K3194" s="51">
        <f>VLOOKUP(J3194,'Validacion reclamo de equipaje'!L:M,2,0)</f>
        <v>142</v>
      </c>
      <c r="L3194" s="51" t="str">
        <f>VLOOKUP(I3194,'Validacion reclamo de equipaje'!H:I,2,0)</f>
        <v>Nacional</v>
      </c>
      <c r="M3194" s="51" t="s">
        <v>523</v>
      </c>
    </row>
    <row r="3195" spans="1:13" x14ac:dyDescent="0.25">
      <c r="A3195">
        <v>635</v>
      </c>
      <c r="B3195" s="47" t="str">
        <f>VLOOKUP(Tabla6[[#This Row],['# Vuelo]],'Validacion reclamo de equipaje'!P:Q,2,0)</f>
        <v>BARATA Y MORADA</v>
      </c>
      <c r="C3195" s="52">
        <v>0.64583333333333337</v>
      </c>
      <c r="D3195" s="52">
        <v>0.6479166666666667</v>
      </c>
      <c r="E3195" s="53">
        <f>'Reclamo de equipaje rediseñado'!$D3195-'Reclamo de equipaje rediseñado'!$C3195</f>
        <v>2.0833333333333259E-3</v>
      </c>
      <c r="F3195" s="52">
        <v>0.65486111111111112</v>
      </c>
      <c r="G3195" s="53">
        <f t="shared" si="49"/>
        <v>6.9444444444444198E-3</v>
      </c>
      <c r="H3195" s="54">
        <v>41753</v>
      </c>
      <c r="I3195" s="55" t="s">
        <v>561</v>
      </c>
      <c r="J3195" s="55" t="s">
        <v>572</v>
      </c>
      <c r="K3195" s="55">
        <f>VLOOKUP(J3195,'Validacion reclamo de equipaje'!L:M,2,0)</f>
        <v>142</v>
      </c>
      <c r="L3195" s="55" t="str">
        <f>VLOOKUP(I3195,'Validacion reclamo de equipaje'!H:I,2,0)</f>
        <v>Nacional</v>
      </c>
      <c r="M3195" s="55" t="s">
        <v>523</v>
      </c>
    </row>
    <row r="3196" spans="1:13" x14ac:dyDescent="0.25">
      <c r="A3196">
        <v>635</v>
      </c>
      <c r="B3196" s="47" t="str">
        <f>VLOOKUP(Tabla6[[#This Row],['# Vuelo]],'Validacion reclamo de equipaje'!P:Q,2,0)</f>
        <v>BARATA Y MORADA</v>
      </c>
      <c r="C3196" s="48">
        <v>0.62916666666666665</v>
      </c>
      <c r="D3196" s="48">
        <v>0.63888888888888895</v>
      </c>
      <c r="E3196" s="49">
        <f>'Reclamo de equipaje rediseñado'!$D3196-'Reclamo de equipaje rediseñado'!$C3196</f>
        <v>9.7222222222222987E-3</v>
      </c>
      <c r="F3196" s="48">
        <v>0.65138888888888891</v>
      </c>
      <c r="G3196" s="49">
        <f t="shared" si="49"/>
        <v>1.2499999999999956E-2</v>
      </c>
      <c r="H3196" s="50">
        <v>41757</v>
      </c>
      <c r="I3196" s="51" t="s">
        <v>561</v>
      </c>
      <c r="J3196" s="51" t="s">
        <v>572</v>
      </c>
      <c r="K3196" s="51">
        <f>VLOOKUP(J3196,'Validacion reclamo de equipaje'!L:M,2,0)</f>
        <v>142</v>
      </c>
      <c r="L3196" s="51" t="str">
        <f>VLOOKUP(I3196,'Validacion reclamo de equipaje'!H:I,2,0)</f>
        <v>Nacional</v>
      </c>
      <c r="M3196" s="51" t="s">
        <v>523</v>
      </c>
    </row>
    <row r="3197" spans="1:13" x14ac:dyDescent="0.25">
      <c r="A3197">
        <v>671</v>
      </c>
      <c r="B3197" s="47" t="str">
        <f>VLOOKUP(Tabla6[[#This Row],['# Vuelo]],'Validacion reclamo de equipaje'!P:Q,2,0)</f>
        <v>BARATA Y MORADA</v>
      </c>
      <c r="C3197" s="52">
        <v>0.89513888888888893</v>
      </c>
      <c r="D3197" s="52">
        <v>0.90625</v>
      </c>
      <c r="E3197" s="53">
        <f>'Reclamo de equipaje rediseñado'!$D3197-'Reclamo de equipaje rediseñado'!$C3197</f>
        <v>1.1111111111111072E-2</v>
      </c>
      <c r="F3197" s="52">
        <v>0.91041666666666676</v>
      </c>
      <c r="G3197" s="53">
        <f t="shared" si="49"/>
        <v>4.1666666666667629E-3</v>
      </c>
      <c r="H3197" s="54">
        <v>41732</v>
      </c>
      <c r="I3197" s="55" t="s">
        <v>550</v>
      </c>
      <c r="J3197" s="55" t="s">
        <v>572</v>
      </c>
      <c r="K3197" s="55">
        <f>VLOOKUP(J3197,'Validacion reclamo de equipaje'!L:M,2,0)</f>
        <v>142</v>
      </c>
      <c r="L3197" s="55" t="str">
        <f>VLOOKUP(I3197,'Validacion reclamo de equipaje'!H:I,2,0)</f>
        <v>Nacional</v>
      </c>
      <c r="M3197" s="55" t="s">
        <v>523</v>
      </c>
    </row>
    <row r="3198" spans="1:13" x14ac:dyDescent="0.25">
      <c r="A3198">
        <v>671</v>
      </c>
      <c r="B3198" s="47" t="str">
        <f>VLOOKUP(Tabla6[[#This Row],['# Vuelo]],'Validacion reclamo de equipaje'!P:Q,2,0)</f>
        <v>BARATA Y MORADA</v>
      </c>
      <c r="C3198" s="48">
        <v>0.4375</v>
      </c>
      <c r="D3198" s="48">
        <v>0.43958333333333338</v>
      </c>
      <c r="E3198" s="49">
        <f>'Reclamo de equipaje rediseñado'!$D3198-'Reclamo de equipaje rediseñado'!$C3198</f>
        <v>2.0833333333333814E-3</v>
      </c>
      <c r="F3198" s="48">
        <v>0.44375000000000003</v>
      </c>
      <c r="G3198" s="49">
        <f t="shared" si="49"/>
        <v>4.1666666666666519E-3</v>
      </c>
      <c r="H3198" s="50">
        <v>41733</v>
      </c>
      <c r="I3198" s="51" t="s">
        <v>550</v>
      </c>
      <c r="J3198" s="51" t="s">
        <v>572</v>
      </c>
      <c r="K3198" s="51">
        <f>VLOOKUP(J3198,'Validacion reclamo de equipaje'!L:M,2,0)</f>
        <v>142</v>
      </c>
      <c r="L3198" s="51" t="str">
        <f>VLOOKUP(I3198,'Validacion reclamo de equipaje'!H:I,2,0)</f>
        <v>Nacional</v>
      </c>
      <c r="M3198" s="51" t="s">
        <v>523</v>
      </c>
    </row>
    <row r="3199" spans="1:13" x14ac:dyDescent="0.25">
      <c r="A3199">
        <v>671</v>
      </c>
      <c r="B3199" s="47" t="str">
        <f>VLOOKUP(Tabla6[[#This Row],['# Vuelo]],'Validacion reclamo de equipaje'!P:Q,2,0)</f>
        <v>BARATA Y MORADA</v>
      </c>
      <c r="C3199" s="52">
        <v>0.39583333333333331</v>
      </c>
      <c r="D3199" s="52">
        <v>0.39652777777777781</v>
      </c>
      <c r="E3199" s="53">
        <f>'Reclamo de equipaje rediseñado'!$D3199-'Reclamo de equipaje rediseñado'!$C3199</f>
        <v>6.9444444444449749E-4</v>
      </c>
      <c r="F3199" s="52">
        <v>0.3979166666666667</v>
      </c>
      <c r="G3199" s="53">
        <f t="shared" si="49"/>
        <v>1.388888888888884E-3</v>
      </c>
      <c r="H3199" s="54">
        <v>41735</v>
      </c>
      <c r="I3199" s="55" t="s">
        <v>550</v>
      </c>
      <c r="J3199" s="55" t="s">
        <v>572</v>
      </c>
      <c r="K3199" s="55">
        <f>VLOOKUP(J3199,'Validacion reclamo de equipaje'!L:M,2,0)</f>
        <v>142</v>
      </c>
      <c r="L3199" s="55" t="str">
        <f>VLOOKUP(I3199,'Validacion reclamo de equipaje'!H:I,2,0)</f>
        <v>Nacional</v>
      </c>
      <c r="M3199" s="55" t="s">
        <v>523</v>
      </c>
    </row>
    <row r="3200" spans="1:13" x14ac:dyDescent="0.25">
      <c r="A3200">
        <v>671</v>
      </c>
      <c r="B3200" s="47" t="str">
        <f>VLOOKUP(Tabla6[[#This Row],['# Vuelo]],'Validacion reclamo de equipaje'!P:Q,2,0)</f>
        <v>BARATA Y MORADA</v>
      </c>
      <c r="C3200" s="48">
        <v>0.88541666666666663</v>
      </c>
      <c r="D3200" s="48">
        <v>0.8965277777777777</v>
      </c>
      <c r="E3200" s="49">
        <f>'Reclamo de equipaje rediseñado'!$D3200-'Reclamo de equipaje rediseñado'!$C3200</f>
        <v>1.1111111111111072E-2</v>
      </c>
      <c r="F3200" s="48">
        <v>0.90069444444444446</v>
      </c>
      <c r="G3200" s="49">
        <f t="shared" si="49"/>
        <v>4.1666666666667629E-3</v>
      </c>
      <c r="H3200" s="50">
        <v>41738</v>
      </c>
      <c r="I3200" s="51" t="s">
        <v>550</v>
      </c>
      <c r="J3200" s="51" t="s">
        <v>572</v>
      </c>
      <c r="K3200" s="51">
        <f>VLOOKUP(J3200,'Validacion reclamo de equipaje'!L:M,2,0)</f>
        <v>142</v>
      </c>
      <c r="L3200" s="51" t="str">
        <f>VLOOKUP(I3200,'Validacion reclamo de equipaje'!H:I,2,0)</f>
        <v>Nacional</v>
      </c>
      <c r="M3200" s="51" t="s">
        <v>523</v>
      </c>
    </row>
    <row r="3201" spans="1:13" x14ac:dyDescent="0.25">
      <c r="A3201">
        <v>671</v>
      </c>
      <c r="B3201" s="47" t="str">
        <f>VLOOKUP(Tabla6[[#This Row],['# Vuelo]],'Validacion reclamo de equipaje'!P:Q,2,0)</f>
        <v>BARATA Y MORADA</v>
      </c>
      <c r="C3201" s="52">
        <v>0.88055555555555554</v>
      </c>
      <c r="D3201" s="52">
        <v>0.89027777777777783</v>
      </c>
      <c r="E3201" s="53">
        <f>'Reclamo de equipaje rediseñado'!$D3201-'Reclamo de equipaje rediseñado'!$C3201</f>
        <v>9.7222222222222987E-3</v>
      </c>
      <c r="F3201" s="52">
        <v>0.89722222222222225</v>
      </c>
      <c r="G3201" s="53">
        <f t="shared" si="49"/>
        <v>6.9444444444444198E-3</v>
      </c>
      <c r="H3201" s="54">
        <v>41739</v>
      </c>
      <c r="I3201" s="55" t="s">
        <v>550</v>
      </c>
      <c r="J3201" s="55" t="s">
        <v>572</v>
      </c>
      <c r="K3201" s="55">
        <f>VLOOKUP(J3201,'Validacion reclamo de equipaje'!L:M,2,0)</f>
        <v>142</v>
      </c>
      <c r="L3201" s="55" t="str">
        <f>VLOOKUP(I3201,'Validacion reclamo de equipaje'!H:I,2,0)</f>
        <v>Nacional</v>
      </c>
      <c r="M3201" s="55" t="s">
        <v>523</v>
      </c>
    </row>
    <row r="3202" spans="1:13" x14ac:dyDescent="0.25">
      <c r="A3202">
        <v>671</v>
      </c>
      <c r="B3202" s="47" t="str">
        <f>VLOOKUP(Tabla6[[#This Row],['# Vuelo]],'Validacion reclamo de equipaje'!P:Q,2,0)</f>
        <v>BARATA Y MORADA</v>
      </c>
      <c r="C3202" s="48">
        <v>0.43402777777777773</v>
      </c>
      <c r="D3202" s="48">
        <v>0.44513888888888892</v>
      </c>
      <c r="E3202" s="49">
        <f>'Reclamo de equipaje rediseñado'!$D3202-'Reclamo de equipaje rediseñado'!$C3202</f>
        <v>1.1111111111111183E-2</v>
      </c>
      <c r="F3202" s="48">
        <v>0.45833333333333331</v>
      </c>
      <c r="G3202" s="49">
        <f t="shared" si="49"/>
        <v>1.3194444444444398E-2</v>
      </c>
      <c r="H3202" s="50">
        <v>41744</v>
      </c>
      <c r="I3202" s="51" t="s">
        <v>550</v>
      </c>
      <c r="J3202" s="51" t="s">
        <v>572</v>
      </c>
      <c r="K3202" s="51">
        <f>VLOOKUP(J3202,'Validacion reclamo de equipaje'!L:M,2,0)</f>
        <v>142</v>
      </c>
      <c r="L3202" s="51" t="str">
        <f>VLOOKUP(I3202,'Validacion reclamo de equipaje'!H:I,2,0)</f>
        <v>Nacional</v>
      </c>
      <c r="M3202" s="51" t="s">
        <v>523</v>
      </c>
    </row>
    <row r="3203" spans="1:13" x14ac:dyDescent="0.25">
      <c r="A3203">
        <v>671</v>
      </c>
      <c r="B3203" s="47" t="str">
        <f>VLOOKUP(Tabla6[[#This Row],['# Vuelo]],'Validacion reclamo de equipaje'!P:Q,2,0)</f>
        <v>BARATA Y MORADA</v>
      </c>
      <c r="C3203" s="52">
        <v>0.43055555555555558</v>
      </c>
      <c r="D3203" s="52">
        <v>0.4381944444444445</v>
      </c>
      <c r="E3203" s="53">
        <f>'Reclamo de equipaje rediseñado'!$D3203-'Reclamo de equipaje rediseñado'!$C3203</f>
        <v>7.6388888888889173E-3</v>
      </c>
      <c r="F3203" s="52">
        <v>0.44444444444444442</v>
      </c>
      <c r="G3203" s="53">
        <f t="shared" ref="G3203:G3266" si="50">F3203-D3203</f>
        <v>6.2499999999999223E-3</v>
      </c>
      <c r="H3203" s="54">
        <v>41745</v>
      </c>
      <c r="I3203" s="55" t="s">
        <v>550</v>
      </c>
      <c r="J3203" s="55" t="s">
        <v>572</v>
      </c>
      <c r="K3203" s="55">
        <f>VLOOKUP(J3203,'Validacion reclamo de equipaje'!L:M,2,0)</f>
        <v>142</v>
      </c>
      <c r="L3203" s="55" t="str">
        <f>VLOOKUP(I3203,'Validacion reclamo de equipaje'!H:I,2,0)</f>
        <v>Nacional</v>
      </c>
      <c r="M3203" s="55" t="s">
        <v>523</v>
      </c>
    </row>
    <row r="3204" spans="1:13" x14ac:dyDescent="0.25">
      <c r="A3204">
        <v>671</v>
      </c>
      <c r="B3204" s="47" t="str">
        <f>VLOOKUP(Tabla6[[#This Row],['# Vuelo]],'Validacion reclamo de equipaje'!P:Q,2,0)</f>
        <v>BARATA Y MORADA</v>
      </c>
      <c r="C3204" s="48">
        <v>0.87986111111111109</v>
      </c>
      <c r="D3204" s="48">
        <v>0.89097222222222217</v>
      </c>
      <c r="E3204" s="49">
        <f>'Reclamo de equipaje rediseñado'!$D3204-'Reclamo de equipaje rediseñado'!$C3204</f>
        <v>1.1111111111111072E-2</v>
      </c>
      <c r="F3204" s="48">
        <v>0.90347222222222223</v>
      </c>
      <c r="G3204" s="49">
        <f t="shared" si="50"/>
        <v>1.2500000000000067E-2</v>
      </c>
      <c r="H3204" s="50">
        <v>41749</v>
      </c>
      <c r="I3204" s="51" t="s">
        <v>550</v>
      </c>
      <c r="J3204" s="51" t="s">
        <v>572</v>
      </c>
      <c r="K3204" s="51">
        <f>VLOOKUP(J3204,'Validacion reclamo de equipaje'!L:M,2,0)</f>
        <v>142</v>
      </c>
      <c r="L3204" s="51" t="str">
        <f>VLOOKUP(I3204,'Validacion reclamo de equipaje'!H:I,2,0)</f>
        <v>Nacional</v>
      </c>
      <c r="M3204" s="51" t="s">
        <v>523</v>
      </c>
    </row>
    <row r="3205" spans="1:13" x14ac:dyDescent="0.25">
      <c r="A3205">
        <v>671</v>
      </c>
      <c r="B3205" s="47" t="str">
        <f>VLOOKUP(Tabla6[[#This Row],['# Vuelo]],'Validacion reclamo de equipaje'!P:Q,2,0)</f>
        <v>BARATA Y MORADA</v>
      </c>
      <c r="C3205" s="52">
        <v>0.4375</v>
      </c>
      <c r="D3205" s="52">
        <v>0.44444444444444442</v>
      </c>
      <c r="E3205" s="53">
        <f>'Reclamo de equipaje rediseñado'!$D3205-'Reclamo de equipaje rediseñado'!$C3205</f>
        <v>6.9444444444444198E-3</v>
      </c>
      <c r="F3205" s="52">
        <v>0.4513888888888889</v>
      </c>
      <c r="G3205" s="53">
        <f t="shared" si="50"/>
        <v>6.9444444444444753E-3</v>
      </c>
      <c r="H3205" s="54">
        <v>41750</v>
      </c>
      <c r="I3205" s="55" t="s">
        <v>550</v>
      </c>
      <c r="J3205" s="55" t="s">
        <v>572</v>
      </c>
      <c r="K3205" s="55">
        <f>VLOOKUP(J3205,'Validacion reclamo de equipaje'!L:M,2,0)</f>
        <v>142</v>
      </c>
      <c r="L3205" s="55" t="str">
        <f>VLOOKUP(I3205,'Validacion reclamo de equipaje'!H:I,2,0)</f>
        <v>Nacional</v>
      </c>
      <c r="M3205" s="55" t="s">
        <v>523</v>
      </c>
    </row>
    <row r="3206" spans="1:13" x14ac:dyDescent="0.25">
      <c r="A3206">
        <v>671</v>
      </c>
      <c r="B3206" s="47" t="str">
        <f>VLOOKUP(Tabla6[[#This Row],['# Vuelo]],'Validacion reclamo de equipaje'!P:Q,2,0)</f>
        <v>BARATA Y MORADA</v>
      </c>
      <c r="C3206" s="48">
        <v>0.44027777777777777</v>
      </c>
      <c r="D3206" s="48">
        <v>0.44791666666666669</v>
      </c>
      <c r="E3206" s="49">
        <f>'Reclamo de equipaje rediseñado'!$D3206-'Reclamo de equipaje rediseñado'!$C3206</f>
        <v>7.6388888888889173E-3</v>
      </c>
      <c r="F3206" s="48">
        <v>0.45555555555555555</v>
      </c>
      <c r="G3206" s="49">
        <f t="shared" si="50"/>
        <v>7.6388888888888618E-3</v>
      </c>
      <c r="H3206" s="50">
        <v>41757</v>
      </c>
      <c r="I3206" s="51" t="s">
        <v>550</v>
      </c>
      <c r="J3206" s="51" t="s">
        <v>572</v>
      </c>
      <c r="K3206" s="51">
        <f>VLOOKUP(J3206,'Validacion reclamo de equipaje'!L:M,2,0)</f>
        <v>142</v>
      </c>
      <c r="L3206" s="51" t="str">
        <f>VLOOKUP(I3206,'Validacion reclamo de equipaje'!H:I,2,0)</f>
        <v>Nacional</v>
      </c>
      <c r="M3206" s="51" t="s">
        <v>523</v>
      </c>
    </row>
    <row r="3207" spans="1:13" x14ac:dyDescent="0.25">
      <c r="A3207">
        <v>671</v>
      </c>
      <c r="B3207" s="47" t="str">
        <f>VLOOKUP(Tabla6[[#This Row],['# Vuelo]],'Validacion reclamo de equipaje'!P:Q,2,0)</f>
        <v>BARATA Y MORADA</v>
      </c>
      <c r="C3207" s="52">
        <v>0.88611111111111107</v>
      </c>
      <c r="D3207" s="52">
        <v>0.89583333333333337</v>
      </c>
      <c r="E3207" s="53">
        <f>'Reclamo de equipaje rediseñado'!$D3207-'Reclamo de equipaje rediseñado'!$C3207</f>
        <v>9.7222222222222987E-3</v>
      </c>
      <c r="F3207" s="52">
        <v>0.90486111111111101</v>
      </c>
      <c r="G3207" s="53">
        <f t="shared" si="50"/>
        <v>9.0277777777776347E-3</v>
      </c>
      <c r="H3207" s="54">
        <v>41759</v>
      </c>
      <c r="I3207" s="55" t="s">
        <v>550</v>
      </c>
      <c r="J3207" s="55" t="s">
        <v>572</v>
      </c>
      <c r="K3207" s="55">
        <f>VLOOKUP(J3207,'Validacion reclamo de equipaje'!L:M,2,0)</f>
        <v>142</v>
      </c>
      <c r="L3207" s="55" t="str">
        <f>VLOOKUP(I3207,'Validacion reclamo de equipaje'!H:I,2,0)</f>
        <v>Nacional</v>
      </c>
      <c r="M3207" s="55" t="s">
        <v>523</v>
      </c>
    </row>
    <row r="3208" spans="1:13" x14ac:dyDescent="0.25">
      <c r="A3208">
        <v>673</v>
      </c>
      <c r="B3208" s="47" t="str">
        <f>VLOOKUP(Tabla6[[#This Row],['# Vuelo]],'Validacion reclamo de equipaje'!P:Q,2,0)</f>
        <v>BARATA Y MORADA</v>
      </c>
      <c r="C3208" s="48">
        <v>0.56805555555555554</v>
      </c>
      <c r="D3208" s="48">
        <v>0.58333333333333337</v>
      </c>
      <c r="E3208" s="49">
        <f>'Reclamo de equipaje rediseñado'!$D3208-'Reclamo de equipaje rediseñado'!$C3208</f>
        <v>1.5277777777777835E-2</v>
      </c>
      <c r="F3208" s="48">
        <v>0.59375</v>
      </c>
      <c r="G3208" s="49">
        <f t="shared" si="50"/>
        <v>1.041666666666663E-2</v>
      </c>
      <c r="H3208" s="50">
        <v>41733</v>
      </c>
      <c r="I3208" s="51" t="s">
        <v>601</v>
      </c>
      <c r="J3208" s="51" t="s">
        <v>572</v>
      </c>
      <c r="K3208" s="51">
        <f>VLOOKUP(J3208,'Validacion reclamo de equipaje'!L:M,2,0)</f>
        <v>142</v>
      </c>
      <c r="L3208" s="51" t="str">
        <f>VLOOKUP(I3208,'Validacion reclamo de equipaje'!H:I,2,0)</f>
        <v>Nacional</v>
      </c>
      <c r="M3208" s="51" t="s">
        <v>523</v>
      </c>
    </row>
    <row r="3209" spans="1:13" x14ac:dyDescent="0.25">
      <c r="A3209">
        <v>673</v>
      </c>
      <c r="B3209" s="47" t="str">
        <f>VLOOKUP(Tabla6[[#This Row],['# Vuelo]],'Validacion reclamo de equipaje'!P:Q,2,0)</f>
        <v>BARATA Y MORADA</v>
      </c>
      <c r="C3209" s="52">
        <v>0.5625</v>
      </c>
      <c r="D3209" s="52">
        <v>0.56944444444444442</v>
      </c>
      <c r="E3209" s="53">
        <f>'Reclamo de equipaje rediseñado'!$D3209-'Reclamo de equipaje rediseñado'!$C3209</f>
        <v>6.9444444444444198E-3</v>
      </c>
      <c r="F3209" s="52">
        <v>0.57500000000000007</v>
      </c>
      <c r="G3209" s="53">
        <f t="shared" si="50"/>
        <v>5.5555555555556468E-3</v>
      </c>
      <c r="H3209" s="54">
        <v>41736</v>
      </c>
      <c r="I3209" s="55" t="s">
        <v>601</v>
      </c>
      <c r="J3209" s="55" t="s">
        <v>572</v>
      </c>
      <c r="K3209" s="55">
        <f>VLOOKUP(J3209,'Validacion reclamo de equipaje'!L:M,2,0)</f>
        <v>142</v>
      </c>
      <c r="L3209" s="55" t="str">
        <f>VLOOKUP(I3209,'Validacion reclamo de equipaje'!H:I,2,0)</f>
        <v>Nacional</v>
      </c>
      <c r="M3209" s="55" t="s">
        <v>523</v>
      </c>
    </row>
    <row r="3210" spans="1:13" x14ac:dyDescent="0.25">
      <c r="A3210">
        <v>673</v>
      </c>
      <c r="B3210" s="47" t="str">
        <f>VLOOKUP(Tabla6[[#This Row],['# Vuelo]],'Validacion reclamo de equipaje'!P:Q,2,0)</f>
        <v>BARATA Y MORADA</v>
      </c>
      <c r="C3210" s="48">
        <v>0.56180555555555556</v>
      </c>
      <c r="D3210" s="48">
        <v>0.57291666666666663</v>
      </c>
      <c r="E3210" s="49">
        <f>'Reclamo de equipaje rediseñado'!$D3210-'Reclamo de equipaje rediseñado'!$C3210</f>
        <v>1.1111111111111072E-2</v>
      </c>
      <c r="F3210" s="48">
        <v>0.57638888888888895</v>
      </c>
      <c r="G3210" s="49">
        <f t="shared" si="50"/>
        <v>3.4722222222223209E-3</v>
      </c>
      <c r="H3210" s="50">
        <v>41743</v>
      </c>
      <c r="I3210" s="51" t="s">
        <v>601</v>
      </c>
      <c r="J3210" s="51" t="s">
        <v>572</v>
      </c>
      <c r="K3210" s="51">
        <f>VLOOKUP(J3210,'Validacion reclamo de equipaje'!L:M,2,0)</f>
        <v>142</v>
      </c>
      <c r="L3210" s="51" t="str">
        <f>VLOOKUP(I3210,'Validacion reclamo de equipaje'!H:I,2,0)</f>
        <v>Nacional</v>
      </c>
      <c r="M3210" s="51" t="s">
        <v>523</v>
      </c>
    </row>
    <row r="3211" spans="1:13" x14ac:dyDescent="0.25">
      <c r="A3211">
        <v>673</v>
      </c>
      <c r="B3211" s="47" t="str">
        <f>VLOOKUP(Tabla6[[#This Row],['# Vuelo]],'Validacion reclamo de equipaje'!P:Q,2,0)</f>
        <v>BARATA Y MORADA</v>
      </c>
      <c r="C3211" s="52">
        <v>0.56180555555555556</v>
      </c>
      <c r="D3211" s="52">
        <v>0.57291666666666663</v>
      </c>
      <c r="E3211" s="53">
        <f>'Reclamo de equipaje rediseñado'!$D3211-'Reclamo de equipaje rediseñado'!$C3211</f>
        <v>1.1111111111111072E-2</v>
      </c>
      <c r="F3211" s="52">
        <v>0.57638888888888895</v>
      </c>
      <c r="G3211" s="53">
        <f t="shared" si="50"/>
        <v>3.4722222222223209E-3</v>
      </c>
      <c r="H3211" s="54">
        <v>41743</v>
      </c>
      <c r="I3211" s="55" t="s">
        <v>601</v>
      </c>
      <c r="J3211" s="55" t="s">
        <v>572</v>
      </c>
      <c r="K3211" s="55">
        <f>VLOOKUP(J3211,'Validacion reclamo de equipaje'!L:M,2,0)</f>
        <v>142</v>
      </c>
      <c r="L3211" s="55" t="str">
        <f>VLOOKUP(I3211,'Validacion reclamo de equipaje'!H:I,2,0)</f>
        <v>Nacional</v>
      </c>
      <c r="M3211" s="55" t="s">
        <v>523</v>
      </c>
    </row>
    <row r="3212" spans="1:13" x14ac:dyDescent="0.25">
      <c r="A3212">
        <v>673</v>
      </c>
      <c r="B3212" s="47" t="str">
        <f>VLOOKUP(Tabla6[[#This Row],['# Vuelo]],'Validacion reclamo de equipaje'!P:Q,2,0)</f>
        <v>BARATA Y MORADA</v>
      </c>
      <c r="C3212" s="48">
        <v>5.2083333333333336E-2</v>
      </c>
      <c r="D3212" s="48">
        <v>5.6944444444444443E-2</v>
      </c>
      <c r="E3212" s="49">
        <f>'Reclamo de equipaje rediseñado'!$D3212-'Reclamo de equipaje rediseñado'!$C3212</f>
        <v>4.8611111111111077E-3</v>
      </c>
      <c r="F3212" s="48">
        <v>6.3888888888888884E-2</v>
      </c>
      <c r="G3212" s="49">
        <f t="shared" si="50"/>
        <v>6.9444444444444406E-3</v>
      </c>
      <c r="H3212" s="50">
        <v>41747</v>
      </c>
      <c r="I3212" s="51" t="s">
        <v>601</v>
      </c>
      <c r="J3212" s="51" t="s">
        <v>572</v>
      </c>
      <c r="K3212" s="51">
        <f>VLOOKUP(J3212,'Validacion reclamo de equipaje'!L:M,2,0)</f>
        <v>142</v>
      </c>
      <c r="L3212" s="51" t="str">
        <f>VLOOKUP(I3212,'Validacion reclamo de equipaje'!H:I,2,0)</f>
        <v>Nacional</v>
      </c>
      <c r="M3212" s="51" t="s">
        <v>523</v>
      </c>
    </row>
    <row r="3213" spans="1:13" x14ac:dyDescent="0.25">
      <c r="A3213">
        <v>673</v>
      </c>
      <c r="B3213" s="47" t="str">
        <f>VLOOKUP(Tabla6[[#This Row],['# Vuelo]],'Validacion reclamo de equipaje'!P:Q,2,0)</f>
        <v>BARATA Y MORADA</v>
      </c>
      <c r="C3213" s="52">
        <v>0.55902777777777779</v>
      </c>
      <c r="D3213" s="52">
        <v>0.56944444444444442</v>
      </c>
      <c r="E3213" s="53">
        <f>'Reclamo de equipaje rediseñado'!$D3213-'Reclamo de equipaje rediseñado'!$C3213</f>
        <v>1.041666666666663E-2</v>
      </c>
      <c r="F3213" s="52">
        <v>0.57638888888888895</v>
      </c>
      <c r="G3213" s="53">
        <f t="shared" si="50"/>
        <v>6.9444444444445308E-3</v>
      </c>
      <c r="H3213" s="54">
        <v>41750</v>
      </c>
      <c r="I3213" s="55" t="s">
        <v>601</v>
      </c>
      <c r="J3213" s="55" t="s">
        <v>572</v>
      </c>
      <c r="K3213" s="55">
        <f>VLOOKUP(J3213,'Validacion reclamo de equipaje'!L:M,2,0)</f>
        <v>142</v>
      </c>
      <c r="L3213" s="55" t="str">
        <f>VLOOKUP(I3213,'Validacion reclamo de equipaje'!H:I,2,0)</f>
        <v>Nacional</v>
      </c>
      <c r="M3213" s="55" t="s">
        <v>523</v>
      </c>
    </row>
    <row r="3214" spans="1:13" x14ac:dyDescent="0.25">
      <c r="A3214">
        <v>673</v>
      </c>
      <c r="B3214" s="47" t="str">
        <f>VLOOKUP(Tabla6[[#This Row],['# Vuelo]],'Validacion reclamo de equipaje'!P:Q,2,0)</f>
        <v>BARATA Y MORADA</v>
      </c>
      <c r="C3214" s="48">
        <v>0.56666666666666665</v>
      </c>
      <c r="D3214" s="48">
        <v>0.57777777777777783</v>
      </c>
      <c r="E3214" s="49">
        <f>'Reclamo de equipaje rediseñado'!$D3214-'Reclamo de equipaje rediseñado'!$C3214</f>
        <v>1.1111111111111183E-2</v>
      </c>
      <c r="F3214" s="48">
        <v>0.58402777777777781</v>
      </c>
      <c r="G3214" s="49">
        <f t="shared" si="50"/>
        <v>6.2499999999999778E-3</v>
      </c>
      <c r="H3214" s="50">
        <v>41754</v>
      </c>
      <c r="I3214" s="51" t="s">
        <v>601</v>
      </c>
      <c r="J3214" s="51" t="s">
        <v>572</v>
      </c>
      <c r="K3214" s="51">
        <f>VLOOKUP(J3214,'Validacion reclamo de equipaje'!L:M,2,0)</f>
        <v>142</v>
      </c>
      <c r="L3214" s="51" t="str">
        <f>VLOOKUP(I3214,'Validacion reclamo de equipaje'!H:I,2,0)</f>
        <v>Nacional</v>
      </c>
      <c r="M3214" s="51" t="s">
        <v>523</v>
      </c>
    </row>
    <row r="3215" spans="1:13" x14ac:dyDescent="0.25">
      <c r="A3215">
        <v>673</v>
      </c>
      <c r="B3215" s="47" t="str">
        <f>VLOOKUP(Tabla6[[#This Row],['# Vuelo]],'Validacion reclamo de equipaje'!P:Q,2,0)</f>
        <v>BARATA Y MORADA</v>
      </c>
      <c r="C3215" s="52">
        <v>0.56319444444444444</v>
      </c>
      <c r="D3215" s="52">
        <v>0.57430555555555551</v>
      </c>
      <c r="E3215" s="53">
        <f>'Reclamo de equipaje rediseñado'!$D3215-'Reclamo de equipaje rediseñado'!$C3215</f>
        <v>1.1111111111111072E-2</v>
      </c>
      <c r="F3215" s="52">
        <v>0.58333333333333337</v>
      </c>
      <c r="G3215" s="53">
        <f t="shared" si="50"/>
        <v>9.0277777777778567E-3</v>
      </c>
      <c r="H3215" s="54">
        <v>41757</v>
      </c>
      <c r="I3215" s="55" t="s">
        <v>601</v>
      </c>
      <c r="J3215" s="55" t="s">
        <v>572</v>
      </c>
      <c r="K3215" s="55">
        <f>VLOOKUP(J3215,'Validacion reclamo de equipaje'!L:M,2,0)</f>
        <v>142</v>
      </c>
      <c r="L3215" s="55" t="str">
        <f>VLOOKUP(I3215,'Validacion reclamo de equipaje'!H:I,2,0)</f>
        <v>Nacional</v>
      </c>
      <c r="M3215" s="55" t="s">
        <v>523</v>
      </c>
    </row>
    <row r="3216" spans="1:13" x14ac:dyDescent="0.25">
      <c r="A3216">
        <v>675</v>
      </c>
      <c r="B3216" s="47" t="str">
        <f>VLOOKUP(Tabla6[[#This Row],['# Vuelo]],'Validacion reclamo de equipaje'!P:Q,2,0)</f>
        <v>BARATA Y MORADA</v>
      </c>
      <c r="C3216" s="48">
        <v>0.70347222222222217</v>
      </c>
      <c r="D3216" s="48">
        <v>0.71180555555555547</v>
      </c>
      <c r="E3216" s="49">
        <f>'Reclamo de equipaje rediseñado'!$D3216-'Reclamo de equipaje rediseñado'!$C3216</f>
        <v>8.3333333333333037E-3</v>
      </c>
      <c r="F3216" s="48">
        <v>0.71805555555555556</v>
      </c>
      <c r="G3216" s="49">
        <f t="shared" si="50"/>
        <v>6.2500000000000888E-3</v>
      </c>
      <c r="H3216" s="50">
        <v>41731</v>
      </c>
      <c r="I3216" s="51" t="s">
        <v>600</v>
      </c>
      <c r="J3216" s="51" t="s">
        <v>572</v>
      </c>
      <c r="K3216" s="51">
        <f>VLOOKUP(J3216,'Validacion reclamo de equipaje'!L:M,2,0)</f>
        <v>142</v>
      </c>
      <c r="L3216" s="51" t="str">
        <f>VLOOKUP(I3216,'Validacion reclamo de equipaje'!H:I,2,0)</f>
        <v>Nacional</v>
      </c>
      <c r="M3216" s="51" t="s">
        <v>523</v>
      </c>
    </row>
    <row r="3217" spans="1:13" x14ac:dyDescent="0.25">
      <c r="A3217">
        <v>675</v>
      </c>
      <c r="B3217" s="47" t="str">
        <f>VLOOKUP(Tabla6[[#This Row],['# Vuelo]],'Validacion reclamo de equipaje'!P:Q,2,0)</f>
        <v>BARATA Y MORADA</v>
      </c>
      <c r="C3217" s="52">
        <v>0.69513888888888886</v>
      </c>
      <c r="D3217" s="52">
        <v>0.70624999999999993</v>
      </c>
      <c r="E3217" s="53">
        <f>'Reclamo de equipaje rediseñado'!$D3217-'Reclamo de equipaje rediseñado'!$C3217</f>
        <v>1.1111111111111072E-2</v>
      </c>
      <c r="F3217" s="52">
        <v>0.7104166666666667</v>
      </c>
      <c r="G3217" s="53">
        <f t="shared" si="50"/>
        <v>4.1666666666667629E-3</v>
      </c>
      <c r="H3217" s="54">
        <v>41736</v>
      </c>
      <c r="I3217" s="55" t="s">
        <v>600</v>
      </c>
      <c r="J3217" s="55" t="s">
        <v>572</v>
      </c>
      <c r="K3217" s="55">
        <f>VLOOKUP(J3217,'Validacion reclamo de equipaje'!L:M,2,0)</f>
        <v>142</v>
      </c>
      <c r="L3217" s="55" t="str">
        <f>VLOOKUP(I3217,'Validacion reclamo de equipaje'!H:I,2,0)</f>
        <v>Nacional</v>
      </c>
      <c r="M3217" s="55" t="s">
        <v>523</v>
      </c>
    </row>
    <row r="3218" spans="1:13" x14ac:dyDescent="0.25">
      <c r="A3218">
        <v>675</v>
      </c>
      <c r="B3218" s="47" t="str">
        <f>VLOOKUP(Tabla6[[#This Row],['# Vuelo]],'Validacion reclamo de equipaje'!P:Q,2,0)</f>
        <v>BARATA Y MORADA</v>
      </c>
      <c r="C3218" s="48">
        <v>0.70486111111111116</v>
      </c>
      <c r="D3218" s="48">
        <v>0.70694444444444438</v>
      </c>
      <c r="E3218" s="49">
        <f>'Reclamo de equipaje rediseñado'!$D3218-'Reclamo de equipaje rediseñado'!$C3218</f>
        <v>2.0833333333332149E-3</v>
      </c>
      <c r="F3218" s="48">
        <v>0.71111111111111114</v>
      </c>
      <c r="G3218" s="49">
        <f t="shared" si="50"/>
        <v>4.1666666666667629E-3</v>
      </c>
      <c r="H3218" s="50">
        <v>41738</v>
      </c>
      <c r="I3218" s="51" t="s">
        <v>600</v>
      </c>
      <c r="J3218" s="51" t="s">
        <v>572</v>
      </c>
      <c r="K3218" s="51">
        <f>VLOOKUP(J3218,'Validacion reclamo de equipaje'!L:M,2,0)</f>
        <v>142</v>
      </c>
      <c r="L3218" s="51" t="str">
        <f>VLOOKUP(I3218,'Validacion reclamo de equipaje'!H:I,2,0)</f>
        <v>Nacional</v>
      </c>
      <c r="M3218" s="51" t="s">
        <v>523</v>
      </c>
    </row>
    <row r="3219" spans="1:13" x14ac:dyDescent="0.25">
      <c r="A3219">
        <v>675</v>
      </c>
      <c r="B3219" s="47" t="str">
        <f>VLOOKUP(Tabla6[[#This Row],['# Vuelo]],'Validacion reclamo de equipaje'!P:Q,2,0)</f>
        <v>BARATA Y MORADA</v>
      </c>
      <c r="C3219" s="52">
        <v>0.67569444444444438</v>
      </c>
      <c r="D3219" s="52">
        <v>0.6777777777777777</v>
      </c>
      <c r="E3219" s="53">
        <f>'Reclamo de equipaje rediseñado'!$D3219-'Reclamo de equipaje rediseñado'!$C3219</f>
        <v>2.0833333333333259E-3</v>
      </c>
      <c r="F3219" s="52">
        <v>0.70972222222222225</v>
      </c>
      <c r="G3219" s="53">
        <f t="shared" si="50"/>
        <v>3.1944444444444553E-2</v>
      </c>
      <c r="H3219" s="54">
        <v>41745</v>
      </c>
      <c r="I3219" s="55" t="s">
        <v>600</v>
      </c>
      <c r="J3219" s="55" t="s">
        <v>572</v>
      </c>
      <c r="K3219" s="55">
        <f>VLOOKUP(J3219,'Validacion reclamo de equipaje'!L:M,2,0)</f>
        <v>142</v>
      </c>
      <c r="L3219" s="55" t="str">
        <f>VLOOKUP(I3219,'Validacion reclamo de equipaje'!H:I,2,0)</f>
        <v>Nacional</v>
      </c>
      <c r="M3219" s="55" t="s">
        <v>523</v>
      </c>
    </row>
    <row r="3220" spans="1:13" x14ac:dyDescent="0.25">
      <c r="A3220">
        <v>677</v>
      </c>
      <c r="B3220" s="47" t="str">
        <f>VLOOKUP(Tabla6[[#This Row],['# Vuelo]],'Validacion reclamo de equipaje'!P:Q,2,0)</f>
        <v>BARATA Y MORADA</v>
      </c>
      <c r="C3220" s="48">
        <v>0.90208333333333324</v>
      </c>
      <c r="D3220" s="48">
        <v>0.9145833333333333</v>
      </c>
      <c r="E3220" s="49">
        <f>'Reclamo de equipaje rediseñado'!$D3220-'Reclamo de equipaje rediseñado'!$C3220</f>
        <v>1.2500000000000067E-2</v>
      </c>
      <c r="F3220" s="48">
        <v>0.92361111111111116</v>
      </c>
      <c r="G3220" s="49">
        <f t="shared" si="50"/>
        <v>9.0277777777778567E-3</v>
      </c>
      <c r="H3220" s="50">
        <v>41731</v>
      </c>
      <c r="I3220" s="51" t="s">
        <v>543</v>
      </c>
      <c r="J3220" s="51">
        <v>320</v>
      </c>
      <c r="K3220" s="51">
        <f>VLOOKUP(J3220,'Validacion reclamo de equipaje'!L:M,2,0)</f>
        <v>179</v>
      </c>
      <c r="L3220" s="51" t="str">
        <f>VLOOKUP(I3220,'Validacion reclamo de equipaje'!H:I,2,0)</f>
        <v>Nacional</v>
      </c>
      <c r="M3220" s="51" t="s">
        <v>523</v>
      </c>
    </row>
    <row r="3221" spans="1:13" x14ac:dyDescent="0.25">
      <c r="A3221">
        <v>677</v>
      </c>
      <c r="B3221" s="47" t="str">
        <f>VLOOKUP(Tabla6[[#This Row],['# Vuelo]],'Validacion reclamo de equipaje'!P:Q,2,0)</f>
        <v>BARATA Y MORADA</v>
      </c>
      <c r="C3221" s="52">
        <v>0.90208333333333324</v>
      </c>
      <c r="D3221" s="52">
        <v>0.91736111111111107</v>
      </c>
      <c r="E3221" s="53">
        <f>'Reclamo de equipaje rediseñado'!$D3221-'Reclamo de equipaje rediseñado'!$C3221</f>
        <v>1.5277777777777835E-2</v>
      </c>
      <c r="F3221" s="52">
        <v>0.92291666666666661</v>
      </c>
      <c r="G3221" s="53">
        <f t="shared" si="50"/>
        <v>5.5555555555555358E-3</v>
      </c>
      <c r="H3221" s="54">
        <v>41731</v>
      </c>
      <c r="I3221" s="55" t="s">
        <v>543</v>
      </c>
      <c r="J3221" s="55">
        <v>320</v>
      </c>
      <c r="K3221" s="55">
        <f>VLOOKUP(J3221,'Validacion reclamo de equipaje'!L:M,2,0)</f>
        <v>179</v>
      </c>
      <c r="L3221" s="55" t="str">
        <f>VLOOKUP(I3221,'Validacion reclamo de equipaje'!H:I,2,0)</f>
        <v>Nacional</v>
      </c>
      <c r="M3221" s="55" t="s">
        <v>523</v>
      </c>
    </row>
    <row r="3222" spans="1:13" x14ac:dyDescent="0.25">
      <c r="A3222">
        <v>677</v>
      </c>
      <c r="B3222" s="47" t="str">
        <f>VLOOKUP(Tabla6[[#This Row],['# Vuelo]],'Validacion reclamo de equipaje'!P:Q,2,0)</f>
        <v>BARATA Y MORADA</v>
      </c>
      <c r="C3222" s="48">
        <v>0.90138888888888891</v>
      </c>
      <c r="D3222" s="48">
        <v>0.91319444444444453</v>
      </c>
      <c r="E3222" s="49">
        <f>'Reclamo de equipaje rediseñado'!$D3222-'Reclamo de equipaje rediseñado'!$C3222</f>
        <v>1.1805555555555625E-2</v>
      </c>
      <c r="F3222" s="48">
        <v>0.92222222222222217</v>
      </c>
      <c r="G3222" s="49">
        <f t="shared" si="50"/>
        <v>9.0277777777776347E-3</v>
      </c>
      <c r="H3222" s="50">
        <v>41732</v>
      </c>
      <c r="I3222" s="51" t="s">
        <v>543</v>
      </c>
      <c r="J3222" s="51">
        <v>320</v>
      </c>
      <c r="K3222" s="51">
        <f>VLOOKUP(J3222,'Validacion reclamo de equipaje'!L:M,2,0)</f>
        <v>179</v>
      </c>
      <c r="L3222" s="51" t="str">
        <f>VLOOKUP(I3222,'Validacion reclamo de equipaje'!H:I,2,0)</f>
        <v>Nacional</v>
      </c>
      <c r="M3222" s="51" t="s">
        <v>523</v>
      </c>
    </row>
    <row r="3223" spans="1:13" x14ac:dyDescent="0.25">
      <c r="A3223">
        <v>677</v>
      </c>
      <c r="B3223" s="47" t="str">
        <f>VLOOKUP(Tabla6[[#This Row],['# Vuelo]],'Validacion reclamo de equipaje'!P:Q,2,0)</f>
        <v>BARATA Y MORADA</v>
      </c>
      <c r="C3223" s="52">
        <v>0.92013888888888884</v>
      </c>
      <c r="D3223" s="52">
        <v>0.92638888888888893</v>
      </c>
      <c r="E3223" s="53">
        <f>'Reclamo de equipaje rediseñado'!$D3223-'Reclamo de equipaje rediseñado'!$C3223</f>
        <v>6.2500000000000888E-3</v>
      </c>
      <c r="F3223" s="52">
        <v>0.9291666666666667</v>
      </c>
      <c r="G3223" s="53">
        <f t="shared" si="50"/>
        <v>2.7777777777777679E-3</v>
      </c>
      <c r="H3223" s="54">
        <v>41734</v>
      </c>
      <c r="I3223" s="55" t="s">
        <v>543</v>
      </c>
      <c r="J3223" s="55">
        <v>320</v>
      </c>
      <c r="K3223" s="55">
        <f>VLOOKUP(J3223,'Validacion reclamo de equipaje'!L:M,2,0)</f>
        <v>179</v>
      </c>
      <c r="L3223" s="55" t="str">
        <f>VLOOKUP(I3223,'Validacion reclamo de equipaje'!H:I,2,0)</f>
        <v>Nacional</v>
      </c>
      <c r="M3223" s="55" t="s">
        <v>523</v>
      </c>
    </row>
    <row r="3224" spans="1:13" x14ac:dyDescent="0.25">
      <c r="A3224">
        <v>677</v>
      </c>
      <c r="B3224" s="47" t="str">
        <f>VLOOKUP(Tabla6[[#This Row],['# Vuelo]],'Validacion reclamo de equipaje'!P:Q,2,0)</f>
        <v>BARATA Y MORADA</v>
      </c>
      <c r="C3224" s="48">
        <v>0.40277777777777773</v>
      </c>
      <c r="D3224" s="48">
        <v>0.40486111111111112</v>
      </c>
      <c r="E3224" s="49">
        <f>'Reclamo de equipaje rediseñado'!$D3224-'Reclamo de equipaje rediseñado'!$C3224</f>
        <v>2.0833333333333814E-3</v>
      </c>
      <c r="F3224" s="48">
        <v>0.4069444444444445</v>
      </c>
      <c r="G3224" s="49">
        <f t="shared" si="50"/>
        <v>2.0833333333333814E-3</v>
      </c>
      <c r="H3224" s="50">
        <v>41735</v>
      </c>
      <c r="I3224" s="51" t="s">
        <v>543</v>
      </c>
      <c r="J3224" s="51">
        <v>320</v>
      </c>
      <c r="K3224" s="51">
        <f>VLOOKUP(J3224,'Validacion reclamo de equipaje'!L:M,2,0)</f>
        <v>179</v>
      </c>
      <c r="L3224" s="51" t="str">
        <f>VLOOKUP(I3224,'Validacion reclamo de equipaje'!H:I,2,0)</f>
        <v>Nacional</v>
      </c>
      <c r="M3224" s="51" t="s">
        <v>523</v>
      </c>
    </row>
    <row r="3225" spans="1:13" x14ac:dyDescent="0.25">
      <c r="A3225">
        <v>677</v>
      </c>
      <c r="B3225" s="47" t="str">
        <f>VLOOKUP(Tabla6[[#This Row],['# Vuelo]],'Validacion reclamo de equipaje'!P:Q,2,0)</f>
        <v>BARATA Y MORADA</v>
      </c>
      <c r="C3225" s="52">
        <v>0.90138888888888891</v>
      </c>
      <c r="D3225" s="52">
        <v>0.90972222222222221</v>
      </c>
      <c r="E3225" s="53">
        <f>'Reclamo de equipaje rediseñado'!$D3225-'Reclamo de equipaje rediseñado'!$C3225</f>
        <v>8.3333333333333037E-3</v>
      </c>
      <c r="F3225" s="52">
        <v>0.92013888888888884</v>
      </c>
      <c r="G3225" s="53">
        <f t="shared" si="50"/>
        <v>1.041666666666663E-2</v>
      </c>
      <c r="H3225" s="54">
        <v>41736</v>
      </c>
      <c r="I3225" s="55" t="s">
        <v>543</v>
      </c>
      <c r="J3225" s="55">
        <v>320</v>
      </c>
      <c r="K3225" s="55">
        <f>VLOOKUP(J3225,'Validacion reclamo de equipaje'!L:M,2,0)</f>
        <v>179</v>
      </c>
      <c r="L3225" s="55" t="str">
        <f>VLOOKUP(I3225,'Validacion reclamo de equipaje'!H:I,2,0)</f>
        <v>Nacional</v>
      </c>
      <c r="M3225" s="55" t="s">
        <v>523</v>
      </c>
    </row>
    <row r="3226" spans="1:13" x14ac:dyDescent="0.25">
      <c r="A3226">
        <v>677</v>
      </c>
      <c r="B3226" s="47" t="str">
        <f>VLOOKUP(Tabla6[[#This Row],['# Vuelo]],'Validacion reclamo de equipaje'!P:Q,2,0)</f>
        <v>BARATA Y MORADA</v>
      </c>
      <c r="C3226" s="48">
        <v>0.89166666666666661</v>
      </c>
      <c r="D3226" s="48">
        <v>0.8979166666666667</v>
      </c>
      <c r="E3226" s="49">
        <f>'Reclamo de equipaje rediseñado'!$D3226-'Reclamo de equipaje rediseñado'!$C3226</f>
        <v>6.2500000000000888E-3</v>
      </c>
      <c r="F3226" s="48">
        <v>0.90416666666666667</v>
      </c>
      <c r="G3226" s="49">
        <f t="shared" si="50"/>
        <v>6.2499999999999778E-3</v>
      </c>
      <c r="H3226" s="50">
        <v>41736</v>
      </c>
      <c r="I3226" s="51" t="s">
        <v>543</v>
      </c>
      <c r="J3226" s="51">
        <v>320</v>
      </c>
      <c r="K3226" s="51">
        <f>VLOOKUP(J3226,'Validacion reclamo de equipaje'!L:M,2,0)</f>
        <v>179</v>
      </c>
      <c r="L3226" s="51" t="str">
        <f>VLOOKUP(I3226,'Validacion reclamo de equipaje'!H:I,2,0)</f>
        <v>Nacional</v>
      </c>
      <c r="M3226" s="51" t="s">
        <v>523</v>
      </c>
    </row>
    <row r="3227" spans="1:13" x14ac:dyDescent="0.25">
      <c r="A3227">
        <v>677</v>
      </c>
      <c r="B3227" s="47" t="str">
        <f>VLOOKUP(Tabla6[[#This Row],['# Vuelo]],'Validacion reclamo de equipaje'!P:Q,2,0)</f>
        <v>BARATA Y MORADA</v>
      </c>
      <c r="C3227" s="52">
        <v>0.9159722222222223</v>
      </c>
      <c r="D3227" s="52">
        <v>0.93125000000000002</v>
      </c>
      <c r="E3227" s="53">
        <f>'Reclamo de equipaje rediseñado'!$D3227-'Reclamo de equipaje rediseñado'!$C3227</f>
        <v>1.5277777777777724E-2</v>
      </c>
      <c r="F3227" s="52">
        <v>0.9375</v>
      </c>
      <c r="G3227" s="53">
        <f t="shared" si="50"/>
        <v>6.2499999999999778E-3</v>
      </c>
      <c r="H3227" s="54">
        <v>41738</v>
      </c>
      <c r="I3227" s="55" t="s">
        <v>543</v>
      </c>
      <c r="J3227" s="55">
        <v>320</v>
      </c>
      <c r="K3227" s="55">
        <f>VLOOKUP(J3227,'Validacion reclamo de equipaje'!L:M,2,0)</f>
        <v>179</v>
      </c>
      <c r="L3227" s="55" t="str">
        <f>VLOOKUP(I3227,'Validacion reclamo de equipaje'!H:I,2,0)</f>
        <v>Nacional</v>
      </c>
      <c r="M3227" s="55" t="s">
        <v>523</v>
      </c>
    </row>
    <row r="3228" spans="1:13" x14ac:dyDescent="0.25">
      <c r="A3228">
        <v>677</v>
      </c>
      <c r="B3228" s="47" t="str">
        <f>VLOOKUP(Tabla6[[#This Row],['# Vuelo]],'Validacion reclamo de equipaje'!P:Q,2,0)</f>
        <v>BARATA Y MORADA</v>
      </c>
      <c r="C3228" s="48">
        <v>0.93611111111111101</v>
      </c>
      <c r="D3228" s="48">
        <v>0.9458333333333333</v>
      </c>
      <c r="E3228" s="49">
        <f>'Reclamo de equipaje rediseñado'!$D3228-'Reclamo de equipaje rediseñado'!$C3228</f>
        <v>9.7222222222222987E-3</v>
      </c>
      <c r="F3228" s="48">
        <v>0.9555555555555556</v>
      </c>
      <c r="G3228" s="49">
        <f t="shared" si="50"/>
        <v>9.7222222222222987E-3</v>
      </c>
      <c r="H3228" s="50">
        <v>41739</v>
      </c>
      <c r="I3228" s="51" t="s">
        <v>543</v>
      </c>
      <c r="J3228" s="51">
        <v>320</v>
      </c>
      <c r="K3228" s="51">
        <f>VLOOKUP(J3228,'Validacion reclamo de equipaje'!L:M,2,0)</f>
        <v>179</v>
      </c>
      <c r="L3228" s="51" t="str">
        <f>VLOOKUP(I3228,'Validacion reclamo de equipaje'!H:I,2,0)</f>
        <v>Nacional</v>
      </c>
      <c r="M3228" s="51" t="s">
        <v>523</v>
      </c>
    </row>
    <row r="3229" spans="1:13" x14ac:dyDescent="0.25">
      <c r="A3229">
        <v>677</v>
      </c>
      <c r="B3229" s="47" t="str">
        <f>VLOOKUP(Tabla6[[#This Row],['# Vuelo]],'Validacion reclamo de equipaje'!P:Q,2,0)</f>
        <v>BARATA Y MORADA</v>
      </c>
      <c r="C3229" s="52">
        <v>0.88194444444444453</v>
      </c>
      <c r="D3229" s="52">
        <v>0.88750000000000007</v>
      </c>
      <c r="E3229" s="53">
        <f>'Reclamo de equipaje rediseñado'!$D3229-'Reclamo de equipaje rediseñado'!$C3229</f>
        <v>5.5555555555555358E-3</v>
      </c>
      <c r="F3229" s="52">
        <v>0.89930555555555547</v>
      </c>
      <c r="G3229" s="53">
        <f t="shared" si="50"/>
        <v>1.1805555555555403E-2</v>
      </c>
      <c r="H3229" s="54">
        <v>41741</v>
      </c>
      <c r="I3229" s="55" t="s">
        <v>543</v>
      </c>
      <c r="J3229" s="55">
        <v>320</v>
      </c>
      <c r="K3229" s="55">
        <f>VLOOKUP(J3229,'Validacion reclamo de equipaje'!L:M,2,0)</f>
        <v>179</v>
      </c>
      <c r="L3229" s="55" t="str">
        <f>VLOOKUP(I3229,'Validacion reclamo de equipaje'!H:I,2,0)</f>
        <v>Nacional</v>
      </c>
      <c r="M3229" s="55" t="s">
        <v>523</v>
      </c>
    </row>
    <row r="3230" spans="1:13" x14ac:dyDescent="0.25">
      <c r="A3230">
        <v>677</v>
      </c>
      <c r="B3230" s="47" t="str">
        <f>VLOOKUP(Tabla6[[#This Row],['# Vuelo]],'Validacion reclamo de equipaje'!P:Q,2,0)</f>
        <v>BARATA Y MORADA</v>
      </c>
      <c r="C3230" s="48">
        <v>0.90555555555555556</v>
      </c>
      <c r="D3230" s="48">
        <v>0.91527777777777775</v>
      </c>
      <c r="E3230" s="49">
        <f>'Reclamo de equipaje rediseñado'!$D3230-'Reclamo de equipaje rediseñado'!$C3230</f>
        <v>9.7222222222221877E-3</v>
      </c>
      <c r="F3230" s="48">
        <v>0.92083333333333339</v>
      </c>
      <c r="G3230" s="49">
        <f t="shared" si="50"/>
        <v>5.5555555555556468E-3</v>
      </c>
      <c r="H3230" s="50">
        <v>41743</v>
      </c>
      <c r="I3230" s="51" t="s">
        <v>543</v>
      </c>
      <c r="J3230" s="51">
        <v>320</v>
      </c>
      <c r="K3230" s="51">
        <f>VLOOKUP(J3230,'Validacion reclamo de equipaje'!L:M,2,0)</f>
        <v>179</v>
      </c>
      <c r="L3230" s="51" t="str">
        <f>VLOOKUP(I3230,'Validacion reclamo de equipaje'!H:I,2,0)</f>
        <v>Nacional</v>
      </c>
      <c r="M3230" s="51" t="s">
        <v>523</v>
      </c>
    </row>
    <row r="3231" spans="1:13" x14ac:dyDescent="0.25">
      <c r="A3231">
        <v>677</v>
      </c>
      <c r="B3231" s="47" t="str">
        <f>VLOOKUP(Tabla6[[#This Row],['# Vuelo]],'Validacion reclamo de equipaje'!P:Q,2,0)</f>
        <v>BARATA Y MORADA</v>
      </c>
      <c r="C3231" s="52">
        <v>0.89930555555555547</v>
      </c>
      <c r="D3231" s="52">
        <v>0.90902777777777777</v>
      </c>
      <c r="E3231" s="53">
        <f>'Reclamo de equipaje rediseñado'!$D3231-'Reclamo de equipaje rediseñado'!$C3231</f>
        <v>9.7222222222222987E-3</v>
      </c>
      <c r="F3231" s="52">
        <v>0.91875000000000007</v>
      </c>
      <c r="G3231" s="53">
        <f t="shared" si="50"/>
        <v>9.7222222222222987E-3</v>
      </c>
      <c r="H3231" s="54">
        <v>41745</v>
      </c>
      <c r="I3231" s="55" t="s">
        <v>543</v>
      </c>
      <c r="J3231" s="55">
        <v>320</v>
      </c>
      <c r="K3231" s="55">
        <f>VLOOKUP(J3231,'Validacion reclamo de equipaje'!L:M,2,0)</f>
        <v>179</v>
      </c>
      <c r="L3231" s="55" t="str">
        <f>VLOOKUP(I3231,'Validacion reclamo de equipaje'!H:I,2,0)</f>
        <v>Nacional</v>
      </c>
      <c r="M3231" s="55" t="s">
        <v>523</v>
      </c>
    </row>
    <row r="3232" spans="1:13" x14ac:dyDescent="0.25">
      <c r="A3232">
        <v>677</v>
      </c>
      <c r="B3232" s="47" t="str">
        <f>VLOOKUP(Tabla6[[#This Row],['# Vuelo]],'Validacion reclamo de equipaje'!P:Q,2,0)</f>
        <v>BARATA Y MORADA</v>
      </c>
      <c r="C3232" s="48">
        <v>0.90277777777777779</v>
      </c>
      <c r="D3232" s="48">
        <v>0.91805555555555562</v>
      </c>
      <c r="E3232" s="49">
        <f>'Reclamo de equipaje rediseñado'!$D3232-'Reclamo de equipaje rediseñado'!$C3232</f>
        <v>1.5277777777777835E-2</v>
      </c>
      <c r="F3232" s="48">
        <v>0.92361111111111116</v>
      </c>
      <c r="G3232" s="49">
        <f t="shared" si="50"/>
        <v>5.5555555555555358E-3</v>
      </c>
      <c r="H3232" s="50">
        <v>41744</v>
      </c>
      <c r="I3232" s="51" t="s">
        <v>543</v>
      </c>
      <c r="J3232" s="51">
        <v>320</v>
      </c>
      <c r="K3232" s="51">
        <f>VLOOKUP(J3232,'Validacion reclamo de equipaje'!L:M,2,0)</f>
        <v>179</v>
      </c>
      <c r="L3232" s="51" t="str">
        <f>VLOOKUP(I3232,'Validacion reclamo de equipaje'!H:I,2,0)</f>
        <v>Nacional</v>
      </c>
      <c r="M3232" s="51" t="s">
        <v>523</v>
      </c>
    </row>
    <row r="3233" spans="1:13" x14ac:dyDescent="0.25">
      <c r="A3233">
        <v>677</v>
      </c>
      <c r="B3233" s="47" t="str">
        <f>VLOOKUP(Tabla6[[#This Row],['# Vuelo]],'Validacion reclamo de equipaje'!P:Q,2,0)</f>
        <v>BARATA Y MORADA</v>
      </c>
      <c r="C3233" s="52">
        <v>0.90208333333333324</v>
      </c>
      <c r="D3233" s="52">
        <v>0.90625</v>
      </c>
      <c r="E3233" s="53">
        <f>'Reclamo de equipaje rediseñado'!$D3233-'Reclamo de equipaje rediseñado'!$C3233</f>
        <v>4.1666666666667629E-3</v>
      </c>
      <c r="F3233" s="52">
        <v>0.91180555555555554</v>
      </c>
      <c r="G3233" s="53">
        <f t="shared" si="50"/>
        <v>5.5555555555555358E-3</v>
      </c>
      <c r="H3233" s="54">
        <v>41746</v>
      </c>
      <c r="I3233" s="55" t="s">
        <v>543</v>
      </c>
      <c r="J3233" s="55">
        <v>320</v>
      </c>
      <c r="K3233" s="55">
        <f>VLOOKUP(J3233,'Validacion reclamo de equipaje'!L:M,2,0)</f>
        <v>179</v>
      </c>
      <c r="L3233" s="55" t="str">
        <f>VLOOKUP(I3233,'Validacion reclamo de equipaje'!H:I,2,0)</f>
        <v>Nacional</v>
      </c>
      <c r="M3233" s="55" t="s">
        <v>523</v>
      </c>
    </row>
    <row r="3234" spans="1:13" x14ac:dyDescent="0.25">
      <c r="A3234">
        <v>677</v>
      </c>
      <c r="B3234" s="47" t="str">
        <f>VLOOKUP(Tabla6[[#This Row],['# Vuelo]],'Validacion reclamo de equipaje'!P:Q,2,0)</f>
        <v>BARATA Y MORADA</v>
      </c>
      <c r="C3234" s="48">
        <v>0.39583333333333331</v>
      </c>
      <c r="D3234" s="48">
        <v>0.39652777777777781</v>
      </c>
      <c r="E3234" s="49">
        <f>'Reclamo de equipaje rediseñado'!$D3234-'Reclamo de equipaje rediseñado'!$C3234</f>
        <v>6.9444444444449749E-4</v>
      </c>
      <c r="F3234" s="48">
        <v>0.3979166666666667</v>
      </c>
      <c r="G3234" s="49">
        <f t="shared" si="50"/>
        <v>1.388888888888884E-3</v>
      </c>
      <c r="H3234" s="50">
        <v>41747</v>
      </c>
      <c r="I3234" s="51" t="s">
        <v>543</v>
      </c>
      <c r="J3234" s="51">
        <v>320</v>
      </c>
      <c r="K3234" s="51">
        <f>VLOOKUP(J3234,'Validacion reclamo de equipaje'!L:M,2,0)</f>
        <v>179</v>
      </c>
      <c r="L3234" s="51" t="str">
        <f>VLOOKUP(I3234,'Validacion reclamo de equipaje'!H:I,2,0)</f>
        <v>Nacional</v>
      </c>
      <c r="M3234" s="51" t="s">
        <v>523</v>
      </c>
    </row>
    <row r="3235" spans="1:13" x14ac:dyDescent="0.25">
      <c r="A3235">
        <v>677</v>
      </c>
      <c r="B3235" s="47" t="str">
        <f>VLOOKUP(Tabla6[[#This Row],['# Vuelo]],'Validacion reclamo de equipaje'!P:Q,2,0)</f>
        <v>BARATA Y MORADA</v>
      </c>
      <c r="C3235" s="52">
        <v>0.93055555555555547</v>
      </c>
      <c r="D3235" s="52">
        <v>0.9375</v>
      </c>
      <c r="E3235" s="53">
        <f>'Reclamo de equipaje rediseñado'!$D3235-'Reclamo de equipaje rediseñado'!$C3235</f>
        <v>6.9444444444445308E-3</v>
      </c>
      <c r="F3235" s="52">
        <v>0.94444444444444453</v>
      </c>
      <c r="G3235" s="53">
        <f t="shared" si="50"/>
        <v>6.9444444444445308E-3</v>
      </c>
      <c r="H3235" s="54">
        <v>41749</v>
      </c>
      <c r="I3235" s="55" t="s">
        <v>543</v>
      </c>
      <c r="J3235" s="55">
        <v>320</v>
      </c>
      <c r="K3235" s="55">
        <f>VLOOKUP(J3235,'Validacion reclamo de equipaje'!L:M,2,0)</f>
        <v>179</v>
      </c>
      <c r="L3235" s="55" t="str">
        <f>VLOOKUP(I3235,'Validacion reclamo de equipaje'!H:I,2,0)</f>
        <v>Nacional</v>
      </c>
      <c r="M3235" s="55" t="s">
        <v>523</v>
      </c>
    </row>
    <row r="3236" spans="1:13" x14ac:dyDescent="0.25">
      <c r="A3236">
        <v>677</v>
      </c>
      <c r="B3236" s="47" t="str">
        <f>VLOOKUP(Tabla6[[#This Row],['# Vuelo]],'Validacion reclamo de equipaje'!P:Q,2,0)</f>
        <v>BARATA Y MORADA</v>
      </c>
      <c r="C3236" s="48">
        <v>0.88958333333333339</v>
      </c>
      <c r="D3236" s="48">
        <v>0.89583333333333337</v>
      </c>
      <c r="E3236" s="49">
        <f>'Reclamo de equipaje rediseñado'!$D3236-'Reclamo de equipaje rediseñado'!$C3236</f>
        <v>6.2499999999999778E-3</v>
      </c>
      <c r="F3236" s="48">
        <v>0.90277777777777779</v>
      </c>
      <c r="G3236" s="49">
        <f t="shared" si="50"/>
        <v>6.9444444444444198E-3</v>
      </c>
      <c r="H3236" s="50">
        <v>41751</v>
      </c>
      <c r="I3236" s="51" t="s">
        <v>543</v>
      </c>
      <c r="J3236" s="51">
        <v>320</v>
      </c>
      <c r="K3236" s="51">
        <f>VLOOKUP(J3236,'Validacion reclamo de equipaje'!L:M,2,0)</f>
        <v>179</v>
      </c>
      <c r="L3236" s="51" t="str">
        <f>VLOOKUP(I3236,'Validacion reclamo de equipaje'!H:I,2,0)</f>
        <v>Nacional</v>
      </c>
      <c r="M3236" s="51" t="s">
        <v>523</v>
      </c>
    </row>
    <row r="3237" spans="1:13" x14ac:dyDescent="0.25">
      <c r="A3237">
        <v>677</v>
      </c>
      <c r="B3237" s="47" t="str">
        <f>VLOOKUP(Tabla6[[#This Row],['# Vuelo]],'Validacion reclamo de equipaje'!P:Q,2,0)</f>
        <v>BARATA Y MORADA</v>
      </c>
      <c r="C3237" s="52">
        <v>0.90694444444444444</v>
      </c>
      <c r="D3237" s="52">
        <v>0.91180555555555554</v>
      </c>
      <c r="E3237" s="53">
        <f>'Reclamo de equipaje rediseñado'!$D3237-'Reclamo de equipaje rediseñado'!$C3237</f>
        <v>4.8611111111110938E-3</v>
      </c>
      <c r="F3237" s="52">
        <v>0.91805555555555562</v>
      </c>
      <c r="G3237" s="53">
        <f t="shared" si="50"/>
        <v>6.2500000000000888E-3</v>
      </c>
      <c r="H3237" s="54">
        <v>41753</v>
      </c>
      <c r="I3237" s="55" t="s">
        <v>543</v>
      </c>
      <c r="J3237" s="55">
        <v>320</v>
      </c>
      <c r="K3237" s="55">
        <f>VLOOKUP(J3237,'Validacion reclamo de equipaje'!L:M,2,0)</f>
        <v>179</v>
      </c>
      <c r="L3237" s="55" t="str">
        <f>VLOOKUP(I3237,'Validacion reclamo de equipaje'!H:I,2,0)</f>
        <v>Nacional</v>
      </c>
      <c r="M3237" s="55" t="s">
        <v>523</v>
      </c>
    </row>
    <row r="3238" spans="1:13" x14ac:dyDescent="0.25">
      <c r="A3238">
        <v>677</v>
      </c>
      <c r="B3238" s="47" t="str">
        <f>VLOOKUP(Tabla6[[#This Row],['# Vuelo]],'Validacion reclamo de equipaje'!P:Q,2,0)</f>
        <v>BARATA Y MORADA</v>
      </c>
      <c r="C3238" s="48">
        <v>0.89236111111111116</v>
      </c>
      <c r="D3238" s="48">
        <v>0.90277777777777779</v>
      </c>
      <c r="E3238" s="49">
        <f>'Reclamo de equipaje rediseñado'!$D3238-'Reclamo de equipaje rediseñado'!$C3238</f>
        <v>1.041666666666663E-2</v>
      </c>
      <c r="F3238" s="48">
        <v>0.91180555555555554</v>
      </c>
      <c r="G3238" s="49">
        <f t="shared" si="50"/>
        <v>9.0277777777777457E-3</v>
      </c>
      <c r="H3238" s="50">
        <v>41755</v>
      </c>
      <c r="I3238" s="51" t="s">
        <v>543</v>
      </c>
      <c r="J3238" s="51">
        <v>320</v>
      </c>
      <c r="K3238" s="51">
        <f>VLOOKUP(J3238,'Validacion reclamo de equipaje'!L:M,2,0)</f>
        <v>179</v>
      </c>
      <c r="L3238" s="51" t="str">
        <f>VLOOKUP(I3238,'Validacion reclamo de equipaje'!H:I,2,0)</f>
        <v>Nacional</v>
      </c>
      <c r="M3238" s="51" t="s">
        <v>523</v>
      </c>
    </row>
    <row r="3239" spans="1:13" x14ac:dyDescent="0.25">
      <c r="A3239">
        <v>677</v>
      </c>
      <c r="B3239" s="47" t="str">
        <f>VLOOKUP(Tabla6[[#This Row],['# Vuelo]],'Validacion reclamo de equipaje'!P:Q,2,0)</f>
        <v>BARATA Y MORADA</v>
      </c>
      <c r="C3239" s="52">
        <v>0.8881944444444444</v>
      </c>
      <c r="D3239" s="52">
        <v>0.89722222222222225</v>
      </c>
      <c r="E3239" s="53">
        <f>'Reclamo de equipaje rediseñado'!$D3239-'Reclamo de equipaje rediseñado'!$C3239</f>
        <v>9.0277777777778567E-3</v>
      </c>
      <c r="F3239" s="52">
        <v>0.90902777777777777</v>
      </c>
      <c r="G3239" s="53">
        <f t="shared" si="50"/>
        <v>1.1805555555555514E-2</v>
      </c>
      <c r="H3239" s="54">
        <v>41757</v>
      </c>
      <c r="I3239" s="55" t="s">
        <v>543</v>
      </c>
      <c r="J3239" s="55">
        <v>320</v>
      </c>
      <c r="K3239" s="55">
        <f>VLOOKUP(J3239,'Validacion reclamo de equipaje'!L:M,2,0)</f>
        <v>179</v>
      </c>
      <c r="L3239" s="55" t="str">
        <f>VLOOKUP(I3239,'Validacion reclamo de equipaje'!H:I,2,0)</f>
        <v>Nacional</v>
      </c>
      <c r="M3239" s="55" t="s">
        <v>523</v>
      </c>
    </row>
    <row r="3240" spans="1:13" x14ac:dyDescent="0.25">
      <c r="A3240">
        <v>677</v>
      </c>
      <c r="B3240" s="47" t="str">
        <f>VLOOKUP(Tabla6[[#This Row],['# Vuelo]],'Validacion reclamo de equipaje'!P:Q,2,0)</f>
        <v>BARATA Y MORADA</v>
      </c>
      <c r="C3240" s="48">
        <v>0.89166666666666661</v>
      </c>
      <c r="D3240" s="48">
        <v>0.90486111111111101</v>
      </c>
      <c r="E3240" s="49">
        <f>'Reclamo de equipaje rediseñado'!$D3240-'Reclamo de equipaje rediseñado'!$C3240</f>
        <v>1.3194444444444398E-2</v>
      </c>
      <c r="F3240" s="48">
        <v>0.90694444444444444</v>
      </c>
      <c r="G3240" s="49">
        <f t="shared" si="50"/>
        <v>2.083333333333437E-3</v>
      </c>
      <c r="H3240" s="50">
        <v>41759</v>
      </c>
      <c r="I3240" s="51" t="s">
        <v>543</v>
      </c>
      <c r="J3240" s="51">
        <v>320</v>
      </c>
      <c r="K3240" s="51">
        <f>VLOOKUP(J3240,'Validacion reclamo de equipaje'!L:M,2,0)</f>
        <v>179</v>
      </c>
      <c r="L3240" s="51" t="str">
        <f>VLOOKUP(I3240,'Validacion reclamo de equipaje'!H:I,2,0)</f>
        <v>Nacional</v>
      </c>
      <c r="M3240" s="51" t="s">
        <v>523</v>
      </c>
    </row>
    <row r="3241" spans="1:13" x14ac:dyDescent="0.25">
      <c r="A3241">
        <v>677</v>
      </c>
      <c r="B3241" s="47" t="str">
        <f>VLOOKUP(Tabla6[[#This Row],['# Vuelo]],'Validacion reclamo de equipaje'!P:Q,2,0)</f>
        <v>BARATA Y MORADA</v>
      </c>
      <c r="C3241" s="52">
        <v>0.89930555555555547</v>
      </c>
      <c r="D3241" s="52">
        <v>0.91388888888888886</v>
      </c>
      <c r="E3241" s="53">
        <f>'Reclamo de equipaje rediseñado'!$D3241-'Reclamo de equipaje rediseñado'!$C3241</f>
        <v>1.4583333333333393E-2</v>
      </c>
      <c r="F3241" s="52">
        <v>0.92499999999999993</v>
      </c>
      <c r="G3241" s="53">
        <f t="shared" si="50"/>
        <v>1.1111111111111072E-2</v>
      </c>
      <c r="H3241" s="54">
        <v>41759</v>
      </c>
      <c r="I3241" s="55" t="s">
        <v>543</v>
      </c>
      <c r="J3241" s="55">
        <v>320</v>
      </c>
      <c r="K3241" s="55">
        <f>VLOOKUP(J3241,'Validacion reclamo de equipaje'!L:M,2,0)</f>
        <v>179</v>
      </c>
      <c r="L3241" s="55" t="str">
        <f>VLOOKUP(I3241,'Validacion reclamo de equipaje'!H:I,2,0)</f>
        <v>Nacional</v>
      </c>
      <c r="M3241" s="55" t="s">
        <v>523</v>
      </c>
    </row>
    <row r="3242" spans="1:13" x14ac:dyDescent="0.25">
      <c r="A3242">
        <v>679</v>
      </c>
      <c r="B3242" s="47" t="str">
        <f>VLOOKUP(Tabla6[[#This Row],['# Vuelo]],'Validacion reclamo de equipaje'!P:Q,2,0)</f>
        <v>BARATA Y MORADA</v>
      </c>
      <c r="C3242" s="48">
        <v>0.95694444444444438</v>
      </c>
      <c r="D3242" s="48">
        <v>0.96111111111111114</v>
      </c>
      <c r="E3242" s="49">
        <f>'Reclamo de equipaje rediseñado'!$D3242-'Reclamo de equipaje rediseñado'!$C3242</f>
        <v>4.1666666666667629E-3</v>
      </c>
      <c r="F3242" s="48">
        <v>0.96180555555555547</v>
      </c>
      <c r="G3242" s="49">
        <f t="shared" si="50"/>
        <v>6.9444444444433095E-4</v>
      </c>
      <c r="H3242" s="50">
        <v>41731</v>
      </c>
      <c r="I3242" s="51" t="s">
        <v>548</v>
      </c>
      <c r="J3242" s="51" t="s">
        <v>572</v>
      </c>
      <c r="K3242" s="51">
        <f>VLOOKUP(J3242,'Validacion reclamo de equipaje'!L:M,2,0)</f>
        <v>142</v>
      </c>
      <c r="L3242" s="51" t="str">
        <f>VLOOKUP(I3242,'Validacion reclamo de equipaje'!H:I,2,0)</f>
        <v>Nacional</v>
      </c>
      <c r="M3242" s="51" t="s">
        <v>523</v>
      </c>
    </row>
    <row r="3243" spans="1:13" x14ac:dyDescent="0.25">
      <c r="A3243">
        <v>679</v>
      </c>
      <c r="B3243" s="47" t="str">
        <f>VLOOKUP(Tabla6[[#This Row],['# Vuelo]],'Validacion reclamo de equipaje'!P:Q,2,0)</f>
        <v>BARATA Y MORADA</v>
      </c>
      <c r="C3243" s="52">
        <v>0.90208333333333324</v>
      </c>
      <c r="D3243" s="52">
        <v>0.99930555555555556</v>
      </c>
      <c r="E3243" s="53">
        <f>'Reclamo de equipaje rediseñado'!$D3243-'Reclamo de equipaje rediseñado'!$C3243</f>
        <v>9.7222222222222321E-2</v>
      </c>
      <c r="F3243" s="52">
        <v>1.0111111111111111</v>
      </c>
      <c r="G3243" s="53">
        <f t="shared" si="50"/>
        <v>1.1805555555555514E-2</v>
      </c>
      <c r="H3243" s="54">
        <v>41734</v>
      </c>
      <c r="I3243" s="55" t="s">
        <v>548</v>
      </c>
      <c r="J3243" s="55" t="s">
        <v>572</v>
      </c>
      <c r="K3243" s="55">
        <f>VLOOKUP(J3243,'Validacion reclamo de equipaje'!L:M,2,0)</f>
        <v>142</v>
      </c>
      <c r="L3243" s="55" t="str">
        <f>VLOOKUP(I3243,'Validacion reclamo de equipaje'!H:I,2,0)</f>
        <v>Nacional</v>
      </c>
      <c r="M3243" s="55" t="s">
        <v>523</v>
      </c>
    </row>
    <row r="3244" spans="1:13" x14ac:dyDescent="0.25">
      <c r="A3244">
        <v>679</v>
      </c>
      <c r="B3244" s="47" t="str">
        <f>VLOOKUP(Tabla6[[#This Row],['# Vuelo]],'Validacion reclamo de equipaje'!P:Q,2,0)</f>
        <v>BARATA Y MORADA</v>
      </c>
      <c r="C3244" s="48">
        <v>0.9555555555555556</v>
      </c>
      <c r="D3244" s="48">
        <v>0.96180555555555547</v>
      </c>
      <c r="E3244" s="49">
        <f>'Reclamo de equipaje rediseñado'!$D3244-'Reclamo de equipaje rediseñado'!$C3244</f>
        <v>6.2499999999998668E-3</v>
      </c>
      <c r="F3244" s="48">
        <v>0.96944444444444444</v>
      </c>
      <c r="G3244" s="49">
        <f t="shared" si="50"/>
        <v>7.6388888888889728E-3</v>
      </c>
      <c r="H3244" s="50">
        <v>41738</v>
      </c>
      <c r="I3244" s="51" t="s">
        <v>548</v>
      </c>
      <c r="J3244" s="51" t="s">
        <v>572</v>
      </c>
      <c r="K3244" s="51">
        <f>VLOOKUP(J3244,'Validacion reclamo de equipaje'!L:M,2,0)</f>
        <v>142</v>
      </c>
      <c r="L3244" s="51" t="str">
        <f>VLOOKUP(I3244,'Validacion reclamo de equipaje'!H:I,2,0)</f>
        <v>Nacional</v>
      </c>
      <c r="M3244" s="51" t="s">
        <v>523</v>
      </c>
    </row>
    <row r="3245" spans="1:13" x14ac:dyDescent="0.25">
      <c r="A3245">
        <v>679</v>
      </c>
      <c r="B3245" s="47" t="str">
        <f>VLOOKUP(Tabla6[[#This Row],['# Vuelo]],'Validacion reclamo de equipaje'!P:Q,2,0)</f>
        <v>BARATA Y MORADA</v>
      </c>
      <c r="C3245" s="52">
        <v>0.95624999999999993</v>
      </c>
      <c r="D3245" s="52">
        <v>0.96666666666666667</v>
      </c>
      <c r="E3245" s="53">
        <f>'Reclamo de equipaje rediseñado'!$D3245-'Reclamo de equipaje rediseñado'!$C3245</f>
        <v>1.0416666666666741E-2</v>
      </c>
      <c r="F3245" s="52">
        <v>0.97013888888888899</v>
      </c>
      <c r="G3245" s="53">
        <f t="shared" si="50"/>
        <v>3.4722222222223209E-3</v>
      </c>
      <c r="H3245" s="54">
        <v>41745</v>
      </c>
      <c r="I3245" s="55" t="s">
        <v>548</v>
      </c>
      <c r="J3245" s="55" t="s">
        <v>572</v>
      </c>
      <c r="K3245" s="55">
        <f>VLOOKUP(J3245,'Validacion reclamo de equipaje'!L:M,2,0)</f>
        <v>142</v>
      </c>
      <c r="L3245" s="55" t="str">
        <f>VLOOKUP(I3245,'Validacion reclamo de equipaje'!H:I,2,0)</f>
        <v>Nacional</v>
      </c>
      <c r="M3245" s="55" t="s">
        <v>523</v>
      </c>
    </row>
    <row r="3246" spans="1:13" x14ac:dyDescent="0.25">
      <c r="A3246">
        <v>679</v>
      </c>
      <c r="B3246" s="47" t="str">
        <f>VLOOKUP(Tabla6[[#This Row],['# Vuelo]],'Validacion reclamo de equipaje'!P:Q,2,0)</f>
        <v>BARATA Y MORADA</v>
      </c>
      <c r="C3246" s="48">
        <v>0.96666666666666667</v>
      </c>
      <c r="D3246" s="48">
        <v>0.97430555555555554</v>
      </c>
      <c r="E3246" s="49">
        <f>'Reclamo de equipaje rediseñado'!$D3246-'Reclamo de equipaje rediseñado'!$C3246</f>
        <v>7.6388888888888618E-3</v>
      </c>
      <c r="F3246" s="48">
        <v>0.98611111111111116</v>
      </c>
      <c r="G3246" s="49">
        <f t="shared" si="50"/>
        <v>1.1805555555555625E-2</v>
      </c>
      <c r="H3246" s="50">
        <v>41749</v>
      </c>
      <c r="I3246" s="51" t="s">
        <v>548</v>
      </c>
      <c r="J3246" s="51" t="s">
        <v>572</v>
      </c>
      <c r="K3246" s="51">
        <f>VLOOKUP(J3246,'Validacion reclamo de equipaje'!L:M,2,0)</f>
        <v>142</v>
      </c>
      <c r="L3246" s="51" t="str">
        <f>VLOOKUP(I3246,'Validacion reclamo de equipaje'!H:I,2,0)</f>
        <v>Nacional</v>
      </c>
      <c r="M3246" s="51" t="s">
        <v>523</v>
      </c>
    </row>
    <row r="3247" spans="1:13" x14ac:dyDescent="0.25">
      <c r="A3247">
        <v>679</v>
      </c>
      <c r="B3247" s="47" t="str">
        <f>VLOOKUP(Tabla6[[#This Row],['# Vuelo]],'Validacion reclamo de equipaje'!P:Q,2,0)</f>
        <v>BARATA Y MORADA</v>
      </c>
      <c r="C3247" s="52">
        <v>0.9604166666666667</v>
      </c>
      <c r="D3247" s="52">
        <v>0.96875</v>
      </c>
      <c r="E3247" s="53">
        <f>'Reclamo de equipaje rediseñado'!$D3247-'Reclamo de equipaje rediseñado'!$C3247</f>
        <v>8.3333333333333037E-3</v>
      </c>
      <c r="F3247" s="52">
        <v>0.97777777777777775</v>
      </c>
      <c r="G3247" s="53">
        <f t="shared" si="50"/>
        <v>9.0277777777777457E-3</v>
      </c>
      <c r="H3247" s="54">
        <v>41755</v>
      </c>
      <c r="I3247" s="55" t="s">
        <v>548</v>
      </c>
      <c r="J3247" s="55" t="s">
        <v>572</v>
      </c>
      <c r="K3247" s="55">
        <f>VLOOKUP(J3247,'Validacion reclamo de equipaje'!L:M,2,0)</f>
        <v>142</v>
      </c>
      <c r="L3247" s="55" t="str">
        <f>VLOOKUP(I3247,'Validacion reclamo de equipaje'!H:I,2,0)</f>
        <v>Nacional</v>
      </c>
      <c r="M3247" s="55" t="s">
        <v>523</v>
      </c>
    </row>
    <row r="3248" spans="1:13" x14ac:dyDescent="0.25">
      <c r="A3248">
        <v>679</v>
      </c>
      <c r="B3248" s="47" t="str">
        <f>VLOOKUP(Tabla6[[#This Row],['# Vuelo]],'Validacion reclamo de equipaje'!P:Q,2,0)</f>
        <v>BARATA Y MORADA</v>
      </c>
      <c r="C3248" s="48">
        <v>0.96458333333333324</v>
      </c>
      <c r="D3248" s="48">
        <v>0.97777777777777775</v>
      </c>
      <c r="E3248" s="49">
        <f>'Reclamo de equipaje rediseñado'!$D3248-'Reclamo de equipaje rediseñado'!$C3248</f>
        <v>1.3194444444444509E-2</v>
      </c>
      <c r="F3248" s="48">
        <v>0.97986111111111107</v>
      </c>
      <c r="G3248" s="49">
        <f t="shared" si="50"/>
        <v>2.0833333333333259E-3</v>
      </c>
      <c r="H3248" s="50">
        <v>41759</v>
      </c>
      <c r="I3248" s="51" t="s">
        <v>548</v>
      </c>
      <c r="J3248" s="51" t="s">
        <v>572</v>
      </c>
      <c r="K3248" s="51">
        <f>VLOOKUP(J3248,'Validacion reclamo de equipaje'!L:M,2,0)</f>
        <v>142</v>
      </c>
      <c r="L3248" s="51" t="str">
        <f>VLOOKUP(I3248,'Validacion reclamo de equipaje'!H:I,2,0)</f>
        <v>Nacional</v>
      </c>
      <c r="M3248" s="51" t="s">
        <v>523</v>
      </c>
    </row>
    <row r="3249" spans="1:13" x14ac:dyDescent="0.25">
      <c r="A3249">
        <v>680</v>
      </c>
      <c r="B3249" s="47" t="str">
        <f>VLOOKUP(Tabla6[[#This Row],['# Vuelo]],'Validacion reclamo de equipaje'!P:Q,2,0)</f>
        <v>BARATA Y MORADA</v>
      </c>
      <c r="C3249" s="52">
        <v>0.46388888888888885</v>
      </c>
      <c r="D3249" s="52">
        <v>0.47430555555555554</v>
      </c>
      <c r="E3249" s="53">
        <f>'Reclamo de equipaje rediseñado'!$D3249-'Reclamo de equipaje rediseñado'!$C3249</f>
        <v>1.0416666666666685E-2</v>
      </c>
      <c r="F3249" s="52">
        <v>0.47986111111111113</v>
      </c>
      <c r="G3249" s="53">
        <f t="shared" si="50"/>
        <v>5.5555555555555913E-3</v>
      </c>
      <c r="H3249" s="54">
        <v>41730</v>
      </c>
      <c r="I3249" s="55" t="s">
        <v>557</v>
      </c>
      <c r="J3249" s="55" t="s">
        <v>572</v>
      </c>
      <c r="K3249" s="55">
        <f>VLOOKUP(J3249,'Validacion reclamo de equipaje'!L:M,2,0)</f>
        <v>142</v>
      </c>
      <c r="L3249" s="55" t="str">
        <f>VLOOKUP(I3249,'Validacion reclamo de equipaje'!H:I,2,0)</f>
        <v>Nacional</v>
      </c>
      <c r="M3249" s="55" t="s">
        <v>523</v>
      </c>
    </row>
    <row r="3250" spans="1:13" x14ac:dyDescent="0.25">
      <c r="A3250">
        <v>680</v>
      </c>
      <c r="B3250" s="47" t="str">
        <f>VLOOKUP(Tabla6[[#This Row],['# Vuelo]],'Validacion reclamo de equipaje'!P:Q,2,0)</f>
        <v>BARATA Y MORADA</v>
      </c>
      <c r="C3250" s="48">
        <v>0.4770833333333333</v>
      </c>
      <c r="D3250" s="48">
        <v>0.4861111111111111</v>
      </c>
      <c r="E3250" s="49">
        <f>'Reclamo de equipaje rediseñado'!$D3250-'Reclamo de equipaje rediseñado'!$C3250</f>
        <v>9.0277777777778012E-3</v>
      </c>
      <c r="F3250" s="48">
        <v>0.4916666666666667</v>
      </c>
      <c r="G3250" s="49">
        <f t="shared" si="50"/>
        <v>5.5555555555555913E-3</v>
      </c>
      <c r="H3250" s="50">
        <v>41731</v>
      </c>
      <c r="I3250" s="51" t="s">
        <v>557</v>
      </c>
      <c r="J3250" s="51" t="s">
        <v>572</v>
      </c>
      <c r="K3250" s="51">
        <f>VLOOKUP(J3250,'Validacion reclamo de equipaje'!L:M,2,0)</f>
        <v>142</v>
      </c>
      <c r="L3250" s="51" t="str">
        <f>VLOOKUP(I3250,'Validacion reclamo de equipaje'!H:I,2,0)</f>
        <v>Nacional</v>
      </c>
      <c r="M3250" s="51" t="s">
        <v>523</v>
      </c>
    </row>
    <row r="3251" spans="1:13" x14ac:dyDescent="0.25">
      <c r="A3251">
        <v>680</v>
      </c>
      <c r="B3251" s="47" t="str">
        <f>VLOOKUP(Tabla6[[#This Row],['# Vuelo]],'Validacion reclamo de equipaje'!P:Q,2,0)</f>
        <v>BARATA Y MORADA</v>
      </c>
      <c r="C3251" s="52">
        <v>0.47569444444444442</v>
      </c>
      <c r="D3251" s="52">
        <v>0.48680555555555555</v>
      </c>
      <c r="E3251" s="53">
        <f>'Reclamo de equipaje rediseñado'!$D3251-'Reclamo de equipaje rediseñado'!$C3251</f>
        <v>1.1111111111111127E-2</v>
      </c>
      <c r="F3251" s="52">
        <v>0.49652777777777773</v>
      </c>
      <c r="G3251" s="53">
        <f t="shared" si="50"/>
        <v>9.7222222222221877E-3</v>
      </c>
      <c r="H3251" s="54">
        <v>41732</v>
      </c>
      <c r="I3251" s="55" t="s">
        <v>557</v>
      </c>
      <c r="J3251" s="55" t="s">
        <v>572</v>
      </c>
      <c r="K3251" s="55">
        <f>VLOOKUP(J3251,'Validacion reclamo de equipaje'!L:M,2,0)</f>
        <v>142</v>
      </c>
      <c r="L3251" s="55" t="str">
        <f>VLOOKUP(I3251,'Validacion reclamo de equipaje'!H:I,2,0)</f>
        <v>Nacional</v>
      </c>
      <c r="M3251" s="55" t="s">
        <v>523</v>
      </c>
    </row>
    <row r="3252" spans="1:13" x14ac:dyDescent="0.25">
      <c r="A3252">
        <v>680</v>
      </c>
      <c r="B3252" s="47" t="str">
        <f>VLOOKUP(Tabla6[[#This Row],['# Vuelo]],'Validacion reclamo de equipaje'!P:Q,2,0)</f>
        <v>BARATA Y MORADA</v>
      </c>
      <c r="C3252" s="48">
        <v>0.4375</v>
      </c>
      <c r="D3252" s="48">
        <v>0.44305555555555554</v>
      </c>
      <c r="E3252" s="49">
        <f>'Reclamo de equipaje rediseñado'!$D3252-'Reclamo de equipaje rediseñado'!$C3252</f>
        <v>5.5555555555555358E-3</v>
      </c>
      <c r="F3252" s="48">
        <v>0.48125000000000001</v>
      </c>
      <c r="G3252" s="49">
        <f t="shared" si="50"/>
        <v>3.8194444444444475E-2</v>
      </c>
      <c r="H3252" s="50">
        <v>41735</v>
      </c>
      <c r="I3252" s="51" t="s">
        <v>557</v>
      </c>
      <c r="J3252" s="51" t="s">
        <v>572</v>
      </c>
      <c r="K3252" s="51">
        <f>VLOOKUP(J3252,'Validacion reclamo de equipaje'!L:M,2,0)</f>
        <v>142</v>
      </c>
      <c r="L3252" s="51" t="str">
        <f>VLOOKUP(I3252,'Validacion reclamo de equipaje'!H:I,2,0)</f>
        <v>Nacional</v>
      </c>
      <c r="M3252" s="51" t="s">
        <v>523</v>
      </c>
    </row>
    <row r="3253" spans="1:13" x14ac:dyDescent="0.25">
      <c r="A3253">
        <v>680</v>
      </c>
      <c r="B3253" s="47" t="str">
        <f>VLOOKUP(Tabla6[[#This Row],['# Vuelo]],'Validacion reclamo de equipaje'!P:Q,2,0)</f>
        <v>BARATA Y MORADA</v>
      </c>
      <c r="C3253" s="52">
        <v>0.4597222222222222</v>
      </c>
      <c r="D3253" s="52">
        <v>0.47361111111111115</v>
      </c>
      <c r="E3253" s="53">
        <f>'Reclamo de equipaje rediseñado'!$D3253-'Reclamo de equipaje rediseñado'!$C3253</f>
        <v>1.3888888888888951E-2</v>
      </c>
      <c r="F3253" s="52">
        <v>0.48958333333333331</v>
      </c>
      <c r="G3253" s="53">
        <f t="shared" si="50"/>
        <v>1.5972222222222165E-2</v>
      </c>
      <c r="H3253" s="54">
        <v>41737</v>
      </c>
      <c r="I3253" s="55" t="s">
        <v>557</v>
      </c>
      <c r="J3253" s="55" t="s">
        <v>572</v>
      </c>
      <c r="K3253" s="55">
        <f>VLOOKUP(J3253,'Validacion reclamo de equipaje'!L:M,2,0)</f>
        <v>142</v>
      </c>
      <c r="L3253" s="55" t="str">
        <f>VLOOKUP(I3253,'Validacion reclamo de equipaje'!H:I,2,0)</f>
        <v>Nacional</v>
      </c>
      <c r="M3253" s="55" t="s">
        <v>523</v>
      </c>
    </row>
    <row r="3254" spans="1:13" x14ac:dyDescent="0.25">
      <c r="A3254">
        <v>680</v>
      </c>
      <c r="B3254" s="47" t="str">
        <f>VLOOKUP(Tabla6[[#This Row],['# Vuelo]],'Validacion reclamo de equipaje'!P:Q,2,0)</f>
        <v>BARATA Y MORADA</v>
      </c>
      <c r="C3254" s="48">
        <v>0.46597222222222223</v>
      </c>
      <c r="D3254" s="48">
        <v>0.47361111111111115</v>
      </c>
      <c r="E3254" s="49">
        <f>'Reclamo de equipaje rediseñado'!$D3254-'Reclamo de equipaje rediseñado'!$C3254</f>
        <v>7.6388888888889173E-3</v>
      </c>
      <c r="F3254" s="48">
        <v>0.47916666666666669</v>
      </c>
      <c r="G3254" s="49">
        <f t="shared" si="50"/>
        <v>5.5555555555555358E-3</v>
      </c>
      <c r="H3254" s="50">
        <v>41738</v>
      </c>
      <c r="I3254" s="51" t="s">
        <v>557</v>
      </c>
      <c r="J3254" s="51" t="s">
        <v>572</v>
      </c>
      <c r="K3254" s="51">
        <f>VLOOKUP(J3254,'Validacion reclamo de equipaje'!L:M,2,0)</f>
        <v>142</v>
      </c>
      <c r="L3254" s="51" t="str">
        <f>VLOOKUP(I3254,'Validacion reclamo de equipaje'!H:I,2,0)</f>
        <v>Nacional</v>
      </c>
      <c r="M3254" s="51" t="s">
        <v>523</v>
      </c>
    </row>
    <row r="3255" spans="1:13" x14ac:dyDescent="0.25">
      <c r="A3255">
        <v>680</v>
      </c>
      <c r="B3255" s="47" t="str">
        <f>VLOOKUP(Tabla6[[#This Row],['# Vuelo]],'Validacion reclamo de equipaje'!P:Q,2,0)</f>
        <v>BARATA Y MORADA</v>
      </c>
      <c r="C3255" s="52">
        <v>0.47569444444444442</v>
      </c>
      <c r="D3255" s="52">
        <v>0.48333333333333334</v>
      </c>
      <c r="E3255" s="53">
        <f>'Reclamo de equipaje rediseñado'!$D3255-'Reclamo de equipaje rediseñado'!$C3255</f>
        <v>7.6388888888889173E-3</v>
      </c>
      <c r="F3255" s="52">
        <v>0.49305555555555558</v>
      </c>
      <c r="G3255" s="53">
        <f t="shared" si="50"/>
        <v>9.7222222222222432E-3</v>
      </c>
      <c r="H3255" s="54">
        <v>41739</v>
      </c>
      <c r="I3255" s="55" t="s">
        <v>557</v>
      </c>
      <c r="J3255" s="55" t="s">
        <v>572</v>
      </c>
      <c r="K3255" s="55">
        <f>VLOOKUP(J3255,'Validacion reclamo de equipaje'!L:M,2,0)</f>
        <v>142</v>
      </c>
      <c r="L3255" s="55" t="str">
        <f>VLOOKUP(I3255,'Validacion reclamo de equipaje'!H:I,2,0)</f>
        <v>Nacional</v>
      </c>
      <c r="M3255" s="55" t="s">
        <v>523</v>
      </c>
    </row>
    <row r="3256" spans="1:13" x14ac:dyDescent="0.25">
      <c r="A3256">
        <v>680</v>
      </c>
      <c r="B3256" s="47" t="str">
        <f>VLOOKUP(Tabla6[[#This Row],['# Vuelo]],'Validacion reclamo de equipaje'!P:Q,2,0)</f>
        <v>BARATA Y MORADA</v>
      </c>
      <c r="C3256" s="48">
        <v>0.90208333333333324</v>
      </c>
      <c r="D3256" s="48">
        <v>0.91180555555555554</v>
      </c>
      <c r="E3256" s="49">
        <f>'Reclamo de equipaje rediseñado'!$D3256-'Reclamo de equipaje rediseñado'!$C3256</f>
        <v>9.7222222222222987E-3</v>
      </c>
      <c r="F3256" s="48">
        <v>0.92083333333333339</v>
      </c>
      <c r="G3256" s="49">
        <f t="shared" si="50"/>
        <v>9.0277777777778567E-3</v>
      </c>
      <c r="H3256" s="50">
        <v>41741</v>
      </c>
      <c r="I3256" s="51" t="s">
        <v>557</v>
      </c>
      <c r="J3256" s="51" t="s">
        <v>572</v>
      </c>
      <c r="K3256" s="51">
        <f>VLOOKUP(J3256,'Validacion reclamo de equipaje'!L:M,2,0)</f>
        <v>142</v>
      </c>
      <c r="L3256" s="51" t="str">
        <f>VLOOKUP(I3256,'Validacion reclamo de equipaje'!H:I,2,0)</f>
        <v>Nacional</v>
      </c>
      <c r="M3256" s="51" t="s">
        <v>523</v>
      </c>
    </row>
    <row r="3257" spans="1:13" x14ac:dyDescent="0.25">
      <c r="A3257">
        <v>680</v>
      </c>
      <c r="B3257" s="47" t="str">
        <f>VLOOKUP(Tabla6[[#This Row],['# Vuelo]],'Validacion reclamo de equipaje'!P:Q,2,0)</f>
        <v>BARATA Y MORADA</v>
      </c>
      <c r="C3257" s="52">
        <v>0.46388888888888885</v>
      </c>
      <c r="D3257" s="52">
        <v>0.47430555555555554</v>
      </c>
      <c r="E3257" s="53">
        <f>'Reclamo de equipaje rediseñado'!$D3257-'Reclamo de equipaje rediseñado'!$C3257</f>
        <v>1.0416666666666685E-2</v>
      </c>
      <c r="F3257" s="52">
        <v>0.47986111111111113</v>
      </c>
      <c r="G3257" s="53">
        <f t="shared" si="50"/>
        <v>5.5555555555555913E-3</v>
      </c>
      <c r="H3257" s="54">
        <v>41742</v>
      </c>
      <c r="I3257" s="55" t="s">
        <v>557</v>
      </c>
      <c r="J3257" s="55" t="s">
        <v>572</v>
      </c>
      <c r="K3257" s="55">
        <f>VLOOKUP(J3257,'Validacion reclamo de equipaje'!L:M,2,0)</f>
        <v>142</v>
      </c>
      <c r="L3257" s="55" t="str">
        <f>VLOOKUP(I3257,'Validacion reclamo de equipaje'!H:I,2,0)</f>
        <v>Nacional</v>
      </c>
      <c r="M3257" s="55" t="s">
        <v>523</v>
      </c>
    </row>
    <row r="3258" spans="1:13" x14ac:dyDescent="0.25">
      <c r="A3258">
        <v>680</v>
      </c>
      <c r="B3258" s="47" t="str">
        <f>VLOOKUP(Tabla6[[#This Row],['# Vuelo]],'Validacion reclamo de equipaje'!P:Q,2,0)</f>
        <v>BARATA Y MORADA</v>
      </c>
      <c r="C3258" s="48">
        <v>0.47083333333333338</v>
      </c>
      <c r="D3258" s="48">
        <v>0.47916666666666669</v>
      </c>
      <c r="E3258" s="49">
        <f>'Reclamo de equipaje rediseñado'!$D3258-'Reclamo de equipaje rediseñado'!$C3258</f>
        <v>8.3333333333333037E-3</v>
      </c>
      <c r="F3258" s="48">
        <v>0.4916666666666667</v>
      </c>
      <c r="G3258" s="49">
        <f t="shared" si="50"/>
        <v>1.2500000000000011E-2</v>
      </c>
      <c r="H3258" s="50">
        <v>41744</v>
      </c>
      <c r="I3258" s="51" t="s">
        <v>557</v>
      </c>
      <c r="J3258" s="51" t="s">
        <v>572</v>
      </c>
      <c r="K3258" s="51">
        <f>VLOOKUP(J3258,'Validacion reclamo de equipaje'!L:M,2,0)</f>
        <v>142</v>
      </c>
      <c r="L3258" s="51" t="str">
        <f>VLOOKUP(I3258,'Validacion reclamo de equipaje'!H:I,2,0)</f>
        <v>Nacional</v>
      </c>
      <c r="M3258" s="51" t="s">
        <v>523</v>
      </c>
    </row>
    <row r="3259" spans="1:13" x14ac:dyDescent="0.25">
      <c r="A3259">
        <v>680</v>
      </c>
      <c r="B3259" s="47" t="str">
        <f>VLOOKUP(Tabla6[[#This Row],['# Vuelo]],'Validacion reclamo de equipaje'!P:Q,2,0)</f>
        <v>BARATA Y MORADA</v>
      </c>
      <c r="C3259" s="52">
        <v>0.4236111111111111</v>
      </c>
      <c r="D3259" s="52">
        <v>0.42499999999999999</v>
      </c>
      <c r="E3259" s="53">
        <f>'Reclamo de equipaje rediseñado'!$D3259-'Reclamo de equipaje rediseñado'!$C3259</f>
        <v>1.388888888888884E-3</v>
      </c>
      <c r="F3259" s="52">
        <v>0.4381944444444445</v>
      </c>
      <c r="G3259" s="53">
        <f t="shared" si="50"/>
        <v>1.3194444444444509E-2</v>
      </c>
      <c r="H3259" s="54">
        <v>41746</v>
      </c>
      <c r="I3259" s="55" t="s">
        <v>557</v>
      </c>
      <c r="J3259" s="55" t="s">
        <v>572</v>
      </c>
      <c r="K3259" s="55">
        <f>VLOOKUP(J3259,'Validacion reclamo de equipaje'!L:M,2,0)</f>
        <v>142</v>
      </c>
      <c r="L3259" s="55" t="str">
        <f>VLOOKUP(I3259,'Validacion reclamo de equipaje'!H:I,2,0)</f>
        <v>Nacional</v>
      </c>
      <c r="M3259" s="55" t="s">
        <v>523</v>
      </c>
    </row>
    <row r="3260" spans="1:13" x14ac:dyDescent="0.25">
      <c r="A3260">
        <v>680</v>
      </c>
      <c r="B3260" s="47" t="str">
        <f>VLOOKUP(Tabla6[[#This Row],['# Vuelo]],'Validacion reclamo de equipaje'!P:Q,2,0)</f>
        <v>BARATA Y MORADA</v>
      </c>
      <c r="C3260" s="48">
        <v>0.4694444444444445</v>
      </c>
      <c r="D3260" s="48">
        <v>0.4777777777777778</v>
      </c>
      <c r="E3260" s="49">
        <f>'Reclamo de equipaje rediseñado'!$D3260-'Reclamo de equipaje rediseñado'!$C3260</f>
        <v>8.3333333333333037E-3</v>
      </c>
      <c r="F3260" s="48">
        <v>0.48749999999999999</v>
      </c>
      <c r="G3260" s="49">
        <f t="shared" si="50"/>
        <v>9.7222222222221877E-3</v>
      </c>
      <c r="H3260" s="50">
        <v>41748</v>
      </c>
      <c r="I3260" s="51" t="s">
        <v>557</v>
      </c>
      <c r="J3260" s="51" t="s">
        <v>572</v>
      </c>
      <c r="K3260" s="51">
        <f>VLOOKUP(J3260,'Validacion reclamo de equipaje'!L:M,2,0)</f>
        <v>142</v>
      </c>
      <c r="L3260" s="51" t="str">
        <f>VLOOKUP(I3260,'Validacion reclamo de equipaje'!H:I,2,0)</f>
        <v>Nacional</v>
      </c>
      <c r="M3260" s="51" t="s">
        <v>523</v>
      </c>
    </row>
    <row r="3261" spans="1:13" x14ac:dyDescent="0.25">
      <c r="A3261">
        <v>680</v>
      </c>
      <c r="B3261" s="47" t="str">
        <f>VLOOKUP(Tabla6[[#This Row],['# Vuelo]],'Validacion reclamo de equipaje'!P:Q,2,0)</f>
        <v>BARATA Y MORADA</v>
      </c>
      <c r="C3261" s="52">
        <v>0.47430555555555554</v>
      </c>
      <c r="D3261" s="52">
        <v>0.4770833333333333</v>
      </c>
      <c r="E3261" s="53">
        <f>'Reclamo de equipaje rediseñado'!$D3261-'Reclamo de equipaje rediseñado'!$C3261</f>
        <v>2.7777777777777679E-3</v>
      </c>
      <c r="F3261" s="52">
        <v>0.48333333333333334</v>
      </c>
      <c r="G3261" s="53">
        <f t="shared" si="50"/>
        <v>6.2500000000000333E-3</v>
      </c>
      <c r="H3261" s="54">
        <v>41749</v>
      </c>
      <c r="I3261" s="55" t="s">
        <v>557</v>
      </c>
      <c r="J3261" s="55" t="s">
        <v>572</v>
      </c>
      <c r="K3261" s="55">
        <f>VLOOKUP(J3261,'Validacion reclamo de equipaje'!L:M,2,0)</f>
        <v>142</v>
      </c>
      <c r="L3261" s="55" t="str">
        <f>VLOOKUP(I3261,'Validacion reclamo de equipaje'!H:I,2,0)</f>
        <v>Nacional</v>
      </c>
      <c r="M3261" s="55" t="s">
        <v>523</v>
      </c>
    </row>
    <row r="3262" spans="1:13" x14ac:dyDescent="0.25">
      <c r="A3262">
        <v>680</v>
      </c>
      <c r="B3262" s="47" t="str">
        <f>VLOOKUP(Tabla6[[#This Row],['# Vuelo]],'Validacion reclamo de equipaje'!P:Q,2,0)</f>
        <v>BARATA Y MORADA</v>
      </c>
      <c r="C3262" s="48">
        <v>0.47291666666666665</v>
      </c>
      <c r="D3262" s="48">
        <v>0.4777777777777778</v>
      </c>
      <c r="E3262" s="49">
        <f>'Reclamo de equipaje rediseñado'!$D3262-'Reclamo de equipaje rediseñado'!$C3262</f>
        <v>4.8611111111111494E-3</v>
      </c>
      <c r="F3262" s="48">
        <v>0.48749999999999999</v>
      </c>
      <c r="G3262" s="49">
        <f t="shared" si="50"/>
        <v>9.7222222222221877E-3</v>
      </c>
      <c r="H3262" s="50">
        <v>41751</v>
      </c>
      <c r="I3262" s="51" t="s">
        <v>557</v>
      </c>
      <c r="J3262" s="51" t="s">
        <v>572</v>
      </c>
      <c r="K3262" s="51">
        <f>VLOOKUP(J3262,'Validacion reclamo de equipaje'!L:M,2,0)</f>
        <v>142</v>
      </c>
      <c r="L3262" s="51" t="str">
        <f>VLOOKUP(I3262,'Validacion reclamo de equipaje'!H:I,2,0)</f>
        <v>Nacional</v>
      </c>
      <c r="M3262" s="51" t="s">
        <v>523</v>
      </c>
    </row>
    <row r="3263" spans="1:13" x14ac:dyDescent="0.25">
      <c r="A3263">
        <v>680</v>
      </c>
      <c r="B3263" s="47" t="str">
        <f>VLOOKUP(Tabla6[[#This Row],['# Vuelo]],'Validacion reclamo de equipaje'!P:Q,2,0)</f>
        <v>BARATA Y MORADA</v>
      </c>
      <c r="C3263" s="52">
        <v>0.47083333333333338</v>
      </c>
      <c r="D3263" s="52">
        <v>0.47986111111111113</v>
      </c>
      <c r="E3263" s="53">
        <f>'Reclamo de equipaje rediseñado'!$D3263-'Reclamo de equipaje rediseñado'!$C3263</f>
        <v>9.0277777777777457E-3</v>
      </c>
      <c r="F3263" s="52">
        <v>0.48958333333333331</v>
      </c>
      <c r="G3263" s="53">
        <f t="shared" si="50"/>
        <v>9.7222222222221877E-3</v>
      </c>
      <c r="H3263" s="54">
        <v>41753</v>
      </c>
      <c r="I3263" s="55" t="s">
        <v>557</v>
      </c>
      <c r="J3263" s="55" t="s">
        <v>572</v>
      </c>
      <c r="K3263" s="55">
        <f>VLOOKUP(J3263,'Validacion reclamo de equipaje'!L:M,2,0)</f>
        <v>142</v>
      </c>
      <c r="L3263" s="55" t="str">
        <f>VLOOKUP(I3263,'Validacion reclamo de equipaje'!H:I,2,0)</f>
        <v>Nacional</v>
      </c>
      <c r="M3263" s="55" t="s">
        <v>523</v>
      </c>
    </row>
    <row r="3264" spans="1:13" x14ac:dyDescent="0.25">
      <c r="A3264">
        <v>680</v>
      </c>
      <c r="B3264" s="47" t="str">
        <f>VLOOKUP(Tabla6[[#This Row],['# Vuelo]],'Validacion reclamo de equipaje'!P:Q,2,0)</f>
        <v>BARATA Y MORADA</v>
      </c>
      <c r="C3264" s="48">
        <v>0.47569444444444442</v>
      </c>
      <c r="D3264" s="48">
        <v>0.47986111111111113</v>
      </c>
      <c r="E3264" s="49">
        <f>'Reclamo de equipaje rediseñado'!$D3264-'Reclamo de equipaje rediseñado'!$C3264</f>
        <v>4.1666666666667074E-3</v>
      </c>
      <c r="F3264" s="48">
        <v>0.48472222222222222</v>
      </c>
      <c r="G3264" s="49">
        <f t="shared" si="50"/>
        <v>4.8611111111110938E-3</v>
      </c>
      <c r="H3264" s="50">
        <v>41756</v>
      </c>
      <c r="I3264" s="51" t="s">
        <v>557</v>
      </c>
      <c r="J3264" s="51" t="s">
        <v>572</v>
      </c>
      <c r="K3264" s="51">
        <f>VLOOKUP(J3264,'Validacion reclamo de equipaje'!L:M,2,0)</f>
        <v>142</v>
      </c>
      <c r="L3264" s="51" t="str">
        <f>VLOOKUP(I3264,'Validacion reclamo de equipaje'!H:I,2,0)</f>
        <v>Nacional</v>
      </c>
      <c r="M3264" s="51" t="s">
        <v>523</v>
      </c>
    </row>
    <row r="3265" spans="1:13" x14ac:dyDescent="0.25">
      <c r="A3265">
        <v>680</v>
      </c>
      <c r="B3265" s="47" t="str">
        <f>VLOOKUP(Tabla6[[#This Row],['# Vuelo]],'Validacion reclamo de equipaje'!P:Q,2,0)</f>
        <v>BARATA Y MORADA</v>
      </c>
      <c r="C3265" s="52">
        <v>0.47083333333333338</v>
      </c>
      <c r="D3265" s="52">
        <v>0.47847222222222219</v>
      </c>
      <c r="E3265" s="53">
        <f>'Reclamo de equipaje rediseñado'!$D3265-'Reclamo de equipaje rediseñado'!$C3265</f>
        <v>7.6388888888888062E-3</v>
      </c>
      <c r="F3265" s="52">
        <v>0.4916666666666667</v>
      </c>
      <c r="G3265" s="53">
        <f t="shared" si="50"/>
        <v>1.3194444444444509E-2</v>
      </c>
      <c r="H3265" s="54">
        <v>41758</v>
      </c>
      <c r="I3265" s="55" t="s">
        <v>557</v>
      </c>
      <c r="J3265" s="55" t="s">
        <v>572</v>
      </c>
      <c r="K3265" s="55">
        <f>VLOOKUP(J3265,'Validacion reclamo de equipaje'!L:M,2,0)</f>
        <v>142</v>
      </c>
      <c r="L3265" s="55" t="str">
        <f>VLOOKUP(I3265,'Validacion reclamo de equipaje'!H:I,2,0)</f>
        <v>Nacional</v>
      </c>
      <c r="M3265" s="55" t="s">
        <v>523</v>
      </c>
    </row>
    <row r="3266" spans="1:13" x14ac:dyDescent="0.25">
      <c r="A3266">
        <v>680</v>
      </c>
      <c r="B3266" s="47" t="str">
        <f>VLOOKUP(Tabla6[[#This Row],['# Vuelo]],'Validacion reclamo de equipaje'!P:Q,2,0)</f>
        <v>BARATA Y MORADA</v>
      </c>
      <c r="C3266" s="48">
        <v>0.45694444444444443</v>
      </c>
      <c r="D3266" s="48">
        <v>0.46388888888888885</v>
      </c>
      <c r="E3266" s="49">
        <f>'Reclamo de equipaje rediseñado'!$D3266-'Reclamo de equipaje rediseñado'!$C3266</f>
        <v>6.9444444444444198E-3</v>
      </c>
      <c r="F3266" s="48">
        <v>0.47430555555555554</v>
      </c>
      <c r="G3266" s="49">
        <f t="shared" si="50"/>
        <v>1.0416666666666685E-2</v>
      </c>
      <c r="H3266" s="50">
        <v>41759</v>
      </c>
      <c r="I3266" s="51" t="s">
        <v>557</v>
      </c>
      <c r="J3266" s="51" t="s">
        <v>572</v>
      </c>
      <c r="K3266" s="51">
        <f>VLOOKUP(J3266,'Validacion reclamo de equipaje'!L:M,2,0)</f>
        <v>142</v>
      </c>
      <c r="L3266" s="51" t="str">
        <f>VLOOKUP(I3266,'Validacion reclamo de equipaje'!H:I,2,0)</f>
        <v>Nacional</v>
      </c>
      <c r="M3266" s="51" t="s">
        <v>523</v>
      </c>
    </row>
    <row r="3267" spans="1:13" x14ac:dyDescent="0.25">
      <c r="A3267">
        <v>683</v>
      </c>
      <c r="B3267" s="47" t="str">
        <f>VLOOKUP(Tabla6[[#This Row],['# Vuelo]],'Validacion reclamo de equipaje'!P:Q,2,0)</f>
        <v>BARATA Y MORADA</v>
      </c>
      <c r="C3267" s="52">
        <v>0.94444444444444453</v>
      </c>
      <c r="D3267" s="52">
        <v>0.96527777777777779</v>
      </c>
      <c r="E3267" s="53">
        <f>'Reclamo de equipaje rediseñado'!$D3267-'Reclamo de equipaje rediseñado'!$C3267</f>
        <v>2.0833333333333259E-2</v>
      </c>
      <c r="F3267" s="52">
        <v>0.97083333333333333</v>
      </c>
      <c r="G3267" s="53">
        <f t="shared" ref="G3267:G3330" si="51">F3267-D3267</f>
        <v>5.5555555555555358E-3</v>
      </c>
      <c r="H3267" s="54">
        <v>41734</v>
      </c>
      <c r="I3267" s="55" t="s">
        <v>542</v>
      </c>
      <c r="J3267" s="55" t="s">
        <v>572</v>
      </c>
      <c r="K3267" s="55">
        <f>VLOOKUP(J3267,'Validacion reclamo de equipaje'!L:M,2,0)</f>
        <v>142</v>
      </c>
      <c r="L3267" s="55" t="str">
        <f>VLOOKUP(I3267,'Validacion reclamo de equipaje'!H:I,2,0)</f>
        <v>Nacional</v>
      </c>
      <c r="M3267" s="55" t="s">
        <v>523</v>
      </c>
    </row>
    <row r="3268" spans="1:13" x14ac:dyDescent="0.25">
      <c r="A3268">
        <v>683</v>
      </c>
      <c r="B3268" s="47" t="str">
        <f>VLOOKUP(Tabla6[[#This Row],['# Vuelo]],'Validacion reclamo de equipaje'!P:Q,2,0)</f>
        <v>BARATA Y MORADA</v>
      </c>
      <c r="C3268" s="48">
        <v>0.9472222222222223</v>
      </c>
      <c r="D3268" s="48">
        <v>0.9555555555555556</v>
      </c>
      <c r="E3268" s="49">
        <f>'Reclamo de equipaje rediseñado'!$D3268-'Reclamo de equipaje rediseñado'!$C3268</f>
        <v>8.3333333333333037E-3</v>
      </c>
      <c r="F3268" s="48">
        <v>0.96597222222222223</v>
      </c>
      <c r="G3268" s="49">
        <f t="shared" si="51"/>
        <v>1.041666666666663E-2</v>
      </c>
      <c r="H3268" s="50">
        <v>41740</v>
      </c>
      <c r="I3268" s="51" t="s">
        <v>542</v>
      </c>
      <c r="J3268" s="51" t="s">
        <v>572</v>
      </c>
      <c r="K3268" s="51">
        <f>VLOOKUP(J3268,'Validacion reclamo de equipaje'!L:M,2,0)</f>
        <v>142</v>
      </c>
      <c r="L3268" s="51" t="str">
        <f>VLOOKUP(I3268,'Validacion reclamo de equipaje'!H:I,2,0)</f>
        <v>Nacional</v>
      </c>
      <c r="M3268" s="51" t="s">
        <v>523</v>
      </c>
    </row>
    <row r="3269" spans="1:13" x14ac:dyDescent="0.25">
      <c r="A3269">
        <v>683</v>
      </c>
      <c r="B3269" s="47" t="str">
        <f>VLOOKUP(Tabla6[[#This Row],['# Vuelo]],'Validacion reclamo de equipaje'!P:Q,2,0)</f>
        <v>BARATA Y MORADA</v>
      </c>
      <c r="C3269" s="52">
        <v>0.94444444444444453</v>
      </c>
      <c r="D3269" s="52">
        <v>0.94791666666666663</v>
      </c>
      <c r="E3269" s="53">
        <f>'Reclamo de equipaje rediseñado'!$D3269-'Reclamo de equipaje rediseñado'!$C3269</f>
        <v>3.4722222222220989E-3</v>
      </c>
      <c r="F3269" s="52">
        <v>0.95138888888888884</v>
      </c>
      <c r="G3269" s="53">
        <f t="shared" si="51"/>
        <v>3.4722222222222099E-3</v>
      </c>
      <c r="H3269" s="54">
        <v>41742</v>
      </c>
      <c r="I3269" s="55" t="s">
        <v>542</v>
      </c>
      <c r="J3269" s="55" t="s">
        <v>572</v>
      </c>
      <c r="K3269" s="55">
        <f>VLOOKUP(J3269,'Validacion reclamo de equipaje'!L:M,2,0)</f>
        <v>142</v>
      </c>
      <c r="L3269" s="55" t="str">
        <f>VLOOKUP(I3269,'Validacion reclamo de equipaje'!H:I,2,0)</f>
        <v>Nacional</v>
      </c>
      <c r="M3269" s="55" t="s">
        <v>523</v>
      </c>
    </row>
    <row r="3270" spans="1:13" x14ac:dyDescent="0.25">
      <c r="A3270">
        <v>683</v>
      </c>
      <c r="B3270" s="47" t="str">
        <f>VLOOKUP(Tabla6[[#This Row],['# Vuelo]],'Validacion reclamo de equipaje'!P:Q,2,0)</f>
        <v>BARATA Y MORADA</v>
      </c>
      <c r="C3270" s="48">
        <v>0.94097222222222221</v>
      </c>
      <c r="D3270" s="48">
        <v>0.95000000000000007</v>
      </c>
      <c r="E3270" s="49">
        <f>'Reclamo de equipaje rediseñado'!$D3270-'Reclamo de equipaje rediseñado'!$C3270</f>
        <v>9.0277777777778567E-3</v>
      </c>
      <c r="F3270" s="48">
        <v>0.95347222222222217</v>
      </c>
      <c r="G3270" s="49">
        <f t="shared" si="51"/>
        <v>3.4722222222220989E-3</v>
      </c>
      <c r="H3270" s="50">
        <v>41745</v>
      </c>
      <c r="I3270" s="51" t="s">
        <v>542</v>
      </c>
      <c r="J3270" s="51" t="s">
        <v>572</v>
      </c>
      <c r="K3270" s="51">
        <f>VLOOKUP(J3270,'Validacion reclamo de equipaje'!L:M,2,0)</f>
        <v>142</v>
      </c>
      <c r="L3270" s="51" t="str">
        <f>VLOOKUP(I3270,'Validacion reclamo de equipaje'!H:I,2,0)</f>
        <v>Nacional</v>
      </c>
      <c r="M3270" s="51" t="s">
        <v>523</v>
      </c>
    </row>
    <row r="3271" spans="1:13" x14ac:dyDescent="0.25">
      <c r="A3271">
        <v>683</v>
      </c>
      <c r="B3271" s="47" t="str">
        <f>VLOOKUP(Tabla6[[#This Row],['# Vuelo]],'Validacion reclamo de equipaje'!P:Q,2,0)</f>
        <v>BARATA Y MORADA</v>
      </c>
      <c r="C3271" s="52">
        <v>0.93819444444444444</v>
      </c>
      <c r="D3271" s="52">
        <v>0.9472222222222223</v>
      </c>
      <c r="E3271" s="53">
        <f>'Reclamo de equipaje rediseñado'!$D3271-'Reclamo de equipaje rediseñado'!$C3271</f>
        <v>9.0277777777778567E-3</v>
      </c>
      <c r="F3271" s="52">
        <v>0.95694444444444438</v>
      </c>
      <c r="G3271" s="53">
        <f t="shared" si="51"/>
        <v>9.7222222222220767E-3</v>
      </c>
      <c r="H3271" s="54">
        <v>41744</v>
      </c>
      <c r="I3271" s="55" t="s">
        <v>542</v>
      </c>
      <c r="J3271" s="55" t="s">
        <v>572</v>
      </c>
      <c r="K3271" s="55">
        <f>VLOOKUP(J3271,'Validacion reclamo de equipaje'!L:M,2,0)</f>
        <v>142</v>
      </c>
      <c r="L3271" s="55" t="str">
        <f>VLOOKUP(I3271,'Validacion reclamo de equipaje'!H:I,2,0)</f>
        <v>Nacional</v>
      </c>
      <c r="M3271" s="55" t="s">
        <v>523</v>
      </c>
    </row>
    <row r="3272" spans="1:13" x14ac:dyDescent="0.25">
      <c r="A3272">
        <v>683</v>
      </c>
      <c r="B3272" s="47" t="str">
        <f>VLOOKUP(Tabla6[[#This Row],['# Vuelo]],'Validacion reclamo de equipaje'!P:Q,2,0)</f>
        <v>BARATA Y MORADA</v>
      </c>
      <c r="C3272" s="48">
        <v>0.94027777777777777</v>
      </c>
      <c r="D3272" s="48">
        <v>0.94513888888888886</v>
      </c>
      <c r="E3272" s="49">
        <f>'Reclamo de equipaje rediseñado'!$D3272-'Reclamo de equipaje rediseñado'!$C3272</f>
        <v>4.8611111111110938E-3</v>
      </c>
      <c r="F3272" s="48">
        <v>0.9555555555555556</v>
      </c>
      <c r="G3272" s="49">
        <f t="shared" si="51"/>
        <v>1.0416666666666741E-2</v>
      </c>
      <c r="H3272" s="50">
        <v>41751</v>
      </c>
      <c r="I3272" s="51" t="s">
        <v>542</v>
      </c>
      <c r="J3272" s="51" t="s">
        <v>572</v>
      </c>
      <c r="K3272" s="51">
        <f>VLOOKUP(J3272,'Validacion reclamo de equipaje'!L:M,2,0)</f>
        <v>142</v>
      </c>
      <c r="L3272" s="51" t="str">
        <f>VLOOKUP(I3272,'Validacion reclamo de equipaje'!H:I,2,0)</f>
        <v>Nacional</v>
      </c>
      <c r="M3272" s="51" t="s">
        <v>523</v>
      </c>
    </row>
    <row r="3273" spans="1:13" x14ac:dyDescent="0.25">
      <c r="A3273">
        <v>683</v>
      </c>
      <c r="B3273" s="47" t="str">
        <f>VLOOKUP(Tabla6[[#This Row],['# Vuelo]],'Validacion reclamo de equipaje'!P:Q,2,0)</f>
        <v>BARATA Y MORADA</v>
      </c>
      <c r="C3273" s="52">
        <v>0.94027777777777777</v>
      </c>
      <c r="D3273" s="52">
        <v>0.94930555555555562</v>
      </c>
      <c r="E3273" s="53">
        <f>'Reclamo de equipaje rediseñado'!$D3273-'Reclamo de equipaje rediseñado'!$C3273</f>
        <v>9.0277777777778567E-3</v>
      </c>
      <c r="F3273" s="52">
        <v>0.95972222222222225</v>
      </c>
      <c r="G3273" s="53">
        <f t="shared" si="51"/>
        <v>1.041666666666663E-2</v>
      </c>
      <c r="H3273" s="54">
        <v>41759</v>
      </c>
      <c r="I3273" s="55" t="s">
        <v>542</v>
      </c>
      <c r="J3273" s="55" t="s">
        <v>572</v>
      </c>
      <c r="K3273" s="55">
        <f>VLOOKUP(J3273,'Validacion reclamo de equipaje'!L:M,2,0)</f>
        <v>142</v>
      </c>
      <c r="L3273" s="55" t="str">
        <f>VLOOKUP(I3273,'Validacion reclamo de equipaje'!H:I,2,0)</f>
        <v>Nacional</v>
      </c>
      <c r="M3273" s="55" t="s">
        <v>523</v>
      </c>
    </row>
    <row r="3274" spans="1:13" x14ac:dyDescent="0.25">
      <c r="A3274">
        <v>683</v>
      </c>
      <c r="B3274" s="47" t="str">
        <f>VLOOKUP(Tabla6[[#This Row],['# Vuelo]],'Validacion reclamo de equipaje'!P:Q,2,0)</f>
        <v>BARATA Y MORADA</v>
      </c>
      <c r="C3274" s="48">
        <v>0.95763888888888893</v>
      </c>
      <c r="D3274" s="48">
        <v>0.96666666666666667</v>
      </c>
      <c r="E3274" s="49">
        <f>'Reclamo de equipaje rediseñado'!$D3274-'Reclamo de equipaje rediseñado'!$C3274</f>
        <v>9.0277777777777457E-3</v>
      </c>
      <c r="F3274" s="48">
        <v>0.98125000000000007</v>
      </c>
      <c r="G3274" s="49">
        <f t="shared" si="51"/>
        <v>1.4583333333333393E-2</v>
      </c>
      <c r="H3274" s="50">
        <v>41759</v>
      </c>
      <c r="I3274" s="51" t="s">
        <v>542</v>
      </c>
      <c r="J3274" s="51" t="s">
        <v>572</v>
      </c>
      <c r="K3274" s="51">
        <f>VLOOKUP(J3274,'Validacion reclamo de equipaje'!L:M,2,0)</f>
        <v>142</v>
      </c>
      <c r="L3274" s="51" t="str">
        <f>VLOOKUP(I3274,'Validacion reclamo de equipaje'!H:I,2,0)</f>
        <v>Nacional</v>
      </c>
      <c r="M3274" s="51" t="s">
        <v>523</v>
      </c>
    </row>
    <row r="3275" spans="1:13" x14ac:dyDescent="0.25">
      <c r="A3275">
        <v>687</v>
      </c>
      <c r="B3275" s="47" t="str">
        <f>VLOOKUP(Tabla6[[#This Row],['# Vuelo]],'Validacion reclamo de equipaje'!P:Q,2,0)</f>
        <v>BARATA Y MORADA</v>
      </c>
      <c r="C3275" s="52">
        <v>0.69861111111111107</v>
      </c>
      <c r="D3275" s="52">
        <v>0.71388888888888891</v>
      </c>
      <c r="E3275" s="53">
        <f>'Reclamo de equipaje rediseñado'!$D3275-'Reclamo de equipaje rediseñado'!$C3275</f>
        <v>1.5277777777777835E-2</v>
      </c>
      <c r="F3275" s="52">
        <v>0.72569444444444453</v>
      </c>
      <c r="G3275" s="53">
        <f t="shared" si="51"/>
        <v>1.1805555555555625E-2</v>
      </c>
      <c r="H3275" s="54">
        <v>41731</v>
      </c>
      <c r="I3275" s="55" t="s">
        <v>545</v>
      </c>
      <c r="J3275" s="55" t="s">
        <v>572</v>
      </c>
      <c r="K3275" s="55">
        <f>VLOOKUP(J3275,'Validacion reclamo de equipaje'!L:M,2,0)</f>
        <v>142</v>
      </c>
      <c r="L3275" s="55" t="str">
        <f>VLOOKUP(I3275,'Validacion reclamo de equipaje'!H:I,2,0)</f>
        <v>Nacional</v>
      </c>
      <c r="M3275" s="55" t="s">
        <v>523</v>
      </c>
    </row>
    <row r="3276" spans="1:13" x14ac:dyDescent="0.25">
      <c r="A3276">
        <v>687</v>
      </c>
      <c r="B3276" s="47" t="str">
        <f>VLOOKUP(Tabla6[[#This Row],['# Vuelo]],'Validacion reclamo de equipaje'!P:Q,2,0)</f>
        <v>BARATA Y MORADA</v>
      </c>
      <c r="C3276" s="48">
        <v>0.67986111111111114</v>
      </c>
      <c r="D3276" s="48">
        <v>0.68333333333333324</v>
      </c>
      <c r="E3276" s="49">
        <f>'Reclamo de equipaje rediseñado'!$D3276-'Reclamo de equipaje rediseñado'!$C3276</f>
        <v>3.4722222222220989E-3</v>
      </c>
      <c r="F3276" s="48">
        <v>0.69027777777777777</v>
      </c>
      <c r="G3276" s="49">
        <f t="shared" si="51"/>
        <v>6.9444444444445308E-3</v>
      </c>
      <c r="H3276" s="50">
        <v>41738</v>
      </c>
      <c r="I3276" s="51" t="s">
        <v>545</v>
      </c>
      <c r="J3276" s="51" t="s">
        <v>572</v>
      </c>
      <c r="K3276" s="51">
        <f>VLOOKUP(J3276,'Validacion reclamo de equipaje'!L:M,2,0)</f>
        <v>142</v>
      </c>
      <c r="L3276" s="51" t="str">
        <f>VLOOKUP(I3276,'Validacion reclamo de equipaje'!H:I,2,0)</f>
        <v>Nacional</v>
      </c>
      <c r="M3276" s="51" t="s">
        <v>523</v>
      </c>
    </row>
    <row r="3277" spans="1:13" x14ac:dyDescent="0.25">
      <c r="A3277">
        <v>687</v>
      </c>
      <c r="B3277" s="47" t="str">
        <f>VLOOKUP(Tabla6[[#This Row],['# Vuelo]],'Validacion reclamo de equipaje'!P:Q,2,0)</f>
        <v>BARATA Y MORADA</v>
      </c>
      <c r="C3277" s="52">
        <v>0.60069444444444442</v>
      </c>
      <c r="D3277" s="52">
        <v>0.60763888888888895</v>
      </c>
      <c r="E3277" s="53">
        <f>'Reclamo de equipaje rediseñado'!$D3277-'Reclamo de equipaje rediseñado'!$C3277</f>
        <v>6.9444444444445308E-3</v>
      </c>
      <c r="F3277" s="52">
        <v>0.61805555555555558</v>
      </c>
      <c r="G3277" s="53">
        <f t="shared" si="51"/>
        <v>1.041666666666663E-2</v>
      </c>
      <c r="H3277" s="54">
        <v>41741</v>
      </c>
      <c r="I3277" s="55" t="s">
        <v>545</v>
      </c>
      <c r="J3277" s="55" t="s">
        <v>572</v>
      </c>
      <c r="K3277" s="55">
        <f>VLOOKUP(J3277,'Validacion reclamo de equipaje'!L:M,2,0)</f>
        <v>142</v>
      </c>
      <c r="L3277" s="55" t="str">
        <f>VLOOKUP(I3277,'Validacion reclamo de equipaje'!H:I,2,0)</f>
        <v>Nacional</v>
      </c>
      <c r="M3277" s="55" t="s">
        <v>523</v>
      </c>
    </row>
    <row r="3278" spans="1:13" x14ac:dyDescent="0.25">
      <c r="A3278">
        <v>687</v>
      </c>
      <c r="B3278" s="47" t="str">
        <f>VLOOKUP(Tabla6[[#This Row],['# Vuelo]],'Validacion reclamo de equipaje'!P:Q,2,0)</f>
        <v>BARATA Y MORADA</v>
      </c>
      <c r="C3278" s="48">
        <v>0.69027777777777777</v>
      </c>
      <c r="D3278" s="48">
        <v>0.69652777777777775</v>
      </c>
      <c r="E3278" s="49">
        <f>'Reclamo de equipaje rediseñado'!$D3278-'Reclamo de equipaje rediseñado'!$C3278</f>
        <v>6.2499999999999778E-3</v>
      </c>
      <c r="F3278" s="48">
        <v>0.69791666666666663</v>
      </c>
      <c r="G3278" s="49">
        <f t="shared" si="51"/>
        <v>1.388888888888884E-3</v>
      </c>
      <c r="H3278" s="50">
        <v>41741</v>
      </c>
      <c r="I3278" s="51" t="s">
        <v>545</v>
      </c>
      <c r="J3278" s="51" t="s">
        <v>572</v>
      </c>
      <c r="K3278" s="51">
        <f>VLOOKUP(J3278,'Validacion reclamo de equipaje'!L:M,2,0)</f>
        <v>142</v>
      </c>
      <c r="L3278" s="51" t="str">
        <f>VLOOKUP(I3278,'Validacion reclamo de equipaje'!H:I,2,0)</f>
        <v>Nacional</v>
      </c>
      <c r="M3278" s="51" t="s">
        <v>523</v>
      </c>
    </row>
    <row r="3279" spans="1:13" x14ac:dyDescent="0.25">
      <c r="A3279">
        <v>687</v>
      </c>
      <c r="B3279" s="47" t="str">
        <f>VLOOKUP(Tabla6[[#This Row],['# Vuelo]],'Validacion reclamo de equipaje'!P:Q,2,0)</f>
        <v>BARATA Y MORADA</v>
      </c>
      <c r="C3279" s="52">
        <v>0.70000000000000007</v>
      </c>
      <c r="D3279" s="52">
        <v>0.70694444444444438</v>
      </c>
      <c r="E3279" s="53">
        <f>'Reclamo de equipaje rediseñado'!$D3279-'Reclamo de equipaje rediseñado'!$C3279</f>
        <v>6.9444444444443088E-3</v>
      </c>
      <c r="F3279" s="52">
        <v>0.71875</v>
      </c>
      <c r="G3279" s="53">
        <f t="shared" si="51"/>
        <v>1.1805555555555625E-2</v>
      </c>
      <c r="H3279" s="54">
        <v>41748</v>
      </c>
      <c r="I3279" s="55" t="s">
        <v>545</v>
      </c>
      <c r="J3279" s="55" t="s">
        <v>572</v>
      </c>
      <c r="K3279" s="55">
        <f>VLOOKUP(J3279,'Validacion reclamo de equipaje'!L:M,2,0)</f>
        <v>142</v>
      </c>
      <c r="L3279" s="55" t="str">
        <f>VLOOKUP(I3279,'Validacion reclamo de equipaje'!H:I,2,0)</f>
        <v>Nacional</v>
      </c>
      <c r="M3279" s="55" t="s">
        <v>523</v>
      </c>
    </row>
    <row r="3280" spans="1:13" x14ac:dyDescent="0.25">
      <c r="A3280">
        <v>687</v>
      </c>
      <c r="B3280" s="47" t="str">
        <f>VLOOKUP(Tabla6[[#This Row],['# Vuelo]],'Validacion reclamo de equipaje'!P:Q,2,0)</f>
        <v>BARATA Y MORADA</v>
      </c>
      <c r="C3280" s="48">
        <v>0.68263888888888891</v>
      </c>
      <c r="D3280" s="48">
        <v>0.69097222222222221</v>
      </c>
      <c r="E3280" s="49">
        <f>'Reclamo de equipaje rediseñado'!$D3280-'Reclamo de equipaje rediseñado'!$C3280</f>
        <v>8.3333333333333037E-3</v>
      </c>
      <c r="F3280" s="48">
        <v>0.69374999999999998</v>
      </c>
      <c r="G3280" s="49">
        <f t="shared" si="51"/>
        <v>2.7777777777777679E-3</v>
      </c>
      <c r="H3280" s="50">
        <v>41759</v>
      </c>
      <c r="I3280" s="51" t="s">
        <v>545</v>
      </c>
      <c r="J3280" s="51" t="s">
        <v>572</v>
      </c>
      <c r="K3280" s="51">
        <f>VLOOKUP(J3280,'Validacion reclamo de equipaje'!L:M,2,0)</f>
        <v>142</v>
      </c>
      <c r="L3280" s="51" t="str">
        <f>VLOOKUP(I3280,'Validacion reclamo de equipaje'!H:I,2,0)</f>
        <v>Nacional</v>
      </c>
      <c r="M3280" s="51" t="s">
        <v>523</v>
      </c>
    </row>
    <row r="3281" spans="1:13" x14ac:dyDescent="0.25">
      <c r="A3281">
        <v>689</v>
      </c>
      <c r="B3281" s="47" t="str">
        <f>VLOOKUP(Tabla6[[#This Row],['# Vuelo]],'Validacion reclamo de equipaje'!P:Q,2,0)</f>
        <v>BARATA Y MORADA</v>
      </c>
      <c r="C3281" s="52">
        <v>0.53819444444444442</v>
      </c>
      <c r="D3281" s="52">
        <v>0.54652777777777783</v>
      </c>
      <c r="E3281" s="53">
        <f>'Reclamo de equipaje rediseñado'!$D3281-'Reclamo de equipaje rediseñado'!$C3281</f>
        <v>8.3333333333334147E-3</v>
      </c>
      <c r="F3281" s="52">
        <v>0.55833333333333335</v>
      </c>
      <c r="G3281" s="53">
        <f t="shared" si="51"/>
        <v>1.1805555555555514E-2</v>
      </c>
      <c r="H3281" s="54">
        <v>41730</v>
      </c>
      <c r="I3281" s="55" t="s">
        <v>599</v>
      </c>
      <c r="J3281" s="55" t="s">
        <v>572</v>
      </c>
      <c r="K3281" s="55">
        <f>VLOOKUP(J3281,'Validacion reclamo de equipaje'!L:M,2,0)</f>
        <v>142</v>
      </c>
      <c r="L3281" s="55" t="str">
        <f>VLOOKUP(I3281,'Validacion reclamo de equipaje'!H:I,2,0)</f>
        <v>Nacional</v>
      </c>
      <c r="M3281" s="55" t="s">
        <v>523</v>
      </c>
    </row>
    <row r="3282" spans="1:13" x14ac:dyDescent="0.25">
      <c r="A3282">
        <v>689</v>
      </c>
      <c r="B3282" s="47" t="str">
        <f>VLOOKUP(Tabla6[[#This Row],['# Vuelo]],'Validacion reclamo de equipaje'!P:Q,2,0)</f>
        <v>BARATA Y MORADA</v>
      </c>
      <c r="C3282" s="48">
        <v>0.53819444444444442</v>
      </c>
      <c r="D3282" s="48">
        <v>0.54652777777777783</v>
      </c>
      <c r="E3282" s="49">
        <f>'Reclamo de equipaje rediseñado'!$D3282-'Reclamo de equipaje rediseñado'!$C3282</f>
        <v>8.3333333333334147E-3</v>
      </c>
      <c r="F3282" s="48">
        <v>0.55833333333333335</v>
      </c>
      <c r="G3282" s="49">
        <f t="shared" si="51"/>
        <v>1.1805555555555514E-2</v>
      </c>
      <c r="H3282" s="50">
        <v>41730</v>
      </c>
      <c r="I3282" s="51" t="s">
        <v>599</v>
      </c>
      <c r="J3282" s="51" t="s">
        <v>572</v>
      </c>
      <c r="K3282" s="51">
        <f>VLOOKUP(J3282,'Validacion reclamo de equipaje'!L:M,2,0)</f>
        <v>142</v>
      </c>
      <c r="L3282" s="51" t="str">
        <f>VLOOKUP(I3282,'Validacion reclamo de equipaje'!H:I,2,0)</f>
        <v>Nacional</v>
      </c>
      <c r="M3282" s="51" t="s">
        <v>523</v>
      </c>
    </row>
    <row r="3283" spans="1:13" x14ac:dyDescent="0.25">
      <c r="A3283">
        <v>689</v>
      </c>
      <c r="B3283" s="47" t="str">
        <f>VLOOKUP(Tabla6[[#This Row],['# Vuelo]],'Validacion reclamo de equipaje'!P:Q,2,0)</f>
        <v>BARATA Y MORADA</v>
      </c>
      <c r="C3283" s="52">
        <v>0.56041666666666667</v>
      </c>
      <c r="D3283" s="52">
        <v>0.57291666666666663</v>
      </c>
      <c r="E3283" s="53">
        <f>'Reclamo de equipaje rediseñado'!$D3283-'Reclamo de equipaje rediseñado'!$C3283</f>
        <v>1.2499999999999956E-2</v>
      </c>
      <c r="F3283" s="52">
        <v>0.57777777777777783</v>
      </c>
      <c r="G3283" s="53">
        <f t="shared" si="51"/>
        <v>4.8611111111112049E-3</v>
      </c>
      <c r="H3283" s="54">
        <v>41737</v>
      </c>
      <c r="I3283" s="55" t="s">
        <v>599</v>
      </c>
      <c r="J3283" s="55" t="s">
        <v>572</v>
      </c>
      <c r="K3283" s="55">
        <f>VLOOKUP(J3283,'Validacion reclamo de equipaje'!L:M,2,0)</f>
        <v>142</v>
      </c>
      <c r="L3283" s="55" t="str">
        <f>VLOOKUP(I3283,'Validacion reclamo de equipaje'!H:I,2,0)</f>
        <v>Nacional</v>
      </c>
      <c r="M3283" s="55" t="s">
        <v>523</v>
      </c>
    </row>
    <row r="3284" spans="1:13" x14ac:dyDescent="0.25">
      <c r="A3284">
        <v>689</v>
      </c>
      <c r="B3284" s="47" t="str">
        <f>VLOOKUP(Tabla6[[#This Row],['# Vuelo]],'Validacion reclamo de equipaje'!P:Q,2,0)</f>
        <v>BARATA Y MORADA</v>
      </c>
      <c r="C3284" s="48">
        <v>0.5541666666666667</v>
      </c>
      <c r="D3284" s="48">
        <v>0.55833333333333335</v>
      </c>
      <c r="E3284" s="49">
        <f>'Reclamo de equipaje rediseñado'!$D3284-'Reclamo de equipaje rediseñado'!$C3284</f>
        <v>4.1666666666666519E-3</v>
      </c>
      <c r="F3284" s="48">
        <v>0.56666666666666665</v>
      </c>
      <c r="G3284" s="49">
        <f t="shared" si="51"/>
        <v>8.3333333333333037E-3</v>
      </c>
      <c r="H3284" s="50">
        <v>41741</v>
      </c>
      <c r="I3284" s="51" t="s">
        <v>599</v>
      </c>
      <c r="J3284" s="51" t="s">
        <v>572</v>
      </c>
      <c r="K3284" s="51">
        <f>VLOOKUP(J3284,'Validacion reclamo de equipaje'!L:M,2,0)</f>
        <v>142</v>
      </c>
      <c r="L3284" s="51" t="str">
        <f>VLOOKUP(I3284,'Validacion reclamo de equipaje'!H:I,2,0)</f>
        <v>Nacional</v>
      </c>
      <c r="M3284" s="51" t="s">
        <v>523</v>
      </c>
    </row>
    <row r="3285" spans="1:13" x14ac:dyDescent="0.25">
      <c r="A3285">
        <v>689</v>
      </c>
      <c r="B3285" s="47" t="str">
        <f>VLOOKUP(Tabla6[[#This Row],['# Vuelo]],'Validacion reclamo de equipaje'!P:Q,2,0)</f>
        <v>BARATA Y MORADA</v>
      </c>
      <c r="C3285" s="52">
        <v>0.53819444444444442</v>
      </c>
      <c r="D3285" s="52">
        <v>0.54652777777777783</v>
      </c>
      <c r="E3285" s="53">
        <f>'Reclamo de equipaje rediseñado'!$D3285-'Reclamo de equipaje rediseñado'!$C3285</f>
        <v>8.3333333333334147E-3</v>
      </c>
      <c r="F3285" s="52">
        <v>0.55833333333333335</v>
      </c>
      <c r="G3285" s="53">
        <f t="shared" si="51"/>
        <v>1.1805555555555514E-2</v>
      </c>
      <c r="H3285" s="54">
        <v>41742</v>
      </c>
      <c r="I3285" s="55" t="s">
        <v>599</v>
      </c>
      <c r="J3285" s="55" t="s">
        <v>572</v>
      </c>
      <c r="K3285" s="55">
        <f>VLOOKUP(J3285,'Validacion reclamo de equipaje'!L:M,2,0)</f>
        <v>142</v>
      </c>
      <c r="L3285" s="55" t="str">
        <f>VLOOKUP(I3285,'Validacion reclamo de equipaje'!H:I,2,0)</f>
        <v>Nacional</v>
      </c>
      <c r="M3285" s="55" t="s">
        <v>523</v>
      </c>
    </row>
    <row r="3286" spans="1:13" x14ac:dyDescent="0.25">
      <c r="A3286">
        <v>689</v>
      </c>
      <c r="B3286" s="47" t="str">
        <f>VLOOKUP(Tabla6[[#This Row],['# Vuelo]],'Validacion reclamo de equipaje'!P:Q,2,0)</f>
        <v>BARATA Y MORADA</v>
      </c>
      <c r="C3286" s="48">
        <v>0.53819444444444442</v>
      </c>
      <c r="D3286" s="48">
        <v>0.54652777777777783</v>
      </c>
      <c r="E3286" s="49">
        <f>'Reclamo de equipaje rediseñado'!$D3286-'Reclamo de equipaje rediseñado'!$C3286</f>
        <v>8.3333333333334147E-3</v>
      </c>
      <c r="F3286" s="48">
        <v>0.55833333333333335</v>
      </c>
      <c r="G3286" s="49">
        <f t="shared" si="51"/>
        <v>1.1805555555555514E-2</v>
      </c>
      <c r="H3286" s="50">
        <v>41742</v>
      </c>
      <c r="I3286" s="51" t="s">
        <v>599</v>
      </c>
      <c r="J3286" s="51" t="s">
        <v>572</v>
      </c>
      <c r="K3286" s="51">
        <f>VLOOKUP(J3286,'Validacion reclamo de equipaje'!L:M,2,0)</f>
        <v>142</v>
      </c>
      <c r="L3286" s="51" t="str">
        <f>VLOOKUP(I3286,'Validacion reclamo de equipaje'!H:I,2,0)</f>
        <v>Nacional</v>
      </c>
      <c r="M3286" s="51" t="s">
        <v>523</v>
      </c>
    </row>
    <row r="3287" spans="1:13" x14ac:dyDescent="0.25">
      <c r="A3287">
        <v>689</v>
      </c>
      <c r="B3287" s="47" t="str">
        <f>VLOOKUP(Tabla6[[#This Row],['# Vuelo]],'Validacion reclamo de equipaje'!P:Q,2,0)</f>
        <v>BARATA Y MORADA</v>
      </c>
      <c r="C3287" s="52">
        <v>0.55972222222222223</v>
      </c>
      <c r="D3287" s="52">
        <v>0.5708333333333333</v>
      </c>
      <c r="E3287" s="53">
        <f>'Reclamo de equipaje rediseñado'!$D3287-'Reclamo de equipaje rediseñado'!$C3287</f>
        <v>1.1111111111111072E-2</v>
      </c>
      <c r="F3287" s="52">
        <v>0.57777777777777783</v>
      </c>
      <c r="G3287" s="53">
        <f t="shared" si="51"/>
        <v>6.9444444444445308E-3</v>
      </c>
      <c r="H3287" s="54">
        <v>41744</v>
      </c>
      <c r="I3287" s="55" t="s">
        <v>599</v>
      </c>
      <c r="J3287" s="55" t="s">
        <v>572</v>
      </c>
      <c r="K3287" s="55">
        <f>VLOOKUP(J3287,'Validacion reclamo de equipaje'!L:M,2,0)</f>
        <v>142</v>
      </c>
      <c r="L3287" s="55" t="str">
        <f>VLOOKUP(I3287,'Validacion reclamo de equipaje'!H:I,2,0)</f>
        <v>Nacional</v>
      </c>
      <c r="M3287" s="55" t="s">
        <v>523</v>
      </c>
    </row>
    <row r="3288" spans="1:13" x14ac:dyDescent="0.25">
      <c r="A3288">
        <v>689</v>
      </c>
      <c r="B3288" s="47" t="str">
        <f>VLOOKUP(Tabla6[[#This Row],['# Vuelo]],'Validacion reclamo de equipaje'!P:Q,2,0)</f>
        <v>BARATA Y MORADA</v>
      </c>
      <c r="C3288" s="48">
        <v>0.5541666666666667</v>
      </c>
      <c r="D3288" s="48">
        <v>0.56180555555555556</v>
      </c>
      <c r="E3288" s="49">
        <f>'Reclamo de equipaje rediseñado'!$D3288-'Reclamo de equipaje rediseñado'!$C3288</f>
        <v>7.6388888888888618E-3</v>
      </c>
      <c r="F3288" s="48">
        <v>0.57013888888888886</v>
      </c>
      <c r="G3288" s="49">
        <f t="shared" si="51"/>
        <v>8.3333333333333037E-3</v>
      </c>
      <c r="H3288" s="50">
        <v>41748</v>
      </c>
      <c r="I3288" s="51" t="s">
        <v>599</v>
      </c>
      <c r="J3288" s="51" t="s">
        <v>572</v>
      </c>
      <c r="K3288" s="51">
        <f>VLOOKUP(J3288,'Validacion reclamo de equipaje'!L:M,2,0)</f>
        <v>142</v>
      </c>
      <c r="L3288" s="51" t="str">
        <f>VLOOKUP(I3288,'Validacion reclamo de equipaje'!H:I,2,0)</f>
        <v>Nacional</v>
      </c>
      <c r="M3288" s="51" t="s">
        <v>523</v>
      </c>
    </row>
    <row r="3289" spans="1:13" x14ac:dyDescent="0.25">
      <c r="A3289">
        <v>689</v>
      </c>
      <c r="B3289" s="47" t="str">
        <f>VLOOKUP(Tabla6[[#This Row],['# Vuelo]],'Validacion reclamo de equipaje'!P:Q,2,0)</f>
        <v>BARATA Y MORADA</v>
      </c>
      <c r="C3289" s="52">
        <v>0.55694444444444446</v>
      </c>
      <c r="D3289" s="52">
        <v>0.55833333333333335</v>
      </c>
      <c r="E3289" s="53">
        <f>'Reclamo de equipaje rediseñado'!$D3289-'Reclamo de equipaje rediseñado'!$C3289</f>
        <v>1.388888888888884E-3</v>
      </c>
      <c r="F3289" s="52">
        <v>0.56388888888888888</v>
      </c>
      <c r="G3289" s="53">
        <f t="shared" si="51"/>
        <v>5.5555555555555358E-3</v>
      </c>
      <c r="H3289" s="54">
        <v>41758</v>
      </c>
      <c r="I3289" s="55" t="s">
        <v>599</v>
      </c>
      <c r="J3289" s="55" t="s">
        <v>572</v>
      </c>
      <c r="K3289" s="55">
        <f>VLOOKUP(J3289,'Validacion reclamo de equipaje'!L:M,2,0)</f>
        <v>142</v>
      </c>
      <c r="L3289" s="55" t="str">
        <f>VLOOKUP(I3289,'Validacion reclamo de equipaje'!H:I,2,0)</f>
        <v>Nacional</v>
      </c>
      <c r="M3289" s="55" t="s">
        <v>523</v>
      </c>
    </row>
    <row r="3290" spans="1:13" x14ac:dyDescent="0.25">
      <c r="A3290">
        <v>691</v>
      </c>
      <c r="B3290" s="47" t="str">
        <f>VLOOKUP(Tabla6[[#This Row],['# Vuelo]],'Validacion reclamo de equipaje'!P:Q,2,0)</f>
        <v>BARATA Y MORADA</v>
      </c>
      <c r="C3290" s="48">
        <v>0.3263888888888889</v>
      </c>
      <c r="D3290" s="48">
        <v>0.33333333333333331</v>
      </c>
      <c r="E3290" s="49">
        <f>'Reclamo de equipaje rediseñado'!$D3290-'Reclamo de equipaje rediseñado'!$C3290</f>
        <v>6.9444444444444198E-3</v>
      </c>
      <c r="F3290" s="48">
        <v>0.33680555555555558</v>
      </c>
      <c r="G3290" s="49">
        <f t="shared" si="51"/>
        <v>3.4722222222222654E-3</v>
      </c>
      <c r="H3290" s="50">
        <v>41731</v>
      </c>
      <c r="I3290" s="51" t="s">
        <v>543</v>
      </c>
      <c r="J3290" s="51" t="s">
        <v>572</v>
      </c>
      <c r="K3290" s="51">
        <f>VLOOKUP(J3290,'Validacion reclamo de equipaje'!L:M,2,0)</f>
        <v>142</v>
      </c>
      <c r="L3290" s="51" t="str">
        <f>VLOOKUP(I3290,'Validacion reclamo de equipaje'!H:I,2,0)</f>
        <v>Nacional</v>
      </c>
      <c r="M3290" s="51" t="s">
        <v>523</v>
      </c>
    </row>
    <row r="3291" spans="1:13" x14ac:dyDescent="0.25">
      <c r="A3291">
        <v>691</v>
      </c>
      <c r="B3291" s="47" t="str">
        <f>VLOOKUP(Tabla6[[#This Row],['# Vuelo]],'Validacion reclamo de equipaje'!P:Q,2,0)</f>
        <v>BARATA Y MORADA</v>
      </c>
      <c r="C3291" s="52">
        <v>0.32916666666666666</v>
      </c>
      <c r="D3291" s="52">
        <v>0.33124999999999999</v>
      </c>
      <c r="E3291" s="53">
        <f>'Reclamo de equipaje rediseñado'!$D3291-'Reclamo de equipaje rediseñado'!$C3291</f>
        <v>2.0833333333333259E-3</v>
      </c>
      <c r="F3291" s="52">
        <v>0.33680555555555558</v>
      </c>
      <c r="G3291" s="53">
        <f t="shared" si="51"/>
        <v>5.5555555555555913E-3</v>
      </c>
      <c r="H3291" s="54">
        <v>41737</v>
      </c>
      <c r="I3291" s="55" t="s">
        <v>543</v>
      </c>
      <c r="J3291" s="55" t="s">
        <v>572</v>
      </c>
      <c r="K3291" s="55">
        <f>VLOOKUP(J3291,'Validacion reclamo de equipaje'!L:M,2,0)</f>
        <v>142</v>
      </c>
      <c r="L3291" s="55" t="str">
        <f>VLOOKUP(I3291,'Validacion reclamo de equipaje'!H:I,2,0)</f>
        <v>Nacional</v>
      </c>
      <c r="M3291" s="55" t="s">
        <v>523</v>
      </c>
    </row>
    <row r="3292" spans="1:13" x14ac:dyDescent="0.25">
      <c r="A3292">
        <v>691</v>
      </c>
      <c r="B3292" s="47" t="str">
        <f>VLOOKUP(Tabla6[[#This Row],['# Vuelo]],'Validacion reclamo de equipaje'!P:Q,2,0)</f>
        <v>BARATA Y MORADA</v>
      </c>
      <c r="C3292" s="48">
        <v>0.32500000000000001</v>
      </c>
      <c r="D3292" s="48">
        <v>0.33402777777777781</v>
      </c>
      <c r="E3292" s="49">
        <f>'Reclamo de equipaje rediseñado'!$D3292-'Reclamo de equipaje rediseñado'!$C3292</f>
        <v>9.0277777777778012E-3</v>
      </c>
      <c r="F3292" s="48">
        <v>0.34166666666666662</v>
      </c>
      <c r="G3292" s="49">
        <f t="shared" si="51"/>
        <v>7.6388888888888062E-3</v>
      </c>
      <c r="H3292" s="50">
        <v>41741</v>
      </c>
      <c r="I3292" s="51" t="s">
        <v>543</v>
      </c>
      <c r="J3292" s="51" t="s">
        <v>572</v>
      </c>
      <c r="K3292" s="51">
        <f>VLOOKUP(J3292,'Validacion reclamo de equipaje'!L:M,2,0)</f>
        <v>142</v>
      </c>
      <c r="L3292" s="51" t="str">
        <f>VLOOKUP(I3292,'Validacion reclamo de equipaje'!H:I,2,0)</f>
        <v>Nacional</v>
      </c>
      <c r="M3292" s="51" t="s">
        <v>523</v>
      </c>
    </row>
    <row r="3293" spans="1:13" x14ac:dyDescent="0.25">
      <c r="A3293">
        <v>691</v>
      </c>
      <c r="B3293" s="47" t="str">
        <f>VLOOKUP(Tabla6[[#This Row],['# Vuelo]],'Validacion reclamo de equipaje'!P:Q,2,0)</f>
        <v>BARATA Y MORADA</v>
      </c>
      <c r="C3293" s="52">
        <v>0.34722222222222227</v>
      </c>
      <c r="D3293" s="52">
        <v>0.35069444444444442</v>
      </c>
      <c r="E3293" s="53">
        <f>'Reclamo de equipaje rediseñado'!$D3293-'Reclamo de equipaje rediseñado'!$C3293</f>
        <v>3.4722222222221544E-3</v>
      </c>
      <c r="F3293" s="52">
        <v>0.35138888888888892</v>
      </c>
      <c r="G3293" s="53">
        <f t="shared" si="51"/>
        <v>6.9444444444449749E-4</v>
      </c>
      <c r="H3293" s="54">
        <v>41749</v>
      </c>
      <c r="I3293" s="55" t="s">
        <v>543</v>
      </c>
      <c r="J3293" s="55" t="s">
        <v>572</v>
      </c>
      <c r="K3293" s="55">
        <f>VLOOKUP(J3293,'Validacion reclamo de equipaje'!L:M,2,0)</f>
        <v>142</v>
      </c>
      <c r="L3293" s="55" t="str">
        <f>VLOOKUP(I3293,'Validacion reclamo de equipaje'!H:I,2,0)</f>
        <v>Nacional</v>
      </c>
      <c r="M3293" s="55" t="s">
        <v>523</v>
      </c>
    </row>
    <row r="3294" spans="1:13" x14ac:dyDescent="0.25">
      <c r="A3294">
        <v>691</v>
      </c>
      <c r="B3294" s="47" t="str">
        <f>VLOOKUP(Tabla6[[#This Row],['# Vuelo]],'Validacion reclamo de equipaje'!P:Q,2,0)</f>
        <v>BARATA Y MORADA</v>
      </c>
      <c r="C3294" s="48">
        <v>0.34097222222222223</v>
      </c>
      <c r="D3294" s="48">
        <v>0.34166666666666662</v>
      </c>
      <c r="E3294" s="49">
        <f>'Reclamo de equipaje rediseñado'!$D3294-'Reclamo de equipaje rediseñado'!$C3294</f>
        <v>6.9444444444438647E-4</v>
      </c>
      <c r="F3294" s="48">
        <v>0.34513888888888888</v>
      </c>
      <c r="G3294" s="49">
        <f t="shared" si="51"/>
        <v>3.4722222222222654E-3</v>
      </c>
      <c r="H3294" s="50">
        <v>41756</v>
      </c>
      <c r="I3294" s="51" t="s">
        <v>543</v>
      </c>
      <c r="J3294" s="51" t="s">
        <v>572</v>
      </c>
      <c r="K3294" s="51">
        <f>VLOOKUP(J3294,'Validacion reclamo de equipaje'!L:M,2,0)</f>
        <v>142</v>
      </c>
      <c r="L3294" s="51" t="str">
        <f>VLOOKUP(I3294,'Validacion reclamo de equipaje'!H:I,2,0)</f>
        <v>Nacional</v>
      </c>
      <c r="M3294" s="51" t="s">
        <v>523</v>
      </c>
    </row>
    <row r="3295" spans="1:13" x14ac:dyDescent="0.25">
      <c r="A3295">
        <v>693</v>
      </c>
      <c r="B3295" s="47" t="str">
        <f>VLOOKUP(Tabla6[[#This Row],['# Vuelo]],'Validacion reclamo de equipaje'!P:Q,2,0)</f>
        <v>BARATA Y MORADA</v>
      </c>
      <c r="C3295" s="52">
        <v>0.42986111111111108</v>
      </c>
      <c r="D3295" s="52">
        <v>0.44513888888888892</v>
      </c>
      <c r="E3295" s="53">
        <f>'Reclamo de equipaje rediseñado'!$D3295-'Reclamo de equipaje rediseñado'!$C3295</f>
        <v>1.5277777777777835E-2</v>
      </c>
      <c r="F3295" s="52">
        <v>0.45069444444444445</v>
      </c>
      <c r="G3295" s="53">
        <f t="shared" si="51"/>
        <v>5.5555555555555358E-3</v>
      </c>
      <c r="H3295" s="54">
        <v>41745</v>
      </c>
      <c r="I3295" s="55" t="s">
        <v>573</v>
      </c>
      <c r="J3295" s="55" t="s">
        <v>572</v>
      </c>
      <c r="K3295" s="55">
        <f>VLOOKUP(J3295,'Validacion reclamo de equipaje'!L:M,2,0)</f>
        <v>142</v>
      </c>
      <c r="L3295" s="55" t="str">
        <f>VLOOKUP(I3295,'Validacion reclamo de equipaje'!H:I,2,0)</f>
        <v>Nacional</v>
      </c>
      <c r="M3295" s="55" t="s">
        <v>523</v>
      </c>
    </row>
    <row r="3296" spans="1:13" x14ac:dyDescent="0.25">
      <c r="A3296">
        <v>693</v>
      </c>
      <c r="B3296" s="47" t="str">
        <f>VLOOKUP(Tabla6[[#This Row],['# Vuelo]],'Validacion reclamo de equipaje'!P:Q,2,0)</f>
        <v>BARATA Y MORADA</v>
      </c>
      <c r="C3296" s="48">
        <v>0.55902777777777779</v>
      </c>
      <c r="D3296" s="48">
        <v>0.56388888888888888</v>
      </c>
      <c r="E3296" s="49">
        <f>'Reclamo de equipaje rediseñado'!$D3296-'Reclamo de equipaje rediseñado'!$C3296</f>
        <v>4.8611111111110938E-3</v>
      </c>
      <c r="F3296" s="48">
        <v>0.57291666666666663</v>
      </c>
      <c r="G3296" s="49">
        <f t="shared" si="51"/>
        <v>9.0277777777777457E-3</v>
      </c>
      <c r="H3296" s="50">
        <v>41747</v>
      </c>
      <c r="I3296" s="51" t="s">
        <v>573</v>
      </c>
      <c r="J3296" s="51" t="s">
        <v>572</v>
      </c>
      <c r="K3296" s="51">
        <f>VLOOKUP(J3296,'Validacion reclamo de equipaje'!L:M,2,0)</f>
        <v>142</v>
      </c>
      <c r="L3296" s="51" t="str">
        <f>VLOOKUP(I3296,'Validacion reclamo de equipaje'!H:I,2,0)</f>
        <v>Nacional</v>
      </c>
      <c r="M3296" s="51" t="s">
        <v>523</v>
      </c>
    </row>
    <row r="3297" spans="1:13" x14ac:dyDescent="0.25">
      <c r="A3297">
        <v>693</v>
      </c>
      <c r="B3297" s="47" t="str">
        <f>VLOOKUP(Tabla6[[#This Row],['# Vuelo]],'Validacion reclamo de equipaje'!P:Q,2,0)</f>
        <v>BARATA Y MORADA</v>
      </c>
      <c r="C3297" s="52">
        <v>0.96875</v>
      </c>
      <c r="D3297" s="52">
        <v>0.97638888888888886</v>
      </c>
      <c r="E3297" s="53">
        <f>'Reclamo de equipaje rediseñado'!$D3297-'Reclamo de equipaje rediseñado'!$C3297</f>
        <v>7.6388888888888618E-3</v>
      </c>
      <c r="F3297" s="52">
        <v>0.98125000000000007</v>
      </c>
      <c r="G3297" s="53">
        <f t="shared" si="51"/>
        <v>4.8611111111112049E-3</v>
      </c>
      <c r="H3297" s="54">
        <v>41749</v>
      </c>
      <c r="I3297" s="55" t="s">
        <v>573</v>
      </c>
      <c r="J3297" s="55" t="s">
        <v>572</v>
      </c>
      <c r="K3297" s="55">
        <f>VLOOKUP(J3297,'Validacion reclamo de equipaje'!L:M,2,0)</f>
        <v>142</v>
      </c>
      <c r="L3297" s="55" t="str">
        <f>VLOOKUP(I3297,'Validacion reclamo de equipaje'!H:I,2,0)</f>
        <v>Nacional</v>
      </c>
      <c r="M3297" s="55" t="s">
        <v>523</v>
      </c>
    </row>
    <row r="3298" spans="1:13" x14ac:dyDescent="0.25">
      <c r="A3298">
        <v>693</v>
      </c>
      <c r="B3298" s="47" t="str">
        <f>VLOOKUP(Tabla6[[#This Row],['# Vuelo]],'Validacion reclamo de equipaje'!P:Q,2,0)</f>
        <v>BARATA Y MORADA</v>
      </c>
      <c r="C3298" s="48">
        <v>0.4375</v>
      </c>
      <c r="D3298" s="48">
        <v>0.4458333333333333</v>
      </c>
      <c r="E3298" s="49">
        <f>'Reclamo de equipaje rediseñado'!$D3298-'Reclamo de equipaje rediseñado'!$C3298</f>
        <v>8.3333333333333037E-3</v>
      </c>
      <c r="F3298" s="48">
        <v>0.44861111111111113</v>
      </c>
      <c r="G3298" s="49">
        <f t="shared" si="51"/>
        <v>2.7777777777778234E-3</v>
      </c>
      <c r="H3298" s="50">
        <v>41759</v>
      </c>
      <c r="I3298" s="51" t="s">
        <v>573</v>
      </c>
      <c r="J3298" s="51" t="s">
        <v>572</v>
      </c>
      <c r="K3298" s="51">
        <f>VLOOKUP(J3298,'Validacion reclamo de equipaje'!L:M,2,0)</f>
        <v>142</v>
      </c>
      <c r="L3298" s="51" t="str">
        <f>VLOOKUP(I3298,'Validacion reclamo de equipaje'!H:I,2,0)</f>
        <v>Nacional</v>
      </c>
      <c r="M3298" s="51" t="s">
        <v>523</v>
      </c>
    </row>
    <row r="3299" spans="1:13" x14ac:dyDescent="0.25">
      <c r="A3299">
        <v>730</v>
      </c>
      <c r="B3299" s="47" t="str">
        <f>VLOOKUP(Tabla6[[#This Row],['# Vuelo]],'Validacion reclamo de equipaje'!P:Q,2,0)</f>
        <v>BARATA Y MORADA</v>
      </c>
      <c r="C3299" s="52">
        <v>0.35972222222222222</v>
      </c>
      <c r="D3299" s="52">
        <v>0.36458333333333331</v>
      </c>
      <c r="E3299" s="53">
        <f>'Reclamo de equipaje rediseñado'!$D3299-'Reclamo de equipaje rediseñado'!$C3299</f>
        <v>4.8611111111110938E-3</v>
      </c>
      <c r="F3299" s="52">
        <v>0.37152777777777773</v>
      </c>
      <c r="G3299" s="53">
        <f t="shared" si="51"/>
        <v>6.9444444444444198E-3</v>
      </c>
      <c r="H3299" s="54">
        <v>41737</v>
      </c>
      <c r="I3299" s="55" t="s">
        <v>536</v>
      </c>
      <c r="J3299" s="55" t="s">
        <v>572</v>
      </c>
      <c r="K3299" s="55">
        <f>VLOOKUP(J3299,'Validacion reclamo de equipaje'!L:M,2,0)</f>
        <v>142</v>
      </c>
      <c r="L3299" s="55" t="str">
        <f>VLOOKUP(I3299,'Validacion reclamo de equipaje'!H:I,2,0)</f>
        <v>Nacional</v>
      </c>
      <c r="M3299" s="55" t="s">
        <v>523</v>
      </c>
    </row>
    <row r="3300" spans="1:13" x14ac:dyDescent="0.25">
      <c r="A3300">
        <v>730</v>
      </c>
      <c r="B3300" s="47" t="str">
        <f>VLOOKUP(Tabla6[[#This Row],['# Vuelo]],'Validacion reclamo de equipaje'!P:Q,2,0)</f>
        <v>BARATA Y MORADA</v>
      </c>
      <c r="C3300" s="48">
        <v>0.3520833333333333</v>
      </c>
      <c r="D3300" s="48">
        <v>0.36180555555555555</v>
      </c>
      <c r="E3300" s="49">
        <f>'Reclamo de equipaje rediseñado'!$D3300-'Reclamo de equipaje rediseñado'!$C3300</f>
        <v>9.7222222222222432E-3</v>
      </c>
      <c r="F3300" s="48">
        <v>0.36805555555555558</v>
      </c>
      <c r="G3300" s="49">
        <f t="shared" si="51"/>
        <v>6.2500000000000333E-3</v>
      </c>
      <c r="H3300" s="50">
        <v>41739</v>
      </c>
      <c r="I3300" s="51" t="s">
        <v>536</v>
      </c>
      <c r="J3300" s="51" t="s">
        <v>572</v>
      </c>
      <c r="K3300" s="51">
        <f>VLOOKUP(J3300,'Validacion reclamo de equipaje'!L:M,2,0)</f>
        <v>142</v>
      </c>
      <c r="L3300" s="51" t="str">
        <f>VLOOKUP(I3300,'Validacion reclamo de equipaje'!H:I,2,0)</f>
        <v>Nacional</v>
      </c>
      <c r="M3300" s="51" t="s">
        <v>523</v>
      </c>
    </row>
    <row r="3301" spans="1:13" x14ac:dyDescent="0.25">
      <c r="A3301">
        <v>730</v>
      </c>
      <c r="B3301" s="47" t="str">
        <f>VLOOKUP(Tabla6[[#This Row],['# Vuelo]],'Validacion reclamo de equipaje'!P:Q,2,0)</f>
        <v>BARATA Y MORADA</v>
      </c>
      <c r="C3301" s="52">
        <v>0.34722222222222227</v>
      </c>
      <c r="D3301" s="52">
        <v>0.35069444444444442</v>
      </c>
      <c r="E3301" s="53">
        <f>'Reclamo de equipaje rediseñado'!$D3301-'Reclamo de equipaje rediseñado'!$C3301</f>
        <v>3.4722222222221544E-3</v>
      </c>
      <c r="F3301" s="52">
        <v>0.3576388888888889</v>
      </c>
      <c r="G3301" s="53">
        <f t="shared" si="51"/>
        <v>6.9444444444444753E-3</v>
      </c>
      <c r="H3301" s="54">
        <v>41741</v>
      </c>
      <c r="I3301" s="55" t="s">
        <v>536</v>
      </c>
      <c r="J3301" s="55" t="s">
        <v>572</v>
      </c>
      <c r="K3301" s="55">
        <f>VLOOKUP(J3301,'Validacion reclamo de equipaje'!L:M,2,0)</f>
        <v>142</v>
      </c>
      <c r="L3301" s="55" t="str">
        <f>VLOOKUP(I3301,'Validacion reclamo de equipaje'!H:I,2,0)</f>
        <v>Nacional</v>
      </c>
      <c r="M3301" s="55" t="s">
        <v>523</v>
      </c>
    </row>
    <row r="3302" spans="1:13" x14ac:dyDescent="0.25">
      <c r="A3302">
        <v>730</v>
      </c>
      <c r="B3302" s="47" t="str">
        <f>VLOOKUP(Tabla6[[#This Row],['# Vuelo]],'Validacion reclamo de equipaje'!P:Q,2,0)</f>
        <v>BARATA Y MORADA</v>
      </c>
      <c r="C3302" s="48">
        <v>0.3611111111111111</v>
      </c>
      <c r="D3302" s="48">
        <v>0.3666666666666667</v>
      </c>
      <c r="E3302" s="49">
        <f>'Reclamo de equipaje rediseñado'!$D3302-'Reclamo de equipaje rediseñado'!$C3302</f>
        <v>5.5555555555555913E-3</v>
      </c>
      <c r="F3302" s="48">
        <v>0.37986111111111115</v>
      </c>
      <c r="G3302" s="49">
        <f t="shared" si="51"/>
        <v>1.3194444444444453E-2</v>
      </c>
      <c r="H3302" s="50">
        <v>41743</v>
      </c>
      <c r="I3302" s="51" t="s">
        <v>536</v>
      </c>
      <c r="J3302" s="51" t="s">
        <v>572</v>
      </c>
      <c r="K3302" s="51">
        <f>VLOOKUP(J3302,'Validacion reclamo de equipaje'!L:M,2,0)</f>
        <v>142</v>
      </c>
      <c r="L3302" s="51" t="str">
        <f>VLOOKUP(I3302,'Validacion reclamo de equipaje'!H:I,2,0)</f>
        <v>Nacional</v>
      </c>
      <c r="M3302" s="51" t="s">
        <v>523</v>
      </c>
    </row>
    <row r="3303" spans="1:13" x14ac:dyDescent="0.25">
      <c r="A3303">
        <v>730</v>
      </c>
      <c r="B3303" s="47" t="str">
        <f>VLOOKUP(Tabla6[[#This Row],['# Vuelo]],'Validacion reclamo de equipaje'!P:Q,2,0)</f>
        <v>BARATA Y MORADA</v>
      </c>
      <c r="C3303" s="52">
        <v>0.34027777777777773</v>
      </c>
      <c r="D3303" s="52">
        <v>0.34861111111111115</v>
      </c>
      <c r="E3303" s="53">
        <f>'Reclamo de equipaje rediseñado'!$D3303-'Reclamo de equipaje rediseñado'!$C3303</f>
        <v>8.3333333333334147E-3</v>
      </c>
      <c r="F3303" s="52">
        <v>0.35416666666666669</v>
      </c>
      <c r="G3303" s="53">
        <f t="shared" si="51"/>
        <v>5.5555555555555358E-3</v>
      </c>
      <c r="H3303" s="54">
        <v>41744</v>
      </c>
      <c r="I3303" s="55" t="s">
        <v>536</v>
      </c>
      <c r="J3303" s="55" t="s">
        <v>572</v>
      </c>
      <c r="K3303" s="55">
        <f>VLOOKUP(J3303,'Validacion reclamo de equipaje'!L:M,2,0)</f>
        <v>142</v>
      </c>
      <c r="L3303" s="55" t="str">
        <f>VLOOKUP(I3303,'Validacion reclamo de equipaje'!H:I,2,0)</f>
        <v>Nacional</v>
      </c>
      <c r="M3303" s="55" t="s">
        <v>523</v>
      </c>
    </row>
    <row r="3304" spans="1:13" x14ac:dyDescent="0.25">
      <c r="A3304">
        <v>730</v>
      </c>
      <c r="B3304" s="47" t="str">
        <f>VLOOKUP(Tabla6[[#This Row],['# Vuelo]],'Validacion reclamo de equipaje'!P:Q,2,0)</f>
        <v>BARATA Y MORADA</v>
      </c>
      <c r="C3304" s="48">
        <v>0.35347222222222219</v>
      </c>
      <c r="D3304" s="48">
        <v>0.36041666666666666</v>
      </c>
      <c r="E3304" s="49">
        <f>'Reclamo de equipaje rediseñado'!$D3304-'Reclamo de equipaje rediseñado'!$C3304</f>
        <v>6.9444444444444753E-3</v>
      </c>
      <c r="F3304" s="48">
        <v>0.36527777777777781</v>
      </c>
      <c r="G3304" s="49">
        <f t="shared" si="51"/>
        <v>4.8611111111111494E-3</v>
      </c>
      <c r="H3304" s="50">
        <v>41745</v>
      </c>
      <c r="I3304" s="51" t="s">
        <v>536</v>
      </c>
      <c r="J3304" s="51" t="s">
        <v>572</v>
      </c>
      <c r="K3304" s="51">
        <f>VLOOKUP(J3304,'Validacion reclamo de equipaje'!L:M,2,0)</f>
        <v>142</v>
      </c>
      <c r="L3304" s="51" t="str">
        <f>VLOOKUP(I3304,'Validacion reclamo de equipaje'!H:I,2,0)</f>
        <v>Nacional</v>
      </c>
      <c r="M3304" s="51" t="s">
        <v>523</v>
      </c>
    </row>
    <row r="3305" spans="1:13" x14ac:dyDescent="0.25">
      <c r="A3305">
        <v>730</v>
      </c>
      <c r="B3305" s="47" t="str">
        <f>VLOOKUP(Tabla6[[#This Row],['# Vuelo]],'Validacion reclamo de equipaje'!P:Q,2,0)</f>
        <v>BARATA Y MORADA</v>
      </c>
      <c r="C3305" s="52">
        <v>0.35416666666666669</v>
      </c>
      <c r="D3305" s="52">
        <v>0.3611111111111111</v>
      </c>
      <c r="E3305" s="53">
        <f>'Reclamo de equipaje rediseñado'!$D3305-'Reclamo de equipaje rediseñado'!$C3305</f>
        <v>6.9444444444444198E-3</v>
      </c>
      <c r="F3305" s="52">
        <v>0.36319444444444443</v>
      </c>
      <c r="G3305" s="53">
        <f t="shared" si="51"/>
        <v>2.0833333333333259E-3</v>
      </c>
      <c r="H3305" s="54">
        <v>41746</v>
      </c>
      <c r="I3305" s="55" t="s">
        <v>536</v>
      </c>
      <c r="J3305" s="55" t="s">
        <v>572</v>
      </c>
      <c r="K3305" s="55">
        <f>VLOOKUP(J3305,'Validacion reclamo de equipaje'!L:M,2,0)</f>
        <v>142</v>
      </c>
      <c r="L3305" s="55" t="str">
        <f>VLOOKUP(I3305,'Validacion reclamo de equipaje'!H:I,2,0)</f>
        <v>Nacional</v>
      </c>
      <c r="M3305" s="55" t="s">
        <v>523</v>
      </c>
    </row>
    <row r="3306" spans="1:13" x14ac:dyDescent="0.25">
      <c r="A3306">
        <v>730</v>
      </c>
      <c r="B3306" s="47" t="str">
        <f>VLOOKUP(Tabla6[[#This Row],['# Vuelo]],'Validacion reclamo de equipaje'!P:Q,2,0)</f>
        <v>BARATA Y MORADA</v>
      </c>
      <c r="C3306" s="48">
        <v>0.34027777777777773</v>
      </c>
      <c r="D3306" s="48">
        <v>0.34652777777777777</v>
      </c>
      <c r="E3306" s="49">
        <f>'Reclamo de equipaje rediseñado'!$D3306-'Reclamo de equipaje rediseñado'!$C3306</f>
        <v>6.2500000000000333E-3</v>
      </c>
      <c r="F3306" s="48">
        <v>0.35000000000000003</v>
      </c>
      <c r="G3306" s="49">
        <f t="shared" si="51"/>
        <v>3.4722222222222654E-3</v>
      </c>
      <c r="H3306" s="50">
        <v>41748</v>
      </c>
      <c r="I3306" s="51" t="s">
        <v>536</v>
      </c>
      <c r="J3306" s="51" t="s">
        <v>572</v>
      </c>
      <c r="K3306" s="51">
        <f>VLOOKUP(J3306,'Validacion reclamo de equipaje'!L:M,2,0)</f>
        <v>142</v>
      </c>
      <c r="L3306" s="51" t="str">
        <f>VLOOKUP(I3306,'Validacion reclamo de equipaje'!H:I,2,0)</f>
        <v>Nacional</v>
      </c>
      <c r="M3306" s="51" t="s">
        <v>523</v>
      </c>
    </row>
    <row r="3307" spans="1:13" x14ac:dyDescent="0.25">
      <c r="A3307">
        <v>730</v>
      </c>
      <c r="B3307" s="47" t="str">
        <f>VLOOKUP(Tabla6[[#This Row],['# Vuelo]],'Validacion reclamo de equipaje'!P:Q,2,0)</f>
        <v>BARATA Y MORADA</v>
      </c>
      <c r="C3307" s="52">
        <v>0.34722222222222227</v>
      </c>
      <c r="D3307" s="52">
        <v>0.36041666666666666</v>
      </c>
      <c r="E3307" s="53">
        <f>'Reclamo de equipaje rediseñado'!$D3307-'Reclamo de equipaje rediseñado'!$C3307</f>
        <v>1.3194444444444398E-2</v>
      </c>
      <c r="F3307" s="52">
        <v>0.36458333333333331</v>
      </c>
      <c r="G3307" s="53">
        <f t="shared" si="51"/>
        <v>4.1666666666666519E-3</v>
      </c>
      <c r="H3307" s="54">
        <v>41750</v>
      </c>
      <c r="I3307" s="55" t="s">
        <v>536</v>
      </c>
      <c r="J3307" s="55" t="s">
        <v>572</v>
      </c>
      <c r="K3307" s="55">
        <f>VLOOKUP(J3307,'Validacion reclamo de equipaje'!L:M,2,0)</f>
        <v>142</v>
      </c>
      <c r="L3307" s="55" t="str">
        <f>VLOOKUP(I3307,'Validacion reclamo de equipaje'!H:I,2,0)</f>
        <v>Nacional</v>
      </c>
      <c r="M3307" s="55" t="s">
        <v>523</v>
      </c>
    </row>
    <row r="3308" spans="1:13" x14ac:dyDescent="0.25">
      <c r="A3308">
        <v>730</v>
      </c>
      <c r="B3308" s="47" t="str">
        <f>VLOOKUP(Tabla6[[#This Row],['# Vuelo]],'Validacion reclamo de equipaje'!P:Q,2,0)</f>
        <v>BARATA Y MORADA</v>
      </c>
      <c r="C3308" s="48">
        <v>0.34930555555555554</v>
      </c>
      <c r="D3308" s="48">
        <v>0.35625000000000001</v>
      </c>
      <c r="E3308" s="49">
        <f>'Reclamo de equipaje rediseñado'!$D3308-'Reclamo de equipaje rediseñado'!$C3308</f>
        <v>6.9444444444444753E-3</v>
      </c>
      <c r="F3308" s="48">
        <v>0.36249999999999999</v>
      </c>
      <c r="G3308" s="49">
        <f t="shared" si="51"/>
        <v>6.2499999999999778E-3</v>
      </c>
      <c r="H3308" s="50">
        <v>41751</v>
      </c>
      <c r="I3308" s="51" t="s">
        <v>536</v>
      </c>
      <c r="J3308" s="51" t="s">
        <v>572</v>
      </c>
      <c r="K3308" s="51">
        <f>VLOOKUP(J3308,'Validacion reclamo de equipaje'!L:M,2,0)</f>
        <v>142</v>
      </c>
      <c r="L3308" s="51" t="str">
        <f>VLOOKUP(I3308,'Validacion reclamo de equipaje'!H:I,2,0)</f>
        <v>Nacional</v>
      </c>
      <c r="M3308" s="51" t="s">
        <v>523</v>
      </c>
    </row>
    <row r="3309" spans="1:13" x14ac:dyDescent="0.25">
      <c r="A3309">
        <v>730</v>
      </c>
      <c r="B3309" s="47" t="str">
        <f>VLOOKUP(Tabla6[[#This Row],['# Vuelo]],'Validacion reclamo de equipaje'!P:Q,2,0)</f>
        <v>BARATA Y MORADA</v>
      </c>
      <c r="C3309" s="52">
        <v>0.35000000000000003</v>
      </c>
      <c r="D3309" s="52">
        <v>0.35138888888888892</v>
      </c>
      <c r="E3309" s="53">
        <f>'Reclamo de equipaje rediseñado'!$D3309-'Reclamo de equipaje rediseñado'!$C3309</f>
        <v>1.388888888888884E-3</v>
      </c>
      <c r="F3309" s="52">
        <v>0.36249999999999999</v>
      </c>
      <c r="G3309" s="53">
        <f t="shared" si="51"/>
        <v>1.1111111111111072E-2</v>
      </c>
      <c r="H3309" s="54">
        <v>41753</v>
      </c>
      <c r="I3309" s="55" t="s">
        <v>536</v>
      </c>
      <c r="J3309" s="55" t="s">
        <v>572</v>
      </c>
      <c r="K3309" s="55">
        <f>VLOOKUP(J3309,'Validacion reclamo de equipaje'!L:M,2,0)</f>
        <v>142</v>
      </c>
      <c r="L3309" s="55" t="str">
        <f>VLOOKUP(I3309,'Validacion reclamo de equipaje'!H:I,2,0)</f>
        <v>Nacional</v>
      </c>
      <c r="M3309" s="55" t="s">
        <v>523</v>
      </c>
    </row>
    <row r="3310" spans="1:13" x14ac:dyDescent="0.25">
      <c r="A3310">
        <v>730</v>
      </c>
      <c r="B3310" s="47" t="str">
        <f>VLOOKUP(Tabla6[[#This Row],['# Vuelo]],'Validacion reclamo de equipaje'!P:Q,2,0)</f>
        <v>BARATA Y MORADA</v>
      </c>
      <c r="C3310" s="48">
        <v>0.34513888888888888</v>
      </c>
      <c r="D3310" s="48">
        <v>0.3527777777777778</v>
      </c>
      <c r="E3310" s="49">
        <f>'Reclamo de equipaje rediseñado'!$D3310-'Reclamo de equipaje rediseñado'!$C3310</f>
        <v>7.6388888888889173E-3</v>
      </c>
      <c r="F3310" s="48">
        <v>0.36041666666666666</v>
      </c>
      <c r="G3310" s="49">
        <f t="shared" si="51"/>
        <v>7.6388888888888618E-3</v>
      </c>
      <c r="H3310" s="50">
        <v>41756</v>
      </c>
      <c r="I3310" s="51" t="s">
        <v>536</v>
      </c>
      <c r="J3310" s="51" t="s">
        <v>572</v>
      </c>
      <c r="K3310" s="51">
        <f>VLOOKUP(J3310,'Validacion reclamo de equipaje'!L:M,2,0)</f>
        <v>142</v>
      </c>
      <c r="L3310" s="51" t="str">
        <f>VLOOKUP(I3310,'Validacion reclamo de equipaje'!H:I,2,0)</f>
        <v>Nacional</v>
      </c>
      <c r="M3310" s="51" t="s">
        <v>523</v>
      </c>
    </row>
    <row r="3311" spans="1:13" x14ac:dyDescent="0.25">
      <c r="A3311">
        <v>730</v>
      </c>
      <c r="B3311" s="47" t="str">
        <f>VLOOKUP(Tabla6[[#This Row],['# Vuelo]],'Validacion reclamo de equipaje'!P:Q,2,0)</f>
        <v>BARATA Y MORADA</v>
      </c>
      <c r="C3311" s="52">
        <v>0.35694444444444445</v>
      </c>
      <c r="D3311" s="52">
        <v>0.3666666666666667</v>
      </c>
      <c r="E3311" s="53">
        <f>'Reclamo de equipaje rediseñado'!$D3311-'Reclamo de equipaje rediseñado'!$C3311</f>
        <v>9.7222222222222432E-3</v>
      </c>
      <c r="F3311" s="52">
        <v>0.375</v>
      </c>
      <c r="G3311" s="53">
        <f t="shared" si="51"/>
        <v>8.3333333333333037E-3</v>
      </c>
      <c r="H3311" s="54">
        <v>41757</v>
      </c>
      <c r="I3311" s="55" t="s">
        <v>536</v>
      </c>
      <c r="J3311" s="55" t="s">
        <v>572</v>
      </c>
      <c r="K3311" s="55">
        <f>VLOOKUP(J3311,'Validacion reclamo de equipaje'!L:M,2,0)</f>
        <v>142</v>
      </c>
      <c r="L3311" s="55" t="str">
        <f>VLOOKUP(I3311,'Validacion reclamo de equipaje'!H:I,2,0)</f>
        <v>Nacional</v>
      </c>
      <c r="M3311" s="55" t="s">
        <v>523</v>
      </c>
    </row>
    <row r="3312" spans="1:13" x14ac:dyDescent="0.25">
      <c r="A3312">
        <v>730</v>
      </c>
      <c r="B3312" s="47" t="str">
        <f>VLOOKUP(Tabla6[[#This Row],['# Vuelo]],'Validacion reclamo de equipaje'!P:Q,2,0)</f>
        <v>BARATA Y MORADA</v>
      </c>
      <c r="C3312" s="48">
        <v>0.3576388888888889</v>
      </c>
      <c r="D3312" s="48">
        <v>0.36388888888888887</v>
      </c>
      <c r="E3312" s="49">
        <f>'Reclamo de equipaje rediseñado'!$D3312-'Reclamo de equipaje rediseñado'!$C3312</f>
        <v>6.2499999999999778E-3</v>
      </c>
      <c r="F3312" s="48">
        <v>0.36805555555555558</v>
      </c>
      <c r="G3312" s="49">
        <f t="shared" si="51"/>
        <v>4.1666666666667074E-3</v>
      </c>
      <c r="H3312" s="50">
        <v>41758</v>
      </c>
      <c r="I3312" s="51" t="s">
        <v>536</v>
      </c>
      <c r="J3312" s="51" t="s">
        <v>572</v>
      </c>
      <c r="K3312" s="51">
        <f>VLOOKUP(J3312,'Validacion reclamo de equipaje'!L:M,2,0)</f>
        <v>142</v>
      </c>
      <c r="L3312" s="51" t="str">
        <f>VLOOKUP(I3312,'Validacion reclamo de equipaje'!H:I,2,0)</f>
        <v>Nacional</v>
      </c>
      <c r="M3312" s="51" t="s">
        <v>523</v>
      </c>
    </row>
    <row r="3313" spans="1:13" x14ac:dyDescent="0.25">
      <c r="A3313">
        <v>730</v>
      </c>
      <c r="B3313" s="47" t="str">
        <f>VLOOKUP(Tabla6[[#This Row],['# Vuelo]],'Validacion reclamo de equipaje'!P:Q,2,0)</f>
        <v>BARATA Y MORADA</v>
      </c>
      <c r="C3313" s="52">
        <v>0.35416666666666669</v>
      </c>
      <c r="D3313" s="52">
        <v>0.36458333333333331</v>
      </c>
      <c r="E3313" s="53">
        <f>'Reclamo de equipaje rediseñado'!$D3313-'Reclamo de equipaje rediseñado'!$C3313</f>
        <v>1.041666666666663E-2</v>
      </c>
      <c r="F3313" s="52">
        <v>0.36736111111111108</v>
      </c>
      <c r="G3313" s="53">
        <f t="shared" si="51"/>
        <v>2.7777777777777679E-3</v>
      </c>
      <c r="H3313" s="54">
        <v>41759</v>
      </c>
      <c r="I3313" s="55" t="s">
        <v>536</v>
      </c>
      <c r="J3313" s="55" t="s">
        <v>572</v>
      </c>
      <c r="K3313" s="55">
        <f>VLOOKUP(J3313,'Validacion reclamo de equipaje'!L:M,2,0)</f>
        <v>142</v>
      </c>
      <c r="L3313" s="55" t="str">
        <f>VLOOKUP(I3313,'Validacion reclamo de equipaje'!H:I,2,0)</f>
        <v>Nacional</v>
      </c>
      <c r="M3313" s="55" t="s">
        <v>523</v>
      </c>
    </row>
    <row r="3314" spans="1:13" x14ac:dyDescent="0.25">
      <c r="A3314">
        <v>732</v>
      </c>
      <c r="B3314" s="47" t="str">
        <f>VLOOKUP(Tabla6[[#This Row],['# Vuelo]],'Validacion reclamo de equipaje'!P:Q,2,0)</f>
        <v>BARATA Y MORADA</v>
      </c>
      <c r="C3314" s="48">
        <v>0.37222222222222223</v>
      </c>
      <c r="D3314" s="48">
        <v>0.37777777777777777</v>
      </c>
      <c r="E3314" s="49">
        <f>'Reclamo de equipaje rediseñado'!$D3314-'Reclamo de equipaje rediseñado'!$C3314</f>
        <v>5.5555555555555358E-3</v>
      </c>
      <c r="F3314" s="48">
        <v>0.3840277777777778</v>
      </c>
      <c r="G3314" s="49">
        <f t="shared" si="51"/>
        <v>6.2500000000000333E-3</v>
      </c>
      <c r="H3314" s="50">
        <v>41730</v>
      </c>
      <c r="I3314" s="51" t="s">
        <v>536</v>
      </c>
      <c r="J3314" s="51" t="s">
        <v>572</v>
      </c>
      <c r="K3314" s="51">
        <f>VLOOKUP(J3314,'Validacion reclamo de equipaje'!L:M,2,0)</f>
        <v>142</v>
      </c>
      <c r="L3314" s="51" t="str">
        <f>VLOOKUP(I3314,'Validacion reclamo de equipaje'!H:I,2,0)</f>
        <v>Nacional</v>
      </c>
      <c r="M3314" s="51" t="s">
        <v>523</v>
      </c>
    </row>
    <row r="3315" spans="1:13" x14ac:dyDescent="0.25">
      <c r="A3315">
        <v>732</v>
      </c>
      <c r="B3315" s="47" t="str">
        <f>VLOOKUP(Tabla6[[#This Row],['# Vuelo]],'Validacion reclamo de equipaje'!P:Q,2,0)</f>
        <v>BARATA Y MORADA</v>
      </c>
      <c r="C3315" s="52">
        <v>0.38472222222222219</v>
      </c>
      <c r="D3315" s="52">
        <v>0.39513888888888887</v>
      </c>
      <c r="E3315" s="53">
        <f>'Reclamo de equipaje rediseñado'!$D3315-'Reclamo de equipaje rediseñado'!$C3315</f>
        <v>1.0416666666666685E-2</v>
      </c>
      <c r="F3315" s="52">
        <v>0.40138888888888885</v>
      </c>
      <c r="G3315" s="53">
        <f t="shared" si="51"/>
        <v>6.2499999999999778E-3</v>
      </c>
      <c r="H3315" s="54">
        <v>41731</v>
      </c>
      <c r="I3315" s="55" t="s">
        <v>536</v>
      </c>
      <c r="J3315" s="55" t="s">
        <v>572</v>
      </c>
      <c r="K3315" s="55">
        <f>VLOOKUP(J3315,'Validacion reclamo de equipaje'!L:M,2,0)</f>
        <v>142</v>
      </c>
      <c r="L3315" s="55" t="str">
        <f>VLOOKUP(I3315,'Validacion reclamo de equipaje'!H:I,2,0)</f>
        <v>Nacional</v>
      </c>
      <c r="M3315" s="55" t="s">
        <v>523</v>
      </c>
    </row>
    <row r="3316" spans="1:13" x14ac:dyDescent="0.25">
      <c r="A3316">
        <v>732</v>
      </c>
      <c r="B3316" s="47" t="str">
        <f>VLOOKUP(Tabla6[[#This Row],['# Vuelo]],'Validacion reclamo de equipaje'!P:Q,2,0)</f>
        <v>BARATA Y MORADA</v>
      </c>
      <c r="C3316" s="48">
        <v>0.37708333333333338</v>
      </c>
      <c r="D3316" s="48">
        <v>0.38541666666666669</v>
      </c>
      <c r="E3316" s="49">
        <f>'Reclamo de equipaje rediseñado'!$D3316-'Reclamo de equipaje rediseñado'!$C3316</f>
        <v>8.3333333333333037E-3</v>
      </c>
      <c r="F3316" s="48">
        <v>0.39305555555555555</v>
      </c>
      <c r="G3316" s="49">
        <f t="shared" si="51"/>
        <v>7.6388888888888618E-3</v>
      </c>
      <c r="H3316" s="50">
        <v>41732</v>
      </c>
      <c r="I3316" s="51" t="s">
        <v>536</v>
      </c>
      <c r="J3316" s="51" t="s">
        <v>572</v>
      </c>
      <c r="K3316" s="51">
        <f>VLOOKUP(J3316,'Validacion reclamo de equipaje'!L:M,2,0)</f>
        <v>142</v>
      </c>
      <c r="L3316" s="51" t="str">
        <f>VLOOKUP(I3316,'Validacion reclamo de equipaje'!H:I,2,0)</f>
        <v>Nacional</v>
      </c>
      <c r="M3316" s="51" t="s">
        <v>523</v>
      </c>
    </row>
    <row r="3317" spans="1:13" x14ac:dyDescent="0.25">
      <c r="A3317">
        <v>732</v>
      </c>
      <c r="B3317" s="47" t="str">
        <f>VLOOKUP(Tabla6[[#This Row],['# Vuelo]],'Validacion reclamo de equipaje'!P:Q,2,0)</f>
        <v>BARATA Y MORADA</v>
      </c>
      <c r="C3317" s="52">
        <v>0.38125000000000003</v>
      </c>
      <c r="D3317" s="52">
        <v>0.39027777777777778</v>
      </c>
      <c r="E3317" s="53">
        <f>'Reclamo de equipaje rediseñado'!$D3317-'Reclamo de equipaje rediseñado'!$C3317</f>
        <v>9.0277777777777457E-3</v>
      </c>
      <c r="F3317" s="52">
        <v>0.3979166666666667</v>
      </c>
      <c r="G3317" s="53">
        <f t="shared" si="51"/>
        <v>7.6388888888889173E-3</v>
      </c>
      <c r="H3317" s="54">
        <v>41733</v>
      </c>
      <c r="I3317" s="55" t="s">
        <v>536</v>
      </c>
      <c r="J3317" s="55" t="s">
        <v>572</v>
      </c>
      <c r="K3317" s="55">
        <f>VLOOKUP(J3317,'Validacion reclamo de equipaje'!L:M,2,0)</f>
        <v>142</v>
      </c>
      <c r="L3317" s="55" t="str">
        <f>VLOOKUP(I3317,'Validacion reclamo de equipaje'!H:I,2,0)</f>
        <v>Nacional</v>
      </c>
      <c r="M3317" s="55" t="s">
        <v>523</v>
      </c>
    </row>
    <row r="3318" spans="1:13" x14ac:dyDescent="0.25">
      <c r="A3318">
        <v>732</v>
      </c>
      <c r="B3318" s="47" t="str">
        <f>VLOOKUP(Tabla6[[#This Row],['# Vuelo]],'Validacion reclamo de equipaje'!P:Q,2,0)</f>
        <v>BARATA Y MORADA</v>
      </c>
      <c r="C3318" s="48">
        <v>0.3923611111111111</v>
      </c>
      <c r="D3318" s="48">
        <v>0.39583333333333331</v>
      </c>
      <c r="E3318" s="49">
        <f>'Reclamo de equipaje rediseñado'!$D3318-'Reclamo de equipaje rediseñado'!$C3318</f>
        <v>3.4722222222222099E-3</v>
      </c>
      <c r="F3318" s="48">
        <v>0.3972222222222222</v>
      </c>
      <c r="G3318" s="49">
        <f t="shared" si="51"/>
        <v>1.388888888888884E-3</v>
      </c>
      <c r="H3318" s="50">
        <v>41735</v>
      </c>
      <c r="I3318" s="51" t="s">
        <v>536</v>
      </c>
      <c r="J3318" s="51" t="s">
        <v>572</v>
      </c>
      <c r="K3318" s="51">
        <f>VLOOKUP(J3318,'Validacion reclamo de equipaje'!L:M,2,0)</f>
        <v>142</v>
      </c>
      <c r="L3318" s="51" t="str">
        <f>VLOOKUP(I3318,'Validacion reclamo de equipaje'!H:I,2,0)</f>
        <v>Nacional</v>
      </c>
      <c r="M3318" s="51" t="s">
        <v>523</v>
      </c>
    </row>
    <row r="3319" spans="1:13" x14ac:dyDescent="0.25">
      <c r="A3319">
        <v>732</v>
      </c>
      <c r="B3319" s="47" t="str">
        <f>VLOOKUP(Tabla6[[#This Row],['# Vuelo]],'Validacion reclamo de equipaje'!P:Q,2,0)</f>
        <v>BARATA Y MORADA</v>
      </c>
      <c r="C3319" s="52">
        <v>0.3888888888888889</v>
      </c>
      <c r="D3319" s="52">
        <v>0.3972222222222222</v>
      </c>
      <c r="E3319" s="53">
        <f>'Reclamo de equipaje rediseñado'!$D3319-'Reclamo de equipaje rediseñado'!$C3319</f>
        <v>8.3333333333333037E-3</v>
      </c>
      <c r="F3319" s="52">
        <v>0.40277777777777773</v>
      </c>
      <c r="G3319" s="53">
        <f t="shared" si="51"/>
        <v>5.5555555555555358E-3</v>
      </c>
      <c r="H3319" s="54">
        <v>41737</v>
      </c>
      <c r="I3319" s="55" t="s">
        <v>536</v>
      </c>
      <c r="J3319" s="55" t="s">
        <v>572</v>
      </c>
      <c r="K3319" s="55">
        <f>VLOOKUP(J3319,'Validacion reclamo de equipaje'!L:M,2,0)</f>
        <v>142</v>
      </c>
      <c r="L3319" s="55" t="str">
        <f>VLOOKUP(I3319,'Validacion reclamo de equipaje'!H:I,2,0)</f>
        <v>Nacional</v>
      </c>
      <c r="M3319" s="55" t="s">
        <v>523</v>
      </c>
    </row>
    <row r="3320" spans="1:13" x14ac:dyDescent="0.25">
      <c r="A3320">
        <v>732</v>
      </c>
      <c r="B3320" s="47" t="str">
        <f>VLOOKUP(Tabla6[[#This Row],['# Vuelo]],'Validacion reclamo de equipaje'!P:Q,2,0)</f>
        <v>BARATA Y MORADA</v>
      </c>
      <c r="C3320" s="48">
        <v>0.39166666666666666</v>
      </c>
      <c r="D3320" s="48">
        <v>0.39930555555555558</v>
      </c>
      <c r="E3320" s="49">
        <f>'Reclamo de equipaje rediseñado'!$D3320-'Reclamo de equipaje rediseñado'!$C3320</f>
        <v>7.6388888888889173E-3</v>
      </c>
      <c r="F3320" s="48">
        <v>0.40208333333333335</v>
      </c>
      <c r="G3320" s="49">
        <f t="shared" si="51"/>
        <v>2.7777777777777679E-3</v>
      </c>
      <c r="H3320" s="50">
        <v>41738</v>
      </c>
      <c r="I3320" s="51" t="s">
        <v>536</v>
      </c>
      <c r="J3320" s="51" t="s">
        <v>572</v>
      </c>
      <c r="K3320" s="51">
        <f>VLOOKUP(J3320,'Validacion reclamo de equipaje'!L:M,2,0)</f>
        <v>142</v>
      </c>
      <c r="L3320" s="51" t="str">
        <f>VLOOKUP(I3320,'Validacion reclamo de equipaje'!H:I,2,0)</f>
        <v>Nacional</v>
      </c>
      <c r="M3320" s="51" t="s">
        <v>523</v>
      </c>
    </row>
    <row r="3321" spans="1:13" x14ac:dyDescent="0.25">
      <c r="A3321">
        <v>732</v>
      </c>
      <c r="B3321" s="47" t="str">
        <f>VLOOKUP(Tabla6[[#This Row],['# Vuelo]],'Validacion reclamo de equipaje'!P:Q,2,0)</f>
        <v>BARATA Y MORADA</v>
      </c>
      <c r="C3321" s="52">
        <v>0.39861111111111108</v>
      </c>
      <c r="D3321" s="52">
        <v>0.4055555555555555</v>
      </c>
      <c r="E3321" s="53">
        <f>'Reclamo de equipaje rediseñado'!$D3321-'Reclamo de equipaje rediseñado'!$C3321</f>
        <v>6.9444444444444198E-3</v>
      </c>
      <c r="F3321" s="52">
        <v>0.40972222222222227</v>
      </c>
      <c r="G3321" s="53">
        <f t="shared" si="51"/>
        <v>4.1666666666667629E-3</v>
      </c>
      <c r="H3321" s="54">
        <v>41739</v>
      </c>
      <c r="I3321" s="55" t="s">
        <v>536</v>
      </c>
      <c r="J3321" s="55" t="s">
        <v>572</v>
      </c>
      <c r="K3321" s="55">
        <f>VLOOKUP(J3321,'Validacion reclamo de equipaje'!L:M,2,0)</f>
        <v>142</v>
      </c>
      <c r="L3321" s="55" t="str">
        <f>VLOOKUP(I3321,'Validacion reclamo de equipaje'!H:I,2,0)</f>
        <v>Nacional</v>
      </c>
      <c r="M3321" s="55" t="s">
        <v>523</v>
      </c>
    </row>
    <row r="3322" spans="1:13" x14ac:dyDescent="0.25">
      <c r="A3322">
        <v>732</v>
      </c>
      <c r="B3322" s="47" t="str">
        <f>VLOOKUP(Tabla6[[#This Row],['# Vuelo]],'Validacion reclamo de equipaje'!P:Q,2,0)</f>
        <v>BARATA Y MORADA</v>
      </c>
      <c r="C3322" s="48">
        <v>0.3888888888888889</v>
      </c>
      <c r="D3322" s="48">
        <v>0.40069444444444446</v>
      </c>
      <c r="E3322" s="49">
        <f>'Reclamo de equipaje rediseñado'!$D3322-'Reclamo de equipaje rediseñado'!$C3322</f>
        <v>1.1805555555555569E-2</v>
      </c>
      <c r="F3322" s="48">
        <v>0.40416666666666662</v>
      </c>
      <c r="G3322" s="49">
        <f t="shared" si="51"/>
        <v>3.4722222222221544E-3</v>
      </c>
      <c r="H3322" s="50">
        <v>41741</v>
      </c>
      <c r="I3322" s="51" t="s">
        <v>536</v>
      </c>
      <c r="J3322" s="51" t="s">
        <v>572</v>
      </c>
      <c r="K3322" s="51">
        <f>VLOOKUP(J3322,'Validacion reclamo de equipaje'!L:M,2,0)</f>
        <v>142</v>
      </c>
      <c r="L3322" s="51" t="str">
        <f>VLOOKUP(I3322,'Validacion reclamo de equipaje'!H:I,2,0)</f>
        <v>Nacional</v>
      </c>
      <c r="M3322" s="51" t="s">
        <v>523</v>
      </c>
    </row>
    <row r="3323" spans="1:13" x14ac:dyDescent="0.25">
      <c r="A3323">
        <v>732</v>
      </c>
      <c r="B3323" s="47" t="str">
        <f>VLOOKUP(Tabla6[[#This Row],['# Vuelo]],'Validacion reclamo de equipaje'!P:Q,2,0)</f>
        <v>BARATA Y MORADA</v>
      </c>
      <c r="C3323" s="52">
        <v>0.37222222222222223</v>
      </c>
      <c r="D3323" s="52">
        <v>0.37777777777777777</v>
      </c>
      <c r="E3323" s="53">
        <f>'Reclamo de equipaje rediseñado'!$D3323-'Reclamo de equipaje rediseñado'!$C3323</f>
        <v>5.5555555555555358E-3</v>
      </c>
      <c r="F3323" s="52">
        <v>0.3840277777777778</v>
      </c>
      <c r="G3323" s="53">
        <f t="shared" si="51"/>
        <v>6.2500000000000333E-3</v>
      </c>
      <c r="H3323" s="54">
        <v>41742</v>
      </c>
      <c r="I3323" s="55" t="s">
        <v>536</v>
      </c>
      <c r="J3323" s="55" t="s">
        <v>572</v>
      </c>
      <c r="K3323" s="55">
        <f>VLOOKUP(J3323,'Validacion reclamo de equipaje'!L:M,2,0)</f>
        <v>142</v>
      </c>
      <c r="L3323" s="55" t="str">
        <f>VLOOKUP(I3323,'Validacion reclamo de equipaje'!H:I,2,0)</f>
        <v>Nacional</v>
      </c>
      <c r="M3323" s="55" t="s">
        <v>523</v>
      </c>
    </row>
    <row r="3324" spans="1:13" x14ac:dyDescent="0.25">
      <c r="A3324">
        <v>732</v>
      </c>
      <c r="B3324" s="47" t="str">
        <f>VLOOKUP(Tabla6[[#This Row],['# Vuelo]],'Validacion reclamo de equipaje'!P:Q,2,0)</f>
        <v>BARATA Y MORADA</v>
      </c>
      <c r="C3324" s="48">
        <v>0.40277777777777773</v>
      </c>
      <c r="D3324" s="48">
        <v>0.40625</v>
      </c>
      <c r="E3324" s="49">
        <f>'Reclamo de equipaje rediseñado'!$D3324-'Reclamo de equipaje rediseñado'!$C3324</f>
        <v>3.4722222222222654E-3</v>
      </c>
      <c r="F3324" s="48">
        <v>0.41180555555555554</v>
      </c>
      <c r="G3324" s="49">
        <f t="shared" si="51"/>
        <v>5.5555555555555358E-3</v>
      </c>
      <c r="H3324" s="50">
        <v>41743</v>
      </c>
      <c r="I3324" s="51" t="s">
        <v>536</v>
      </c>
      <c r="J3324" s="51" t="s">
        <v>572</v>
      </c>
      <c r="K3324" s="51">
        <f>VLOOKUP(J3324,'Validacion reclamo de equipaje'!L:M,2,0)</f>
        <v>142</v>
      </c>
      <c r="L3324" s="51" t="str">
        <f>VLOOKUP(I3324,'Validacion reclamo de equipaje'!H:I,2,0)</f>
        <v>Nacional</v>
      </c>
      <c r="M3324" s="51" t="s">
        <v>523</v>
      </c>
    </row>
    <row r="3325" spans="1:13" x14ac:dyDescent="0.25">
      <c r="A3325">
        <v>732</v>
      </c>
      <c r="B3325" s="47" t="str">
        <f>VLOOKUP(Tabla6[[#This Row],['# Vuelo]],'Validacion reclamo de equipaje'!P:Q,2,0)</f>
        <v>BARATA Y MORADA</v>
      </c>
      <c r="C3325" s="52">
        <v>0.39305555555555555</v>
      </c>
      <c r="D3325" s="52">
        <v>0.40208333333333335</v>
      </c>
      <c r="E3325" s="53">
        <f>'Reclamo de equipaje rediseñado'!$D3325-'Reclamo de equipaje rediseñado'!$C3325</f>
        <v>9.0277777777778012E-3</v>
      </c>
      <c r="F3325" s="52">
        <v>0.40486111111111112</v>
      </c>
      <c r="G3325" s="53">
        <f t="shared" si="51"/>
        <v>2.7777777777777679E-3</v>
      </c>
      <c r="H3325" s="54">
        <v>41744</v>
      </c>
      <c r="I3325" s="55" t="s">
        <v>536</v>
      </c>
      <c r="J3325" s="55" t="s">
        <v>572</v>
      </c>
      <c r="K3325" s="55">
        <f>VLOOKUP(J3325,'Validacion reclamo de equipaje'!L:M,2,0)</f>
        <v>142</v>
      </c>
      <c r="L3325" s="55" t="str">
        <f>VLOOKUP(I3325,'Validacion reclamo de equipaje'!H:I,2,0)</f>
        <v>Nacional</v>
      </c>
      <c r="M3325" s="55" t="s">
        <v>523</v>
      </c>
    </row>
    <row r="3326" spans="1:13" x14ac:dyDescent="0.25">
      <c r="A3326">
        <v>732</v>
      </c>
      <c r="B3326" s="47" t="str">
        <f>VLOOKUP(Tabla6[[#This Row],['# Vuelo]],'Validacion reclamo de equipaje'!P:Q,2,0)</f>
        <v>BARATA Y MORADA</v>
      </c>
      <c r="C3326" s="48">
        <v>0.40208333333333335</v>
      </c>
      <c r="D3326" s="48">
        <v>0.41111111111111115</v>
      </c>
      <c r="E3326" s="49">
        <f>'Reclamo de equipaje rediseñado'!$D3326-'Reclamo de equipaje rediseñado'!$C3326</f>
        <v>9.0277777777778012E-3</v>
      </c>
      <c r="F3326" s="48">
        <v>0.41597222222222219</v>
      </c>
      <c r="G3326" s="49">
        <f t="shared" si="51"/>
        <v>4.8611111111110383E-3</v>
      </c>
      <c r="H3326" s="50">
        <v>41745</v>
      </c>
      <c r="I3326" s="51" t="s">
        <v>536</v>
      </c>
      <c r="J3326" s="51" t="s">
        <v>572</v>
      </c>
      <c r="K3326" s="51">
        <f>VLOOKUP(J3326,'Validacion reclamo de equipaje'!L:M,2,0)</f>
        <v>142</v>
      </c>
      <c r="L3326" s="51" t="str">
        <f>VLOOKUP(I3326,'Validacion reclamo de equipaje'!H:I,2,0)</f>
        <v>Nacional</v>
      </c>
      <c r="M3326" s="51" t="s">
        <v>523</v>
      </c>
    </row>
    <row r="3327" spans="1:13" x14ac:dyDescent="0.25">
      <c r="A3327">
        <v>732</v>
      </c>
      <c r="B3327" s="47" t="str">
        <f>VLOOKUP(Tabla6[[#This Row],['# Vuelo]],'Validacion reclamo de equipaje'!P:Q,2,0)</f>
        <v>BARATA Y MORADA</v>
      </c>
      <c r="C3327" s="52">
        <v>0.3888888888888889</v>
      </c>
      <c r="D3327" s="52">
        <v>0.39652777777777781</v>
      </c>
      <c r="E3327" s="53">
        <f>'Reclamo de equipaje rediseñado'!$D3327-'Reclamo de equipaje rediseñado'!$C3327</f>
        <v>7.6388888888889173E-3</v>
      </c>
      <c r="F3327" s="52">
        <v>0.40277777777777773</v>
      </c>
      <c r="G3327" s="53">
        <f t="shared" si="51"/>
        <v>6.2499999999999223E-3</v>
      </c>
      <c r="H3327" s="54">
        <v>41746</v>
      </c>
      <c r="I3327" s="55" t="s">
        <v>536</v>
      </c>
      <c r="J3327" s="55" t="s">
        <v>572</v>
      </c>
      <c r="K3327" s="55">
        <f>VLOOKUP(J3327,'Validacion reclamo de equipaje'!L:M,2,0)</f>
        <v>142</v>
      </c>
      <c r="L3327" s="55" t="str">
        <f>VLOOKUP(I3327,'Validacion reclamo de equipaje'!H:I,2,0)</f>
        <v>Nacional</v>
      </c>
      <c r="M3327" s="55" t="s">
        <v>523</v>
      </c>
    </row>
    <row r="3328" spans="1:13" x14ac:dyDescent="0.25">
      <c r="A3328">
        <v>732</v>
      </c>
      <c r="B3328" s="47" t="str">
        <f>VLOOKUP(Tabla6[[#This Row],['# Vuelo]],'Validacion reclamo de equipaje'!P:Q,2,0)</f>
        <v>BARATA Y MORADA</v>
      </c>
      <c r="C3328" s="48">
        <v>0.37986111111111115</v>
      </c>
      <c r="D3328" s="48">
        <v>0.38611111111111113</v>
      </c>
      <c r="E3328" s="49">
        <f>'Reclamo de equipaje rediseñado'!$D3328-'Reclamo de equipaje rediseñado'!$C3328</f>
        <v>6.2499999999999778E-3</v>
      </c>
      <c r="F3328" s="48">
        <v>0.39097222222222222</v>
      </c>
      <c r="G3328" s="49">
        <f t="shared" si="51"/>
        <v>4.8611111111110938E-3</v>
      </c>
      <c r="H3328" s="50">
        <v>41748</v>
      </c>
      <c r="I3328" s="51" t="s">
        <v>536</v>
      </c>
      <c r="J3328" s="51" t="s">
        <v>572</v>
      </c>
      <c r="K3328" s="51">
        <f>VLOOKUP(J3328,'Validacion reclamo de equipaje'!L:M,2,0)</f>
        <v>142</v>
      </c>
      <c r="L3328" s="51" t="str">
        <f>VLOOKUP(I3328,'Validacion reclamo de equipaje'!H:I,2,0)</f>
        <v>Nacional</v>
      </c>
      <c r="M3328" s="51" t="s">
        <v>523</v>
      </c>
    </row>
    <row r="3329" spans="1:13" x14ac:dyDescent="0.25">
      <c r="A3329">
        <v>732</v>
      </c>
      <c r="B3329" s="47" t="str">
        <f>VLOOKUP(Tabla6[[#This Row],['# Vuelo]],'Validacion reclamo de equipaje'!P:Q,2,0)</f>
        <v>BARATA Y MORADA</v>
      </c>
      <c r="C3329" s="52">
        <v>0.39513888888888887</v>
      </c>
      <c r="D3329" s="52">
        <v>0.3979166666666667</v>
      </c>
      <c r="E3329" s="53">
        <f>'Reclamo de equipaje rediseñado'!$D3329-'Reclamo de equipaje rediseñado'!$C3329</f>
        <v>2.7777777777778234E-3</v>
      </c>
      <c r="F3329" s="52">
        <v>0.40416666666666662</v>
      </c>
      <c r="G3329" s="53">
        <f t="shared" si="51"/>
        <v>6.2499999999999223E-3</v>
      </c>
      <c r="H3329" s="54">
        <v>41749</v>
      </c>
      <c r="I3329" s="55" t="s">
        <v>536</v>
      </c>
      <c r="J3329" s="55" t="s">
        <v>572</v>
      </c>
      <c r="K3329" s="55">
        <f>VLOOKUP(J3329,'Validacion reclamo de equipaje'!L:M,2,0)</f>
        <v>142</v>
      </c>
      <c r="L3329" s="55" t="str">
        <f>VLOOKUP(I3329,'Validacion reclamo de equipaje'!H:I,2,0)</f>
        <v>Nacional</v>
      </c>
      <c r="M3329" s="55" t="s">
        <v>523</v>
      </c>
    </row>
    <row r="3330" spans="1:13" x14ac:dyDescent="0.25">
      <c r="A3330">
        <v>732</v>
      </c>
      <c r="B3330" s="47" t="str">
        <f>VLOOKUP(Tabla6[[#This Row],['# Vuelo]],'Validacion reclamo de equipaje'!P:Q,2,0)</f>
        <v>BARATA Y MORADA</v>
      </c>
      <c r="C3330" s="48">
        <v>0.3888888888888889</v>
      </c>
      <c r="D3330" s="48">
        <v>0.39930555555555558</v>
      </c>
      <c r="E3330" s="49">
        <f>'Reclamo de equipaje rediseñado'!$D3330-'Reclamo de equipaje rediseñado'!$C3330</f>
        <v>1.0416666666666685E-2</v>
      </c>
      <c r="F3330" s="48">
        <v>0.40625</v>
      </c>
      <c r="G3330" s="49">
        <f t="shared" si="51"/>
        <v>6.9444444444444198E-3</v>
      </c>
      <c r="H3330" s="50">
        <v>41750</v>
      </c>
      <c r="I3330" s="51" t="s">
        <v>536</v>
      </c>
      <c r="J3330" s="51" t="s">
        <v>572</v>
      </c>
      <c r="K3330" s="51">
        <f>VLOOKUP(J3330,'Validacion reclamo de equipaje'!L:M,2,0)</f>
        <v>142</v>
      </c>
      <c r="L3330" s="51" t="str">
        <f>VLOOKUP(I3330,'Validacion reclamo de equipaje'!H:I,2,0)</f>
        <v>Nacional</v>
      </c>
      <c r="M3330" s="51" t="s">
        <v>523</v>
      </c>
    </row>
    <row r="3331" spans="1:13" x14ac:dyDescent="0.25">
      <c r="A3331">
        <v>732</v>
      </c>
      <c r="B3331" s="47" t="str">
        <f>VLOOKUP(Tabla6[[#This Row],['# Vuelo]],'Validacion reclamo de equipaje'!P:Q,2,0)</f>
        <v>BARATA Y MORADA</v>
      </c>
      <c r="C3331" s="52">
        <v>0.39652777777777781</v>
      </c>
      <c r="D3331" s="52">
        <v>0.40069444444444446</v>
      </c>
      <c r="E3331" s="53">
        <f>'Reclamo de equipaje rediseñado'!$D3331-'Reclamo de equipaje rediseñado'!$C3331</f>
        <v>4.1666666666666519E-3</v>
      </c>
      <c r="F3331" s="52">
        <v>0.40625</v>
      </c>
      <c r="G3331" s="53">
        <f t="shared" ref="G3331:G3394" si="52">F3331-D3331</f>
        <v>5.5555555555555358E-3</v>
      </c>
      <c r="H3331" s="54">
        <v>41751</v>
      </c>
      <c r="I3331" s="55" t="s">
        <v>536</v>
      </c>
      <c r="J3331" s="55" t="s">
        <v>572</v>
      </c>
      <c r="K3331" s="55">
        <f>VLOOKUP(J3331,'Validacion reclamo de equipaje'!L:M,2,0)</f>
        <v>142</v>
      </c>
      <c r="L3331" s="55" t="str">
        <f>VLOOKUP(I3331,'Validacion reclamo de equipaje'!H:I,2,0)</f>
        <v>Nacional</v>
      </c>
      <c r="M3331" s="55" t="s">
        <v>523</v>
      </c>
    </row>
    <row r="3332" spans="1:13" x14ac:dyDescent="0.25">
      <c r="A3332">
        <v>732</v>
      </c>
      <c r="B3332" s="47" t="str">
        <f>VLOOKUP(Tabla6[[#This Row],['# Vuelo]],'Validacion reclamo de equipaje'!P:Q,2,0)</f>
        <v>BARATA Y MORADA</v>
      </c>
      <c r="C3332" s="48">
        <v>0.39374999999999999</v>
      </c>
      <c r="D3332" s="48">
        <v>0.39583333333333331</v>
      </c>
      <c r="E3332" s="49">
        <f>'Reclamo de equipaje rediseñado'!$D3332-'Reclamo de equipaje rediseñado'!$C3332</f>
        <v>2.0833333333333259E-3</v>
      </c>
      <c r="F3332" s="48">
        <v>0.40138888888888885</v>
      </c>
      <c r="G3332" s="49">
        <f t="shared" si="52"/>
        <v>5.5555555555555358E-3</v>
      </c>
      <c r="H3332" s="50">
        <v>41753</v>
      </c>
      <c r="I3332" s="51" t="s">
        <v>536</v>
      </c>
      <c r="J3332" s="51" t="s">
        <v>572</v>
      </c>
      <c r="K3332" s="51">
        <f>VLOOKUP(J3332,'Validacion reclamo de equipaje'!L:M,2,0)</f>
        <v>142</v>
      </c>
      <c r="L3332" s="51" t="str">
        <f>VLOOKUP(I3332,'Validacion reclamo de equipaje'!H:I,2,0)</f>
        <v>Nacional</v>
      </c>
      <c r="M3332" s="51" t="s">
        <v>523</v>
      </c>
    </row>
    <row r="3333" spans="1:13" x14ac:dyDescent="0.25">
      <c r="A3333">
        <v>732</v>
      </c>
      <c r="B3333" s="47" t="str">
        <f>VLOOKUP(Tabla6[[#This Row],['# Vuelo]],'Validacion reclamo de equipaje'!P:Q,2,0)</f>
        <v>BARATA Y MORADA</v>
      </c>
      <c r="C3333" s="52">
        <v>0.39583333333333331</v>
      </c>
      <c r="D3333" s="52">
        <v>0.39861111111111108</v>
      </c>
      <c r="E3333" s="53">
        <f>'Reclamo de equipaje rediseñado'!$D3333-'Reclamo de equipaje rediseñado'!$C3333</f>
        <v>2.7777777777777679E-3</v>
      </c>
      <c r="F3333" s="52">
        <v>0.4055555555555555</v>
      </c>
      <c r="G3333" s="53">
        <f t="shared" si="52"/>
        <v>6.9444444444444198E-3</v>
      </c>
      <c r="H3333" s="54">
        <v>41754</v>
      </c>
      <c r="I3333" s="55" t="s">
        <v>536</v>
      </c>
      <c r="J3333" s="55" t="s">
        <v>572</v>
      </c>
      <c r="K3333" s="55">
        <f>VLOOKUP(J3333,'Validacion reclamo de equipaje'!L:M,2,0)</f>
        <v>142</v>
      </c>
      <c r="L3333" s="55" t="str">
        <f>VLOOKUP(I3333,'Validacion reclamo de equipaje'!H:I,2,0)</f>
        <v>Nacional</v>
      </c>
      <c r="M3333" s="55" t="s">
        <v>523</v>
      </c>
    </row>
    <row r="3334" spans="1:13" x14ac:dyDescent="0.25">
      <c r="A3334">
        <v>732</v>
      </c>
      <c r="B3334" s="47" t="str">
        <f>VLOOKUP(Tabla6[[#This Row],['# Vuelo]],'Validacion reclamo de equipaje'!P:Q,2,0)</f>
        <v>BARATA Y MORADA</v>
      </c>
      <c r="C3334" s="48">
        <v>0.3888888888888889</v>
      </c>
      <c r="D3334" s="48">
        <v>0.3979166666666667</v>
      </c>
      <c r="E3334" s="49">
        <f>'Reclamo de equipaje rediseñado'!$D3334-'Reclamo de equipaje rediseñado'!$C3334</f>
        <v>9.0277777777778012E-3</v>
      </c>
      <c r="F3334" s="48">
        <v>0.40277777777777773</v>
      </c>
      <c r="G3334" s="49">
        <f t="shared" si="52"/>
        <v>4.8611111111110383E-3</v>
      </c>
      <c r="H3334" s="50">
        <v>41756</v>
      </c>
      <c r="I3334" s="51" t="s">
        <v>536</v>
      </c>
      <c r="J3334" s="51" t="s">
        <v>572</v>
      </c>
      <c r="K3334" s="51">
        <f>VLOOKUP(J3334,'Validacion reclamo de equipaje'!L:M,2,0)</f>
        <v>142</v>
      </c>
      <c r="L3334" s="51" t="str">
        <f>VLOOKUP(I3334,'Validacion reclamo de equipaje'!H:I,2,0)</f>
        <v>Nacional</v>
      </c>
      <c r="M3334" s="51" t="s">
        <v>523</v>
      </c>
    </row>
    <row r="3335" spans="1:13" x14ac:dyDescent="0.25">
      <c r="A3335">
        <v>732</v>
      </c>
      <c r="B3335" s="47" t="str">
        <f>VLOOKUP(Tabla6[[#This Row],['# Vuelo]],'Validacion reclamo de equipaje'!P:Q,2,0)</f>
        <v>BARATA Y MORADA</v>
      </c>
      <c r="C3335" s="52">
        <v>0.3840277777777778</v>
      </c>
      <c r="D3335" s="52">
        <v>0.39444444444444443</v>
      </c>
      <c r="E3335" s="53">
        <f>'Reclamo de equipaje rediseñado'!$D3335-'Reclamo de equipaje rediseñado'!$C3335</f>
        <v>1.041666666666663E-2</v>
      </c>
      <c r="F3335" s="52">
        <v>0.40069444444444446</v>
      </c>
      <c r="G3335" s="53">
        <f t="shared" si="52"/>
        <v>6.2500000000000333E-3</v>
      </c>
      <c r="H3335" s="54">
        <v>41757</v>
      </c>
      <c r="I3335" s="55" t="s">
        <v>536</v>
      </c>
      <c r="J3335" s="55" t="s">
        <v>572</v>
      </c>
      <c r="K3335" s="55">
        <f>VLOOKUP(J3335,'Validacion reclamo de equipaje'!L:M,2,0)</f>
        <v>142</v>
      </c>
      <c r="L3335" s="55" t="str">
        <f>VLOOKUP(I3335,'Validacion reclamo de equipaje'!H:I,2,0)</f>
        <v>Nacional</v>
      </c>
      <c r="M3335" s="55" t="s">
        <v>523</v>
      </c>
    </row>
    <row r="3336" spans="1:13" x14ac:dyDescent="0.25">
      <c r="A3336">
        <v>732</v>
      </c>
      <c r="B3336" s="47" t="str">
        <f>VLOOKUP(Tabla6[[#This Row],['# Vuelo]],'Validacion reclamo de equipaje'!P:Q,2,0)</f>
        <v>BARATA Y MORADA</v>
      </c>
      <c r="C3336" s="48">
        <v>0.3888888888888889</v>
      </c>
      <c r="D3336" s="48">
        <v>0.39444444444444443</v>
      </c>
      <c r="E3336" s="49">
        <f>'Reclamo de equipaje rediseñado'!$D3336-'Reclamo de equipaje rediseñado'!$C3336</f>
        <v>5.5555555555555358E-3</v>
      </c>
      <c r="F3336" s="48">
        <v>0.40069444444444446</v>
      </c>
      <c r="G3336" s="49">
        <f t="shared" si="52"/>
        <v>6.2500000000000333E-3</v>
      </c>
      <c r="H3336" s="50">
        <v>41758</v>
      </c>
      <c r="I3336" s="51" t="s">
        <v>536</v>
      </c>
      <c r="J3336" s="51" t="s">
        <v>572</v>
      </c>
      <c r="K3336" s="51">
        <f>VLOOKUP(J3336,'Validacion reclamo de equipaje'!L:M,2,0)</f>
        <v>142</v>
      </c>
      <c r="L3336" s="51" t="str">
        <f>VLOOKUP(I3336,'Validacion reclamo de equipaje'!H:I,2,0)</f>
        <v>Nacional</v>
      </c>
      <c r="M3336" s="51" t="s">
        <v>523</v>
      </c>
    </row>
    <row r="3337" spans="1:13" x14ac:dyDescent="0.25">
      <c r="A3337">
        <v>732</v>
      </c>
      <c r="B3337" s="47" t="str">
        <f>VLOOKUP(Tabla6[[#This Row],['# Vuelo]],'Validacion reclamo de equipaje'!P:Q,2,0)</f>
        <v>BARATA Y MORADA</v>
      </c>
      <c r="C3337" s="52">
        <v>0.39513888888888887</v>
      </c>
      <c r="D3337" s="52">
        <v>0.40486111111111112</v>
      </c>
      <c r="E3337" s="53">
        <f>'Reclamo de equipaje rediseñado'!$D3337-'Reclamo de equipaje rediseñado'!$C3337</f>
        <v>9.7222222222222432E-3</v>
      </c>
      <c r="F3337" s="52">
        <v>0.4055555555555555</v>
      </c>
      <c r="G3337" s="53">
        <f t="shared" si="52"/>
        <v>6.9444444444438647E-4</v>
      </c>
      <c r="H3337" s="54">
        <v>41759</v>
      </c>
      <c r="I3337" s="55" t="s">
        <v>536</v>
      </c>
      <c r="J3337" s="55" t="s">
        <v>572</v>
      </c>
      <c r="K3337" s="55">
        <f>VLOOKUP(J3337,'Validacion reclamo de equipaje'!L:M,2,0)</f>
        <v>142</v>
      </c>
      <c r="L3337" s="55" t="str">
        <f>VLOOKUP(I3337,'Validacion reclamo de equipaje'!H:I,2,0)</f>
        <v>Nacional</v>
      </c>
      <c r="M3337" s="55" t="s">
        <v>523</v>
      </c>
    </row>
    <row r="3338" spans="1:13" x14ac:dyDescent="0.25">
      <c r="A3338">
        <v>734</v>
      </c>
      <c r="B3338" s="47" t="str">
        <f>VLOOKUP(Tabla6[[#This Row],['# Vuelo]],'Validacion reclamo de equipaje'!P:Q,2,0)</f>
        <v>BARATA Y MORADA</v>
      </c>
      <c r="C3338" s="48">
        <v>0.56805555555555554</v>
      </c>
      <c r="D3338" s="48">
        <v>0.57777777777777783</v>
      </c>
      <c r="E3338" s="49">
        <f>'Reclamo de equipaje rediseñado'!$D3338-'Reclamo de equipaje rediseñado'!$C3338</f>
        <v>9.7222222222222987E-3</v>
      </c>
      <c r="F3338" s="48">
        <v>0.57986111111111105</v>
      </c>
      <c r="G3338" s="49">
        <f t="shared" si="52"/>
        <v>2.0833333333332149E-3</v>
      </c>
      <c r="H3338" s="50">
        <v>41730</v>
      </c>
      <c r="I3338" s="51" t="s">
        <v>536</v>
      </c>
      <c r="J3338" s="51" t="s">
        <v>572</v>
      </c>
      <c r="K3338" s="51">
        <f>VLOOKUP(J3338,'Validacion reclamo de equipaje'!L:M,2,0)</f>
        <v>142</v>
      </c>
      <c r="L3338" s="51" t="str">
        <f>VLOOKUP(I3338,'Validacion reclamo de equipaje'!H:I,2,0)</f>
        <v>Nacional</v>
      </c>
      <c r="M3338" s="51" t="s">
        <v>523</v>
      </c>
    </row>
    <row r="3339" spans="1:13" x14ac:dyDescent="0.25">
      <c r="A3339">
        <v>734</v>
      </c>
      <c r="B3339" s="47" t="str">
        <f>VLOOKUP(Tabla6[[#This Row],['# Vuelo]],'Validacion reclamo de equipaje'!P:Q,2,0)</f>
        <v>BARATA Y MORADA</v>
      </c>
      <c r="C3339" s="52">
        <v>0.56666666666666665</v>
      </c>
      <c r="D3339" s="52">
        <v>0.57500000000000007</v>
      </c>
      <c r="E3339" s="53">
        <f>'Reclamo de equipaje rediseñado'!$D3339-'Reclamo de equipaje rediseñado'!$C3339</f>
        <v>8.3333333333334147E-3</v>
      </c>
      <c r="F3339" s="52">
        <v>0.58333333333333337</v>
      </c>
      <c r="G3339" s="53">
        <f t="shared" si="52"/>
        <v>8.3333333333333037E-3</v>
      </c>
      <c r="H3339" s="54">
        <v>41731</v>
      </c>
      <c r="I3339" s="55" t="s">
        <v>536</v>
      </c>
      <c r="J3339" s="55" t="s">
        <v>572</v>
      </c>
      <c r="K3339" s="55">
        <f>VLOOKUP(J3339,'Validacion reclamo de equipaje'!L:M,2,0)</f>
        <v>142</v>
      </c>
      <c r="L3339" s="55" t="str">
        <f>VLOOKUP(I3339,'Validacion reclamo de equipaje'!H:I,2,0)</f>
        <v>Nacional</v>
      </c>
      <c r="M3339" s="55" t="s">
        <v>523</v>
      </c>
    </row>
    <row r="3340" spans="1:13" x14ac:dyDescent="0.25">
      <c r="A3340">
        <v>734</v>
      </c>
      <c r="B3340" s="47" t="str">
        <f>VLOOKUP(Tabla6[[#This Row],['# Vuelo]],'Validacion reclamo de equipaje'!P:Q,2,0)</f>
        <v>BARATA Y MORADA</v>
      </c>
      <c r="C3340" s="48">
        <v>0.55972222222222223</v>
      </c>
      <c r="D3340" s="48">
        <v>0.57430555555555551</v>
      </c>
      <c r="E3340" s="49">
        <f>'Reclamo de equipaje rediseñado'!$D3340-'Reclamo de equipaje rediseñado'!$C3340</f>
        <v>1.4583333333333282E-2</v>
      </c>
      <c r="F3340" s="48">
        <v>0.57777777777777783</v>
      </c>
      <c r="G3340" s="49">
        <f t="shared" si="52"/>
        <v>3.4722222222223209E-3</v>
      </c>
      <c r="H3340" s="50">
        <v>41733</v>
      </c>
      <c r="I3340" s="51" t="s">
        <v>536</v>
      </c>
      <c r="J3340" s="51" t="s">
        <v>572</v>
      </c>
      <c r="K3340" s="51">
        <f>VLOOKUP(J3340,'Validacion reclamo de equipaje'!L:M,2,0)</f>
        <v>142</v>
      </c>
      <c r="L3340" s="51" t="str">
        <f>VLOOKUP(I3340,'Validacion reclamo de equipaje'!H:I,2,0)</f>
        <v>Nacional</v>
      </c>
      <c r="M3340" s="51" t="s">
        <v>523</v>
      </c>
    </row>
    <row r="3341" spans="1:13" x14ac:dyDescent="0.25">
      <c r="A3341">
        <v>734</v>
      </c>
      <c r="B3341" s="47" t="str">
        <f>VLOOKUP(Tabla6[[#This Row],['# Vuelo]],'Validacion reclamo de equipaje'!P:Q,2,0)</f>
        <v>BARATA Y MORADA</v>
      </c>
      <c r="C3341" s="52">
        <v>0.41666666666666669</v>
      </c>
      <c r="D3341" s="52">
        <v>0.43333333333333335</v>
      </c>
      <c r="E3341" s="53">
        <f>'Reclamo de equipaje rediseñado'!$D3341-'Reclamo de equipaje rediseñado'!$C3341</f>
        <v>1.6666666666666663E-2</v>
      </c>
      <c r="F3341" s="52">
        <v>0.4381944444444445</v>
      </c>
      <c r="G3341" s="53">
        <f t="shared" si="52"/>
        <v>4.8611111111111494E-3</v>
      </c>
      <c r="H3341" s="54">
        <v>41735</v>
      </c>
      <c r="I3341" s="55" t="s">
        <v>536</v>
      </c>
      <c r="J3341" s="55" t="s">
        <v>572</v>
      </c>
      <c r="K3341" s="55">
        <f>VLOOKUP(J3341,'Validacion reclamo de equipaje'!L:M,2,0)</f>
        <v>142</v>
      </c>
      <c r="L3341" s="55" t="str">
        <f>VLOOKUP(I3341,'Validacion reclamo de equipaje'!H:I,2,0)</f>
        <v>Nacional</v>
      </c>
      <c r="M3341" s="55" t="s">
        <v>523</v>
      </c>
    </row>
    <row r="3342" spans="1:13" x14ac:dyDescent="0.25">
      <c r="A3342">
        <v>734</v>
      </c>
      <c r="B3342" s="47" t="str">
        <f>VLOOKUP(Tabla6[[#This Row],['# Vuelo]],'Validacion reclamo de equipaje'!P:Q,2,0)</f>
        <v>BARATA Y MORADA</v>
      </c>
      <c r="C3342" s="48">
        <v>0.42291666666666666</v>
      </c>
      <c r="D3342" s="48">
        <v>0.4381944444444445</v>
      </c>
      <c r="E3342" s="49">
        <f>'Reclamo de equipaje rediseñado'!$D3342-'Reclamo de equipaje rediseñado'!$C3342</f>
        <v>1.5277777777777835E-2</v>
      </c>
      <c r="F3342" s="48">
        <v>0.44166666666666665</v>
      </c>
      <c r="G3342" s="49">
        <f t="shared" si="52"/>
        <v>3.4722222222221544E-3</v>
      </c>
      <c r="H3342" s="50">
        <v>41737</v>
      </c>
      <c r="I3342" s="51" t="s">
        <v>536</v>
      </c>
      <c r="J3342" s="51" t="s">
        <v>572</v>
      </c>
      <c r="K3342" s="51">
        <f>VLOOKUP(J3342,'Validacion reclamo de equipaje'!L:M,2,0)</f>
        <v>142</v>
      </c>
      <c r="L3342" s="51" t="str">
        <f>VLOOKUP(I3342,'Validacion reclamo de equipaje'!H:I,2,0)</f>
        <v>Nacional</v>
      </c>
      <c r="M3342" s="51" t="s">
        <v>523</v>
      </c>
    </row>
    <row r="3343" spans="1:13" x14ac:dyDescent="0.25">
      <c r="A3343">
        <v>734</v>
      </c>
      <c r="B3343" s="47" t="str">
        <f>VLOOKUP(Tabla6[[#This Row],['# Vuelo]],'Validacion reclamo de equipaje'!P:Q,2,0)</f>
        <v>BARATA Y MORADA</v>
      </c>
      <c r="C3343" s="52">
        <v>0.43124999999999997</v>
      </c>
      <c r="D3343" s="52">
        <v>0.43958333333333338</v>
      </c>
      <c r="E3343" s="53">
        <f>'Reclamo de equipaje rediseñado'!$D3343-'Reclamo de equipaje rediseñado'!$C3343</f>
        <v>8.3333333333334147E-3</v>
      </c>
      <c r="F3343" s="52">
        <v>0.44375000000000003</v>
      </c>
      <c r="G3343" s="53">
        <f t="shared" si="52"/>
        <v>4.1666666666666519E-3</v>
      </c>
      <c r="H3343" s="54">
        <v>41738</v>
      </c>
      <c r="I3343" s="55" t="s">
        <v>536</v>
      </c>
      <c r="J3343" s="55" t="s">
        <v>572</v>
      </c>
      <c r="K3343" s="55">
        <f>VLOOKUP(J3343,'Validacion reclamo de equipaje'!L:M,2,0)</f>
        <v>142</v>
      </c>
      <c r="L3343" s="55" t="str">
        <f>VLOOKUP(I3343,'Validacion reclamo de equipaje'!H:I,2,0)</f>
        <v>Nacional</v>
      </c>
      <c r="M3343" s="55" t="s">
        <v>523</v>
      </c>
    </row>
    <row r="3344" spans="1:13" x14ac:dyDescent="0.25">
      <c r="A3344">
        <v>734</v>
      </c>
      <c r="B3344" s="47" t="str">
        <f>VLOOKUP(Tabla6[[#This Row],['# Vuelo]],'Validacion reclamo de equipaje'!P:Q,2,0)</f>
        <v>BARATA Y MORADA</v>
      </c>
      <c r="C3344" s="48">
        <v>0.44166666666666665</v>
      </c>
      <c r="D3344" s="48">
        <v>0.4465277777777778</v>
      </c>
      <c r="E3344" s="49">
        <f>'Reclamo de equipaje rediseñado'!$D3344-'Reclamo de equipaje rediseñado'!$C3344</f>
        <v>4.8611111111111494E-3</v>
      </c>
      <c r="F3344" s="48">
        <v>0.45277777777777778</v>
      </c>
      <c r="G3344" s="49">
        <f t="shared" si="52"/>
        <v>6.2499999999999778E-3</v>
      </c>
      <c r="H3344" s="50">
        <v>41739</v>
      </c>
      <c r="I3344" s="51" t="s">
        <v>536</v>
      </c>
      <c r="J3344" s="51" t="s">
        <v>572</v>
      </c>
      <c r="K3344" s="51">
        <f>VLOOKUP(J3344,'Validacion reclamo de equipaje'!L:M,2,0)</f>
        <v>142</v>
      </c>
      <c r="L3344" s="51" t="str">
        <f>VLOOKUP(I3344,'Validacion reclamo de equipaje'!H:I,2,0)</f>
        <v>Nacional</v>
      </c>
      <c r="M3344" s="51" t="s">
        <v>523</v>
      </c>
    </row>
    <row r="3345" spans="1:13" x14ac:dyDescent="0.25">
      <c r="A3345">
        <v>734</v>
      </c>
      <c r="B3345" s="47" t="str">
        <f>VLOOKUP(Tabla6[[#This Row],['# Vuelo]],'Validacion reclamo de equipaje'!P:Q,2,0)</f>
        <v>BARATA Y MORADA</v>
      </c>
      <c r="C3345" s="52">
        <v>0.4375</v>
      </c>
      <c r="D3345" s="52">
        <v>0.4513888888888889</v>
      </c>
      <c r="E3345" s="53">
        <f>'Reclamo de equipaje rediseñado'!$D3345-'Reclamo de equipaje rediseñado'!$C3345</f>
        <v>1.3888888888888895E-2</v>
      </c>
      <c r="F3345" s="52">
        <v>0.4597222222222222</v>
      </c>
      <c r="G3345" s="53">
        <f t="shared" si="52"/>
        <v>8.3333333333333037E-3</v>
      </c>
      <c r="H3345" s="54">
        <v>41741</v>
      </c>
      <c r="I3345" s="55" t="s">
        <v>536</v>
      </c>
      <c r="J3345" s="55" t="s">
        <v>572</v>
      </c>
      <c r="K3345" s="55">
        <f>VLOOKUP(J3345,'Validacion reclamo de equipaje'!L:M,2,0)</f>
        <v>142</v>
      </c>
      <c r="L3345" s="55" t="str">
        <f>VLOOKUP(I3345,'Validacion reclamo de equipaje'!H:I,2,0)</f>
        <v>Nacional</v>
      </c>
      <c r="M3345" s="55" t="s">
        <v>523</v>
      </c>
    </row>
    <row r="3346" spans="1:13" x14ac:dyDescent="0.25">
      <c r="A3346">
        <v>734</v>
      </c>
      <c r="B3346" s="47" t="str">
        <f>VLOOKUP(Tabla6[[#This Row],['# Vuelo]],'Validacion reclamo de equipaje'!P:Q,2,0)</f>
        <v>BARATA Y MORADA</v>
      </c>
      <c r="C3346" s="48">
        <v>0.56805555555555554</v>
      </c>
      <c r="D3346" s="48">
        <v>0.57777777777777783</v>
      </c>
      <c r="E3346" s="49">
        <f>'Reclamo de equipaje rediseñado'!$D3346-'Reclamo de equipaje rediseñado'!$C3346</f>
        <v>9.7222222222222987E-3</v>
      </c>
      <c r="F3346" s="48">
        <v>0.57986111111111105</v>
      </c>
      <c r="G3346" s="49">
        <f t="shared" si="52"/>
        <v>2.0833333333332149E-3</v>
      </c>
      <c r="H3346" s="50">
        <v>41742</v>
      </c>
      <c r="I3346" s="51" t="s">
        <v>536</v>
      </c>
      <c r="J3346" s="51" t="s">
        <v>572</v>
      </c>
      <c r="K3346" s="51">
        <f>VLOOKUP(J3346,'Validacion reclamo de equipaje'!L:M,2,0)</f>
        <v>142</v>
      </c>
      <c r="L3346" s="51" t="str">
        <f>VLOOKUP(I3346,'Validacion reclamo de equipaje'!H:I,2,0)</f>
        <v>Nacional</v>
      </c>
      <c r="M3346" s="51" t="s">
        <v>523</v>
      </c>
    </row>
    <row r="3347" spans="1:13" x14ac:dyDescent="0.25">
      <c r="A3347">
        <v>734</v>
      </c>
      <c r="B3347" s="47" t="str">
        <f>VLOOKUP(Tabla6[[#This Row],['# Vuelo]],'Validacion reclamo de equipaje'!P:Q,2,0)</f>
        <v>BARATA Y MORADA</v>
      </c>
      <c r="C3347" s="52">
        <v>0.43541666666666662</v>
      </c>
      <c r="D3347" s="52">
        <v>0.44027777777777777</v>
      </c>
      <c r="E3347" s="53">
        <f>'Reclamo de equipaje rediseñado'!$D3347-'Reclamo de equipaje rediseñado'!$C3347</f>
        <v>4.8611111111111494E-3</v>
      </c>
      <c r="F3347" s="52">
        <v>0.4465277777777778</v>
      </c>
      <c r="G3347" s="53">
        <f t="shared" si="52"/>
        <v>6.2500000000000333E-3</v>
      </c>
      <c r="H3347" s="54">
        <v>41743</v>
      </c>
      <c r="I3347" s="55" t="s">
        <v>536</v>
      </c>
      <c r="J3347" s="55" t="s">
        <v>572</v>
      </c>
      <c r="K3347" s="55">
        <f>VLOOKUP(J3347,'Validacion reclamo de equipaje'!L:M,2,0)</f>
        <v>142</v>
      </c>
      <c r="L3347" s="55" t="str">
        <f>VLOOKUP(I3347,'Validacion reclamo de equipaje'!H:I,2,0)</f>
        <v>Nacional</v>
      </c>
      <c r="M3347" s="55" t="s">
        <v>523</v>
      </c>
    </row>
    <row r="3348" spans="1:13" x14ac:dyDescent="0.25">
      <c r="A3348">
        <v>734</v>
      </c>
      <c r="B3348" s="47" t="str">
        <f>VLOOKUP(Tabla6[[#This Row],['# Vuelo]],'Validacion reclamo de equipaje'!P:Q,2,0)</f>
        <v>BARATA Y MORADA</v>
      </c>
      <c r="C3348" s="48">
        <v>0.4368055555555555</v>
      </c>
      <c r="D3348" s="48">
        <v>0.44444444444444442</v>
      </c>
      <c r="E3348" s="49">
        <f>'Reclamo de equipaje rediseñado'!$D3348-'Reclamo de equipaje rediseñado'!$C3348</f>
        <v>7.6388888888889173E-3</v>
      </c>
      <c r="F3348" s="48">
        <v>0.45347222222222222</v>
      </c>
      <c r="G3348" s="49">
        <f t="shared" si="52"/>
        <v>9.0277777777778012E-3</v>
      </c>
      <c r="H3348" s="50">
        <v>41745</v>
      </c>
      <c r="I3348" s="51" t="s">
        <v>536</v>
      </c>
      <c r="J3348" s="51" t="s">
        <v>572</v>
      </c>
      <c r="K3348" s="51">
        <f>VLOOKUP(J3348,'Validacion reclamo de equipaje'!L:M,2,0)</f>
        <v>142</v>
      </c>
      <c r="L3348" s="51" t="str">
        <f>VLOOKUP(I3348,'Validacion reclamo de equipaje'!H:I,2,0)</f>
        <v>Nacional</v>
      </c>
      <c r="M3348" s="51" t="s">
        <v>523</v>
      </c>
    </row>
    <row r="3349" spans="1:13" x14ac:dyDescent="0.25">
      <c r="A3349">
        <v>734</v>
      </c>
      <c r="B3349" s="47" t="str">
        <f>VLOOKUP(Tabla6[[#This Row],['# Vuelo]],'Validacion reclamo de equipaje'!P:Q,2,0)</f>
        <v>BARATA Y MORADA</v>
      </c>
      <c r="C3349" s="52">
        <v>0.4291666666666667</v>
      </c>
      <c r="D3349" s="52">
        <v>0.43541666666666662</v>
      </c>
      <c r="E3349" s="53">
        <f>'Reclamo de equipaje rediseñado'!$D3349-'Reclamo de equipaje rediseñado'!$C3349</f>
        <v>6.2499999999999223E-3</v>
      </c>
      <c r="F3349" s="52">
        <v>0.44375000000000003</v>
      </c>
      <c r="G3349" s="53">
        <f t="shared" si="52"/>
        <v>8.3333333333334147E-3</v>
      </c>
      <c r="H3349" s="54">
        <v>41746</v>
      </c>
      <c r="I3349" s="55" t="s">
        <v>536</v>
      </c>
      <c r="J3349" s="55" t="s">
        <v>572</v>
      </c>
      <c r="K3349" s="55">
        <f>VLOOKUP(J3349,'Validacion reclamo de equipaje'!L:M,2,0)</f>
        <v>142</v>
      </c>
      <c r="L3349" s="55" t="str">
        <f>VLOOKUP(I3349,'Validacion reclamo de equipaje'!H:I,2,0)</f>
        <v>Nacional</v>
      </c>
      <c r="M3349" s="55" t="s">
        <v>523</v>
      </c>
    </row>
    <row r="3350" spans="1:13" x14ac:dyDescent="0.25">
      <c r="A3350">
        <v>734</v>
      </c>
      <c r="B3350" s="47" t="str">
        <f>VLOOKUP(Tabla6[[#This Row],['# Vuelo]],'Validacion reclamo de equipaje'!P:Q,2,0)</f>
        <v>BARATA Y MORADA</v>
      </c>
      <c r="C3350" s="48">
        <v>0.42777777777777781</v>
      </c>
      <c r="D3350" s="48">
        <v>0.4381944444444445</v>
      </c>
      <c r="E3350" s="49">
        <f>'Reclamo de equipaje rediseñado'!$D3350-'Reclamo de equipaje rediseñado'!$C3350</f>
        <v>1.0416666666666685E-2</v>
      </c>
      <c r="F3350" s="48">
        <v>0.44791666666666669</v>
      </c>
      <c r="G3350" s="49">
        <f t="shared" si="52"/>
        <v>9.7222222222221877E-3</v>
      </c>
      <c r="H3350" s="50">
        <v>41749</v>
      </c>
      <c r="I3350" s="51" t="s">
        <v>536</v>
      </c>
      <c r="J3350" s="51" t="s">
        <v>572</v>
      </c>
      <c r="K3350" s="51">
        <f>VLOOKUP(J3350,'Validacion reclamo de equipaje'!L:M,2,0)</f>
        <v>142</v>
      </c>
      <c r="L3350" s="51" t="str">
        <f>VLOOKUP(I3350,'Validacion reclamo de equipaje'!H:I,2,0)</f>
        <v>Nacional</v>
      </c>
      <c r="M3350" s="51" t="s">
        <v>523</v>
      </c>
    </row>
    <row r="3351" spans="1:13" x14ac:dyDescent="0.25">
      <c r="A3351">
        <v>734</v>
      </c>
      <c r="B3351" s="47" t="str">
        <f>VLOOKUP(Tabla6[[#This Row],['# Vuelo]],'Validacion reclamo de equipaje'!P:Q,2,0)</f>
        <v>BARATA Y MORADA</v>
      </c>
      <c r="C3351" s="52">
        <v>0.4236111111111111</v>
      </c>
      <c r="D3351" s="52">
        <v>0.44166666666666665</v>
      </c>
      <c r="E3351" s="53">
        <f>'Reclamo de equipaje rediseñado'!$D3351-'Reclamo de equipaje rediseñado'!$C3351</f>
        <v>1.8055555555555547E-2</v>
      </c>
      <c r="F3351" s="52">
        <v>0.4513888888888889</v>
      </c>
      <c r="G3351" s="53">
        <f t="shared" si="52"/>
        <v>9.7222222222222432E-3</v>
      </c>
      <c r="H3351" s="54">
        <v>41750</v>
      </c>
      <c r="I3351" s="55" t="s">
        <v>536</v>
      </c>
      <c r="J3351" s="55" t="s">
        <v>572</v>
      </c>
      <c r="K3351" s="55">
        <f>VLOOKUP(J3351,'Validacion reclamo de equipaje'!L:M,2,0)</f>
        <v>142</v>
      </c>
      <c r="L3351" s="55" t="str">
        <f>VLOOKUP(I3351,'Validacion reclamo de equipaje'!H:I,2,0)</f>
        <v>Nacional</v>
      </c>
      <c r="M3351" s="55" t="s">
        <v>523</v>
      </c>
    </row>
    <row r="3352" spans="1:13" x14ac:dyDescent="0.25">
      <c r="A3352">
        <v>734</v>
      </c>
      <c r="B3352" s="47" t="str">
        <f>VLOOKUP(Tabla6[[#This Row],['# Vuelo]],'Validacion reclamo de equipaje'!P:Q,2,0)</f>
        <v>BARATA Y MORADA</v>
      </c>
      <c r="C3352" s="48">
        <v>0.43263888888888885</v>
      </c>
      <c r="D3352" s="48">
        <v>0.44236111111111115</v>
      </c>
      <c r="E3352" s="49">
        <f>'Reclamo de equipaje rediseñado'!$D3352-'Reclamo de equipaje rediseñado'!$C3352</f>
        <v>9.7222222222222987E-3</v>
      </c>
      <c r="F3352" s="48">
        <v>0.44513888888888892</v>
      </c>
      <c r="G3352" s="49">
        <f t="shared" si="52"/>
        <v>2.7777777777777679E-3</v>
      </c>
      <c r="H3352" s="50">
        <v>41751</v>
      </c>
      <c r="I3352" s="51" t="s">
        <v>536</v>
      </c>
      <c r="J3352" s="51" t="s">
        <v>572</v>
      </c>
      <c r="K3352" s="51">
        <f>VLOOKUP(J3352,'Validacion reclamo de equipaje'!L:M,2,0)</f>
        <v>142</v>
      </c>
      <c r="L3352" s="51" t="str">
        <f>VLOOKUP(I3352,'Validacion reclamo de equipaje'!H:I,2,0)</f>
        <v>Nacional</v>
      </c>
      <c r="M3352" s="51" t="s">
        <v>523</v>
      </c>
    </row>
    <row r="3353" spans="1:13" x14ac:dyDescent="0.25">
      <c r="A3353">
        <v>734</v>
      </c>
      <c r="B3353" s="47" t="str">
        <f>VLOOKUP(Tabla6[[#This Row],['# Vuelo]],'Validacion reclamo de equipaje'!P:Q,2,0)</f>
        <v>BARATA Y MORADA</v>
      </c>
      <c r="C3353" s="52">
        <v>0.4381944444444445</v>
      </c>
      <c r="D3353" s="52">
        <v>0.4458333333333333</v>
      </c>
      <c r="E3353" s="53">
        <f>'Reclamo de equipaje rediseñado'!$D3353-'Reclamo de equipaje rediseñado'!$C3353</f>
        <v>7.6388888888888062E-3</v>
      </c>
      <c r="F3353" s="52">
        <v>0.45347222222222222</v>
      </c>
      <c r="G3353" s="53">
        <f t="shared" si="52"/>
        <v>7.6388888888889173E-3</v>
      </c>
      <c r="H3353" s="54">
        <v>41753</v>
      </c>
      <c r="I3353" s="55" t="s">
        <v>536</v>
      </c>
      <c r="J3353" s="55" t="s">
        <v>572</v>
      </c>
      <c r="K3353" s="55">
        <f>VLOOKUP(J3353,'Validacion reclamo de equipaje'!L:M,2,0)</f>
        <v>142</v>
      </c>
      <c r="L3353" s="55" t="str">
        <f>VLOOKUP(I3353,'Validacion reclamo de equipaje'!H:I,2,0)</f>
        <v>Nacional</v>
      </c>
      <c r="M3353" s="55" t="s">
        <v>523</v>
      </c>
    </row>
    <row r="3354" spans="1:13" x14ac:dyDescent="0.25">
      <c r="A3354">
        <v>734</v>
      </c>
      <c r="B3354" s="47" t="str">
        <f>VLOOKUP(Tabla6[[#This Row],['# Vuelo]],'Validacion reclamo de equipaje'!P:Q,2,0)</f>
        <v>BARATA Y MORADA</v>
      </c>
      <c r="C3354" s="48">
        <v>0.42638888888888887</v>
      </c>
      <c r="D3354" s="48">
        <v>0.43333333333333335</v>
      </c>
      <c r="E3354" s="49">
        <f>'Reclamo de equipaje rediseñado'!$D3354-'Reclamo de equipaje rediseñado'!$C3354</f>
        <v>6.9444444444444753E-3</v>
      </c>
      <c r="F3354" s="48">
        <v>0.43888888888888888</v>
      </c>
      <c r="G3354" s="49">
        <f t="shared" si="52"/>
        <v>5.5555555555555358E-3</v>
      </c>
      <c r="H3354" s="50">
        <v>41754</v>
      </c>
      <c r="I3354" s="51" t="s">
        <v>536</v>
      </c>
      <c r="J3354" s="51" t="s">
        <v>572</v>
      </c>
      <c r="K3354" s="51">
        <f>VLOOKUP(J3354,'Validacion reclamo de equipaje'!L:M,2,0)</f>
        <v>142</v>
      </c>
      <c r="L3354" s="51" t="str">
        <f>VLOOKUP(I3354,'Validacion reclamo de equipaje'!H:I,2,0)</f>
        <v>Nacional</v>
      </c>
      <c r="M3354" s="51" t="s">
        <v>523</v>
      </c>
    </row>
    <row r="3355" spans="1:13" x14ac:dyDescent="0.25">
      <c r="A3355">
        <v>734</v>
      </c>
      <c r="B3355" s="47" t="str">
        <f>VLOOKUP(Tabla6[[#This Row],['# Vuelo]],'Validacion reclamo de equipaje'!P:Q,2,0)</f>
        <v>BARATA Y MORADA</v>
      </c>
      <c r="C3355" s="52">
        <v>0.57916666666666672</v>
      </c>
      <c r="D3355" s="52">
        <v>0.58888888888888891</v>
      </c>
      <c r="E3355" s="53">
        <f>'Reclamo de equipaje rediseñado'!$D3355-'Reclamo de equipaje rediseñado'!$C3355</f>
        <v>9.7222222222221877E-3</v>
      </c>
      <c r="F3355" s="52">
        <v>0.59583333333333333</v>
      </c>
      <c r="G3355" s="53">
        <f t="shared" si="52"/>
        <v>6.9444444444444198E-3</v>
      </c>
      <c r="H3355" s="54">
        <v>41756</v>
      </c>
      <c r="I3355" s="55" t="s">
        <v>536</v>
      </c>
      <c r="J3355" s="55" t="s">
        <v>572</v>
      </c>
      <c r="K3355" s="55">
        <f>VLOOKUP(J3355,'Validacion reclamo de equipaje'!L:M,2,0)</f>
        <v>142</v>
      </c>
      <c r="L3355" s="55" t="str">
        <f>VLOOKUP(I3355,'Validacion reclamo de equipaje'!H:I,2,0)</f>
        <v>Nacional</v>
      </c>
      <c r="M3355" s="55" t="s">
        <v>523</v>
      </c>
    </row>
    <row r="3356" spans="1:13" x14ac:dyDescent="0.25">
      <c r="A3356">
        <v>734</v>
      </c>
      <c r="B3356" s="47" t="str">
        <f>VLOOKUP(Tabla6[[#This Row],['# Vuelo]],'Validacion reclamo de equipaje'!P:Q,2,0)</f>
        <v>BARATA Y MORADA</v>
      </c>
      <c r="C3356" s="48">
        <v>0.43472222222222223</v>
      </c>
      <c r="D3356" s="48">
        <v>0.44097222222222227</v>
      </c>
      <c r="E3356" s="49">
        <f>'Reclamo de equipaje rediseñado'!$D3356-'Reclamo de equipaje rediseñado'!$C3356</f>
        <v>6.2500000000000333E-3</v>
      </c>
      <c r="F3356" s="48">
        <v>0.44444444444444442</v>
      </c>
      <c r="G3356" s="49">
        <f t="shared" si="52"/>
        <v>3.4722222222221544E-3</v>
      </c>
      <c r="H3356" s="50">
        <v>41757</v>
      </c>
      <c r="I3356" s="51" t="s">
        <v>536</v>
      </c>
      <c r="J3356" s="51" t="s">
        <v>572</v>
      </c>
      <c r="K3356" s="51">
        <f>VLOOKUP(J3356,'Validacion reclamo de equipaje'!L:M,2,0)</f>
        <v>142</v>
      </c>
      <c r="L3356" s="51" t="str">
        <f>VLOOKUP(I3356,'Validacion reclamo de equipaje'!H:I,2,0)</f>
        <v>Nacional</v>
      </c>
      <c r="M3356" s="51" t="s">
        <v>523</v>
      </c>
    </row>
    <row r="3357" spans="1:13" x14ac:dyDescent="0.25">
      <c r="A3357">
        <v>734</v>
      </c>
      <c r="B3357" s="47" t="str">
        <f>VLOOKUP(Tabla6[[#This Row],['# Vuelo]],'Validacion reclamo de equipaje'!P:Q,2,0)</f>
        <v>BARATA Y MORADA</v>
      </c>
      <c r="C3357" s="52">
        <v>0.43541666666666662</v>
      </c>
      <c r="D3357" s="52">
        <v>0.43958333333333338</v>
      </c>
      <c r="E3357" s="53">
        <f>'Reclamo de equipaje rediseñado'!$D3357-'Reclamo de equipaje rediseñado'!$C3357</f>
        <v>4.1666666666667629E-3</v>
      </c>
      <c r="F3357" s="52">
        <v>0.45</v>
      </c>
      <c r="G3357" s="53">
        <f t="shared" si="52"/>
        <v>1.041666666666663E-2</v>
      </c>
      <c r="H3357" s="54">
        <v>41758</v>
      </c>
      <c r="I3357" s="55" t="s">
        <v>536</v>
      </c>
      <c r="J3357" s="55" t="s">
        <v>572</v>
      </c>
      <c r="K3357" s="55">
        <f>VLOOKUP(J3357,'Validacion reclamo de equipaje'!L:M,2,0)</f>
        <v>142</v>
      </c>
      <c r="L3357" s="55" t="str">
        <f>VLOOKUP(I3357,'Validacion reclamo de equipaje'!H:I,2,0)</f>
        <v>Nacional</v>
      </c>
      <c r="M3357" s="55" t="s">
        <v>523</v>
      </c>
    </row>
    <row r="3358" spans="1:13" x14ac:dyDescent="0.25">
      <c r="A3358">
        <v>734</v>
      </c>
      <c r="B3358" s="47" t="str">
        <f>VLOOKUP(Tabla6[[#This Row],['# Vuelo]],'Validacion reclamo de equipaje'!P:Q,2,0)</f>
        <v>BARATA Y MORADA</v>
      </c>
      <c r="C3358" s="48">
        <v>0.42986111111111108</v>
      </c>
      <c r="D3358" s="48">
        <v>0.4375</v>
      </c>
      <c r="E3358" s="49">
        <f>'Reclamo de equipaje rediseñado'!$D3358-'Reclamo de equipaje rediseñado'!$C3358</f>
        <v>7.6388888888889173E-3</v>
      </c>
      <c r="F3358" s="48">
        <v>0.44305555555555554</v>
      </c>
      <c r="G3358" s="49">
        <f t="shared" si="52"/>
        <v>5.5555555555555358E-3</v>
      </c>
      <c r="H3358" s="50">
        <v>41759</v>
      </c>
      <c r="I3358" s="51" t="s">
        <v>536</v>
      </c>
      <c r="J3358" s="51" t="s">
        <v>572</v>
      </c>
      <c r="K3358" s="51">
        <f>VLOOKUP(J3358,'Validacion reclamo de equipaje'!L:M,2,0)</f>
        <v>142</v>
      </c>
      <c r="L3358" s="51" t="str">
        <f>VLOOKUP(I3358,'Validacion reclamo de equipaje'!H:I,2,0)</f>
        <v>Nacional</v>
      </c>
      <c r="M3358" s="51" t="s">
        <v>523</v>
      </c>
    </row>
    <row r="3359" spans="1:13" x14ac:dyDescent="0.25">
      <c r="A3359">
        <v>738</v>
      </c>
      <c r="B3359" s="47" t="str">
        <f>VLOOKUP(Tabla6[[#This Row],['# Vuelo]],'Validacion reclamo de equipaje'!P:Q,2,0)</f>
        <v>BARATA Y MORADA</v>
      </c>
      <c r="C3359" s="52">
        <v>0.54861111111111105</v>
      </c>
      <c r="D3359" s="52">
        <v>0.55555555555555558</v>
      </c>
      <c r="E3359" s="53">
        <f>'Reclamo de equipaje rediseñado'!$D3359-'Reclamo de equipaje rediseñado'!$C3359</f>
        <v>6.9444444444445308E-3</v>
      </c>
      <c r="F3359" s="52">
        <v>0.56597222222222221</v>
      </c>
      <c r="G3359" s="53">
        <f t="shared" si="52"/>
        <v>1.041666666666663E-2</v>
      </c>
      <c r="H3359" s="54">
        <v>41735</v>
      </c>
      <c r="I3359" s="55" t="s">
        <v>536</v>
      </c>
      <c r="J3359" s="55" t="s">
        <v>572</v>
      </c>
      <c r="K3359" s="55">
        <f>VLOOKUP(J3359,'Validacion reclamo de equipaje'!L:M,2,0)</f>
        <v>142</v>
      </c>
      <c r="L3359" s="55" t="str">
        <f>VLOOKUP(I3359,'Validacion reclamo de equipaje'!H:I,2,0)</f>
        <v>Nacional</v>
      </c>
      <c r="M3359" s="55" t="s">
        <v>523</v>
      </c>
    </row>
    <row r="3360" spans="1:13" x14ac:dyDescent="0.25">
      <c r="A3360">
        <v>738</v>
      </c>
      <c r="B3360" s="47" t="str">
        <f>VLOOKUP(Tabla6[[#This Row],['# Vuelo]],'Validacion reclamo de equipaje'!P:Q,2,0)</f>
        <v>BARATA Y MORADA</v>
      </c>
      <c r="C3360" s="48">
        <v>0.54583333333333328</v>
      </c>
      <c r="D3360" s="48">
        <v>0.55347222222222225</v>
      </c>
      <c r="E3360" s="49">
        <f>'Reclamo de equipaje rediseñado'!$D3360-'Reclamo de equipaje rediseñado'!$C3360</f>
        <v>7.6388888888889728E-3</v>
      </c>
      <c r="F3360" s="48">
        <v>0.56319444444444444</v>
      </c>
      <c r="G3360" s="49">
        <f t="shared" si="52"/>
        <v>9.7222222222221877E-3</v>
      </c>
      <c r="H3360" s="50">
        <v>41736</v>
      </c>
      <c r="I3360" s="51" t="s">
        <v>536</v>
      </c>
      <c r="J3360" s="51" t="s">
        <v>572</v>
      </c>
      <c r="K3360" s="51">
        <f>VLOOKUP(J3360,'Validacion reclamo de equipaje'!L:M,2,0)</f>
        <v>142</v>
      </c>
      <c r="L3360" s="51" t="str">
        <f>VLOOKUP(I3360,'Validacion reclamo de equipaje'!H:I,2,0)</f>
        <v>Nacional</v>
      </c>
      <c r="M3360" s="51" t="s">
        <v>523</v>
      </c>
    </row>
    <row r="3361" spans="1:13" x14ac:dyDescent="0.25">
      <c r="A3361">
        <v>738</v>
      </c>
      <c r="B3361" s="47" t="str">
        <f>VLOOKUP(Tabla6[[#This Row],['# Vuelo]],'Validacion reclamo de equipaje'!P:Q,2,0)</f>
        <v>BARATA Y MORADA</v>
      </c>
      <c r="C3361" s="52">
        <v>0.54791666666666672</v>
      </c>
      <c r="D3361" s="52">
        <v>0.55208333333333337</v>
      </c>
      <c r="E3361" s="53">
        <f>'Reclamo de equipaje rediseñado'!$D3361-'Reclamo de equipaje rediseñado'!$C3361</f>
        <v>4.1666666666666519E-3</v>
      </c>
      <c r="F3361" s="52">
        <v>0.5541666666666667</v>
      </c>
      <c r="G3361" s="53">
        <f t="shared" si="52"/>
        <v>2.0833333333333259E-3</v>
      </c>
      <c r="H3361" s="54">
        <v>41737</v>
      </c>
      <c r="I3361" s="55" t="s">
        <v>536</v>
      </c>
      <c r="J3361" s="55" t="s">
        <v>572</v>
      </c>
      <c r="K3361" s="55">
        <f>VLOOKUP(J3361,'Validacion reclamo de equipaje'!L:M,2,0)</f>
        <v>142</v>
      </c>
      <c r="L3361" s="55" t="str">
        <f>VLOOKUP(I3361,'Validacion reclamo de equipaje'!H:I,2,0)</f>
        <v>Nacional</v>
      </c>
      <c r="M3361" s="55" t="s">
        <v>523</v>
      </c>
    </row>
    <row r="3362" spans="1:13" x14ac:dyDescent="0.25">
      <c r="A3362">
        <v>738</v>
      </c>
      <c r="B3362" s="47" t="str">
        <f>VLOOKUP(Tabla6[[#This Row],['# Vuelo]],'Validacion reclamo de equipaje'!P:Q,2,0)</f>
        <v>BARATA Y MORADA</v>
      </c>
      <c r="C3362" s="48">
        <v>0.57638888888888895</v>
      </c>
      <c r="D3362" s="48">
        <v>0.59166666666666667</v>
      </c>
      <c r="E3362" s="49">
        <f>'Reclamo de equipaje rediseñado'!$D3362-'Reclamo de equipaje rediseñado'!$C3362</f>
        <v>1.5277777777777724E-2</v>
      </c>
      <c r="F3362" s="48">
        <v>0.59652777777777777</v>
      </c>
      <c r="G3362" s="49">
        <f t="shared" si="52"/>
        <v>4.8611111111110938E-3</v>
      </c>
      <c r="H3362" s="50">
        <v>41737</v>
      </c>
      <c r="I3362" s="51" t="s">
        <v>536</v>
      </c>
      <c r="J3362" s="51" t="s">
        <v>572</v>
      </c>
      <c r="K3362" s="51">
        <f>VLOOKUP(J3362,'Validacion reclamo de equipaje'!L:M,2,0)</f>
        <v>142</v>
      </c>
      <c r="L3362" s="51" t="str">
        <f>VLOOKUP(I3362,'Validacion reclamo de equipaje'!H:I,2,0)</f>
        <v>Nacional</v>
      </c>
      <c r="M3362" s="51" t="s">
        <v>523</v>
      </c>
    </row>
    <row r="3363" spans="1:13" x14ac:dyDescent="0.25">
      <c r="A3363">
        <v>738</v>
      </c>
      <c r="B3363" s="47" t="str">
        <f>VLOOKUP(Tabla6[[#This Row],['# Vuelo]],'Validacion reclamo de equipaje'!P:Q,2,0)</f>
        <v>BARATA Y MORADA</v>
      </c>
      <c r="C3363" s="52">
        <v>0.55555555555555558</v>
      </c>
      <c r="D3363" s="52">
        <v>0.55902777777777779</v>
      </c>
      <c r="E3363" s="53">
        <f>'Reclamo de equipaje rediseñado'!$D3363-'Reclamo de equipaje rediseñado'!$C3363</f>
        <v>3.4722222222222099E-3</v>
      </c>
      <c r="F3363" s="52">
        <v>0.56458333333333333</v>
      </c>
      <c r="G3363" s="53">
        <f t="shared" si="52"/>
        <v>5.5555555555555358E-3</v>
      </c>
      <c r="H3363" s="54">
        <v>41738</v>
      </c>
      <c r="I3363" s="55" t="s">
        <v>536</v>
      </c>
      <c r="J3363" s="55" t="s">
        <v>572</v>
      </c>
      <c r="K3363" s="55">
        <f>VLOOKUP(J3363,'Validacion reclamo de equipaje'!L:M,2,0)</f>
        <v>142</v>
      </c>
      <c r="L3363" s="55" t="str">
        <f>VLOOKUP(I3363,'Validacion reclamo de equipaje'!H:I,2,0)</f>
        <v>Nacional</v>
      </c>
      <c r="M3363" s="55" t="s">
        <v>523</v>
      </c>
    </row>
    <row r="3364" spans="1:13" x14ac:dyDescent="0.25">
      <c r="A3364">
        <v>738</v>
      </c>
      <c r="B3364" s="47" t="str">
        <f>VLOOKUP(Tabla6[[#This Row],['# Vuelo]],'Validacion reclamo de equipaje'!P:Q,2,0)</f>
        <v>BARATA Y MORADA</v>
      </c>
      <c r="C3364" s="48">
        <v>0.56319444444444444</v>
      </c>
      <c r="D3364" s="48">
        <v>0.5708333333333333</v>
      </c>
      <c r="E3364" s="49">
        <f>'Reclamo de equipaje rediseñado'!$D3364-'Reclamo de equipaje rediseñado'!$C3364</f>
        <v>7.6388888888888618E-3</v>
      </c>
      <c r="F3364" s="48">
        <v>0.57916666666666672</v>
      </c>
      <c r="G3364" s="49">
        <f t="shared" si="52"/>
        <v>8.3333333333334147E-3</v>
      </c>
      <c r="H3364" s="50">
        <v>41739</v>
      </c>
      <c r="I3364" s="51" t="s">
        <v>536</v>
      </c>
      <c r="J3364" s="51" t="s">
        <v>572</v>
      </c>
      <c r="K3364" s="51">
        <f>VLOOKUP(J3364,'Validacion reclamo de equipaje'!L:M,2,0)</f>
        <v>142</v>
      </c>
      <c r="L3364" s="51" t="str">
        <f>VLOOKUP(I3364,'Validacion reclamo de equipaje'!H:I,2,0)</f>
        <v>Nacional</v>
      </c>
      <c r="M3364" s="51" t="s">
        <v>523</v>
      </c>
    </row>
    <row r="3365" spans="1:13" x14ac:dyDescent="0.25">
      <c r="A3365">
        <v>738</v>
      </c>
      <c r="B3365" s="47" t="str">
        <f>VLOOKUP(Tabla6[[#This Row],['# Vuelo]],'Validacion reclamo de equipaje'!P:Q,2,0)</f>
        <v>BARATA Y MORADA</v>
      </c>
      <c r="C3365" s="52">
        <v>0.54375000000000007</v>
      </c>
      <c r="D3365" s="52">
        <v>0.55555555555555558</v>
      </c>
      <c r="E3365" s="53">
        <f>'Reclamo de equipaje rediseñado'!$D3365-'Reclamo de equipaje rediseñado'!$C3365</f>
        <v>1.1805555555555514E-2</v>
      </c>
      <c r="F3365" s="52">
        <v>0.56180555555555556</v>
      </c>
      <c r="G3365" s="53">
        <f t="shared" si="52"/>
        <v>6.2499999999999778E-3</v>
      </c>
      <c r="H3365" s="54">
        <v>41743</v>
      </c>
      <c r="I3365" s="55" t="s">
        <v>536</v>
      </c>
      <c r="J3365" s="55" t="s">
        <v>572</v>
      </c>
      <c r="K3365" s="55">
        <f>VLOOKUP(J3365,'Validacion reclamo de equipaje'!L:M,2,0)</f>
        <v>142</v>
      </c>
      <c r="L3365" s="55" t="str">
        <f>VLOOKUP(I3365,'Validacion reclamo de equipaje'!H:I,2,0)</f>
        <v>Nacional</v>
      </c>
      <c r="M3365" s="55" t="s">
        <v>523</v>
      </c>
    </row>
    <row r="3366" spans="1:13" x14ac:dyDescent="0.25">
      <c r="A3366">
        <v>738</v>
      </c>
      <c r="B3366" s="47" t="str">
        <f>VLOOKUP(Tabla6[[#This Row],['# Vuelo]],'Validacion reclamo de equipaje'!P:Q,2,0)</f>
        <v>BARATA Y MORADA</v>
      </c>
      <c r="C3366" s="48">
        <v>0.54722222222222217</v>
      </c>
      <c r="D3366" s="48">
        <v>0.55694444444444446</v>
      </c>
      <c r="E3366" s="49">
        <f>'Reclamo de equipaje rediseñado'!$D3366-'Reclamo de equipaje rediseñado'!$C3366</f>
        <v>9.7222222222222987E-3</v>
      </c>
      <c r="F3366" s="48">
        <v>0.56805555555555554</v>
      </c>
      <c r="G3366" s="49">
        <f t="shared" si="52"/>
        <v>1.1111111111111072E-2</v>
      </c>
      <c r="H3366" s="50">
        <v>41744</v>
      </c>
      <c r="I3366" s="51" t="s">
        <v>536</v>
      </c>
      <c r="J3366" s="51" t="s">
        <v>572</v>
      </c>
      <c r="K3366" s="51">
        <f>VLOOKUP(J3366,'Validacion reclamo de equipaje'!L:M,2,0)</f>
        <v>142</v>
      </c>
      <c r="L3366" s="51" t="str">
        <f>VLOOKUP(I3366,'Validacion reclamo de equipaje'!H:I,2,0)</f>
        <v>Nacional</v>
      </c>
      <c r="M3366" s="51" t="s">
        <v>523</v>
      </c>
    </row>
    <row r="3367" spans="1:13" x14ac:dyDescent="0.25">
      <c r="A3367">
        <v>738</v>
      </c>
      <c r="B3367" s="47" t="str">
        <f>VLOOKUP(Tabla6[[#This Row],['# Vuelo]],'Validacion reclamo de equipaje'!P:Q,2,0)</f>
        <v>BARATA Y MORADA</v>
      </c>
      <c r="C3367" s="52">
        <v>0.54166666666666663</v>
      </c>
      <c r="D3367" s="52">
        <v>0.55069444444444449</v>
      </c>
      <c r="E3367" s="53">
        <f>'Reclamo de equipaje rediseñado'!$D3367-'Reclamo de equipaje rediseñado'!$C3367</f>
        <v>9.0277777777778567E-3</v>
      </c>
      <c r="F3367" s="52">
        <v>0.55833333333333335</v>
      </c>
      <c r="G3367" s="53">
        <f t="shared" si="52"/>
        <v>7.6388888888888618E-3</v>
      </c>
      <c r="H3367" s="54">
        <v>41745</v>
      </c>
      <c r="I3367" s="55" t="s">
        <v>536</v>
      </c>
      <c r="J3367" s="55" t="s">
        <v>572</v>
      </c>
      <c r="K3367" s="55">
        <f>VLOOKUP(J3367,'Validacion reclamo de equipaje'!L:M,2,0)</f>
        <v>142</v>
      </c>
      <c r="L3367" s="55" t="str">
        <f>VLOOKUP(I3367,'Validacion reclamo de equipaje'!H:I,2,0)</f>
        <v>Nacional</v>
      </c>
      <c r="M3367" s="55" t="s">
        <v>523</v>
      </c>
    </row>
    <row r="3368" spans="1:13" x14ac:dyDescent="0.25">
      <c r="A3368">
        <v>738</v>
      </c>
      <c r="B3368" s="47" t="str">
        <f>VLOOKUP(Tabla6[[#This Row],['# Vuelo]],'Validacion reclamo de equipaje'!P:Q,2,0)</f>
        <v>BARATA Y MORADA</v>
      </c>
      <c r="C3368" s="48">
        <v>0.53819444444444442</v>
      </c>
      <c r="D3368" s="48">
        <v>0.54513888888888895</v>
      </c>
      <c r="E3368" s="49">
        <f>'Reclamo de equipaje rediseñado'!$D3368-'Reclamo de equipaje rediseñado'!$C3368</f>
        <v>6.9444444444445308E-3</v>
      </c>
      <c r="F3368" s="48">
        <v>0.55625000000000002</v>
      </c>
      <c r="G3368" s="49">
        <f t="shared" si="52"/>
        <v>1.1111111111111072E-2</v>
      </c>
      <c r="H3368" s="50">
        <v>41747</v>
      </c>
      <c r="I3368" s="51" t="s">
        <v>536</v>
      </c>
      <c r="J3368" s="51" t="s">
        <v>572</v>
      </c>
      <c r="K3368" s="51">
        <f>VLOOKUP(J3368,'Validacion reclamo de equipaje'!L:M,2,0)</f>
        <v>142</v>
      </c>
      <c r="L3368" s="51" t="str">
        <f>VLOOKUP(I3368,'Validacion reclamo de equipaje'!H:I,2,0)</f>
        <v>Nacional</v>
      </c>
      <c r="M3368" s="51" t="s">
        <v>523</v>
      </c>
    </row>
    <row r="3369" spans="1:13" x14ac:dyDescent="0.25">
      <c r="A3369">
        <v>738</v>
      </c>
      <c r="B3369" s="47" t="str">
        <f>VLOOKUP(Tabla6[[#This Row],['# Vuelo]],'Validacion reclamo de equipaje'!P:Q,2,0)</f>
        <v>BARATA Y MORADA</v>
      </c>
      <c r="C3369" s="52">
        <v>0.53680555555555554</v>
      </c>
      <c r="D3369" s="52">
        <v>0.54861111111111105</v>
      </c>
      <c r="E3369" s="53">
        <f>'Reclamo de equipaje rediseñado'!$D3369-'Reclamo de equipaje rediseñado'!$C3369</f>
        <v>1.1805555555555514E-2</v>
      </c>
      <c r="F3369" s="52">
        <v>0.55555555555555558</v>
      </c>
      <c r="G3369" s="53">
        <f t="shared" si="52"/>
        <v>6.9444444444445308E-3</v>
      </c>
      <c r="H3369" s="54">
        <v>41748</v>
      </c>
      <c r="I3369" s="55" t="s">
        <v>536</v>
      </c>
      <c r="J3369" s="55" t="s">
        <v>572</v>
      </c>
      <c r="K3369" s="55">
        <f>VLOOKUP(J3369,'Validacion reclamo de equipaje'!L:M,2,0)</f>
        <v>142</v>
      </c>
      <c r="L3369" s="55" t="str">
        <f>VLOOKUP(I3369,'Validacion reclamo de equipaje'!H:I,2,0)</f>
        <v>Nacional</v>
      </c>
      <c r="M3369" s="55" t="s">
        <v>523</v>
      </c>
    </row>
    <row r="3370" spans="1:13" x14ac:dyDescent="0.25">
      <c r="A3370">
        <v>738</v>
      </c>
      <c r="B3370" s="47" t="str">
        <f>VLOOKUP(Tabla6[[#This Row],['# Vuelo]],'Validacion reclamo de equipaje'!P:Q,2,0)</f>
        <v>BARATA Y MORADA</v>
      </c>
      <c r="C3370" s="48">
        <v>0.55208333333333337</v>
      </c>
      <c r="D3370" s="48">
        <v>0.55625000000000002</v>
      </c>
      <c r="E3370" s="49">
        <f>'Reclamo de equipaje rediseñado'!$D3370-'Reclamo de equipaje rediseñado'!$C3370</f>
        <v>4.1666666666666519E-3</v>
      </c>
      <c r="F3370" s="48">
        <v>0.5625</v>
      </c>
      <c r="G3370" s="49">
        <f t="shared" si="52"/>
        <v>6.2499999999999778E-3</v>
      </c>
      <c r="H3370" s="50">
        <v>41749</v>
      </c>
      <c r="I3370" s="51" t="s">
        <v>536</v>
      </c>
      <c r="J3370" s="51" t="s">
        <v>572</v>
      </c>
      <c r="K3370" s="51">
        <f>VLOOKUP(J3370,'Validacion reclamo de equipaje'!L:M,2,0)</f>
        <v>142</v>
      </c>
      <c r="L3370" s="51" t="str">
        <f>VLOOKUP(I3370,'Validacion reclamo de equipaje'!H:I,2,0)</f>
        <v>Nacional</v>
      </c>
      <c r="M3370" s="51" t="s">
        <v>523</v>
      </c>
    </row>
    <row r="3371" spans="1:13" x14ac:dyDescent="0.25">
      <c r="A3371">
        <v>738</v>
      </c>
      <c r="B3371" s="47" t="str">
        <f>VLOOKUP(Tabla6[[#This Row],['# Vuelo]],'Validacion reclamo de equipaje'!P:Q,2,0)</f>
        <v>BARATA Y MORADA</v>
      </c>
      <c r="C3371" s="52">
        <v>0.54513888888888895</v>
      </c>
      <c r="D3371" s="52">
        <v>0.55138888888888882</v>
      </c>
      <c r="E3371" s="53">
        <f>'Reclamo de equipaje rediseñado'!$D3371-'Reclamo de equipaje rediseñado'!$C3371</f>
        <v>6.2499999999998668E-3</v>
      </c>
      <c r="F3371" s="52">
        <v>0.55555555555555558</v>
      </c>
      <c r="G3371" s="53">
        <f t="shared" si="52"/>
        <v>4.1666666666667629E-3</v>
      </c>
      <c r="H3371" s="54">
        <v>41751</v>
      </c>
      <c r="I3371" s="55" t="s">
        <v>536</v>
      </c>
      <c r="J3371" s="55" t="s">
        <v>572</v>
      </c>
      <c r="K3371" s="55">
        <f>VLOOKUP(J3371,'Validacion reclamo de equipaje'!L:M,2,0)</f>
        <v>142</v>
      </c>
      <c r="L3371" s="55" t="str">
        <f>VLOOKUP(I3371,'Validacion reclamo de equipaje'!H:I,2,0)</f>
        <v>Nacional</v>
      </c>
      <c r="M3371" s="55" t="s">
        <v>523</v>
      </c>
    </row>
    <row r="3372" spans="1:13" x14ac:dyDescent="0.25">
      <c r="A3372">
        <v>738</v>
      </c>
      <c r="B3372" s="47" t="str">
        <f>VLOOKUP(Tabla6[[#This Row],['# Vuelo]],'Validacion reclamo de equipaje'!P:Q,2,0)</f>
        <v>BARATA Y MORADA</v>
      </c>
      <c r="C3372" s="48">
        <v>0.54791666666666672</v>
      </c>
      <c r="D3372" s="48">
        <v>0.55486111111111114</v>
      </c>
      <c r="E3372" s="49">
        <f>'Reclamo de equipaje rediseñado'!$D3372-'Reclamo de equipaje rediseñado'!$C3372</f>
        <v>6.9444444444444198E-3</v>
      </c>
      <c r="F3372" s="48">
        <v>0.5625</v>
      </c>
      <c r="G3372" s="49">
        <f t="shared" si="52"/>
        <v>7.6388888888888618E-3</v>
      </c>
      <c r="H3372" s="50">
        <v>41753</v>
      </c>
      <c r="I3372" s="51" t="s">
        <v>536</v>
      </c>
      <c r="J3372" s="51" t="s">
        <v>572</v>
      </c>
      <c r="K3372" s="51">
        <f>VLOOKUP(J3372,'Validacion reclamo de equipaje'!L:M,2,0)</f>
        <v>142</v>
      </c>
      <c r="L3372" s="51" t="str">
        <f>VLOOKUP(I3372,'Validacion reclamo de equipaje'!H:I,2,0)</f>
        <v>Nacional</v>
      </c>
      <c r="M3372" s="51" t="s">
        <v>523</v>
      </c>
    </row>
    <row r="3373" spans="1:13" x14ac:dyDescent="0.25">
      <c r="A3373">
        <v>738</v>
      </c>
      <c r="B3373" s="47" t="str">
        <f>VLOOKUP(Tabla6[[#This Row],['# Vuelo]],'Validacion reclamo de equipaje'!P:Q,2,0)</f>
        <v>BARATA Y MORADA</v>
      </c>
      <c r="C3373" s="52">
        <v>0.55625000000000002</v>
      </c>
      <c r="D3373" s="52">
        <v>0.55902777777777779</v>
      </c>
      <c r="E3373" s="53">
        <f>'Reclamo de equipaje rediseñado'!$D3373-'Reclamo de equipaje rediseñado'!$C3373</f>
        <v>2.7777777777777679E-3</v>
      </c>
      <c r="F3373" s="52">
        <v>0.56319444444444444</v>
      </c>
      <c r="G3373" s="53">
        <f t="shared" si="52"/>
        <v>4.1666666666666519E-3</v>
      </c>
      <c r="H3373" s="54">
        <v>41754</v>
      </c>
      <c r="I3373" s="55" t="s">
        <v>536</v>
      </c>
      <c r="J3373" s="55" t="s">
        <v>572</v>
      </c>
      <c r="K3373" s="55">
        <f>VLOOKUP(J3373,'Validacion reclamo de equipaje'!L:M,2,0)</f>
        <v>142</v>
      </c>
      <c r="L3373" s="55" t="str">
        <f>VLOOKUP(I3373,'Validacion reclamo de equipaje'!H:I,2,0)</f>
        <v>Nacional</v>
      </c>
      <c r="M3373" s="55" t="s">
        <v>523</v>
      </c>
    </row>
    <row r="3374" spans="1:13" x14ac:dyDescent="0.25">
      <c r="A3374">
        <v>738</v>
      </c>
      <c r="B3374" s="47" t="str">
        <f>VLOOKUP(Tabla6[[#This Row],['# Vuelo]],'Validacion reclamo de equipaje'!P:Q,2,0)</f>
        <v>BARATA Y MORADA</v>
      </c>
      <c r="C3374" s="48">
        <v>0.5493055555555556</v>
      </c>
      <c r="D3374" s="48">
        <v>0.55555555555555558</v>
      </c>
      <c r="E3374" s="49">
        <f>'Reclamo de equipaje rediseñado'!$D3374-'Reclamo de equipaje rediseñado'!$C3374</f>
        <v>6.2499999999999778E-3</v>
      </c>
      <c r="F3374" s="48">
        <v>0.57708333333333328</v>
      </c>
      <c r="G3374" s="49">
        <f t="shared" si="52"/>
        <v>2.1527777777777701E-2</v>
      </c>
      <c r="H3374" s="50">
        <v>41756</v>
      </c>
      <c r="I3374" s="51" t="s">
        <v>536</v>
      </c>
      <c r="J3374" s="51" t="s">
        <v>572</v>
      </c>
      <c r="K3374" s="51">
        <f>VLOOKUP(J3374,'Validacion reclamo de equipaje'!L:M,2,0)</f>
        <v>142</v>
      </c>
      <c r="L3374" s="51" t="str">
        <f>VLOOKUP(I3374,'Validacion reclamo de equipaje'!H:I,2,0)</f>
        <v>Nacional</v>
      </c>
      <c r="M3374" s="51" t="s">
        <v>523</v>
      </c>
    </row>
    <row r="3375" spans="1:13" x14ac:dyDescent="0.25">
      <c r="A3375">
        <v>738</v>
      </c>
      <c r="B3375" s="47" t="str">
        <f>VLOOKUP(Tabla6[[#This Row],['# Vuelo]],'Validacion reclamo de equipaje'!P:Q,2,0)</f>
        <v>BARATA Y MORADA</v>
      </c>
      <c r="C3375" s="52">
        <v>0.54861111111111105</v>
      </c>
      <c r="D3375" s="52">
        <v>0.55763888888888891</v>
      </c>
      <c r="E3375" s="53">
        <f>'Reclamo de equipaje rediseñado'!$D3375-'Reclamo de equipaje rediseñado'!$C3375</f>
        <v>9.0277777777778567E-3</v>
      </c>
      <c r="F3375" s="52">
        <v>0.56458333333333333</v>
      </c>
      <c r="G3375" s="53">
        <f t="shared" si="52"/>
        <v>6.9444444444444198E-3</v>
      </c>
      <c r="H3375" s="54">
        <v>41757</v>
      </c>
      <c r="I3375" s="55" t="s">
        <v>536</v>
      </c>
      <c r="J3375" s="55" t="s">
        <v>572</v>
      </c>
      <c r="K3375" s="55">
        <f>VLOOKUP(J3375,'Validacion reclamo de equipaje'!L:M,2,0)</f>
        <v>142</v>
      </c>
      <c r="L3375" s="55" t="str">
        <f>VLOOKUP(I3375,'Validacion reclamo de equipaje'!H:I,2,0)</f>
        <v>Nacional</v>
      </c>
      <c r="M3375" s="55" t="s">
        <v>523</v>
      </c>
    </row>
    <row r="3376" spans="1:13" x14ac:dyDescent="0.25">
      <c r="A3376">
        <v>738</v>
      </c>
      <c r="B3376" s="47" t="str">
        <f>VLOOKUP(Tabla6[[#This Row],['# Vuelo]],'Validacion reclamo de equipaje'!P:Q,2,0)</f>
        <v>BARATA Y MORADA</v>
      </c>
      <c r="C3376" s="48">
        <v>0.5444444444444444</v>
      </c>
      <c r="D3376" s="48">
        <v>0.55555555555555558</v>
      </c>
      <c r="E3376" s="49">
        <f>'Reclamo de equipaje rediseñado'!$D3376-'Reclamo de equipaje rediseñado'!$C3376</f>
        <v>1.1111111111111183E-2</v>
      </c>
      <c r="F3376" s="48">
        <v>0.56180555555555556</v>
      </c>
      <c r="G3376" s="49">
        <f t="shared" si="52"/>
        <v>6.2499999999999778E-3</v>
      </c>
      <c r="H3376" s="50">
        <v>41758</v>
      </c>
      <c r="I3376" s="51" t="s">
        <v>536</v>
      </c>
      <c r="J3376" s="51" t="s">
        <v>572</v>
      </c>
      <c r="K3376" s="51">
        <f>VLOOKUP(J3376,'Validacion reclamo de equipaje'!L:M,2,0)</f>
        <v>142</v>
      </c>
      <c r="L3376" s="51" t="str">
        <f>VLOOKUP(I3376,'Validacion reclamo de equipaje'!H:I,2,0)</f>
        <v>Nacional</v>
      </c>
      <c r="M3376" s="51" t="s">
        <v>523</v>
      </c>
    </row>
    <row r="3377" spans="1:13" x14ac:dyDescent="0.25">
      <c r="A3377">
        <v>738</v>
      </c>
      <c r="B3377" s="47" t="str">
        <f>VLOOKUP(Tabla6[[#This Row],['# Vuelo]],'Validacion reclamo de equipaje'!P:Q,2,0)</f>
        <v>BARATA Y MORADA</v>
      </c>
      <c r="C3377" s="52">
        <v>0.5625</v>
      </c>
      <c r="D3377" s="52">
        <v>0.57361111111111118</v>
      </c>
      <c r="E3377" s="53">
        <f>'Reclamo de equipaje rediseñado'!$D3377-'Reclamo de equipaje rediseñado'!$C3377</f>
        <v>1.1111111111111183E-2</v>
      </c>
      <c r="F3377" s="52">
        <v>0.58194444444444449</v>
      </c>
      <c r="G3377" s="53">
        <f t="shared" si="52"/>
        <v>8.3333333333333037E-3</v>
      </c>
      <c r="H3377" s="54">
        <v>41759</v>
      </c>
      <c r="I3377" s="55" t="s">
        <v>536</v>
      </c>
      <c r="J3377" s="55" t="s">
        <v>572</v>
      </c>
      <c r="K3377" s="55">
        <f>VLOOKUP(J3377,'Validacion reclamo de equipaje'!L:M,2,0)</f>
        <v>142</v>
      </c>
      <c r="L3377" s="55" t="str">
        <f>VLOOKUP(I3377,'Validacion reclamo de equipaje'!H:I,2,0)</f>
        <v>Nacional</v>
      </c>
      <c r="M3377" s="55" t="s">
        <v>523</v>
      </c>
    </row>
    <row r="3378" spans="1:13" x14ac:dyDescent="0.25">
      <c r="A3378">
        <v>741</v>
      </c>
      <c r="B3378" s="47" t="str">
        <f>VLOOKUP(Tabla6[[#This Row],['# Vuelo]],'Validacion reclamo de equipaje'!P:Q,2,0)</f>
        <v>BARATA Y MORADA</v>
      </c>
      <c r="C3378" s="48">
        <v>0.46388888888888885</v>
      </c>
      <c r="D3378" s="48">
        <v>0.47222222222222227</v>
      </c>
      <c r="E3378" s="49">
        <f>'Reclamo de equipaje rediseñado'!$D3378-'Reclamo de equipaje rediseñado'!$C3378</f>
        <v>8.3333333333334147E-3</v>
      </c>
      <c r="F3378" s="48">
        <v>0.4826388888888889</v>
      </c>
      <c r="G3378" s="49">
        <f t="shared" si="52"/>
        <v>1.041666666666663E-2</v>
      </c>
      <c r="H3378" s="50">
        <v>41731</v>
      </c>
      <c r="I3378" s="51" t="s">
        <v>542</v>
      </c>
      <c r="J3378" s="51">
        <v>320</v>
      </c>
      <c r="K3378" s="51">
        <f>VLOOKUP(J3378,'Validacion reclamo de equipaje'!L:M,2,0)</f>
        <v>179</v>
      </c>
      <c r="L3378" s="51" t="str">
        <f>VLOOKUP(I3378,'Validacion reclamo de equipaje'!H:I,2,0)</f>
        <v>Nacional</v>
      </c>
      <c r="M3378" s="51" t="s">
        <v>523</v>
      </c>
    </row>
    <row r="3379" spans="1:13" x14ac:dyDescent="0.25">
      <c r="A3379">
        <v>741</v>
      </c>
      <c r="B3379" s="47" t="str">
        <f>VLOOKUP(Tabla6[[#This Row],['# Vuelo]],'Validacion reclamo de equipaje'!P:Q,2,0)</f>
        <v>BARATA Y MORADA</v>
      </c>
      <c r="C3379" s="52">
        <v>0.45833333333333331</v>
      </c>
      <c r="D3379" s="52">
        <v>0.46875</v>
      </c>
      <c r="E3379" s="53">
        <f>'Reclamo de equipaje rediseñado'!$D3379-'Reclamo de equipaje rediseñado'!$C3379</f>
        <v>1.0416666666666685E-2</v>
      </c>
      <c r="F3379" s="52">
        <v>0.47291666666666665</v>
      </c>
      <c r="G3379" s="53">
        <f t="shared" si="52"/>
        <v>4.1666666666666519E-3</v>
      </c>
      <c r="H3379" s="54">
        <v>41732</v>
      </c>
      <c r="I3379" s="55" t="s">
        <v>542</v>
      </c>
      <c r="J3379" s="55">
        <v>320</v>
      </c>
      <c r="K3379" s="55">
        <f>VLOOKUP(J3379,'Validacion reclamo de equipaje'!L:M,2,0)</f>
        <v>179</v>
      </c>
      <c r="L3379" s="55" t="str">
        <f>VLOOKUP(I3379,'Validacion reclamo de equipaje'!H:I,2,0)</f>
        <v>Nacional</v>
      </c>
      <c r="M3379" s="55" t="s">
        <v>523</v>
      </c>
    </row>
    <row r="3380" spans="1:13" x14ac:dyDescent="0.25">
      <c r="A3380">
        <v>741</v>
      </c>
      <c r="B3380" s="47" t="str">
        <f>VLOOKUP(Tabla6[[#This Row],['# Vuelo]],'Validacion reclamo de equipaje'!P:Q,2,0)</f>
        <v>BARATA Y MORADA</v>
      </c>
      <c r="C3380" s="48">
        <v>0.45833333333333331</v>
      </c>
      <c r="D3380" s="48">
        <v>0.47013888888888888</v>
      </c>
      <c r="E3380" s="49">
        <f>'Reclamo de equipaje rediseñado'!$D3380-'Reclamo de equipaje rediseñado'!$C3380</f>
        <v>1.1805555555555569E-2</v>
      </c>
      <c r="F3380" s="48">
        <v>0.47916666666666669</v>
      </c>
      <c r="G3380" s="49">
        <f t="shared" si="52"/>
        <v>9.0277777777778012E-3</v>
      </c>
      <c r="H3380" s="50">
        <v>41733</v>
      </c>
      <c r="I3380" s="51" t="s">
        <v>542</v>
      </c>
      <c r="J3380" s="51">
        <v>320</v>
      </c>
      <c r="K3380" s="51">
        <f>VLOOKUP(J3380,'Validacion reclamo de equipaje'!L:M,2,0)</f>
        <v>179</v>
      </c>
      <c r="L3380" s="51" t="str">
        <f>VLOOKUP(I3380,'Validacion reclamo de equipaje'!H:I,2,0)</f>
        <v>Nacional</v>
      </c>
      <c r="M3380" s="51" t="s">
        <v>523</v>
      </c>
    </row>
    <row r="3381" spans="1:13" x14ac:dyDescent="0.25">
      <c r="A3381">
        <v>741</v>
      </c>
      <c r="B3381" s="47" t="str">
        <f>VLOOKUP(Tabla6[[#This Row],['# Vuelo]],'Validacion reclamo de equipaje'!P:Q,2,0)</f>
        <v>BARATA Y MORADA</v>
      </c>
      <c r="C3381" s="52">
        <v>0.45416666666666666</v>
      </c>
      <c r="D3381" s="52">
        <v>0.46458333333333335</v>
      </c>
      <c r="E3381" s="53">
        <f>'Reclamo de equipaje rediseñado'!$D3381-'Reclamo de equipaje rediseñado'!$C3381</f>
        <v>1.0416666666666685E-2</v>
      </c>
      <c r="F3381" s="52">
        <v>0.47986111111111113</v>
      </c>
      <c r="G3381" s="53">
        <f t="shared" si="52"/>
        <v>1.5277777777777779E-2</v>
      </c>
      <c r="H3381" s="54">
        <v>41735</v>
      </c>
      <c r="I3381" s="55" t="s">
        <v>542</v>
      </c>
      <c r="J3381" s="55">
        <v>320</v>
      </c>
      <c r="K3381" s="55">
        <f>VLOOKUP(J3381,'Validacion reclamo de equipaje'!L:M,2,0)</f>
        <v>179</v>
      </c>
      <c r="L3381" s="55" t="str">
        <f>VLOOKUP(I3381,'Validacion reclamo de equipaje'!H:I,2,0)</f>
        <v>Nacional</v>
      </c>
      <c r="M3381" s="55" t="s">
        <v>523</v>
      </c>
    </row>
    <row r="3382" spans="1:13" x14ac:dyDescent="0.25">
      <c r="A3382">
        <v>741</v>
      </c>
      <c r="B3382" s="47" t="str">
        <f>VLOOKUP(Tabla6[[#This Row],['# Vuelo]],'Validacion reclamo de equipaje'!P:Q,2,0)</f>
        <v>BARATA Y MORADA</v>
      </c>
      <c r="C3382" s="48">
        <v>0.45</v>
      </c>
      <c r="D3382" s="48">
        <v>0.46388888888888885</v>
      </c>
      <c r="E3382" s="49">
        <f>'Reclamo de equipaje rediseñado'!$D3382-'Reclamo de equipaje rediseñado'!$C3382</f>
        <v>1.388888888888884E-2</v>
      </c>
      <c r="F3382" s="48">
        <v>0.47222222222222227</v>
      </c>
      <c r="G3382" s="49">
        <f t="shared" si="52"/>
        <v>8.3333333333334147E-3</v>
      </c>
      <c r="H3382" s="50">
        <v>41737</v>
      </c>
      <c r="I3382" s="51" t="s">
        <v>542</v>
      </c>
      <c r="J3382" s="51">
        <v>320</v>
      </c>
      <c r="K3382" s="51">
        <f>VLOOKUP(J3382,'Validacion reclamo de equipaje'!L:M,2,0)</f>
        <v>179</v>
      </c>
      <c r="L3382" s="51" t="str">
        <f>VLOOKUP(I3382,'Validacion reclamo de equipaje'!H:I,2,0)</f>
        <v>Nacional</v>
      </c>
      <c r="M3382" s="51" t="s">
        <v>523</v>
      </c>
    </row>
    <row r="3383" spans="1:13" x14ac:dyDescent="0.25">
      <c r="A3383">
        <v>741</v>
      </c>
      <c r="B3383" s="47" t="str">
        <f>VLOOKUP(Tabla6[[#This Row],['# Vuelo]],'Validacion reclamo de equipaje'!P:Q,2,0)</f>
        <v>BARATA Y MORADA</v>
      </c>
      <c r="C3383" s="52">
        <v>0.4236111111111111</v>
      </c>
      <c r="D3383" s="52">
        <v>0.42708333333333331</v>
      </c>
      <c r="E3383" s="53">
        <f>'Reclamo de equipaje rediseñado'!$D3383-'Reclamo de equipaje rediseñado'!$C3383</f>
        <v>3.4722222222222099E-3</v>
      </c>
      <c r="F3383" s="52">
        <v>0.43402777777777773</v>
      </c>
      <c r="G3383" s="53">
        <f t="shared" si="52"/>
        <v>6.9444444444444198E-3</v>
      </c>
      <c r="H3383" s="54">
        <v>41738</v>
      </c>
      <c r="I3383" s="55" t="s">
        <v>542</v>
      </c>
      <c r="J3383" s="55">
        <v>320</v>
      </c>
      <c r="K3383" s="55">
        <f>VLOOKUP(J3383,'Validacion reclamo de equipaje'!L:M,2,0)</f>
        <v>179</v>
      </c>
      <c r="L3383" s="55" t="str">
        <f>VLOOKUP(I3383,'Validacion reclamo de equipaje'!H:I,2,0)</f>
        <v>Nacional</v>
      </c>
      <c r="M3383" s="55" t="s">
        <v>523</v>
      </c>
    </row>
    <row r="3384" spans="1:13" x14ac:dyDescent="0.25">
      <c r="A3384">
        <v>741</v>
      </c>
      <c r="B3384" s="47" t="str">
        <f>VLOOKUP(Tabla6[[#This Row],['# Vuelo]],'Validacion reclamo de equipaje'!P:Q,2,0)</f>
        <v>BARATA Y MORADA</v>
      </c>
      <c r="C3384" s="48">
        <v>0.44236111111111115</v>
      </c>
      <c r="D3384" s="48">
        <v>0.46180555555555558</v>
      </c>
      <c r="E3384" s="49">
        <f>'Reclamo de equipaje rediseñado'!$D3384-'Reclamo de equipaje rediseñado'!$C3384</f>
        <v>1.9444444444444431E-2</v>
      </c>
      <c r="F3384" s="48">
        <v>0.47291666666666665</v>
      </c>
      <c r="G3384" s="49">
        <f t="shared" si="52"/>
        <v>1.1111111111111072E-2</v>
      </c>
      <c r="H3384" s="50">
        <v>41739</v>
      </c>
      <c r="I3384" s="51" t="s">
        <v>542</v>
      </c>
      <c r="J3384" s="51">
        <v>320</v>
      </c>
      <c r="K3384" s="51">
        <f>VLOOKUP(J3384,'Validacion reclamo de equipaje'!L:M,2,0)</f>
        <v>179</v>
      </c>
      <c r="L3384" s="51" t="str">
        <f>VLOOKUP(I3384,'Validacion reclamo de equipaje'!H:I,2,0)</f>
        <v>Nacional</v>
      </c>
      <c r="M3384" s="51" t="s">
        <v>523</v>
      </c>
    </row>
    <row r="3385" spans="1:13" x14ac:dyDescent="0.25">
      <c r="A3385">
        <v>741</v>
      </c>
      <c r="B3385" s="47" t="str">
        <f>VLOOKUP(Tabla6[[#This Row],['# Vuelo]],'Validacion reclamo de equipaje'!P:Q,2,0)</f>
        <v>BARATA Y MORADA</v>
      </c>
      <c r="C3385" s="52">
        <v>0.52847222222222223</v>
      </c>
      <c r="D3385" s="52">
        <v>0.53055555555555556</v>
      </c>
      <c r="E3385" s="53">
        <f>'Reclamo de equipaje rediseñado'!$D3385-'Reclamo de equipaje rediseñado'!$C3385</f>
        <v>2.0833333333333259E-3</v>
      </c>
      <c r="F3385" s="52">
        <v>0.54861111111111105</v>
      </c>
      <c r="G3385" s="53">
        <f t="shared" si="52"/>
        <v>1.8055555555555491E-2</v>
      </c>
      <c r="H3385" s="54">
        <v>41741</v>
      </c>
      <c r="I3385" s="55" t="s">
        <v>542</v>
      </c>
      <c r="J3385" s="55">
        <v>320</v>
      </c>
      <c r="K3385" s="55">
        <f>VLOOKUP(J3385,'Validacion reclamo de equipaje'!L:M,2,0)</f>
        <v>179</v>
      </c>
      <c r="L3385" s="55" t="str">
        <f>VLOOKUP(I3385,'Validacion reclamo de equipaje'!H:I,2,0)</f>
        <v>Nacional</v>
      </c>
      <c r="M3385" s="55" t="s">
        <v>523</v>
      </c>
    </row>
    <row r="3386" spans="1:13" x14ac:dyDescent="0.25">
      <c r="A3386">
        <v>741</v>
      </c>
      <c r="B3386" s="47" t="str">
        <f>VLOOKUP(Tabla6[[#This Row],['# Vuelo]],'Validacion reclamo de equipaje'!P:Q,2,0)</f>
        <v>BARATA Y MORADA</v>
      </c>
      <c r="C3386" s="48">
        <v>0.45833333333333331</v>
      </c>
      <c r="D3386" s="48">
        <v>0.46458333333333335</v>
      </c>
      <c r="E3386" s="49">
        <f>'Reclamo de equipaje rediseñado'!$D3386-'Reclamo de equipaje rediseñado'!$C3386</f>
        <v>6.2500000000000333E-3</v>
      </c>
      <c r="F3386" s="48">
        <v>0.47638888888888892</v>
      </c>
      <c r="G3386" s="49">
        <f t="shared" si="52"/>
        <v>1.1805555555555569E-2</v>
      </c>
      <c r="H3386" s="50">
        <v>41743</v>
      </c>
      <c r="I3386" s="51" t="s">
        <v>542</v>
      </c>
      <c r="J3386" s="51">
        <v>320</v>
      </c>
      <c r="K3386" s="51">
        <f>VLOOKUP(J3386,'Validacion reclamo de equipaje'!L:M,2,0)</f>
        <v>179</v>
      </c>
      <c r="L3386" s="51" t="str">
        <f>VLOOKUP(I3386,'Validacion reclamo de equipaje'!H:I,2,0)</f>
        <v>Nacional</v>
      </c>
      <c r="M3386" s="51" t="s">
        <v>523</v>
      </c>
    </row>
    <row r="3387" spans="1:13" x14ac:dyDescent="0.25">
      <c r="A3387">
        <v>741</v>
      </c>
      <c r="B3387" s="47" t="str">
        <f>VLOOKUP(Tabla6[[#This Row],['# Vuelo]],'Validacion reclamo de equipaje'!P:Q,2,0)</f>
        <v>BARATA Y MORADA</v>
      </c>
      <c r="C3387" s="52">
        <v>0.5</v>
      </c>
      <c r="D3387" s="52">
        <v>0.50624999999999998</v>
      </c>
      <c r="E3387" s="53">
        <f>'Reclamo de equipaje rediseñado'!$D3387-'Reclamo de equipaje rediseñado'!$C3387</f>
        <v>6.2499999999999778E-3</v>
      </c>
      <c r="F3387" s="52">
        <v>0.51736111111111105</v>
      </c>
      <c r="G3387" s="53">
        <f t="shared" si="52"/>
        <v>1.1111111111111072E-2</v>
      </c>
      <c r="H3387" s="54">
        <v>41744</v>
      </c>
      <c r="I3387" s="55" t="s">
        <v>542</v>
      </c>
      <c r="J3387" s="55">
        <v>320</v>
      </c>
      <c r="K3387" s="55">
        <f>VLOOKUP(J3387,'Validacion reclamo de equipaje'!L:M,2,0)</f>
        <v>179</v>
      </c>
      <c r="L3387" s="55" t="str">
        <f>VLOOKUP(I3387,'Validacion reclamo de equipaje'!H:I,2,0)</f>
        <v>Nacional</v>
      </c>
      <c r="M3387" s="55" t="s">
        <v>523</v>
      </c>
    </row>
    <row r="3388" spans="1:13" x14ac:dyDescent="0.25">
      <c r="A3388">
        <v>741</v>
      </c>
      <c r="B3388" s="47" t="str">
        <f>VLOOKUP(Tabla6[[#This Row],['# Vuelo]],'Validacion reclamo de equipaje'!P:Q,2,0)</f>
        <v>BARATA Y MORADA</v>
      </c>
      <c r="C3388" s="48">
        <v>0.46666666666666662</v>
      </c>
      <c r="D3388" s="48">
        <v>0.47361111111111115</v>
      </c>
      <c r="E3388" s="49">
        <f>'Reclamo de equipaje rediseñado'!$D3388-'Reclamo de equipaje rediseñado'!$C3388</f>
        <v>6.9444444444445308E-3</v>
      </c>
      <c r="F3388" s="48">
        <v>0.4861111111111111</v>
      </c>
      <c r="G3388" s="49">
        <f t="shared" si="52"/>
        <v>1.2499999999999956E-2</v>
      </c>
      <c r="H3388" s="50">
        <v>41745</v>
      </c>
      <c r="I3388" s="51" t="s">
        <v>542</v>
      </c>
      <c r="J3388" s="51">
        <v>320</v>
      </c>
      <c r="K3388" s="51">
        <f>VLOOKUP(J3388,'Validacion reclamo de equipaje'!L:M,2,0)</f>
        <v>179</v>
      </c>
      <c r="L3388" s="51" t="str">
        <f>VLOOKUP(I3388,'Validacion reclamo de equipaje'!H:I,2,0)</f>
        <v>Nacional</v>
      </c>
      <c r="M3388" s="51" t="s">
        <v>523</v>
      </c>
    </row>
    <row r="3389" spans="1:13" x14ac:dyDescent="0.25">
      <c r="A3389">
        <v>741</v>
      </c>
      <c r="B3389" s="47" t="str">
        <f>VLOOKUP(Tabla6[[#This Row],['# Vuelo]],'Validacion reclamo de equipaje'!P:Q,2,0)</f>
        <v>BARATA Y MORADA</v>
      </c>
      <c r="C3389" s="52">
        <v>0.44791666666666669</v>
      </c>
      <c r="D3389" s="52">
        <v>0.45416666666666666</v>
      </c>
      <c r="E3389" s="53">
        <f>'Reclamo de equipaje rediseñado'!$D3389-'Reclamo de equipaje rediseñado'!$C3389</f>
        <v>6.2499999999999778E-3</v>
      </c>
      <c r="F3389" s="52">
        <v>0.4597222222222222</v>
      </c>
      <c r="G3389" s="53">
        <f t="shared" si="52"/>
        <v>5.5555555555555358E-3</v>
      </c>
      <c r="H3389" s="54">
        <v>41746</v>
      </c>
      <c r="I3389" s="55" t="s">
        <v>542</v>
      </c>
      <c r="J3389" s="55">
        <v>320</v>
      </c>
      <c r="K3389" s="55">
        <f>VLOOKUP(J3389,'Validacion reclamo de equipaje'!L:M,2,0)</f>
        <v>179</v>
      </c>
      <c r="L3389" s="55" t="str">
        <f>VLOOKUP(I3389,'Validacion reclamo de equipaje'!H:I,2,0)</f>
        <v>Nacional</v>
      </c>
      <c r="M3389" s="55" t="s">
        <v>523</v>
      </c>
    </row>
    <row r="3390" spans="1:13" x14ac:dyDescent="0.25">
      <c r="A3390">
        <v>741</v>
      </c>
      <c r="B3390" s="47" t="str">
        <f>VLOOKUP(Tabla6[[#This Row],['# Vuelo]],'Validacion reclamo de equipaje'!P:Q,2,0)</f>
        <v>BARATA Y MORADA</v>
      </c>
      <c r="C3390" s="48">
        <v>0.46736111111111112</v>
      </c>
      <c r="D3390" s="48">
        <v>0.47569444444444442</v>
      </c>
      <c r="E3390" s="49">
        <f>'Reclamo de equipaje rediseñado'!$D3390-'Reclamo de equipaje rediseñado'!$C3390</f>
        <v>8.3333333333333037E-3</v>
      </c>
      <c r="F3390" s="48">
        <v>0.48749999999999999</v>
      </c>
      <c r="G3390" s="49">
        <f t="shared" si="52"/>
        <v>1.1805555555555569E-2</v>
      </c>
      <c r="H3390" s="50">
        <v>41747</v>
      </c>
      <c r="I3390" s="51" t="s">
        <v>542</v>
      </c>
      <c r="J3390" s="51">
        <v>320</v>
      </c>
      <c r="K3390" s="51">
        <f>VLOOKUP(J3390,'Validacion reclamo de equipaje'!L:M,2,0)</f>
        <v>179</v>
      </c>
      <c r="L3390" s="51" t="str">
        <f>VLOOKUP(I3390,'Validacion reclamo de equipaje'!H:I,2,0)</f>
        <v>Nacional</v>
      </c>
      <c r="M3390" s="51" t="s">
        <v>523</v>
      </c>
    </row>
    <row r="3391" spans="1:13" x14ac:dyDescent="0.25">
      <c r="A3391">
        <v>741</v>
      </c>
      <c r="B3391" s="47" t="str">
        <f>VLOOKUP(Tabla6[[#This Row],['# Vuelo]],'Validacion reclamo de equipaje'!P:Q,2,0)</f>
        <v>BARATA Y MORADA</v>
      </c>
      <c r="C3391" s="52">
        <v>0.45555555555555555</v>
      </c>
      <c r="D3391" s="52">
        <v>0.4604166666666667</v>
      </c>
      <c r="E3391" s="53">
        <f>'Reclamo de equipaje rediseñado'!$D3391-'Reclamo de equipaje rediseñado'!$C3391</f>
        <v>4.8611111111111494E-3</v>
      </c>
      <c r="F3391" s="52">
        <v>0.47430555555555554</v>
      </c>
      <c r="G3391" s="53">
        <f t="shared" si="52"/>
        <v>1.388888888888884E-2</v>
      </c>
      <c r="H3391" s="54">
        <v>41748</v>
      </c>
      <c r="I3391" s="55" t="s">
        <v>542</v>
      </c>
      <c r="J3391" s="55">
        <v>320</v>
      </c>
      <c r="K3391" s="55">
        <f>VLOOKUP(J3391,'Validacion reclamo de equipaje'!L:M,2,0)</f>
        <v>179</v>
      </c>
      <c r="L3391" s="55" t="str">
        <f>VLOOKUP(I3391,'Validacion reclamo de equipaje'!H:I,2,0)</f>
        <v>Nacional</v>
      </c>
      <c r="M3391" s="55" t="s">
        <v>523</v>
      </c>
    </row>
    <row r="3392" spans="1:13" x14ac:dyDescent="0.25">
      <c r="A3392">
        <v>741</v>
      </c>
      <c r="B3392" s="47" t="str">
        <f>VLOOKUP(Tabla6[[#This Row],['# Vuelo]],'Validacion reclamo de equipaje'!P:Q,2,0)</f>
        <v>BARATA Y MORADA</v>
      </c>
      <c r="C3392" s="48">
        <v>0.45555555555555555</v>
      </c>
      <c r="D3392" s="48">
        <v>0.45763888888888887</v>
      </c>
      <c r="E3392" s="49">
        <f>'Reclamo de equipaje rediseñado'!$D3392-'Reclamo de equipaje rediseñado'!$C3392</f>
        <v>2.0833333333333259E-3</v>
      </c>
      <c r="F3392" s="48">
        <v>0.4597222222222222</v>
      </c>
      <c r="G3392" s="49">
        <f t="shared" si="52"/>
        <v>2.0833333333333259E-3</v>
      </c>
      <c r="H3392" s="50">
        <v>41749</v>
      </c>
      <c r="I3392" s="51" t="s">
        <v>542</v>
      </c>
      <c r="J3392" s="51">
        <v>320</v>
      </c>
      <c r="K3392" s="51">
        <f>VLOOKUP(J3392,'Validacion reclamo de equipaje'!L:M,2,0)</f>
        <v>179</v>
      </c>
      <c r="L3392" s="51" t="str">
        <f>VLOOKUP(I3392,'Validacion reclamo de equipaje'!H:I,2,0)</f>
        <v>Nacional</v>
      </c>
      <c r="M3392" s="51" t="s">
        <v>523</v>
      </c>
    </row>
    <row r="3393" spans="1:13" x14ac:dyDescent="0.25">
      <c r="A3393">
        <v>741</v>
      </c>
      <c r="B3393" s="47" t="str">
        <f>VLOOKUP(Tabla6[[#This Row],['# Vuelo]],'Validacion reclamo de equipaje'!P:Q,2,0)</f>
        <v>BARATA Y MORADA</v>
      </c>
      <c r="C3393" s="52">
        <v>0.45833333333333331</v>
      </c>
      <c r="D3393" s="52">
        <v>0.46527777777777773</v>
      </c>
      <c r="E3393" s="53">
        <f>'Reclamo de equipaje rediseñado'!$D3393-'Reclamo de equipaje rediseñado'!$C3393</f>
        <v>6.9444444444444198E-3</v>
      </c>
      <c r="F3393" s="52">
        <v>0.47222222222222227</v>
      </c>
      <c r="G3393" s="53">
        <f t="shared" si="52"/>
        <v>6.9444444444445308E-3</v>
      </c>
      <c r="H3393" s="54">
        <v>41750</v>
      </c>
      <c r="I3393" s="55" t="s">
        <v>542</v>
      </c>
      <c r="J3393" s="55">
        <v>320</v>
      </c>
      <c r="K3393" s="55">
        <f>VLOOKUP(J3393,'Validacion reclamo de equipaje'!L:M,2,0)</f>
        <v>179</v>
      </c>
      <c r="L3393" s="55" t="str">
        <f>VLOOKUP(I3393,'Validacion reclamo de equipaje'!H:I,2,0)</f>
        <v>Nacional</v>
      </c>
      <c r="M3393" s="55" t="s">
        <v>523</v>
      </c>
    </row>
    <row r="3394" spans="1:13" x14ac:dyDescent="0.25">
      <c r="A3394">
        <v>741</v>
      </c>
      <c r="B3394" s="47" t="str">
        <f>VLOOKUP(Tabla6[[#This Row],['# Vuelo]],'Validacion reclamo de equipaje'!P:Q,2,0)</f>
        <v>BARATA Y MORADA</v>
      </c>
      <c r="C3394" s="48">
        <v>0.46180555555555558</v>
      </c>
      <c r="D3394" s="48">
        <v>0.4680555555555555</v>
      </c>
      <c r="E3394" s="49">
        <f>'Reclamo de equipaje rediseñado'!$D3394-'Reclamo de equipaje rediseñado'!$C3394</f>
        <v>6.2499999999999223E-3</v>
      </c>
      <c r="F3394" s="48">
        <v>0.4770833333333333</v>
      </c>
      <c r="G3394" s="49">
        <f t="shared" si="52"/>
        <v>9.0277777777778012E-3</v>
      </c>
      <c r="H3394" s="50">
        <v>41751</v>
      </c>
      <c r="I3394" s="51" t="s">
        <v>542</v>
      </c>
      <c r="J3394" s="51">
        <v>320</v>
      </c>
      <c r="K3394" s="51">
        <f>VLOOKUP(J3394,'Validacion reclamo de equipaje'!L:M,2,0)</f>
        <v>179</v>
      </c>
      <c r="L3394" s="51" t="str">
        <f>VLOOKUP(I3394,'Validacion reclamo de equipaje'!H:I,2,0)</f>
        <v>Nacional</v>
      </c>
      <c r="M3394" s="51" t="s">
        <v>523</v>
      </c>
    </row>
    <row r="3395" spans="1:13" x14ac:dyDescent="0.25">
      <c r="A3395">
        <v>741</v>
      </c>
      <c r="B3395" s="47" t="str">
        <f>VLOOKUP(Tabla6[[#This Row],['# Vuelo]],'Validacion reclamo de equipaje'!P:Q,2,0)</f>
        <v>BARATA Y MORADA</v>
      </c>
      <c r="C3395" s="52">
        <v>0.44791666666666669</v>
      </c>
      <c r="D3395" s="52">
        <v>0.4548611111111111</v>
      </c>
      <c r="E3395" s="53">
        <f>'Reclamo de equipaje rediseñado'!$D3395-'Reclamo de equipaje rediseñado'!$C3395</f>
        <v>6.9444444444444198E-3</v>
      </c>
      <c r="F3395" s="52">
        <v>0.46527777777777773</v>
      </c>
      <c r="G3395" s="53">
        <f t="shared" ref="G3395:G3458" si="53">F3395-D3395</f>
        <v>1.041666666666663E-2</v>
      </c>
      <c r="H3395" s="54">
        <v>41753</v>
      </c>
      <c r="I3395" s="55" t="s">
        <v>542</v>
      </c>
      <c r="J3395" s="55">
        <v>320</v>
      </c>
      <c r="K3395" s="55">
        <f>VLOOKUP(J3395,'Validacion reclamo de equipaje'!L:M,2,0)</f>
        <v>179</v>
      </c>
      <c r="L3395" s="55" t="str">
        <f>VLOOKUP(I3395,'Validacion reclamo de equipaje'!H:I,2,0)</f>
        <v>Nacional</v>
      </c>
      <c r="M3395" s="55" t="s">
        <v>523</v>
      </c>
    </row>
    <row r="3396" spans="1:13" x14ac:dyDescent="0.25">
      <c r="A3396">
        <v>741</v>
      </c>
      <c r="B3396" s="47" t="str">
        <f>VLOOKUP(Tabla6[[#This Row],['# Vuelo]],'Validacion reclamo de equipaje'!P:Q,2,0)</f>
        <v>BARATA Y MORADA</v>
      </c>
      <c r="C3396" s="48">
        <v>0.46388888888888885</v>
      </c>
      <c r="D3396" s="48">
        <v>0.47083333333333338</v>
      </c>
      <c r="E3396" s="49">
        <f>'Reclamo de equipaje rediseñado'!$D3396-'Reclamo de equipaje rediseñado'!$C3396</f>
        <v>6.9444444444445308E-3</v>
      </c>
      <c r="F3396" s="48">
        <v>0.47916666666666669</v>
      </c>
      <c r="G3396" s="49">
        <f t="shared" si="53"/>
        <v>8.3333333333333037E-3</v>
      </c>
      <c r="H3396" s="50">
        <v>41754</v>
      </c>
      <c r="I3396" s="51" t="s">
        <v>542</v>
      </c>
      <c r="J3396" s="51">
        <v>320</v>
      </c>
      <c r="K3396" s="51">
        <f>VLOOKUP(J3396,'Validacion reclamo de equipaje'!L:M,2,0)</f>
        <v>179</v>
      </c>
      <c r="L3396" s="51" t="str">
        <f>VLOOKUP(I3396,'Validacion reclamo de equipaje'!H:I,2,0)</f>
        <v>Nacional</v>
      </c>
      <c r="M3396" s="51" t="s">
        <v>523</v>
      </c>
    </row>
    <row r="3397" spans="1:13" x14ac:dyDescent="0.25">
      <c r="A3397">
        <v>741</v>
      </c>
      <c r="B3397" s="47" t="str">
        <f>VLOOKUP(Tabla6[[#This Row],['# Vuelo]],'Validacion reclamo de equipaje'!P:Q,2,0)</f>
        <v>BARATA Y MORADA</v>
      </c>
      <c r="C3397" s="52">
        <v>0.46736111111111112</v>
      </c>
      <c r="D3397" s="52">
        <v>0.47083333333333338</v>
      </c>
      <c r="E3397" s="53">
        <f>'Reclamo de equipaje rediseñado'!$D3397-'Reclamo de equipaje rediseñado'!$C3397</f>
        <v>3.4722222222222654E-3</v>
      </c>
      <c r="F3397" s="52">
        <v>0.48472222222222222</v>
      </c>
      <c r="G3397" s="53">
        <f t="shared" si="53"/>
        <v>1.388888888888884E-2</v>
      </c>
      <c r="H3397" s="54">
        <v>41756</v>
      </c>
      <c r="I3397" s="55" t="s">
        <v>542</v>
      </c>
      <c r="J3397" s="55">
        <v>320</v>
      </c>
      <c r="K3397" s="55">
        <f>VLOOKUP(J3397,'Validacion reclamo de equipaje'!L:M,2,0)</f>
        <v>179</v>
      </c>
      <c r="L3397" s="55" t="str">
        <f>VLOOKUP(I3397,'Validacion reclamo de equipaje'!H:I,2,0)</f>
        <v>Nacional</v>
      </c>
      <c r="M3397" s="55" t="s">
        <v>523</v>
      </c>
    </row>
    <row r="3398" spans="1:13" x14ac:dyDescent="0.25">
      <c r="A3398">
        <v>741</v>
      </c>
      <c r="B3398" s="47" t="str">
        <f>VLOOKUP(Tabla6[[#This Row],['# Vuelo]],'Validacion reclamo de equipaje'!P:Q,2,0)</f>
        <v>BARATA Y MORADA</v>
      </c>
      <c r="C3398" s="48">
        <v>0.46736111111111112</v>
      </c>
      <c r="D3398" s="48">
        <v>0.47083333333333338</v>
      </c>
      <c r="E3398" s="49">
        <f>'Reclamo de equipaje rediseñado'!$D3398-'Reclamo de equipaje rediseñado'!$C3398</f>
        <v>3.4722222222222654E-3</v>
      </c>
      <c r="F3398" s="48">
        <v>0.48472222222222222</v>
      </c>
      <c r="G3398" s="49">
        <f t="shared" si="53"/>
        <v>1.388888888888884E-2</v>
      </c>
      <c r="H3398" s="50">
        <v>41756</v>
      </c>
      <c r="I3398" s="51" t="s">
        <v>542</v>
      </c>
      <c r="J3398" s="51">
        <v>320</v>
      </c>
      <c r="K3398" s="51">
        <f>VLOOKUP(J3398,'Validacion reclamo de equipaje'!L:M,2,0)</f>
        <v>179</v>
      </c>
      <c r="L3398" s="51" t="str">
        <f>VLOOKUP(I3398,'Validacion reclamo de equipaje'!H:I,2,0)</f>
        <v>Nacional</v>
      </c>
      <c r="M3398" s="51" t="s">
        <v>523</v>
      </c>
    </row>
    <row r="3399" spans="1:13" x14ac:dyDescent="0.25">
      <c r="A3399">
        <v>741</v>
      </c>
      <c r="B3399" s="47" t="str">
        <f>VLOOKUP(Tabla6[[#This Row],['# Vuelo]],'Validacion reclamo de equipaje'!P:Q,2,0)</f>
        <v>BARATA Y MORADA</v>
      </c>
      <c r="C3399" s="52">
        <v>0.46597222222222223</v>
      </c>
      <c r="D3399" s="52">
        <v>0.4770833333333333</v>
      </c>
      <c r="E3399" s="53">
        <f>'Reclamo de equipaje rediseñado'!$D3399-'Reclamo de equipaje rediseñado'!$C3399</f>
        <v>1.1111111111111072E-2</v>
      </c>
      <c r="F3399" s="52">
        <v>0.49236111111111108</v>
      </c>
      <c r="G3399" s="53">
        <f t="shared" si="53"/>
        <v>1.5277777777777779E-2</v>
      </c>
      <c r="H3399" s="54">
        <v>41757</v>
      </c>
      <c r="I3399" s="55" t="s">
        <v>542</v>
      </c>
      <c r="J3399" s="55">
        <v>320</v>
      </c>
      <c r="K3399" s="55">
        <f>VLOOKUP(J3399,'Validacion reclamo de equipaje'!L:M,2,0)</f>
        <v>179</v>
      </c>
      <c r="L3399" s="55" t="str">
        <f>VLOOKUP(I3399,'Validacion reclamo de equipaje'!H:I,2,0)</f>
        <v>Nacional</v>
      </c>
      <c r="M3399" s="55" t="s">
        <v>523</v>
      </c>
    </row>
    <row r="3400" spans="1:13" x14ac:dyDescent="0.25">
      <c r="A3400">
        <v>741</v>
      </c>
      <c r="B3400" s="47" t="str">
        <f>VLOOKUP(Tabla6[[#This Row],['# Vuelo]],'Validacion reclamo de equipaje'!P:Q,2,0)</f>
        <v>BARATA Y MORADA</v>
      </c>
      <c r="C3400" s="48">
        <v>0.45555555555555555</v>
      </c>
      <c r="D3400" s="48">
        <v>0.46319444444444446</v>
      </c>
      <c r="E3400" s="49">
        <f>'Reclamo de equipaje rediseñado'!$D3400-'Reclamo de equipaje rediseñado'!$C3400</f>
        <v>7.6388888888889173E-3</v>
      </c>
      <c r="F3400" s="48">
        <v>0.47986111111111113</v>
      </c>
      <c r="G3400" s="49">
        <f t="shared" si="53"/>
        <v>1.6666666666666663E-2</v>
      </c>
      <c r="H3400" s="50">
        <v>41758</v>
      </c>
      <c r="I3400" s="51" t="s">
        <v>542</v>
      </c>
      <c r="J3400" s="51">
        <v>320</v>
      </c>
      <c r="K3400" s="51">
        <f>VLOOKUP(J3400,'Validacion reclamo de equipaje'!L:M,2,0)</f>
        <v>179</v>
      </c>
      <c r="L3400" s="51" t="str">
        <f>VLOOKUP(I3400,'Validacion reclamo de equipaje'!H:I,2,0)</f>
        <v>Nacional</v>
      </c>
      <c r="M3400" s="51" t="s">
        <v>523</v>
      </c>
    </row>
    <row r="3401" spans="1:13" x14ac:dyDescent="0.25">
      <c r="A3401">
        <v>742</v>
      </c>
      <c r="B3401" s="47" t="str">
        <f>VLOOKUP(Tabla6[[#This Row],['# Vuelo]],'Validacion reclamo de equipaje'!P:Q,2,0)</f>
        <v>BARATA Y MORADA</v>
      </c>
      <c r="C3401" s="52">
        <v>0.90069444444444446</v>
      </c>
      <c r="D3401" s="52">
        <v>0.90972222222222221</v>
      </c>
      <c r="E3401" s="53">
        <f>'Reclamo de equipaje rediseñado'!$D3401-'Reclamo de equipaje rediseñado'!$C3401</f>
        <v>9.0277777777777457E-3</v>
      </c>
      <c r="F3401" s="52">
        <v>0.91249999999999998</v>
      </c>
      <c r="G3401" s="53">
        <f t="shared" si="53"/>
        <v>2.7777777777777679E-3</v>
      </c>
      <c r="H3401" s="54">
        <v>41731</v>
      </c>
      <c r="I3401" s="55" t="s">
        <v>536</v>
      </c>
      <c r="J3401" s="55">
        <v>320</v>
      </c>
      <c r="K3401" s="55">
        <f>VLOOKUP(J3401,'Validacion reclamo de equipaje'!L:M,2,0)</f>
        <v>179</v>
      </c>
      <c r="L3401" s="55" t="str">
        <f>VLOOKUP(I3401,'Validacion reclamo de equipaje'!H:I,2,0)</f>
        <v>Nacional</v>
      </c>
      <c r="M3401" s="55" t="s">
        <v>523</v>
      </c>
    </row>
    <row r="3402" spans="1:13" x14ac:dyDescent="0.25">
      <c r="A3402">
        <v>742</v>
      </c>
      <c r="B3402" s="47" t="str">
        <f>VLOOKUP(Tabla6[[#This Row],['# Vuelo]],'Validacion reclamo de equipaje'!P:Q,2,0)</f>
        <v>BARATA Y MORADA</v>
      </c>
      <c r="C3402" s="48">
        <v>0.94305555555555554</v>
      </c>
      <c r="D3402" s="48">
        <v>0.95000000000000007</v>
      </c>
      <c r="E3402" s="49">
        <f>'Reclamo de equipaje rediseñado'!$D3402-'Reclamo de equipaje rediseñado'!$C3402</f>
        <v>6.9444444444445308E-3</v>
      </c>
      <c r="F3402" s="48">
        <v>0.96111111111111114</v>
      </c>
      <c r="G3402" s="49">
        <f t="shared" si="53"/>
        <v>1.1111111111111072E-2</v>
      </c>
      <c r="H3402" s="50">
        <v>41732</v>
      </c>
      <c r="I3402" s="51" t="s">
        <v>536</v>
      </c>
      <c r="J3402" s="51">
        <v>320</v>
      </c>
      <c r="K3402" s="51">
        <f>VLOOKUP(J3402,'Validacion reclamo de equipaje'!L:M,2,0)</f>
        <v>179</v>
      </c>
      <c r="L3402" s="51" t="str">
        <f>VLOOKUP(I3402,'Validacion reclamo de equipaje'!H:I,2,0)</f>
        <v>Nacional</v>
      </c>
      <c r="M3402" s="51" t="s">
        <v>523</v>
      </c>
    </row>
    <row r="3403" spans="1:13" x14ac:dyDescent="0.25">
      <c r="A3403">
        <v>742</v>
      </c>
      <c r="B3403" s="47" t="str">
        <f>VLOOKUP(Tabla6[[#This Row],['# Vuelo]],'Validacion reclamo de equipaje'!P:Q,2,0)</f>
        <v>BARATA Y MORADA</v>
      </c>
      <c r="C3403" s="52">
        <v>0.90208333333333324</v>
      </c>
      <c r="D3403" s="52">
        <v>0.90277777777777779</v>
      </c>
      <c r="E3403" s="53">
        <f>'Reclamo de equipaje rediseñado'!$D3403-'Reclamo de equipaje rediseñado'!$C3403</f>
        <v>6.94444444444553E-4</v>
      </c>
      <c r="F3403" s="52">
        <v>0.90625</v>
      </c>
      <c r="G3403" s="53">
        <f t="shared" si="53"/>
        <v>3.4722222222222099E-3</v>
      </c>
      <c r="H3403" s="54">
        <v>41734</v>
      </c>
      <c r="I3403" s="55" t="s">
        <v>536</v>
      </c>
      <c r="J3403" s="55">
        <v>320</v>
      </c>
      <c r="K3403" s="55">
        <f>VLOOKUP(J3403,'Validacion reclamo de equipaje'!L:M,2,0)</f>
        <v>179</v>
      </c>
      <c r="L3403" s="55" t="str">
        <f>VLOOKUP(I3403,'Validacion reclamo de equipaje'!H:I,2,0)</f>
        <v>Nacional</v>
      </c>
      <c r="M3403" s="55" t="s">
        <v>523</v>
      </c>
    </row>
    <row r="3404" spans="1:13" x14ac:dyDescent="0.25">
      <c r="A3404">
        <v>742</v>
      </c>
      <c r="B3404" s="47" t="str">
        <f>VLOOKUP(Tabla6[[#This Row],['# Vuelo]],'Validacion reclamo de equipaje'!P:Q,2,0)</f>
        <v>BARATA Y MORADA</v>
      </c>
      <c r="C3404" s="48">
        <v>0.69097222222222221</v>
      </c>
      <c r="D3404" s="48">
        <v>0.69444444444444453</v>
      </c>
      <c r="E3404" s="49">
        <f>'Reclamo de equipaje rediseñado'!$D3404-'Reclamo de equipaje rediseñado'!$C3404</f>
        <v>3.4722222222223209E-3</v>
      </c>
      <c r="F3404" s="48">
        <v>0.70833333333333337</v>
      </c>
      <c r="G3404" s="49">
        <f t="shared" si="53"/>
        <v>1.388888888888884E-2</v>
      </c>
      <c r="H3404" s="50">
        <v>41735</v>
      </c>
      <c r="I3404" s="51" t="s">
        <v>536</v>
      </c>
      <c r="J3404" s="51">
        <v>320</v>
      </c>
      <c r="K3404" s="51">
        <f>VLOOKUP(J3404,'Validacion reclamo de equipaje'!L:M,2,0)</f>
        <v>179</v>
      </c>
      <c r="L3404" s="51" t="str">
        <f>VLOOKUP(I3404,'Validacion reclamo de equipaje'!H:I,2,0)</f>
        <v>Nacional</v>
      </c>
      <c r="M3404" s="51" t="s">
        <v>523</v>
      </c>
    </row>
    <row r="3405" spans="1:13" x14ac:dyDescent="0.25">
      <c r="A3405">
        <v>742</v>
      </c>
      <c r="B3405" s="47" t="str">
        <f>VLOOKUP(Tabla6[[#This Row],['# Vuelo]],'Validacion reclamo de equipaje'!P:Q,2,0)</f>
        <v>BARATA Y MORADA</v>
      </c>
      <c r="C3405" s="52">
        <v>0.68402777777777779</v>
      </c>
      <c r="D3405" s="52">
        <v>0.69097222222222221</v>
      </c>
      <c r="E3405" s="53">
        <f>'Reclamo de equipaje rediseñado'!$D3405-'Reclamo de equipaje rediseñado'!$C3405</f>
        <v>6.9444444444444198E-3</v>
      </c>
      <c r="F3405" s="52">
        <v>0.69374999999999998</v>
      </c>
      <c r="G3405" s="53">
        <f t="shared" si="53"/>
        <v>2.7777777777777679E-3</v>
      </c>
      <c r="H3405" s="54">
        <v>41736</v>
      </c>
      <c r="I3405" s="55" t="s">
        <v>536</v>
      </c>
      <c r="J3405" s="55">
        <v>320</v>
      </c>
      <c r="K3405" s="55">
        <f>VLOOKUP(J3405,'Validacion reclamo de equipaje'!L:M,2,0)</f>
        <v>179</v>
      </c>
      <c r="L3405" s="55" t="str">
        <f>VLOOKUP(I3405,'Validacion reclamo de equipaje'!H:I,2,0)</f>
        <v>Nacional</v>
      </c>
      <c r="M3405" s="55" t="s">
        <v>523</v>
      </c>
    </row>
    <row r="3406" spans="1:13" x14ac:dyDescent="0.25">
      <c r="A3406">
        <v>742</v>
      </c>
      <c r="B3406" s="47" t="str">
        <f>VLOOKUP(Tabla6[[#This Row],['# Vuelo]],'Validacion reclamo de equipaje'!P:Q,2,0)</f>
        <v>BARATA Y MORADA</v>
      </c>
      <c r="C3406" s="48">
        <v>0.68055555555555547</v>
      </c>
      <c r="D3406" s="48">
        <v>0.69236111111111109</v>
      </c>
      <c r="E3406" s="49">
        <f>'Reclamo de equipaje rediseñado'!$D3406-'Reclamo de equipaje rediseñado'!$C3406</f>
        <v>1.1805555555555625E-2</v>
      </c>
      <c r="F3406" s="48">
        <v>0.7006944444444444</v>
      </c>
      <c r="G3406" s="49">
        <f t="shared" si="53"/>
        <v>8.3333333333333037E-3</v>
      </c>
      <c r="H3406" s="50">
        <v>41737</v>
      </c>
      <c r="I3406" s="51" t="s">
        <v>536</v>
      </c>
      <c r="J3406" s="51">
        <v>320</v>
      </c>
      <c r="K3406" s="51">
        <f>VLOOKUP(J3406,'Validacion reclamo de equipaje'!L:M,2,0)</f>
        <v>179</v>
      </c>
      <c r="L3406" s="51" t="str">
        <f>VLOOKUP(I3406,'Validacion reclamo de equipaje'!H:I,2,0)</f>
        <v>Nacional</v>
      </c>
      <c r="M3406" s="51" t="s">
        <v>523</v>
      </c>
    </row>
    <row r="3407" spans="1:13" x14ac:dyDescent="0.25">
      <c r="A3407">
        <v>742</v>
      </c>
      <c r="B3407" s="47" t="str">
        <f>VLOOKUP(Tabla6[[#This Row],['# Vuelo]],'Validacion reclamo de equipaje'!P:Q,2,0)</f>
        <v>BARATA Y MORADA</v>
      </c>
      <c r="C3407" s="52">
        <v>0.68611111111111101</v>
      </c>
      <c r="D3407" s="52">
        <v>0.6875</v>
      </c>
      <c r="E3407" s="53">
        <f>'Reclamo de equipaje rediseñado'!$D3407-'Reclamo de equipaje rediseñado'!$C3407</f>
        <v>1.388888888888995E-3</v>
      </c>
      <c r="F3407" s="52">
        <v>0.69305555555555554</v>
      </c>
      <c r="G3407" s="53">
        <f t="shared" si="53"/>
        <v>5.5555555555555358E-3</v>
      </c>
      <c r="H3407" s="54">
        <v>41738</v>
      </c>
      <c r="I3407" s="55" t="s">
        <v>536</v>
      </c>
      <c r="J3407" s="55">
        <v>320</v>
      </c>
      <c r="K3407" s="55">
        <f>VLOOKUP(J3407,'Validacion reclamo de equipaje'!L:M,2,0)</f>
        <v>179</v>
      </c>
      <c r="L3407" s="55" t="str">
        <f>VLOOKUP(I3407,'Validacion reclamo de equipaje'!H:I,2,0)</f>
        <v>Nacional</v>
      </c>
      <c r="M3407" s="55" t="s">
        <v>523</v>
      </c>
    </row>
    <row r="3408" spans="1:13" x14ac:dyDescent="0.25">
      <c r="A3408">
        <v>742</v>
      </c>
      <c r="B3408" s="47" t="str">
        <f>VLOOKUP(Tabla6[[#This Row],['# Vuelo]],'Validacion reclamo de equipaje'!P:Q,2,0)</f>
        <v>BARATA Y MORADA</v>
      </c>
      <c r="C3408" s="48">
        <v>0.68055555555555547</v>
      </c>
      <c r="D3408" s="48">
        <v>0.69305555555555554</v>
      </c>
      <c r="E3408" s="49">
        <f>'Reclamo de equipaje rediseñado'!$D3408-'Reclamo de equipaje rediseñado'!$C3408</f>
        <v>1.2500000000000067E-2</v>
      </c>
      <c r="F3408" s="48">
        <v>0.69652777777777775</v>
      </c>
      <c r="G3408" s="49">
        <f t="shared" si="53"/>
        <v>3.4722222222222099E-3</v>
      </c>
      <c r="H3408" s="50">
        <v>41739</v>
      </c>
      <c r="I3408" s="51" t="s">
        <v>536</v>
      </c>
      <c r="J3408" s="51">
        <v>320</v>
      </c>
      <c r="K3408" s="51">
        <f>VLOOKUP(J3408,'Validacion reclamo de equipaje'!L:M,2,0)</f>
        <v>179</v>
      </c>
      <c r="L3408" s="51" t="str">
        <f>VLOOKUP(I3408,'Validacion reclamo de equipaje'!H:I,2,0)</f>
        <v>Nacional</v>
      </c>
      <c r="M3408" s="51" t="s">
        <v>523</v>
      </c>
    </row>
    <row r="3409" spans="1:13" x14ac:dyDescent="0.25">
      <c r="A3409">
        <v>742</v>
      </c>
      <c r="B3409" s="47" t="str">
        <f>VLOOKUP(Tabla6[[#This Row],['# Vuelo]],'Validacion reclamo de equipaje'!P:Q,2,0)</f>
        <v>BARATA Y MORADA</v>
      </c>
      <c r="C3409" s="52">
        <v>0.69444444444444453</v>
      </c>
      <c r="D3409" s="52">
        <v>0.70138888888888884</v>
      </c>
      <c r="E3409" s="53">
        <f>'Reclamo de equipaje rediseñado'!$D3409-'Reclamo de equipaje rediseñado'!$C3409</f>
        <v>6.9444444444443088E-3</v>
      </c>
      <c r="F3409" s="52">
        <v>0.70833333333333337</v>
      </c>
      <c r="G3409" s="53">
        <f t="shared" si="53"/>
        <v>6.9444444444445308E-3</v>
      </c>
      <c r="H3409" s="54">
        <v>41741</v>
      </c>
      <c r="I3409" s="55" t="s">
        <v>536</v>
      </c>
      <c r="J3409" s="55">
        <v>320</v>
      </c>
      <c r="K3409" s="55">
        <f>VLOOKUP(J3409,'Validacion reclamo de equipaje'!L:M,2,0)</f>
        <v>179</v>
      </c>
      <c r="L3409" s="55" t="str">
        <f>VLOOKUP(I3409,'Validacion reclamo de equipaje'!H:I,2,0)</f>
        <v>Nacional</v>
      </c>
      <c r="M3409" s="55" t="s">
        <v>523</v>
      </c>
    </row>
    <row r="3410" spans="1:13" x14ac:dyDescent="0.25">
      <c r="A3410">
        <v>742</v>
      </c>
      <c r="B3410" s="47" t="str">
        <f>VLOOKUP(Tabla6[[#This Row],['# Vuelo]],'Validacion reclamo de equipaje'!P:Q,2,0)</f>
        <v>BARATA Y MORADA</v>
      </c>
      <c r="C3410" s="48">
        <v>0.6777777777777777</v>
      </c>
      <c r="D3410" s="48">
        <v>0.68472222222222223</v>
      </c>
      <c r="E3410" s="49">
        <f>'Reclamo de equipaje rediseñado'!$D3410-'Reclamo de equipaje rediseñado'!$C3410</f>
        <v>6.9444444444445308E-3</v>
      </c>
      <c r="F3410" s="48">
        <v>0.68958333333333333</v>
      </c>
      <c r="G3410" s="49">
        <f t="shared" si="53"/>
        <v>4.8611111111110938E-3</v>
      </c>
      <c r="H3410" s="50">
        <v>41743</v>
      </c>
      <c r="I3410" s="51" t="s">
        <v>536</v>
      </c>
      <c r="J3410" s="51">
        <v>320</v>
      </c>
      <c r="K3410" s="51">
        <f>VLOOKUP(J3410,'Validacion reclamo de equipaje'!L:M,2,0)</f>
        <v>179</v>
      </c>
      <c r="L3410" s="51" t="str">
        <f>VLOOKUP(I3410,'Validacion reclamo de equipaje'!H:I,2,0)</f>
        <v>Nacional</v>
      </c>
      <c r="M3410" s="51" t="s">
        <v>523</v>
      </c>
    </row>
    <row r="3411" spans="1:13" x14ac:dyDescent="0.25">
      <c r="A3411">
        <v>742</v>
      </c>
      <c r="B3411" s="47" t="str">
        <f>VLOOKUP(Tabla6[[#This Row],['# Vuelo]],'Validacion reclamo de equipaje'!P:Q,2,0)</f>
        <v>BARATA Y MORADA</v>
      </c>
      <c r="C3411" s="52">
        <v>0.67847222222222225</v>
      </c>
      <c r="D3411" s="52">
        <v>0.68611111111111101</v>
      </c>
      <c r="E3411" s="53">
        <f>'Reclamo de equipaje rediseñado'!$D3411-'Reclamo de equipaje rediseñado'!$C3411</f>
        <v>7.6388888888887507E-3</v>
      </c>
      <c r="F3411" s="52">
        <v>0.69097222222222221</v>
      </c>
      <c r="G3411" s="53">
        <f t="shared" si="53"/>
        <v>4.8611111111112049E-3</v>
      </c>
      <c r="H3411" s="54">
        <v>41744</v>
      </c>
      <c r="I3411" s="55" t="s">
        <v>536</v>
      </c>
      <c r="J3411" s="55">
        <v>320</v>
      </c>
      <c r="K3411" s="55">
        <f>VLOOKUP(J3411,'Validacion reclamo de equipaje'!L:M,2,0)</f>
        <v>179</v>
      </c>
      <c r="L3411" s="55" t="str">
        <f>VLOOKUP(I3411,'Validacion reclamo de equipaje'!H:I,2,0)</f>
        <v>Nacional</v>
      </c>
      <c r="M3411" s="55" t="s">
        <v>523</v>
      </c>
    </row>
    <row r="3412" spans="1:13" x14ac:dyDescent="0.25">
      <c r="A3412">
        <v>742</v>
      </c>
      <c r="B3412" s="47" t="str">
        <f>VLOOKUP(Tabla6[[#This Row],['# Vuelo]],'Validacion reclamo de equipaje'!P:Q,2,0)</f>
        <v>BARATA Y MORADA</v>
      </c>
      <c r="C3412" s="48">
        <v>0.17708333333333334</v>
      </c>
      <c r="D3412" s="48">
        <v>0.18333333333333335</v>
      </c>
      <c r="E3412" s="49">
        <f>'Reclamo de equipaje rediseñado'!$D3412-'Reclamo de equipaje rediseñado'!$C3412</f>
        <v>6.2500000000000056E-3</v>
      </c>
      <c r="F3412" s="48">
        <v>0.19027777777777777</v>
      </c>
      <c r="G3412" s="49">
        <f t="shared" si="53"/>
        <v>6.9444444444444198E-3</v>
      </c>
      <c r="H3412" s="50">
        <v>41747</v>
      </c>
      <c r="I3412" s="51" t="s">
        <v>536</v>
      </c>
      <c r="J3412" s="51">
        <v>320</v>
      </c>
      <c r="K3412" s="51">
        <f>VLOOKUP(J3412,'Validacion reclamo de equipaje'!L:M,2,0)</f>
        <v>179</v>
      </c>
      <c r="L3412" s="51" t="str">
        <f>VLOOKUP(I3412,'Validacion reclamo de equipaje'!H:I,2,0)</f>
        <v>Nacional</v>
      </c>
      <c r="M3412" s="51" t="s">
        <v>523</v>
      </c>
    </row>
    <row r="3413" spans="1:13" x14ac:dyDescent="0.25">
      <c r="A3413">
        <v>742</v>
      </c>
      <c r="B3413" s="47" t="str">
        <f>VLOOKUP(Tabla6[[#This Row],['# Vuelo]],'Validacion reclamo de equipaje'!P:Q,2,0)</f>
        <v>BARATA Y MORADA</v>
      </c>
      <c r="C3413" s="52">
        <v>0.67986111111111114</v>
      </c>
      <c r="D3413" s="52">
        <v>0.68611111111111101</v>
      </c>
      <c r="E3413" s="53">
        <f>'Reclamo de equipaje rediseñado'!$D3413-'Reclamo de equipaje rediseñado'!$C3413</f>
        <v>6.2499999999998668E-3</v>
      </c>
      <c r="F3413" s="52">
        <v>0.69652777777777775</v>
      </c>
      <c r="G3413" s="53">
        <f t="shared" si="53"/>
        <v>1.0416666666666741E-2</v>
      </c>
      <c r="H3413" s="54">
        <v>41748</v>
      </c>
      <c r="I3413" s="55" t="s">
        <v>536</v>
      </c>
      <c r="J3413" s="55">
        <v>320</v>
      </c>
      <c r="K3413" s="55">
        <f>VLOOKUP(J3413,'Validacion reclamo de equipaje'!L:M,2,0)</f>
        <v>179</v>
      </c>
      <c r="L3413" s="55" t="str">
        <f>VLOOKUP(I3413,'Validacion reclamo de equipaje'!H:I,2,0)</f>
        <v>Nacional</v>
      </c>
      <c r="M3413" s="55" t="s">
        <v>523</v>
      </c>
    </row>
    <row r="3414" spans="1:13" x14ac:dyDescent="0.25">
      <c r="A3414">
        <v>742</v>
      </c>
      <c r="B3414" s="47" t="str">
        <f>VLOOKUP(Tabla6[[#This Row],['# Vuelo]],'Validacion reclamo de equipaje'!P:Q,2,0)</f>
        <v>BARATA Y MORADA</v>
      </c>
      <c r="C3414" s="48">
        <v>0.69027777777777777</v>
      </c>
      <c r="D3414" s="48">
        <v>0.6972222222222223</v>
      </c>
      <c r="E3414" s="49">
        <f>'Reclamo de equipaje rediseñado'!$D3414-'Reclamo de equipaje rediseñado'!$C3414</f>
        <v>6.9444444444445308E-3</v>
      </c>
      <c r="F3414" s="48">
        <v>0.70624999999999993</v>
      </c>
      <c r="G3414" s="49">
        <f t="shared" si="53"/>
        <v>9.0277777777776347E-3</v>
      </c>
      <c r="H3414" s="50">
        <v>41749</v>
      </c>
      <c r="I3414" s="51" t="s">
        <v>536</v>
      </c>
      <c r="J3414" s="51">
        <v>320</v>
      </c>
      <c r="K3414" s="51">
        <f>VLOOKUP(J3414,'Validacion reclamo de equipaje'!L:M,2,0)</f>
        <v>179</v>
      </c>
      <c r="L3414" s="51" t="str">
        <f>VLOOKUP(I3414,'Validacion reclamo de equipaje'!H:I,2,0)</f>
        <v>Nacional</v>
      </c>
      <c r="M3414" s="51" t="s">
        <v>523</v>
      </c>
    </row>
    <row r="3415" spans="1:13" x14ac:dyDescent="0.25">
      <c r="A3415">
        <v>742</v>
      </c>
      <c r="B3415" s="47" t="str">
        <f>VLOOKUP(Tabla6[[#This Row],['# Vuelo]],'Validacion reclamo de equipaje'!P:Q,2,0)</f>
        <v>BARATA Y MORADA</v>
      </c>
      <c r="C3415" s="52">
        <v>0.67708333333333337</v>
      </c>
      <c r="D3415" s="52">
        <v>0.6875</v>
      </c>
      <c r="E3415" s="53">
        <f>'Reclamo de equipaje rediseñado'!$D3415-'Reclamo de equipaje rediseñado'!$C3415</f>
        <v>1.041666666666663E-2</v>
      </c>
      <c r="F3415" s="52">
        <v>0.69444444444444453</v>
      </c>
      <c r="G3415" s="53">
        <f t="shared" si="53"/>
        <v>6.9444444444445308E-3</v>
      </c>
      <c r="H3415" s="54">
        <v>41750</v>
      </c>
      <c r="I3415" s="55" t="s">
        <v>536</v>
      </c>
      <c r="J3415" s="55">
        <v>320</v>
      </c>
      <c r="K3415" s="55">
        <f>VLOOKUP(J3415,'Validacion reclamo de equipaje'!L:M,2,0)</f>
        <v>179</v>
      </c>
      <c r="L3415" s="55" t="str">
        <f>VLOOKUP(I3415,'Validacion reclamo de equipaje'!H:I,2,0)</f>
        <v>Nacional</v>
      </c>
      <c r="M3415" s="55" t="s">
        <v>523</v>
      </c>
    </row>
    <row r="3416" spans="1:13" x14ac:dyDescent="0.25">
      <c r="A3416">
        <v>742</v>
      </c>
      <c r="B3416" s="47" t="str">
        <f>VLOOKUP(Tabla6[[#This Row],['# Vuelo]],'Validacion reclamo de equipaje'!P:Q,2,0)</f>
        <v>BARATA Y MORADA</v>
      </c>
      <c r="C3416" s="48">
        <v>0.6777777777777777</v>
      </c>
      <c r="D3416" s="48">
        <v>0.68402777777777779</v>
      </c>
      <c r="E3416" s="49">
        <f>'Reclamo de equipaje rediseñado'!$D3416-'Reclamo de equipaje rediseñado'!$C3416</f>
        <v>6.2500000000000888E-3</v>
      </c>
      <c r="F3416" s="48">
        <v>0.69097222222222221</v>
      </c>
      <c r="G3416" s="49">
        <f t="shared" si="53"/>
        <v>6.9444444444444198E-3</v>
      </c>
      <c r="H3416" s="50">
        <v>41753</v>
      </c>
      <c r="I3416" s="51" t="s">
        <v>536</v>
      </c>
      <c r="J3416" s="51">
        <v>320</v>
      </c>
      <c r="K3416" s="51">
        <f>VLOOKUP(J3416,'Validacion reclamo de equipaje'!L:M,2,0)</f>
        <v>179</v>
      </c>
      <c r="L3416" s="51" t="str">
        <f>VLOOKUP(I3416,'Validacion reclamo de equipaje'!H:I,2,0)</f>
        <v>Nacional</v>
      </c>
      <c r="M3416" s="51" t="s">
        <v>523</v>
      </c>
    </row>
    <row r="3417" spans="1:13" x14ac:dyDescent="0.25">
      <c r="A3417">
        <v>742</v>
      </c>
      <c r="B3417" s="47" t="str">
        <f>VLOOKUP(Tabla6[[#This Row],['# Vuelo]],'Validacion reclamo de equipaje'!P:Q,2,0)</f>
        <v>BARATA Y MORADA</v>
      </c>
      <c r="C3417" s="52">
        <v>0.6875</v>
      </c>
      <c r="D3417" s="52">
        <v>0.6958333333333333</v>
      </c>
      <c r="E3417" s="53">
        <f>'Reclamo de equipaje rediseñado'!$D3417-'Reclamo de equipaje rediseñado'!$C3417</f>
        <v>8.3333333333333037E-3</v>
      </c>
      <c r="F3417" s="52">
        <v>0.70138888888888884</v>
      </c>
      <c r="G3417" s="53">
        <f t="shared" si="53"/>
        <v>5.5555555555555358E-3</v>
      </c>
      <c r="H3417" s="54">
        <v>41754</v>
      </c>
      <c r="I3417" s="55" t="s">
        <v>536</v>
      </c>
      <c r="J3417" s="55">
        <v>320</v>
      </c>
      <c r="K3417" s="55">
        <f>VLOOKUP(J3417,'Validacion reclamo de equipaje'!L:M,2,0)</f>
        <v>179</v>
      </c>
      <c r="L3417" s="55" t="str">
        <f>VLOOKUP(I3417,'Validacion reclamo de equipaje'!H:I,2,0)</f>
        <v>Nacional</v>
      </c>
      <c r="M3417" s="55" t="s">
        <v>523</v>
      </c>
    </row>
    <row r="3418" spans="1:13" x14ac:dyDescent="0.25">
      <c r="A3418">
        <v>742</v>
      </c>
      <c r="B3418" s="47" t="str">
        <f>VLOOKUP(Tabla6[[#This Row],['# Vuelo]],'Validacion reclamo de equipaje'!P:Q,2,0)</f>
        <v>BARATA Y MORADA</v>
      </c>
      <c r="C3418" s="48">
        <v>0.74097222222222225</v>
      </c>
      <c r="D3418" s="48">
        <v>0.74513888888888891</v>
      </c>
      <c r="E3418" s="49">
        <f>'Reclamo de equipaje rediseñado'!$D3418-'Reclamo de equipaje rediseñado'!$C3418</f>
        <v>4.1666666666666519E-3</v>
      </c>
      <c r="F3418" s="48">
        <v>0.76111111111111107</v>
      </c>
      <c r="G3418" s="49">
        <f t="shared" si="53"/>
        <v>1.5972222222222165E-2</v>
      </c>
      <c r="H3418" s="50">
        <v>41756</v>
      </c>
      <c r="I3418" s="51" t="s">
        <v>536</v>
      </c>
      <c r="J3418" s="51">
        <v>320</v>
      </c>
      <c r="K3418" s="51">
        <f>VLOOKUP(J3418,'Validacion reclamo de equipaje'!L:M,2,0)</f>
        <v>179</v>
      </c>
      <c r="L3418" s="51" t="str">
        <f>VLOOKUP(I3418,'Validacion reclamo de equipaje'!H:I,2,0)</f>
        <v>Nacional</v>
      </c>
      <c r="M3418" s="51" t="s">
        <v>523</v>
      </c>
    </row>
    <row r="3419" spans="1:13" x14ac:dyDescent="0.25">
      <c r="A3419">
        <v>742</v>
      </c>
      <c r="B3419" s="47" t="str">
        <f>VLOOKUP(Tabla6[[#This Row],['# Vuelo]],'Validacion reclamo de equipaje'!P:Q,2,0)</f>
        <v>BARATA Y MORADA</v>
      </c>
      <c r="C3419" s="52">
        <v>0.68125000000000002</v>
      </c>
      <c r="D3419" s="52">
        <v>0.68958333333333333</v>
      </c>
      <c r="E3419" s="53">
        <f>'Reclamo de equipaje rediseñado'!$D3419-'Reclamo de equipaje rediseñado'!$C3419</f>
        <v>8.3333333333333037E-3</v>
      </c>
      <c r="F3419" s="52">
        <v>0.6958333333333333</v>
      </c>
      <c r="G3419" s="53">
        <f t="shared" si="53"/>
        <v>6.2499999999999778E-3</v>
      </c>
      <c r="H3419" s="54">
        <v>41757</v>
      </c>
      <c r="I3419" s="55" t="s">
        <v>536</v>
      </c>
      <c r="J3419" s="55">
        <v>320</v>
      </c>
      <c r="K3419" s="55">
        <f>VLOOKUP(J3419,'Validacion reclamo de equipaje'!L:M,2,0)</f>
        <v>179</v>
      </c>
      <c r="L3419" s="55" t="str">
        <f>VLOOKUP(I3419,'Validacion reclamo de equipaje'!H:I,2,0)</f>
        <v>Nacional</v>
      </c>
      <c r="M3419" s="55" t="s">
        <v>523</v>
      </c>
    </row>
    <row r="3420" spans="1:13" x14ac:dyDescent="0.25">
      <c r="A3420">
        <v>742</v>
      </c>
      <c r="B3420" s="47" t="str">
        <f>VLOOKUP(Tabla6[[#This Row],['# Vuelo]],'Validacion reclamo de equipaje'!P:Q,2,0)</f>
        <v>BARATA Y MORADA</v>
      </c>
      <c r="C3420" s="48">
        <v>0.68333333333333324</v>
      </c>
      <c r="D3420" s="48">
        <v>0.69027777777777777</v>
      </c>
      <c r="E3420" s="49">
        <f>'Reclamo de equipaje rediseñado'!$D3420-'Reclamo de equipaje rediseñado'!$C3420</f>
        <v>6.9444444444445308E-3</v>
      </c>
      <c r="F3420" s="48">
        <v>0.69652777777777775</v>
      </c>
      <c r="G3420" s="49">
        <f t="shared" si="53"/>
        <v>6.2499999999999778E-3</v>
      </c>
      <c r="H3420" s="50">
        <v>41758</v>
      </c>
      <c r="I3420" s="51" t="s">
        <v>536</v>
      </c>
      <c r="J3420" s="51">
        <v>320</v>
      </c>
      <c r="K3420" s="51">
        <f>VLOOKUP(J3420,'Validacion reclamo de equipaje'!L:M,2,0)</f>
        <v>179</v>
      </c>
      <c r="L3420" s="51" t="str">
        <f>VLOOKUP(I3420,'Validacion reclamo de equipaje'!H:I,2,0)</f>
        <v>Nacional</v>
      </c>
      <c r="M3420" s="51" t="s">
        <v>523</v>
      </c>
    </row>
    <row r="3421" spans="1:13" x14ac:dyDescent="0.25">
      <c r="A3421">
        <v>742</v>
      </c>
      <c r="B3421" s="47" t="str">
        <f>VLOOKUP(Tabla6[[#This Row],['# Vuelo]],'Validacion reclamo de equipaje'!P:Q,2,0)</f>
        <v>BARATA Y MORADA</v>
      </c>
      <c r="C3421" s="52">
        <v>0.67708333333333337</v>
      </c>
      <c r="D3421" s="52">
        <v>0.68402777777777779</v>
      </c>
      <c r="E3421" s="53">
        <f>'Reclamo de equipaje rediseñado'!$D3421-'Reclamo de equipaje rediseñado'!$C3421</f>
        <v>6.9444444444444198E-3</v>
      </c>
      <c r="F3421" s="52">
        <v>0.69027777777777777</v>
      </c>
      <c r="G3421" s="53">
        <f t="shared" si="53"/>
        <v>6.2499999999999778E-3</v>
      </c>
      <c r="H3421" s="54">
        <v>41759</v>
      </c>
      <c r="I3421" s="55" t="s">
        <v>536</v>
      </c>
      <c r="J3421" s="55">
        <v>320</v>
      </c>
      <c r="K3421" s="55">
        <f>VLOOKUP(J3421,'Validacion reclamo de equipaje'!L:M,2,0)</f>
        <v>179</v>
      </c>
      <c r="L3421" s="55" t="str">
        <f>VLOOKUP(I3421,'Validacion reclamo de equipaje'!H:I,2,0)</f>
        <v>Nacional</v>
      </c>
      <c r="M3421" s="55" t="s">
        <v>523</v>
      </c>
    </row>
    <row r="3422" spans="1:13" x14ac:dyDescent="0.25">
      <c r="A3422">
        <v>744</v>
      </c>
      <c r="B3422" s="47" t="str">
        <f>VLOOKUP(Tabla6[[#This Row],['# Vuelo]],'Validacion reclamo de equipaje'!P:Q,2,0)</f>
        <v>BARATA Y MORADA</v>
      </c>
      <c r="C3422" s="48">
        <v>0.78263888888888899</v>
      </c>
      <c r="D3422" s="48">
        <v>0.7895833333333333</v>
      </c>
      <c r="E3422" s="49">
        <f>'Reclamo de equipaje rediseñado'!$D3422-'Reclamo de equipaje rediseñado'!$C3422</f>
        <v>6.9444444444443088E-3</v>
      </c>
      <c r="F3422" s="48">
        <v>0.79513888888888884</v>
      </c>
      <c r="G3422" s="49">
        <f t="shared" si="53"/>
        <v>5.5555555555555358E-3</v>
      </c>
      <c r="H3422" s="50">
        <v>41736</v>
      </c>
      <c r="I3422" s="51" t="s">
        <v>536</v>
      </c>
      <c r="J3422" s="51" t="s">
        <v>572</v>
      </c>
      <c r="K3422" s="51">
        <f>VLOOKUP(J3422,'Validacion reclamo de equipaje'!L:M,2,0)</f>
        <v>142</v>
      </c>
      <c r="L3422" s="51" t="str">
        <f>VLOOKUP(I3422,'Validacion reclamo de equipaje'!H:I,2,0)</f>
        <v>Nacional</v>
      </c>
      <c r="M3422" s="51" t="s">
        <v>523</v>
      </c>
    </row>
    <row r="3423" spans="1:13" x14ac:dyDescent="0.25">
      <c r="A3423">
        <v>744</v>
      </c>
      <c r="B3423" s="47" t="str">
        <f>VLOOKUP(Tabla6[[#This Row],['# Vuelo]],'Validacion reclamo de equipaje'!P:Q,2,0)</f>
        <v>BARATA Y MORADA</v>
      </c>
      <c r="C3423" s="52">
        <v>0.78472222222222221</v>
      </c>
      <c r="D3423" s="52">
        <v>0.78819444444444453</v>
      </c>
      <c r="E3423" s="53">
        <f>'Reclamo de equipaje rediseñado'!$D3423-'Reclamo de equipaje rediseñado'!$C3423</f>
        <v>3.4722222222223209E-3</v>
      </c>
      <c r="F3423" s="52">
        <v>0.79166666666666663</v>
      </c>
      <c r="G3423" s="53">
        <f t="shared" si="53"/>
        <v>3.4722222222220989E-3</v>
      </c>
      <c r="H3423" s="54">
        <v>41738</v>
      </c>
      <c r="I3423" s="55" t="s">
        <v>536</v>
      </c>
      <c r="J3423" s="55" t="s">
        <v>572</v>
      </c>
      <c r="K3423" s="55">
        <f>VLOOKUP(J3423,'Validacion reclamo de equipaje'!L:M,2,0)</f>
        <v>142</v>
      </c>
      <c r="L3423" s="55" t="str">
        <f>VLOOKUP(I3423,'Validacion reclamo de equipaje'!H:I,2,0)</f>
        <v>Nacional</v>
      </c>
      <c r="M3423" s="55" t="s">
        <v>523</v>
      </c>
    </row>
    <row r="3424" spans="1:13" x14ac:dyDescent="0.25">
      <c r="A3424">
        <v>744</v>
      </c>
      <c r="B3424" s="47" t="str">
        <f>VLOOKUP(Tabla6[[#This Row],['# Vuelo]],'Validacion reclamo de equipaje'!P:Q,2,0)</f>
        <v>BARATA Y MORADA</v>
      </c>
      <c r="C3424" s="48">
        <v>0.78472222222222221</v>
      </c>
      <c r="D3424" s="48">
        <v>0.78819444444444453</v>
      </c>
      <c r="E3424" s="49">
        <f>'Reclamo de equipaje rediseñado'!$D3424-'Reclamo de equipaje rediseñado'!$C3424</f>
        <v>3.4722222222223209E-3</v>
      </c>
      <c r="F3424" s="48">
        <v>0.78888888888888886</v>
      </c>
      <c r="G3424" s="49">
        <f t="shared" si="53"/>
        <v>6.9444444444433095E-4</v>
      </c>
      <c r="H3424" s="50">
        <v>41741</v>
      </c>
      <c r="I3424" s="51" t="s">
        <v>536</v>
      </c>
      <c r="J3424" s="51" t="s">
        <v>572</v>
      </c>
      <c r="K3424" s="51">
        <f>VLOOKUP(J3424,'Validacion reclamo de equipaje'!L:M,2,0)</f>
        <v>142</v>
      </c>
      <c r="L3424" s="51" t="str">
        <f>VLOOKUP(I3424,'Validacion reclamo de equipaje'!H:I,2,0)</f>
        <v>Nacional</v>
      </c>
      <c r="M3424" s="51" t="s">
        <v>523</v>
      </c>
    </row>
    <row r="3425" spans="1:13" x14ac:dyDescent="0.25">
      <c r="A3425">
        <v>744</v>
      </c>
      <c r="B3425" s="47" t="str">
        <f>VLOOKUP(Tabla6[[#This Row],['# Vuelo]],'Validacion reclamo de equipaje'!P:Q,2,0)</f>
        <v>BARATA Y MORADA</v>
      </c>
      <c r="C3425" s="52">
        <v>0.75138888888888899</v>
      </c>
      <c r="D3425" s="52">
        <v>0.79722222222222217</v>
      </c>
      <c r="E3425" s="53">
        <f>'Reclamo de equipaje rediseñado'!$D3425-'Reclamo de equipaje rediseñado'!$C3425</f>
        <v>4.5833333333333171E-2</v>
      </c>
      <c r="F3425" s="52">
        <v>0.8041666666666667</v>
      </c>
      <c r="G3425" s="53">
        <f t="shared" si="53"/>
        <v>6.9444444444445308E-3</v>
      </c>
      <c r="H3425" s="54">
        <v>41745</v>
      </c>
      <c r="I3425" s="55" t="s">
        <v>536</v>
      </c>
      <c r="J3425" s="55" t="s">
        <v>572</v>
      </c>
      <c r="K3425" s="55">
        <f>VLOOKUP(J3425,'Validacion reclamo de equipaje'!L:M,2,0)</f>
        <v>142</v>
      </c>
      <c r="L3425" s="55" t="str">
        <f>VLOOKUP(I3425,'Validacion reclamo de equipaje'!H:I,2,0)</f>
        <v>Nacional</v>
      </c>
      <c r="M3425" s="55" t="s">
        <v>523</v>
      </c>
    </row>
    <row r="3426" spans="1:13" x14ac:dyDescent="0.25">
      <c r="A3426">
        <v>744</v>
      </c>
      <c r="B3426" s="47" t="str">
        <f>VLOOKUP(Tabla6[[#This Row],['# Vuelo]],'Validacion reclamo de equipaje'!P:Q,2,0)</f>
        <v>BARATA Y MORADA</v>
      </c>
      <c r="C3426" s="48">
        <v>0.78333333333333333</v>
      </c>
      <c r="D3426" s="48">
        <v>0.79166666666666663</v>
      </c>
      <c r="E3426" s="49">
        <f>'Reclamo de equipaje rediseñado'!$D3426-'Reclamo de equipaje rediseñado'!$C3426</f>
        <v>8.3333333333333037E-3</v>
      </c>
      <c r="F3426" s="48">
        <v>0.79652777777777783</v>
      </c>
      <c r="G3426" s="49">
        <f t="shared" si="53"/>
        <v>4.8611111111112049E-3</v>
      </c>
      <c r="H3426" s="50">
        <v>41746</v>
      </c>
      <c r="I3426" s="51" t="s">
        <v>536</v>
      </c>
      <c r="J3426" s="51" t="s">
        <v>572</v>
      </c>
      <c r="K3426" s="51">
        <f>VLOOKUP(J3426,'Validacion reclamo de equipaje'!L:M,2,0)</f>
        <v>142</v>
      </c>
      <c r="L3426" s="51" t="str">
        <f>VLOOKUP(I3426,'Validacion reclamo de equipaje'!H:I,2,0)</f>
        <v>Nacional</v>
      </c>
      <c r="M3426" s="51" t="s">
        <v>523</v>
      </c>
    </row>
    <row r="3427" spans="1:13" x14ac:dyDescent="0.25">
      <c r="A3427">
        <v>744</v>
      </c>
      <c r="B3427" s="47" t="str">
        <f>VLOOKUP(Tabla6[[#This Row],['# Vuelo]],'Validacion reclamo de equipaje'!P:Q,2,0)</f>
        <v>BARATA Y MORADA</v>
      </c>
      <c r="C3427" s="52">
        <v>0.78819444444444453</v>
      </c>
      <c r="D3427" s="52">
        <v>0.79513888888888884</v>
      </c>
      <c r="E3427" s="53">
        <f>'Reclamo de equipaje rediseñado'!$D3427-'Reclamo de equipaje rediseñado'!$C3427</f>
        <v>6.9444444444443088E-3</v>
      </c>
      <c r="F3427" s="52">
        <v>0.80138888888888893</v>
      </c>
      <c r="G3427" s="53">
        <f t="shared" si="53"/>
        <v>6.2500000000000888E-3</v>
      </c>
      <c r="H3427" s="54">
        <v>41746</v>
      </c>
      <c r="I3427" s="55" t="s">
        <v>536</v>
      </c>
      <c r="J3427" s="55" t="s">
        <v>572</v>
      </c>
      <c r="K3427" s="55">
        <f>VLOOKUP(J3427,'Validacion reclamo de equipaje'!L:M,2,0)</f>
        <v>142</v>
      </c>
      <c r="L3427" s="55" t="str">
        <f>VLOOKUP(I3427,'Validacion reclamo de equipaje'!H:I,2,0)</f>
        <v>Nacional</v>
      </c>
      <c r="M3427" s="55" t="s">
        <v>523</v>
      </c>
    </row>
    <row r="3428" spans="1:13" x14ac:dyDescent="0.25">
      <c r="A3428">
        <v>744</v>
      </c>
      <c r="B3428" s="47" t="str">
        <f>VLOOKUP(Tabla6[[#This Row],['# Vuelo]],'Validacion reclamo de equipaje'!P:Q,2,0)</f>
        <v>BARATA Y MORADA</v>
      </c>
      <c r="C3428" s="48">
        <v>0.27499999999999997</v>
      </c>
      <c r="D3428" s="48">
        <v>0.28055555555555556</v>
      </c>
      <c r="E3428" s="49">
        <f>'Reclamo de equipaje rediseñado'!$D3428-'Reclamo de equipaje rediseñado'!$C3428</f>
        <v>5.5555555555555913E-3</v>
      </c>
      <c r="F3428" s="48">
        <v>0.28819444444444448</v>
      </c>
      <c r="G3428" s="49">
        <f t="shared" si="53"/>
        <v>7.6388888888889173E-3</v>
      </c>
      <c r="H3428" s="50">
        <v>41747</v>
      </c>
      <c r="I3428" s="51" t="s">
        <v>536</v>
      </c>
      <c r="J3428" s="51" t="s">
        <v>572</v>
      </c>
      <c r="K3428" s="51">
        <f>VLOOKUP(J3428,'Validacion reclamo de equipaje'!L:M,2,0)</f>
        <v>142</v>
      </c>
      <c r="L3428" s="51" t="str">
        <f>VLOOKUP(I3428,'Validacion reclamo de equipaje'!H:I,2,0)</f>
        <v>Nacional</v>
      </c>
      <c r="M3428" s="51" t="s">
        <v>523</v>
      </c>
    </row>
    <row r="3429" spans="1:13" x14ac:dyDescent="0.25">
      <c r="A3429">
        <v>744</v>
      </c>
      <c r="B3429" s="47" t="str">
        <f>VLOOKUP(Tabla6[[#This Row],['# Vuelo]],'Validacion reclamo de equipaje'!P:Q,2,0)</f>
        <v>BARATA Y MORADA</v>
      </c>
      <c r="C3429" s="52">
        <v>0.78194444444444444</v>
      </c>
      <c r="D3429" s="52">
        <v>0.78680555555555554</v>
      </c>
      <c r="E3429" s="53">
        <f>'Reclamo de equipaje rediseñado'!$D3429-'Reclamo de equipaje rediseñado'!$C3429</f>
        <v>4.8611111111110938E-3</v>
      </c>
      <c r="F3429" s="52">
        <v>0.79375000000000007</v>
      </c>
      <c r="G3429" s="53">
        <f t="shared" si="53"/>
        <v>6.9444444444445308E-3</v>
      </c>
      <c r="H3429" s="54">
        <v>41750</v>
      </c>
      <c r="I3429" s="55" t="s">
        <v>536</v>
      </c>
      <c r="J3429" s="55" t="s">
        <v>572</v>
      </c>
      <c r="K3429" s="55">
        <f>VLOOKUP(J3429,'Validacion reclamo de equipaje'!L:M,2,0)</f>
        <v>142</v>
      </c>
      <c r="L3429" s="55" t="str">
        <f>VLOOKUP(I3429,'Validacion reclamo de equipaje'!H:I,2,0)</f>
        <v>Nacional</v>
      </c>
      <c r="M3429" s="55" t="s">
        <v>523</v>
      </c>
    </row>
    <row r="3430" spans="1:13" x14ac:dyDescent="0.25">
      <c r="A3430">
        <v>744</v>
      </c>
      <c r="B3430" s="47" t="str">
        <f>VLOOKUP(Tabla6[[#This Row],['# Vuelo]],'Validacion reclamo de equipaje'!P:Q,2,0)</f>
        <v>BARATA Y MORADA</v>
      </c>
      <c r="C3430" s="48">
        <v>0.77569444444444446</v>
      </c>
      <c r="D3430" s="48">
        <v>0.78333333333333333</v>
      </c>
      <c r="E3430" s="49">
        <f>'Reclamo de equipaje rediseñado'!$D3430-'Reclamo de equipaje rediseñado'!$C3430</f>
        <v>7.6388888888888618E-3</v>
      </c>
      <c r="F3430" s="48">
        <v>0.78749999999999998</v>
      </c>
      <c r="G3430" s="49">
        <f t="shared" si="53"/>
        <v>4.1666666666666519E-3</v>
      </c>
      <c r="H3430" s="50">
        <v>41751</v>
      </c>
      <c r="I3430" s="51" t="s">
        <v>536</v>
      </c>
      <c r="J3430" s="51" t="s">
        <v>572</v>
      </c>
      <c r="K3430" s="51">
        <f>VLOOKUP(J3430,'Validacion reclamo de equipaje'!L:M,2,0)</f>
        <v>142</v>
      </c>
      <c r="L3430" s="51" t="str">
        <f>VLOOKUP(I3430,'Validacion reclamo de equipaje'!H:I,2,0)</f>
        <v>Nacional</v>
      </c>
      <c r="M3430" s="51" t="s">
        <v>523</v>
      </c>
    </row>
    <row r="3431" spans="1:13" x14ac:dyDescent="0.25">
      <c r="A3431">
        <v>744</v>
      </c>
      <c r="B3431" s="47" t="str">
        <f>VLOOKUP(Tabla6[[#This Row],['# Vuelo]],'Validacion reclamo de equipaje'!P:Q,2,0)</f>
        <v>BARATA Y MORADA</v>
      </c>
      <c r="C3431" s="52">
        <v>0.77847222222222223</v>
      </c>
      <c r="D3431" s="52">
        <v>0.78402777777777777</v>
      </c>
      <c r="E3431" s="53">
        <f>'Reclamo de equipaje rediseñado'!$D3431-'Reclamo de equipaje rediseñado'!$C3431</f>
        <v>5.5555555555555358E-3</v>
      </c>
      <c r="F3431" s="52">
        <v>0.79722222222222217</v>
      </c>
      <c r="G3431" s="53">
        <f t="shared" si="53"/>
        <v>1.3194444444444398E-2</v>
      </c>
      <c r="H3431" s="54">
        <v>41756</v>
      </c>
      <c r="I3431" s="55" t="s">
        <v>536</v>
      </c>
      <c r="J3431" s="55" t="s">
        <v>572</v>
      </c>
      <c r="K3431" s="55">
        <f>VLOOKUP(J3431,'Validacion reclamo de equipaje'!L:M,2,0)</f>
        <v>142</v>
      </c>
      <c r="L3431" s="55" t="str">
        <f>VLOOKUP(I3431,'Validacion reclamo de equipaje'!H:I,2,0)</f>
        <v>Nacional</v>
      </c>
      <c r="M3431" s="55" t="s">
        <v>523</v>
      </c>
    </row>
    <row r="3432" spans="1:13" x14ac:dyDescent="0.25">
      <c r="A3432">
        <v>744</v>
      </c>
      <c r="B3432" s="47" t="str">
        <f>VLOOKUP(Tabla6[[#This Row],['# Vuelo]],'Validacion reclamo de equipaje'!P:Q,2,0)</f>
        <v>BARATA Y MORADA</v>
      </c>
      <c r="C3432" s="48">
        <v>0.77569444444444446</v>
      </c>
      <c r="D3432" s="48">
        <v>0.78402777777777777</v>
      </c>
      <c r="E3432" s="49">
        <f>'Reclamo de equipaje rediseñado'!$D3432-'Reclamo de equipaje rediseñado'!$C3432</f>
        <v>8.3333333333333037E-3</v>
      </c>
      <c r="F3432" s="48">
        <v>0.79305555555555562</v>
      </c>
      <c r="G3432" s="49">
        <f t="shared" si="53"/>
        <v>9.0277777777778567E-3</v>
      </c>
      <c r="H3432" s="50">
        <v>41757</v>
      </c>
      <c r="I3432" s="51" t="s">
        <v>536</v>
      </c>
      <c r="J3432" s="51" t="s">
        <v>572</v>
      </c>
      <c r="K3432" s="51">
        <f>VLOOKUP(J3432,'Validacion reclamo de equipaje'!L:M,2,0)</f>
        <v>142</v>
      </c>
      <c r="L3432" s="51" t="str">
        <f>VLOOKUP(I3432,'Validacion reclamo de equipaje'!H:I,2,0)</f>
        <v>Nacional</v>
      </c>
      <c r="M3432" s="51" t="s">
        <v>523</v>
      </c>
    </row>
    <row r="3433" spans="1:13" x14ac:dyDescent="0.25">
      <c r="A3433">
        <v>744</v>
      </c>
      <c r="B3433" s="47" t="str">
        <f>VLOOKUP(Tabla6[[#This Row],['# Vuelo]],'Validacion reclamo de equipaje'!P:Q,2,0)</f>
        <v>BARATA Y MORADA</v>
      </c>
      <c r="C3433" s="52">
        <v>0.77708333333333324</v>
      </c>
      <c r="D3433" s="52">
        <v>0.78749999999999998</v>
      </c>
      <c r="E3433" s="53">
        <f>'Reclamo de equipaje rediseñado'!$D3433-'Reclamo de equipaje rediseñado'!$C3433</f>
        <v>1.0416666666666741E-2</v>
      </c>
      <c r="F3433" s="52">
        <v>0.79236111111111107</v>
      </c>
      <c r="G3433" s="53">
        <f t="shared" si="53"/>
        <v>4.8611111111110938E-3</v>
      </c>
      <c r="H3433" s="54">
        <v>41758</v>
      </c>
      <c r="I3433" s="55" t="s">
        <v>536</v>
      </c>
      <c r="J3433" s="55" t="s">
        <v>572</v>
      </c>
      <c r="K3433" s="55">
        <f>VLOOKUP(J3433,'Validacion reclamo de equipaje'!L:M,2,0)</f>
        <v>142</v>
      </c>
      <c r="L3433" s="55" t="str">
        <f>VLOOKUP(I3433,'Validacion reclamo de equipaje'!H:I,2,0)</f>
        <v>Nacional</v>
      </c>
      <c r="M3433" s="55" t="s">
        <v>523</v>
      </c>
    </row>
    <row r="3434" spans="1:13" x14ac:dyDescent="0.25">
      <c r="A3434">
        <v>744</v>
      </c>
      <c r="B3434" s="47" t="str">
        <f>VLOOKUP(Tabla6[[#This Row],['# Vuelo]],'Validacion reclamo de equipaje'!P:Q,2,0)</f>
        <v>BARATA Y MORADA</v>
      </c>
      <c r="C3434" s="48">
        <v>0.78680555555555554</v>
      </c>
      <c r="D3434" s="48">
        <v>0.79375000000000007</v>
      </c>
      <c r="E3434" s="49">
        <f>'Reclamo de equipaje rediseñado'!$D3434-'Reclamo de equipaje rediseñado'!$C3434</f>
        <v>6.9444444444445308E-3</v>
      </c>
      <c r="F3434" s="48">
        <v>0.79583333333333339</v>
      </c>
      <c r="G3434" s="49">
        <f t="shared" si="53"/>
        <v>2.0833333333333259E-3</v>
      </c>
      <c r="H3434" s="50">
        <v>41759</v>
      </c>
      <c r="I3434" s="51" t="s">
        <v>536</v>
      </c>
      <c r="J3434" s="51" t="s">
        <v>572</v>
      </c>
      <c r="K3434" s="51">
        <f>VLOOKUP(J3434,'Validacion reclamo de equipaje'!L:M,2,0)</f>
        <v>142</v>
      </c>
      <c r="L3434" s="51" t="str">
        <f>VLOOKUP(I3434,'Validacion reclamo de equipaje'!H:I,2,0)</f>
        <v>Nacional</v>
      </c>
      <c r="M3434" s="51" t="s">
        <v>523</v>
      </c>
    </row>
    <row r="3435" spans="1:13" x14ac:dyDescent="0.25">
      <c r="A3435">
        <v>747</v>
      </c>
      <c r="B3435" s="47" t="str">
        <f>VLOOKUP(Tabla6[[#This Row],['# Vuelo]],'Validacion reclamo de equipaje'!P:Q,2,0)</f>
        <v>BARATA Y MORADA</v>
      </c>
      <c r="C3435" s="52">
        <v>0.73611111111111116</v>
      </c>
      <c r="D3435" s="52">
        <v>0.74652777777777779</v>
      </c>
      <c r="E3435" s="53">
        <f>'Reclamo de equipaje rediseñado'!$D3435-'Reclamo de equipaje rediseñado'!$C3435</f>
        <v>1.041666666666663E-2</v>
      </c>
      <c r="F3435" s="52">
        <v>0.75</v>
      </c>
      <c r="G3435" s="53">
        <f t="shared" si="53"/>
        <v>3.4722222222222099E-3</v>
      </c>
      <c r="H3435" s="54">
        <v>41732</v>
      </c>
      <c r="I3435" s="55" t="s">
        <v>581</v>
      </c>
      <c r="J3435" s="55" t="s">
        <v>572</v>
      </c>
      <c r="K3435" s="55">
        <f>VLOOKUP(J3435,'Validacion reclamo de equipaje'!L:M,2,0)</f>
        <v>142</v>
      </c>
      <c r="L3435" s="55" t="str">
        <f>VLOOKUP(I3435,'Validacion reclamo de equipaje'!H:I,2,0)</f>
        <v>Nacional</v>
      </c>
      <c r="M3435" s="55" t="s">
        <v>523</v>
      </c>
    </row>
    <row r="3436" spans="1:13" x14ac:dyDescent="0.25">
      <c r="A3436">
        <v>747</v>
      </c>
      <c r="B3436" s="47" t="str">
        <f>VLOOKUP(Tabla6[[#This Row],['# Vuelo]],'Validacion reclamo de equipaje'!P:Q,2,0)</f>
        <v>BARATA Y MORADA</v>
      </c>
      <c r="C3436" s="48">
        <v>0.71597222222222223</v>
      </c>
      <c r="D3436" s="48">
        <v>0.72361111111111109</v>
      </c>
      <c r="E3436" s="49">
        <f>'Reclamo de equipaje rediseñado'!$D3436-'Reclamo de equipaje rediseñado'!$C3436</f>
        <v>7.6388888888888618E-3</v>
      </c>
      <c r="F3436" s="48">
        <v>0.7319444444444444</v>
      </c>
      <c r="G3436" s="49">
        <f t="shared" si="53"/>
        <v>8.3333333333333037E-3</v>
      </c>
      <c r="H3436" s="50">
        <v>41733</v>
      </c>
      <c r="I3436" s="51" t="s">
        <v>581</v>
      </c>
      <c r="J3436" s="51" t="s">
        <v>572</v>
      </c>
      <c r="K3436" s="51">
        <f>VLOOKUP(J3436,'Validacion reclamo de equipaje'!L:M,2,0)</f>
        <v>142</v>
      </c>
      <c r="L3436" s="51" t="str">
        <f>VLOOKUP(I3436,'Validacion reclamo de equipaje'!H:I,2,0)</f>
        <v>Nacional</v>
      </c>
      <c r="M3436" s="51" t="s">
        <v>523</v>
      </c>
    </row>
    <row r="3437" spans="1:13" x14ac:dyDescent="0.25">
      <c r="A3437">
        <v>747</v>
      </c>
      <c r="B3437" s="47" t="str">
        <f>VLOOKUP(Tabla6[[#This Row],['# Vuelo]],'Validacion reclamo de equipaje'!P:Q,2,0)</f>
        <v>BARATA Y MORADA</v>
      </c>
      <c r="C3437" s="52">
        <v>0.72569444444444453</v>
      </c>
      <c r="D3437" s="52">
        <v>0.7319444444444444</v>
      </c>
      <c r="E3437" s="53">
        <f>'Reclamo de equipaje rediseñado'!$D3437-'Reclamo de equipaje rediseñado'!$C3437</f>
        <v>6.2499999999998668E-3</v>
      </c>
      <c r="F3437" s="52">
        <v>0.73819444444444438</v>
      </c>
      <c r="G3437" s="53">
        <f t="shared" si="53"/>
        <v>6.2499999999999778E-3</v>
      </c>
      <c r="H3437" s="54">
        <v>41739</v>
      </c>
      <c r="I3437" s="55" t="s">
        <v>581</v>
      </c>
      <c r="J3437" s="55" t="s">
        <v>572</v>
      </c>
      <c r="K3437" s="55">
        <f>VLOOKUP(J3437,'Validacion reclamo de equipaje'!L:M,2,0)</f>
        <v>142</v>
      </c>
      <c r="L3437" s="55" t="str">
        <f>VLOOKUP(I3437,'Validacion reclamo de equipaje'!H:I,2,0)</f>
        <v>Nacional</v>
      </c>
      <c r="M3437" s="55" t="s">
        <v>523</v>
      </c>
    </row>
    <row r="3438" spans="1:13" x14ac:dyDescent="0.25">
      <c r="A3438">
        <v>747</v>
      </c>
      <c r="B3438" s="47" t="str">
        <f>VLOOKUP(Tabla6[[#This Row],['# Vuelo]],'Validacion reclamo de equipaje'!P:Q,2,0)</f>
        <v>BARATA Y MORADA</v>
      </c>
      <c r="C3438" s="48">
        <v>0.72499999999999998</v>
      </c>
      <c r="D3438" s="48">
        <v>0.72638888888888886</v>
      </c>
      <c r="E3438" s="49">
        <f>'Reclamo de equipaje rediseñado'!$D3438-'Reclamo de equipaje rediseñado'!$C3438</f>
        <v>1.388888888888884E-3</v>
      </c>
      <c r="F3438" s="48">
        <v>0.73611111111111116</v>
      </c>
      <c r="G3438" s="49">
        <f t="shared" si="53"/>
        <v>9.7222222222222987E-3</v>
      </c>
      <c r="H3438" s="50">
        <v>41741</v>
      </c>
      <c r="I3438" s="51" t="s">
        <v>581</v>
      </c>
      <c r="J3438" s="51" t="s">
        <v>572</v>
      </c>
      <c r="K3438" s="51">
        <f>VLOOKUP(J3438,'Validacion reclamo de equipaje'!L:M,2,0)</f>
        <v>142</v>
      </c>
      <c r="L3438" s="51" t="str">
        <f>VLOOKUP(I3438,'Validacion reclamo de equipaje'!H:I,2,0)</f>
        <v>Nacional</v>
      </c>
      <c r="M3438" s="51" t="s">
        <v>523</v>
      </c>
    </row>
    <row r="3439" spans="1:13" x14ac:dyDescent="0.25">
      <c r="A3439">
        <v>747</v>
      </c>
      <c r="B3439" s="47" t="str">
        <f>VLOOKUP(Tabla6[[#This Row],['# Vuelo]],'Validacion reclamo de equipaje'!P:Q,2,0)</f>
        <v>BARATA Y MORADA</v>
      </c>
      <c r="C3439" s="52">
        <v>0.71527777777777779</v>
      </c>
      <c r="D3439" s="52">
        <v>0.72916666666666663</v>
      </c>
      <c r="E3439" s="53">
        <f>'Reclamo de equipaje rediseñado'!$D3439-'Reclamo de equipaje rediseñado'!$C3439</f>
        <v>1.388888888888884E-2</v>
      </c>
      <c r="F3439" s="52">
        <v>0.73263888888888884</v>
      </c>
      <c r="G3439" s="53">
        <f t="shared" si="53"/>
        <v>3.4722222222222099E-3</v>
      </c>
      <c r="H3439" s="54">
        <v>41743</v>
      </c>
      <c r="I3439" s="55" t="s">
        <v>581</v>
      </c>
      <c r="J3439" s="55" t="s">
        <v>572</v>
      </c>
      <c r="K3439" s="55">
        <f>VLOOKUP(J3439,'Validacion reclamo de equipaje'!L:M,2,0)</f>
        <v>142</v>
      </c>
      <c r="L3439" s="55" t="str">
        <f>VLOOKUP(I3439,'Validacion reclamo de equipaje'!H:I,2,0)</f>
        <v>Nacional</v>
      </c>
      <c r="M3439" s="55" t="s">
        <v>523</v>
      </c>
    </row>
    <row r="3440" spans="1:13" x14ac:dyDescent="0.25">
      <c r="A3440">
        <v>747</v>
      </c>
      <c r="B3440" s="47" t="str">
        <f>VLOOKUP(Tabla6[[#This Row],['# Vuelo]],'Validacion reclamo de equipaje'!P:Q,2,0)</f>
        <v>BARATA Y MORADA</v>
      </c>
      <c r="C3440" s="48">
        <v>0.71388888888888891</v>
      </c>
      <c r="D3440" s="48">
        <v>0.71944444444444444</v>
      </c>
      <c r="E3440" s="49">
        <f>'Reclamo de equipaje rediseñado'!$D3440-'Reclamo de equipaje rediseñado'!$C3440</f>
        <v>5.5555555555555358E-3</v>
      </c>
      <c r="F3440" s="48">
        <v>0.72569444444444453</v>
      </c>
      <c r="G3440" s="49">
        <f t="shared" si="53"/>
        <v>6.2500000000000888E-3</v>
      </c>
      <c r="H3440" s="50">
        <v>41746</v>
      </c>
      <c r="I3440" s="51" t="s">
        <v>581</v>
      </c>
      <c r="J3440" s="51" t="s">
        <v>572</v>
      </c>
      <c r="K3440" s="51">
        <f>VLOOKUP(J3440,'Validacion reclamo de equipaje'!L:M,2,0)</f>
        <v>142</v>
      </c>
      <c r="L3440" s="51" t="str">
        <f>VLOOKUP(I3440,'Validacion reclamo de equipaje'!H:I,2,0)</f>
        <v>Nacional</v>
      </c>
      <c r="M3440" s="51" t="s">
        <v>523</v>
      </c>
    </row>
    <row r="3441" spans="1:13" x14ac:dyDescent="0.25">
      <c r="A3441">
        <v>747</v>
      </c>
      <c r="B3441" s="47" t="str">
        <f>VLOOKUP(Tabla6[[#This Row],['# Vuelo]],'Validacion reclamo de equipaje'!P:Q,2,0)</f>
        <v>BARATA Y MORADA</v>
      </c>
      <c r="C3441" s="52">
        <v>0.70416666666666661</v>
      </c>
      <c r="D3441" s="52">
        <v>0.71111111111111114</v>
      </c>
      <c r="E3441" s="53">
        <f>'Reclamo de equipaje rediseñado'!$D3441-'Reclamo de equipaje rediseñado'!$C3441</f>
        <v>6.9444444444445308E-3</v>
      </c>
      <c r="F3441" s="52">
        <v>0.71875</v>
      </c>
      <c r="G3441" s="53">
        <f t="shared" si="53"/>
        <v>7.6388888888888618E-3</v>
      </c>
      <c r="H3441" s="54">
        <v>41747</v>
      </c>
      <c r="I3441" s="55" t="s">
        <v>581</v>
      </c>
      <c r="J3441" s="55" t="s">
        <v>572</v>
      </c>
      <c r="K3441" s="55">
        <f>VLOOKUP(J3441,'Validacion reclamo de equipaje'!L:M,2,0)</f>
        <v>142</v>
      </c>
      <c r="L3441" s="55" t="str">
        <f>VLOOKUP(I3441,'Validacion reclamo de equipaje'!H:I,2,0)</f>
        <v>Nacional</v>
      </c>
      <c r="M3441" s="55" t="s">
        <v>523</v>
      </c>
    </row>
    <row r="3442" spans="1:13" x14ac:dyDescent="0.25">
      <c r="A3442">
        <v>747</v>
      </c>
      <c r="B3442" s="47" t="str">
        <f>VLOOKUP(Tabla6[[#This Row],['# Vuelo]],'Validacion reclamo de equipaje'!P:Q,2,0)</f>
        <v>BARATA Y MORADA</v>
      </c>
      <c r="C3442" s="48">
        <v>0.72083333333333333</v>
      </c>
      <c r="D3442" s="48">
        <v>0.72986111111111107</v>
      </c>
      <c r="E3442" s="49">
        <f>'Reclamo de equipaje rediseñado'!$D3442-'Reclamo de equipaje rediseñado'!$C3442</f>
        <v>9.0277777777777457E-3</v>
      </c>
      <c r="F3442" s="48">
        <v>0.7402777777777777</v>
      </c>
      <c r="G3442" s="49">
        <f t="shared" si="53"/>
        <v>1.041666666666663E-2</v>
      </c>
      <c r="H3442" s="50">
        <v>41748</v>
      </c>
      <c r="I3442" s="51" t="s">
        <v>581</v>
      </c>
      <c r="J3442" s="51" t="s">
        <v>572</v>
      </c>
      <c r="K3442" s="51">
        <f>VLOOKUP(J3442,'Validacion reclamo de equipaje'!L:M,2,0)</f>
        <v>142</v>
      </c>
      <c r="L3442" s="51" t="str">
        <f>VLOOKUP(I3442,'Validacion reclamo de equipaje'!H:I,2,0)</f>
        <v>Nacional</v>
      </c>
      <c r="M3442" s="51" t="s">
        <v>523</v>
      </c>
    </row>
    <row r="3443" spans="1:13" x14ac:dyDescent="0.25">
      <c r="A3443">
        <v>747</v>
      </c>
      <c r="B3443" s="47" t="str">
        <f>VLOOKUP(Tabla6[[#This Row],['# Vuelo]],'Validacion reclamo de equipaje'!P:Q,2,0)</f>
        <v>BARATA Y MORADA</v>
      </c>
      <c r="C3443" s="52">
        <v>0.7270833333333333</v>
      </c>
      <c r="D3443" s="52">
        <v>0.73819444444444438</v>
      </c>
      <c r="E3443" s="53">
        <f>'Reclamo de equipaje rediseñado'!$D3443-'Reclamo de equipaje rediseñado'!$C3443</f>
        <v>1.1111111111111072E-2</v>
      </c>
      <c r="F3443" s="52">
        <v>0.74305555555555547</v>
      </c>
      <c r="G3443" s="53">
        <f t="shared" si="53"/>
        <v>4.8611111111110938E-3</v>
      </c>
      <c r="H3443" s="54">
        <v>41749</v>
      </c>
      <c r="I3443" s="55" t="s">
        <v>581</v>
      </c>
      <c r="J3443" s="55" t="s">
        <v>572</v>
      </c>
      <c r="K3443" s="55">
        <f>VLOOKUP(J3443,'Validacion reclamo de equipaje'!L:M,2,0)</f>
        <v>142</v>
      </c>
      <c r="L3443" s="55" t="str">
        <f>VLOOKUP(I3443,'Validacion reclamo de equipaje'!H:I,2,0)</f>
        <v>Nacional</v>
      </c>
      <c r="M3443" s="55" t="s">
        <v>523</v>
      </c>
    </row>
    <row r="3444" spans="1:13" x14ac:dyDescent="0.25">
      <c r="A3444">
        <v>747</v>
      </c>
      <c r="B3444" s="47" t="str">
        <f>VLOOKUP(Tabla6[[#This Row],['# Vuelo]],'Validacion reclamo de equipaje'!P:Q,2,0)</f>
        <v>BARATA Y MORADA</v>
      </c>
      <c r="C3444" s="48">
        <v>0.72361111111111109</v>
      </c>
      <c r="D3444" s="48">
        <v>0.73263888888888884</v>
      </c>
      <c r="E3444" s="49">
        <f>'Reclamo de equipaje rediseñado'!$D3444-'Reclamo de equipaje rediseñado'!$C3444</f>
        <v>9.0277777777777457E-3</v>
      </c>
      <c r="F3444" s="48">
        <v>0.73819444444444438</v>
      </c>
      <c r="G3444" s="49">
        <f t="shared" si="53"/>
        <v>5.5555555555555358E-3</v>
      </c>
      <c r="H3444" s="50">
        <v>41753</v>
      </c>
      <c r="I3444" s="51" t="s">
        <v>581</v>
      </c>
      <c r="J3444" s="51" t="s">
        <v>572</v>
      </c>
      <c r="K3444" s="51">
        <f>VLOOKUP(J3444,'Validacion reclamo de equipaje'!L:M,2,0)</f>
        <v>142</v>
      </c>
      <c r="L3444" s="51" t="str">
        <f>VLOOKUP(I3444,'Validacion reclamo de equipaje'!H:I,2,0)</f>
        <v>Nacional</v>
      </c>
      <c r="M3444" s="51" t="s">
        <v>523</v>
      </c>
    </row>
    <row r="3445" spans="1:13" x14ac:dyDescent="0.25">
      <c r="A3445">
        <v>747</v>
      </c>
      <c r="B3445" s="47" t="str">
        <f>VLOOKUP(Tabla6[[#This Row],['# Vuelo]],'Validacion reclamo de equipaje'!P:Q,2,0)</f>
        <v>BARATA Y MORADA</v>
      </c>
      <c r="C3445" s="52">
        <v>0.71875</v>
      </c>
      <c r="D3445" s="52">
        <v>0.72569444444444453</v>
      </c>
      <c r="E3445" s="53">
        <f>'Reclamo de equipaje rediseñado'!$D3445-'Reclamo de equipaje rediseñado'!$C3445</f>
        <v>6.9444444444445308E-3</v>
      </c>
      <c r="F3445" s="52">
        <v>0.73402777777777783</v>
      </c>
      <c r="G3445" s="53">
        <f t="shared" si="53"/>
        <v>8.3333333333333037E-3</v>
      </c>
      <c r="H3445" s="54">
        <v>41754</v>
      </c>
      <c r="I3445" s="55" t="s">
        <v>581</v>
      </c>
      <c r="J3445" s="55" t="s">
        <v>572</v>
      </c>
      <c r="K3445" s="55">
        <f>VLOOKUP(J3445,'Validacion reclamo de equipaje'!L:M,2,0)</f>
        <v>142</v>
      </c>
      <c r="L3445" s="55" t="str">
        <f>VLOOKUP(I3445,'Validacion reclamo de equipaje'!H:I,2,0)</f>
        <v>Nacional</v>
      </c>
      <c r="M3445" s="55" t="s">
        <v>523</v>
      </c>
    </row>
    <row r="3446" spans="1:13" x14ac:dyDescent="0.25">
      <c r="A3446">
        <v>747</v>
      </c>
      <c r="B3446" s="47" t="str">
        <f>VLOOKUP(Tabla6[[#This Row],['# Vuelo]],'Validacion reclamo de equipaje'!P:Q,2,0)</f>
        <v>BARATA Y MORADA</v>
      </c>
      <c r="C3446" s="48">
        <v>0.72222222222222221</v>
      </c>
      <c r="D3446" s="48">
        <v>0.73055555555555562</v>
      </c>
      <c r="E3446" s="49">
        <f>'Reclamo de equipaje rediseñado'!$D3446-'Reclamo de equipaje rediseñado'!$C3446</f>
        <v>8.3333333333334147E-3</v>
      </c>
      <c r="F3446" s="48">
        <v>0.74583333333333324</v>
      </c>
      <c r="G3446" s="49">
        <f t="shared" si="53"/>
        <v>1.5277777777777612E-2</v>
      </c>
      <c r="H3446" s="50">
        <v>41756</v>
      </c>
      <c r="I3446" s="51" t="s">
        <v>581</v>
      </c>
      <c r="J3446" s="51" t="s">
        <v>572</v>
      </c>
      <c r="K3446" s="51">
        <f>VLOOKUP(J3446,'Validacion reclamo de equipaje'!L:M,2,0)</f>
        <v>142</v>
      </c>
      <c r="L3446" s="51" t="str">
        <f>VLOOKUP(I3446,'Validacion reclamo de equipaje'!H:I,2,0)</f>
        <v>Nacional</v>
      </c>
      <c r="M3446" s="51" t="s">
        <v>523</v>
      </c>
    </row>
    <row r="3447" spans="1:13" x14ac:dyDescent="0.25">
      <c r="A3447">
        <v>747</v>
      </c>
      <c r="B3447" s="47" t="str">
        <f>VLOOKUP(Tabla6[[#This Row],['# Vuelo]],'Validacion reclamo de equipaje'!P:Q,2,0)</f>
        <v>BARATA Y MORADA</v>
      </c>
      <c r="C3447" s="52">
        <v>0.7104166666666667</v>
      </c>
      <c r="D3447" s="52">
        <v>0.72222222222222221</v>
      </c>
      <c r="E3447" s="53">
        <f>'Reclamo de equipaje rediseñado'!$D3447-'Reclamo de equipaje rediseñado'!$C3447</f>
        <v>1.1805555555555514E-2</v>
      </c>
      <c r="F3447" s="52">
        <v>0.72986111111111107</v>
      </c>
      <c r="G3447" s="53">
        <f t="shared" si="53"/>
        <v>7.6388888888888618E-3</v>
      </c>
      <c r="H3447" s="54">
        <v>41757</v>
      </c>
      <c r="I3447" s="55" t="s">
        <v>581</v>
      </c>
      <c r="J3447" s="55" t="s">
        <v>572</v>
      </c>
      <c r="K3447" s="55">
        <f>VLOOKUP(J3447,'Validacion reclamo de equipaje'!L:M,2,0)</f>
        <v>142</v>
      </c>
      <c r="L3447" s="55" t="str">
        <f>VLOOKUP(I3447,'Validacion reclamo de equipaje'!H:I,2,0)</f>
        <v>Nacional</v>
      </c>
      <c r="M3447" s="55" t="s">
        <v>523</v>
      </c>
    </row>
    <row r="3448" spans="1:13" x14ac:dyDescent="0.25">
      <c r="A3448">
        <v>903</v>
      </c>
      <c r="B3448" s="47" t="str">
        <f>VLOOKUP(Tabla6[[#This Row],['# Vuelo]],'Validacion reclamo de equipaje'!P:Q,2,0)</f>
        <v>BARATA Y MORADA</v>
      </c>
      <c r="C3448" s="48">
        <v>0.27013888888888887</v>
      </c>
      <c r="D3448" s="48">
        <v>0.27986111111111112</v>
      </c>
      <c r="E3448" s="49">
        <f>'Reclamo de equipaje rediseñado'!$D3448-'Reclamo de equipaje rediseñado'!$C3448</f>
        <v>9.7222222222222432E-3</v>
      </c>
      <c r="F3448" s="48">
        <v>0.29166666666666669</v>
      </c>
      <c r="G3448" s="49">
        <f t="shared" si="53"/>
        <v>1.1805555555555569E-2</v>
      </c>
      <c r="H3448" s="50">
        <v>41731</v>
      </c>
      <c r="I3448" s="51" t="s">
        <v>555</v>
      </c>
      <c r="J3448" s="51">
        <v>320</v>
      </c>
      <c r="K3448" s="51">
        <f>VLOOKUP(J3448,'Validacion reclamo de equipaje'!L:M,2,0)</f>
        <v>179</v>
      </c>
      <c r="L3448" s="51" t="str">
        <f>VLOOKUP(I3448,'Validacion reclamo de equipaje'!H:I,2,0)</f>
        <v>Internacional</v>
      </c>
      <c r="M3448" s="51" t="s">
        <v>523</v>
      </c>
    </row>
    <row r="3449" spans="1:13" x14ac:dyDescent="0.25">
      <c r="A3449">
        <v>903</v>
      </c>
      <c r="B3449" s="47" t="str">
        <f>VLOOKUP(Tabla6[[#This Row],['# Vuelo]],'Validacion reclamo de equipaje'!P:Q,2,0)</f>
        <v>BARATA Y MORADA</v>
      </c>
      <c r="C3449" s="52">
        <v>0.27986111111111112</v>
      </c>
      <c r="D3449" s="52">
        <v>0.29166666666666669</v>
      </c>
      <c r="E3449" s="53">
        <f>'Reclamo de equipaje rediseñado'!$D3449-'Reclamo de equipaje rediseñado'!$C3449</f>
        <v>1.1805555555555569E-2</v>
      </c>
      <c r="F3449" s="52">
        <v>0.3</v>
      </c>
      <c r="G3449" s="53">
        <f t="shared" si="53"/>
        <v>8.3333333333333037E-3</v>
      </c>
      <c r="H3449" s="54">
        <v>41733</v>
      </c>
      <c r="I3449" s="55" t="s">
        <v>555</v>
      </c>
      <c r="J3449" s="55">
        <v>320</v>
      </c>
      <c r="K3449" s="55">
        <f>VLOOKUP(J3449,'Validacion reclamo de equipaje'!L:M,2,0)</f>
        <v>179</v>
      </c>
      <c r="L3449" s="55" t="str">
        <f>VLOOKUP(I3449,'Validacion reclamo de equipaje'!H:I,2,0)</f>
        <v>Internacional</v>
      </c>
      <c r="M3449" s="55" t="s">
        <v>523</v>
      </c>
    </row>
    <row r="3450" spans="1:13" x14ac:dyDescent="0.25">
      <c r="A3450">
        <v>903</v>
      </c>
      <c r="B3450" s="47" t="str">
        <f>VLOOKUP(Tabla6[[#This Row],['# Vuelo]],'Validacion reclamo de equipaje'!P:Q,2,0)</f>
        <v>BARATA Y MORADA</v>
      </c>
      <c r="C3450" s="48">
        <v>0.27986111111111112</v>
      </c>
      <c r="D3450" s="48">
        <v>0.29166666666666669</v>
      </c>
      <c r="E3450" s="49">
        <f>'Reclamo de equipaje rediseñado'!$D3450-'Reclamo de equipaje rediseñado'!$C3450</f>
        <v>1.1805555555555569E-2</v>
      </c>
      <c r="F3450" s="48">
        <v>0.3</v>
      </c>
      <c r="G3450" s="49">
        <f t="shared" si="53"/>
        <v>8.3333333333333037E-3</v>
      </c>
      <c r="H3450" s="50">
        <v>41733</v>
      </c>
      <c r="I3450" s="51" t="s">
        <v>555</v>
      </c>
      <c r="J3450" s="51">
        <v>320</v>
      </c>
      <c r="K3450" s="51">
        <f>VLOOKUP(J3450,'Validacion reclamo de equipaje'!L:M,2,0)</f>
        <v>179</v>
      </c>
      <c r="L3450" s="51" t="str">
        <f>VLOOKUP(I3450,'Validacion reclamo de equipaje'!H:I,2,0)</f>
        <v>Internacional</v>
      </c>
      <c r="M3450" s="51" t="s">
        <v>523</v>
      </c>
    </row>
    <row r="3451" spans="1:13" x14ac:dyDescent="0.25">
      <c r="A3451">
        <v>903</v>
      </c>
      <c r="B3451" s="47" t="str">
        <f>VLOOKUP(Tabla6[[#This Row],['# Vuelo]],'Validacion reclamo de equipaje'!P:Q,2,0)</f>
        <v>BARATA Y MORADA</v>
      </c>
      <c r="C3451" s="52">
        <v>0.28541666666666665</v>
      </c>
      <c r="D3451" s="52">
        <v>0.29166666666666669</v>
      </c>
      <c r="E3451" s="53">
        <f>'Reclamo de equipaje rediseñado'!$D3451-'Reclamo de equipaje rediseñado'!$C3451</f>
        <v>6.2500000000000333E-3</v>
      </c>
      <c r="F3451" s="52">
        <v>0.2986111111111111</v>
      </c>
      <c r="G3451" s="53">
        <f t="shared" si="53"/>
        <v>6.9444444444444198E-3</v>
      </c>
      <c r="H3451" s="54">
        <v>41736</v>
      </c>
      <c r="I3451" s="55" t="s">
        <v>555</v>
      </c>
      <c r="J3451" s="55">
        <v>320</v>
      </c>
      <c r="K3451" s="55">
        <f>VLOOKUP(J3451,'Validacion reclamo de equipaje'!L:M,2,0)</f>
        <v>179</v>
      </c>
      <c r="L3451" s="55" t="str">
        <f>VLOOKUP(I3451,'Validacion reclamo de equipaje'!H:I,2,0)</f>
        <v>Internacional</v>
      </c>
      <c r="M3451" s="55" t="s">
        <v>523</v>
      </c>
    </row>
    <row r="3452" spans="1:13" x14ac:dyDescent="0.25">
      <c r="A3452">
        <v>903</v>
      </c>
      <c r="B3452" s="47" t="str">
        <f>VLOOKUP(Tabla6[[#This Row],['# Vuelo]],'Validacion reclamo de equipaje'!P:Q,2,0)</f>
        <v>BARATA Y MORADA</v>
      </c>
      <c r="C3452" s="48">
        <v>0.27569444444444446</v>
      </c>
      <c r="D3452" s="48">
        <v>0.29166666666666669</v>
      </c>
      <c r="E3452" s="49">
        <f>'Reclamo de equipaje rediseñado'!$D3452-'Reclamo de equipaje rediseñado'!$C3452</f>
        <v>1.5972222222222221E-2</v>
      </c>
      <c r="F3452" s="48">
        <v>0.30555555555555552</v>
      </c>
      <c r="G3452" s="49">
        <f t="shared" si="53"/>
        <v>1.388888888888884E-2</v>
      </c>
      <c r="H3452" s="50">
        <v>41738</v>
      </c>
      <c r="I3452" s="51" t="s">
        <v>555</v>
      </c>
      <c r="J3452" s="51">
        <v>320</v>
      </c>
      <c r="K3452" s="51">
        <f>VLOOKUP(J3452,'Validacion reclamo de equipaje'!L:M,2,0)</f>
        <v>179</v>
      </c>
      <c r="L3452" s="51" t="str">
        <f>VLOOKUP(I3452,'Validacion reclamo de equipaje'!H:I,2,0)</f>
        <v>Internacional</v>
      </c>
      <c r="M3452" s="51" t="s">
        <v>523</v>
      </c>
    </row>
    <row r="3453" spans="1:13" x14ac:dyDescent="0.25">
      <c r="A3453">
        <v>903</v>
      </c>
      <c r="B3453" s="47" t="str">
        <f>VLOOKUP(Tabla6[[#This Row],['# Vuelo]],'Validacion reclamo de equipaje'!P:Q,2,0)</f>
        <v>BARATA Y MORADA</v>
      </c>
      <c r="C3453" s="52">
        <v>0.27291666666666664</v>
      </c>
      <c r="D3453" s="52">
        <v>0.28125</v>
      </c>
      <c r="E3453" s="53">
        <f>'Reclamo de equipaje rediseñado'!$D3453-'Reclamo de equipaje rediseñado'!$C3453</f>
        <v>8.3333333333333592E-3</v>
      </c>
      <c r="F3453" s="52">
        <v>0.30208333333333331</v>
      </c>
      <c r="G3453" s="53">
        <f t="shared" si="53"/>
        <v>2.0833333333333315E-2</v>
      </c>
      <c r="H3453" s="54">
        <v>41745</v>
      </c>
      <c r="I3453" s="55" t="s">
        <v>555</v>
      </c>
      <c r="J3453" s="55">
        <v>320</v>
      </c>
      <c r="K3453" s="55">
        <f>VLOOKUP(J3453,'Validacion reclamo de equipaje'!L:M,2,0)</f>
        <v>179</v>
      </c>
      <c r="L3453" s="55" t="str">
        <f>VLOOKUP(I3453,'Validacion reclamo de equipaje'!H:I,2,0)</f>
        <v>Internacional</v>
      </c>
      <c r="M3453" s="55" t="s">
        <v>523</v>
      </c>
    </row>
    <row r="3454" spans="1:13" x14ac:dyDescent="0.25">
      <c r="A3454">
        <v>903</v>
      </c>
      <c r="B3454" s="47" t="str">
        <f>VLOOKUP(Tabla6[[#This Row],['# Vuelo]],'Validacion reclamo de equipaje'!P:Q,2,0)</f>
        <v>BARATA Y MORADA</v>
      </c>
      <c r="C3454" s="48">
        <v>0.27152777777777776</v>
      </c>
      <c r="D3454" s="48">
        <v>0.27777777777777779</v>
      </c>
      <c r="E3454" s="49">
        <f>'Reclamo de equipaje rediseñado'!$D3454-'Reclamo de equipaje rediseñado'!$C3454</f>
        <v>6.2500000000000333E-3</v>
      </c>
      <c r="F3454" s="48">
        <v>0.28819444444444448</v>
      </c>
      <c r="G3454" s="49">
        <f t="shared" si="53"/>
        <v>1.0416666666666685E-2</v>
      </c>
      <c r="H3454" s="50">
        <v>41745</v>
      </c>
      <c r="I3454" s="51" t="s">
        <v>555</v>
      </c>
      <c r="J3454" s="51">
        <v>320</v>
      </c>
      <c r="K3454" s="51">
        <f>VLOOKUP(J3454,'Validacion reclamo de equipaje'!L:M,2,0)</f>
        <v>179</v>
      </c>
      <c r="L3454" s="51" t="str">
        <f>VLOOKUP(I3454,'Validacion reclamo de equipaje'!H:I,2,0)</f>
        <v>Internacional</v>
      </c>
      <c r="M3454" s="51" t="s">
        <v>523</v>
      </c>
    </row>
    <row r="3455" spans="1:13" x14ac:dyDescent="0.25">
      <c r="A3455">
        <v>903</v>
      </c>
      <c r="B3455" s="47" t="str">
        <f>VLOOKUP(Tabla6[[#This Row],['# Vuelo]],'Validacion reclamo de equipaje'!P:Q,2,0)</f>
        <v>BARATA Y MORADA</v>
      </c>
      <c r="C3455" s="52">
        <v>0.27708333333333335</v>
      </c>
      <c r="D3455" s="52">
        <v>0.28888888888888892</v>
      </c>
      <c r="E3455" s="53">
        <f>'Reclamo de equipaje rediseñado'!$D3455-'Reclamo de equipaje rediseñado'!$C3455</f>
        <v>1.1805555555555569E-2</v>
      </c>
      <c r="F3455" s="52">
        <v>0.30555555555555552</v>
      </c>
      <c r="G3455" s="53">
        <f t="shared" si="53"/>
        <v>1.6666666666666607E-2</v>
      </c>
      <c r="H3455" s="54">
        <v>41751</v>
      </c>
      <c r="I3455" s="55" t="s">
        <v>555</v>
      </c>
      <c r="J3455" s="55">
        <v>320</v>
      </c>
      <c r="K3455" s="55">
        <f>VLOOKUP(J3455,'Validacion reclamo de equipaje'!L:M,2,0)</f>
        <v>179</v>
      </c>
      <c r="L3455" s="55" t="str">
        <f>VLOOKUP(I3455,'Validacion reclamo de equipaje'!H:I,2,0)</f>
        <v>Internacional</v>
      </c>
      <c r="M3455" s="55" t="s">
        <v>523</v>
      </c>
    </row>
    <row r="3456" spans="1:13" x14ac:dyDescent="0.25">
      <c r="A3456">
        <v>903</v>
      </c>
      <c r="B3456" s="47" t="str">
        <f>VLOOKUP(Tabla6[[#This Row],['# Vuelo]],'Validacion reclamo de equipaje'!P:Q,2,0)</f>
        <v>BARATA Y MORADA</v>
      </c>
      <c r="C3456" s="48">
        <v>0.27152777777777776</v>
      </c>
      <c r="D3456" s="48">
        <v>0.28125</v>
      </c>
      <c r="E3456" s="49">
        <f>'Reclamo de equipaje rediseñado'!$D3456-'Reclamo de equipaje rediseñado'!$C3456</f>
        <v>9.7222222222222432E-3</v>
      </c>
      <c r="F3456" s="48">
        <v>0.30555555555555552</v>
      </c>
      <c r="G3456" s="49">
        <f t="shared" si="53"/>
        <v>2.4305555555555525E-2</v>
      </c>
      <c r="H3456" s="50">
        <v>41752</v>
      </c>
      <c r="I3456" s="51" t="s">
        <v>555</v>
      </c>
      <c r="J3456" s="51">
        <v>320</v>
      </c>
      <c r="K3456" s="51">
        <f>VLOOKUP(J3456,'Validacion reclamo de equipaje'!L:M,2,0)</f>
        <v>179</v>
      </c>
      <c r="L3456" s="51" t="str">
        <f>VLOOKUP(I3456,'Validacion reclamo de equipaje'!H:I,2,0)</f>
        <v>Internacional</v>
      </c>
      <c r="M3456" s="51" t="s">
        <v>523</v>
      </c>
    </row>
    <row r="3457" spans="1:13" x14ac:dyDescent="0.25">
      <c r="A3457">
        <v>903</v>
      </c>
      <c r="B3457" s="47" t="str">
        <f>VLOOKUP(Tabla6[[#This Row],['# Vuelo]],'Validacion reclamo de equipaje'!P:Q,2,0)</f>
        <v>BARATA Y MORADA</v>
      </c>
      <c r="C3457" s="52">
        <v>0.27083333333333331</v>
      </c>
      <c r="D3457" s="52">
        <v>0.28472222222222221</v>
      </c>
      <c r="E3457" s="53">
        <f>'Reclamo de equipaje rediseñado'!$D3457-'Reclamo de equipaje rediseñado'!$C3457</f>
        <v>1.3888888888888895E-2</v>
      </c>
      <c r="F3457" s="52">
        <v>0.30694444444444441</v>
      </c>
      <c r="G3457" s="53">
        <f t="shared" si="53"/>
        <v>2.2222222222222199E-2</v>
      </c>
      <c r="H3457" s="54">
        <v>41753</v>
      </c>
      <c r="I3457" s="55" t="s">
        <v>555</v>
      </c>
      <c r="J3457" s="55">
        <v>320</v>
      </c>
      <c r="K3457" s="55">
        <f>VLOOKUP(J3457,'Validacion reclamo de equipaje'!L:M,2,0)</f>
        <v>179</v>
      </c>
      <c r="L3457" s="55" t="str">
        <f>VLOOKUP(I3457,'Validacion reclamo de equipaje'!H:I,2,0)</f>
        <v>Internacional</v>
      </c>
      <c r="M3457" s="55" t="s">
        <v>523</v>
      </c>
    </row>
    <row r="3458" spans="1:13" x14ac:dyDescent="0.25">
      <c r="A3458">
        <v>903</v>
      </c>
      <c r="B3458" s="47" t="str">
        <f>VLOOKUP(Tabla6[[#This Row],['# Vuelo]],'Validacion reclamo de equipaje'!P:Q,2,0)</f>
        <v>BARATA Y MORADA</v>
      </c>
      <c r="C3458" s="48">
        <v>0.28263888888888888</v>
      </c>
      <c r="D3458" s="48">
        <v>0.29097222222222224</v>
      </c>
      <c r="E3458" s="49">
        <f>'Reclamo de equipaje rediseñado'!$D3458-'Reclamo de equipaje rediseñado'!$C3458</f>
        <v>8.3333333333333592E-3</v>
      </c>
      <c r="F3458" s="48">
        <v>0.29583333333333334</v>
      </c>
      <c r="G3458" s="49">
        <f t="shared" si="53"/>
        <v>4.8611111111110938E-3</v>
      </c>
      <c r="H3458" s="50">
        <v>41754</v>
      </c>
      <c r="I3458" s="51" t="s">
        <v>555</v>
      </c>
      <c r="J3458" s="51">
        <v>320</v>
      </c>
      <c r="K3458" s="51">
        <f>VLOOKUP(J3458,'Validacion reclamo de equipaje'!L:M,2,0)</f>
        <v>179</v>
      </c>
      <c r="L3458" s="51" t="str">
        <f>VLOOKUP(I3458,'Validacion reclamo de equipaje'!H:I,2,0)</f>
        <v>Internacional</v>
      </c>
      <c r="M3458" s="51" t="s">
        <v>523</v>
      </c>
    </row>
    <row r="3459" spans="1:13" x14ac:dyDescent="0.25">
      <c r="A3459">
        <v>903</v>
      </c>
      <c r="B3459" s="47" t="str">
        <f>VLOOKUP(Tabla6[[#This Row],['# Vuelo]],'Validacion reclamo de equipaje'!P:Q,2,0)</f>
        <v>BARATA Y MORADA</v>
      </c>
      <c r="C3459" s="52">
        <v>0.27291666666666664</v>
      </c>
      <c r="D3459" s="52">
        <v>0.29097222222222224</v>
      </c>
      <c r="E3459" s="53">
        <f>'Reclamo de equipaje rediseñado'!$D3459-'Reclamo de equipaje rediseñado'!$C3459</f>
        <v>1.8055555555555602E-2</v>
      </c>
      <c r="F3459" s="52">
        <v>0.30416666666666664</v>
      </c>
      <c r="G3459" s="53">
        <f t="shared" ref="G3459:G3522" si="54">F3459-D3459</f>
        <v>1.3194444444444398E-2</v>
      </c>
      <c r="H3459" s="54">
        <v>41756</v>
      </c>
      <c r="I3459" s="55" t="s">
        <v>555</v>
      </c>
      <c r="J3459" s="55">
        <v>320</v>
      </c>
      <c r="K3459" s="55">
        <f>VLOOKUP(J3459,'Validacion reclamo de equipaje'!L:M,2,0)</f>
        <v>179</v>
      </c>
      <c r="L3459" s="55" t="str">
        <f>VLOOKUP(I3459,'Validacion reclamo de equipaje'!H:I,2,0)</f>
        <v>Internacional</v>
      </c>
      <c r="M3459" s="55" t="s">
        <v>523</v>
      </c>
    </row>
    <row r="3460" spans="1:13" x14ac:dyDescent="0.25">
      <c r="A3460">
        <v>903</v>
      </c>
      <c r="B3460" s="47" t="str">
        <f>VLOOKUP(Tabla6[[#This Row],['# Vuelo]],'Validacion reclamo de equipaje'!P:Q,2,0)</f>
        <v>BARATA Y MORADA</v>
      </c>
      <c r="C3460" s="48">
        <v>0.28472222222222221</v>
      </c>
      <c r="D3460" s="48">
        <v>0.29166666666666669</v>
      </c>
      <c r="E3460" s="49">
        <f>'Reclamo de equipaje rediseñado'!$D3460-'Reclamo de equipaje rediseñado'!$C3460</f>
        <v>6.9444444444444753E-3</v>
      </c>
      <c r="F3460" s="48">
        <v>0.29652777777777778</v>
      </c>
      <c r="G3460" s="49">
        <f t="shared" si="54"/>
        <v>4.8611111111110938E-3</v>
      </c>
      <c r="H3460" s="50">
        <v>41759</v>
      </c>
      <c r="I3460" s="51" t="s">
        <v>555</v>
      </c>
      <c r="J3460" s="51">
        <v>320</v>
      </c>
      <c r="K3460" s="51">
        <f>VLOOKUP(J3460,'Validacion reclamo de equipaje'!L:M,2,0)</f>
        <v>179</v>
      </c>
      <c r="L3460" s="51" t="str">
        <f>VLOOKUP(I3460,'Validacion reclamo de equipaje'!H:I,2,0)</f>
        <v>Internacional</v>
      </c>
      <c r="M3460" s="51" t="s">
        <v>523</v>
      </c>
    </row>
    <row r="3461" spans="1:13" x14ac:dyDescent="0.25">
      <c r="A3461">
        <v>913</v>
      </c>
      <c r="B3461" s="47" t="str">
        <f>VLOOKUP(Tabla6[[#This Row],['# Vuelo]],'Validacion reclamo de equipaje'!P:Q,2,0)</f>
        <v>BARATA Y MORADA</v>
      </c>
      <c r="C3461" s="52">
        <v>0.24444444444444446</v>
      </c>
      <c r="D3461" s="52">
        <v>0.26527777777777778</v>
      </c>
      <c r="E3461" s="53">
        <f>'Reclamo de equipaje rediseñado'!$D3461-'Reclamo de equipaje rediseñado'!$C3461</f>
        <v>2.0833333333333315E-2</v>
      </c>
      <c r="F3461" s="52">
        <v>0.27361111111111108</v>
      </c>
      <c r="G3461" s="53">
        <f t="shared" si="54"/>
        <v>8.3333333333333037E-3</v>
      </c>
      <c r="H3461" s="54">
        <v>41730</v>
      </c>
      <c r="I3461" s="55" t="s">
        <v>555</v>
      </c>
      <c r="J3461" s="55">
        <v>320</v>
      </c>
      <c r="K3461" s="55">
        <f>VLOOKUP(J3461,'Validacion reclamo de equipaje'!L:M,2,0)</f>
        <v>179</v>
      </c>
      <c r="L3461" s="55" t="str">
        <f>VLOOKUP(I3461,'Validacion reclamo de equipaje'!H:I,2,0)</f>
        <v>Internacional</v>
      </c>
      <c r="M3461" s="55" t="s">
        <v>523</v>
      </c>
    </row>
    <row r="3462" spans="1:13" x14ac:dyDescent="0.25">
      <c r="A3462">
        <v>913</v>
      </c>
      <c r="B3462" s="47" t="str">
        <f>VLOOKUP(Tabla6[[#This Row],['# Vuelo]],'Validacion reclamo de equipaje'!P:Q,2,0)</f>
        <v>BARATA Y MORADA</v>
      </c>
      <c r="C3462" s="48">
        <v>0.26874999999999999</v>
      </c>
      <c r="D3462" s="48">
        <v>0.27569444444444446</v>
      </c>
      <c r="E3462" s="49">
        <f>'Reclamo de equipaje rediseñado'!$D3462-'Reclamo de equipaje rediseñado'!$C3462</f>
        <v>6.9444444444444753E-3</v>
      </c>
      <c r="F3462" s="48">
        <v>0.28333333333333333</v>
      </c>
      <c r="G3462" s="49">
        <f t="shared" si="54"/>
        <v>7.6388888888888618E-3</v>
      </c>
      <c r="H3462" s="50">
        <v>41731</v>
      </c>
      <c r="I3462" s="51" t="s">
        <v>555</v>
      </c>
      <c r="J3462" s="51">
        <v>320</v>
      </c>
      <c r="K3462" s="51">
        <f>VLOOKUP(J3462,'Validacion reclamo de equipaje'!L:M,2,0)</f>
        <v>179</v>
      </c>
      <c r="L3462" s="51" t="str">
        <f>VLOOKUP(I3462,'Validacion reclamo de equipaje'!H:I,2,0)</f>
        <v>Internacional</v>
      </c>
      <c r="M3462" s="51" t="s">
        <v>523</v>
      </c>
    </row>
    <row r="3463" spans="1:13" x14ac:dyDescent="0.25">
      <c r="A3463">
        <v>913</v>
      </c>
      <c r="B3463" s="47" t="str">
        <f>VLOOKUP(Tabla6[[#This Row],['# Vuelo]],'Validacion reclamo de equipaje'!P:Q,2,0)</f>
        <v>BARATA Y MORADA</v>
      </c>
      <c r="C3463" s="52">
        <v>0.25972222222222224</v>
      </c>
      <c r="D3463" s="52">
        <v>0.27083333333333331</v>
      </c>
      <c r="E3463" s="53">
        <f>'Reclamo de equipaje rediseñado'!$D3463-'Reclamo de equipaje rediseñado'!$C3463</f>
        <v>1.1111111111111072E-2</v>
      </c>
      <c r="F3463" s="52">
        <v>0.28611111111111115</v>
      </c>
      <c r="G3463" s="53">
        <f t="shared" si="54"/>
        <v>1.5277777777777835E-2</v>
      </c>
      <c r="H3463" s="54">
        <v>41734</v>
      </c>
      <c r="I3463" s="55" t="s">
        <v>555</v>
      </c>
      <c r="J3463" s="55">
        <v>320</v>
      </c>
      <c r="K3463" s="55">
        <f>VLOOKUP(J3463,'Validacion reclamo de equipaje'!L:M,2,0)</f>
        <v>179</v>
      </c>
      <c r="L3463" s="55" t="str">
        <f>VLOOKUP(I3463,'Validacion reclamo de equipaje'!H:I,2,0)</f>
        <v>Internacional</v>
      </c>
      <c r="M3463" s="55" t="s">
        <v>523</v>
      </c>
    </row>
    <row r="3464" spans="1:13" x14ac:dyDescent="0.25">
      <c r="A3464">
        <v>913</v>
      </c>
      <c r="B3464" s="47" t="str">
        <f>VLOOKUP(Tabla6[[#This Row],['# Vuelo]],'Validacion reclamo de equipaje'!P:Q,2,0)</f>
        <v>BARATA Y MORADA</v>
      </c>
      <c r="C3464" s="48">
        <v>0.25277777777777777</v>
      </c>
      <c r="D3464" s="48">
        <v>0.25694444444444448</v>
      </c>
      <c r="E3464" s="49">
        <f>'Reclamo de equipaje rediseñado'!$D3464-'Reclamo de equipaje rediseñado'!$C3464</f>
        <v>4.1666666666667074E-3</v>
      </c>
      <c r="F3464" s="48">
        <v>0.2638888888888889</v>
      </c>
      <c r="G3464" s="49">
        <f t="shared" si="54"/>
        <v>6.9444444444444198E-3</v>
      </c>
      <c r="H3464" s="50">
        <v>41734</v>
      </c>
      <c r="I3464" s="51" t="s">
        <v>555</v>
      </c>
      <c r="J3464" s="51">
        <v>320</v>
      </c>
      <c r="K3464" s="51">
        <f>VLOOKUP(J3464,'Validacion reclamo de equipaje'!L:M,2,0)</f>
        <v>179</v>
      </c>
      <c r="L3464" s="51" t="str">
        <f>VLOOKUP(I3464,'Validacion reclamo de equipaje'!H:I,2,0)</f>
        <v>Internacional</v>
      </c>
      <c r="M3464" s="51" t="s">
        <v>523</v>
      </c>
    </row>
    <row r="3465" spans="1:13" x14ac:dyDescent="0.25">
      <c r="A3465">
        <v>913</v>
      </c>
      <c r="B3465" s="47" t="str">
        <f>VLOOKUP(Tabla6[[#This Row],['# Vuelo]],'Validacion reclamo de equipaje'!P:Q,2,0)</f>
        <v>BARATA Y MORADA</v>
      </c>
      <c r="C3465" s="52">
        <v>0.25555555555555559</v>
      </c>
      <c r="D3465" s="52">
        <v>0.27013888888888887</v>
      </c>
      <c r="E3465" s="53">
        <f>'Reclamo de equipaje rediseñado'!$D3465-'Reclamo de equipaje rediseñado'!$C3465</f>
        <v>1.4583333333333282E-2</v>
      </c>
      <c r="F3465" s="52">
        <v>0.28472222222222221</v>
      </c>
      <c r="G3465" s="53">
        <f t="shared" si="54"/>
        <v>1.4583333333333337E-2</v>
      </c>
      <c r="H3465" s="54">
        <v>41736</v>
      </c>
      <c r="I3465" s="55" t="s">
        <v>555</v>
      </c>
      <c r="J3465" s="55">
        <v>320</v>
      </c>
      <c r="K3465" s="55">
        <f>VLOOKUP(J3465,'Validacion reclamo de equipaje'!L:M,2,0)</f>
        <v>179</v>
      </c>
      <c r="L3465" s="55" t="str">
        <f>VLOOKUP(I3465,'Validacion reclamo de equipaje'!H:I,2,0)</f>
        <v>Internacional</v>
      </c>
      <c r="M3465" s="55" t="s">
        <v>523</v>
      </c>
    </row>
    <row r="3466" spans="1:13" x14ac:dyDescent="0.25">
      <c r="A3466">
        <v>913</v>
      </c>
      <c r="B3466" s="47" t="str">
        <f>VLOOKUP(Tabla6[[#This Row],['# Vuelo]],'Validacion reclamo de equipaje'!P:Q,2,0)</f>
        <v>BARATA Y MORADA</v>
      </c>
      <c r="C3466" s="48">
        <v>0.25416666666666665</v>
      </c>
      <c r="D3466" s="48">
        <v>0.25972222222222224</v>
      </c>
      <c r="E3466" s="49">
        <f>'Reclamo de equipaje rediseñado'!$D3466-'Reclamo de equipaje rediseñado'!$C3466</f>
        <v>5.5555555555555913E-3</v>
      </c>
      <c r="F3466" s="48">
        <v>0.27013888888888887</v>
      </c>
      <c r="G3466" s="49">
        <f t="shared" si="54"/>
        <v>1.041666666666663E-2</v>
      </c>
      <c r="H3466" s="50">
        <v>41736</v>
      </c>
      <c r="I3466" s="51" t="s">
        <v>555</v>
      </c>
      <c r="J3466" s="51">
        <v>320</v>
      </c>
      <c r="K3466" s="51">
        <f>VLOOKUP(J3466,'Validacion reclamo de equipaje'!L:M,2,0)</f>
        <v>179</v>
      </c>
      <c r="L3466" s="51" t="str">
        <f>VLOOKUP(I3466,'Validacion reclamo de equipaje'!H:I,2,0)</f>
        <v>Internacional</v>
      </c>
      <c r="M3466" s="51" t="s">
        <v>523</v>
      </c>
    </row>
    <row r="3467" spans="1:13" x14ac:dyDescent="0.25">
      <c r="A3467">
        <v>913</v>
      </c>
      <c r="B3467" s="47" t="str">
        <f>VLOOKUP(Tabla6[[#This Row],['# Vuelo]],'Validacion reclamo de equipaje'!P:Q,2,0)</f>
        <v>BARATA Y MORADA</v>
      </c>
      <c r="C3467" s="52">
        <v>0.25</v>
      </c>
      <c r="D3467" s="52">
        <v>0.26111111111111113</v>
      </c>
      <c r="E3467" s="53">
        <f>'Reclamo de equipaje rediseñado'!$D3467-'Reclamo de equipaje rediseñado'!$C3467</f>
        <v>1.1111111111111127E-2</v>
      </c>
      <c r="F3467" s="52">
        <v>0.2902777777777778</v>
      </c>
      <c r="G3467" s="53">
        <f t="shared" si="54"/>
        <v>2.9166666666666674E-2</v>
      </c>
      <c r="H3467" s="54">
        <v>41737</v>
      </c>
      <c r="I3467" s="55" t="s">
        <v>555</v>
      </c>
      <c r="J3467" s="55">
        <v>320</v>
      </c>
      <c r="K3467" s="55">
        <f>VLOOKUP(J3467,'Validacion reclamo de equipaje'!L:M,2,0)</f>
        <v>179</v>
      </c>
      <c r="L3467" s="55" t="str">
        <f>VLOOKUP(I3467,'Validacion reclamo de equipaje'!H:I,2,0)</f>
        <v>Internacional</v>
      </c>
      <c r="M3467" s="55" t="s">
        <v>523</v>
      </c>
    </row>
    <row r="3468" spans="1:13" x14ac:dyDescent="0.25">
      <c r="A3468">
        <v>913</v>
      </c>
      <c r="B3468" s="47" t="str">
        <f>VLOOKUP(Tabla6[[#This Row],['# Vuelo]],'Validacion reclamo de equipaje'!P:Q,2,0)</f>
        <v>BARATA Y MORADA</v>
      </c>
      <c r="C3468" s="48">
        <v>0.26527777777777778</v>
      </c>
      <c r="D3468" s="48">
        <v>0.28472222222222221</v>
      </c>
      <c r="E3468" s="49">
        <f>'Reclamo de equipaje rediseñado'!$D3468-'Reclamo de equipaje rediseñado'!$C3468</f>
        <v>1.9444444444444431E-2</v>
      </c>
      <c r="F3468" s="48">
        <v>0.30208333333333331</v>
      </c>
      <c r="G3468" s="49">
        <f t="shared" si="54"/>
        <v>1.7361111111111105E-2</v>
      </c>
      <c r="H3468" s="50">
        <v>41738</v>
      </c>
      <c r="I3468" s="51" t="s">
        <v>555</v>
      </c>
      <c r="J3468" s="51">
        <v>320</v>
      </c>
      <c r="K3468" s="51">
        <f>VLOOKUP(J3468,'Validacion reclamo de equipaje'!L:M,2,0)</f>
        <v>179</v>
      </c>
      <c r="L3468" s="51" t="str">
        <f>VLOOKUP(I3468,'Validacion reclamo de equipaje'!H:I,2,0)</f>
        <v>Internacional</v>
      </c>
      <c r="M3468" s="51" t="s">
        <v>523</v>
      </c>
    </row>
    <row r="3469" spans="1:13" x14ac:dyDescent="0.25">
      <c r="A3469">
        <v>913</v>
      </c>
      <c r="B3469" s="47" t="str">
        <f>VLOOKUP(Tabla6[[#This Row],['# Vuelo]],'Validacion reclamo de equipaje'!P:Q,2,0)</f>
        <v>BARATA Y MORADA</v>
      </c>
      <c r="C3469" s="52">
        <v>0.25416666666666665</v>
      </c>
      <c r="D3469" s="52">
        <v>0.27569444444444446</v>
      </c>
      <c r="E3469" s="53">
        <f>'Reclamo de equipaje rediseñado'!$D3469-'Reclamo de equipaje rediseñado'!$C3469</f>
        <v>2.1527777777777812E-2</v>
      </c>
      <c r="F3469" s="52">
        <v>0.28611111111111115</v>
      </c>
      <c r="G3469" s="53">
        <f t="shared" si="54"/>
        <v>1.0416666666666685E-2</v>
      </c>
      <c r="H3469" s="54">
        <v>41739</v>
      </c>
      <c r="I3469" s="55" t="s">
        <v>555</v>
      </c>
      <c r="J3469" s="55">
        <v>320</v>
      </c>
      <c r="K3469" s="55">
        <f>VLOOKUP(J3469,'Validacion reclamo de equipaje'!L:M,2,0)</f>
        <v>179</v>
      </c>
      <c r="L3469" s="55" t="str">
        <f>VLOOKUP(I3469,'Validacion reclamo de equipaje'!H:I,2,0)</f>
        <v>Internacional</v>
      </c>
      <c r="M3469" s="55" t="s">
        <v>523</v>
      </c>
    </row>
    <row r="3470" spans="1:13" x14ac:dyDescent="0.25">
      <c r="A3470">
        <v>913</v>
      </c>
      <c r="B3470" s="47" t="str">
        <f>VLOOKUP(Tabla6[[#This Row],['# Vuelo]],'Validacion reclamo de equipaje'!P:Q,2,0)</f>
        <v>BARATA Y MORADA</v>
      </c>
      <c r="C3470" s="48">
        <v>0.24444444444444446</v>
      </c>
      <c r="D3470" s="48">
        <v>0.26527777777777778</v>
      </c>
      <c r="E3470" s="49">
        <f>'Reclamo de equipaje rediseñado'!$D3470-'Reclamo de equipaje rediseñado'!$C3470</f>
        <v>2.0833333333333315E-2</v>
      </c>
      <c r="F3470" s="48">
        <v>0.27361111111111108</v>
      </c>
      <c r="G3470" s="49">
        <f t="shared" si="54"/>
        <v>8.3333333333333037E-3</v>
      </c>
      <c r="H3470" s="50">
        <v>41742</v>
      </c>
      <c r="I3470" s="51" t="s">
        <v>555</v>
      </c>
      <c r="J3470" s="51">
        <v>320</v>
      </c>
      <c r="K3470" s="51">
        <f>VLOOKUP(J3470,'Validacion reclamo de equipaje'!L:M,2,0)</f>
        <v>179</v>
      </c>
      <c r="L3470" s="51" t="str">
        <f>VLOOKUP(I3470,'Validacion reclamo de equipaje'!H:I,2,0)</f>
        <v>Internacional</v>
      </c>
      <c r="M3470" s="51" t="s">
        <v>523</v>
      </c>
    </row>
    <row r="3471" spans="1:13" x14ac:dyDescent="0.25">
      <c r="A3471">
        <v>913</v>
      </c>
      <c r="B3471" s="47" t="str">
        <f>VLOOKUP(Tabla6[[#This Row],['# Vuelo]],'Validacion reclamo de equipaje'!P:Q,2,0)</f>
        <v>BARATA Y MORADA</v>
      </c>
      <c r="C3471" s="52">
        <v>0.24166666666666667</v>
      </c>
      <c r="D3471" s="52">
        <v>0.24861111111111112</v>
      </c>
      <c r="E3471" s="53">
        <f>'Reclamo de equipaje rediseñado'!$D3471-'Reclamo de equipaje rediseñado'!$C3471</f>
        <v>6.9444444444444475E-3</v>
      </c>
      <c r="F3471" s="52">
        <v>0.26319444444444445</v>
      </c>
      <c r="G3471" s="53">
        <f t="shared" si="54"/>
        <v>1.4583333333333337E-2</v>
      </c>
      <c r="H3471" s="54">
        <v>41743</v>
      </c>
      <c r="I3471" s="55" t="s">
        <v>555</v>
      </c>
      <c r="J3471" s="55">
        <v>320</v>
      </c>
      <c r="K3471" s="55">
        <f>VLOOKUP(J3471,'Validacion reclamo de equipaje'!L:M,2,0)</f>
        <v>179</v>
      </c>
      <c r="L3471" s="55" t="str">
        <f>VLOOKUP(I3471,'Validacion reclamo de equipaje'!H:I,2,0)</f>
        <v>Internacional</v>
      </c>
      <c r="M3471" s="55" t="s">
        <v>523</v>
      </c>
    </row>
    <row r="3472" spans="1:13" x14ac:dyDescent="0.25">
      <c r="A3472">
        <v>913</v>
      </c>
      <c r="B3472" s="47" t="str">
        <f>VLOOKUP(Tabla6[[#This Row],['# Vuelo]],'Validacion reclamo de equipaje'!P:Q,2,0)</f>
        <v>BARATA Y MORADA</v>
      </c>
      <c r="C3472" s="48">
        <v>0.24791666666666667</v>
      </c>
      <c r="D3472" s="48">
        <v>0.2673611111111111</v>
      </c>
      <c r="E3472" s="49">
        <f>'Reclamo de equipaje rediseñado'!$D3472-'Reclamo de equipaje rediseñado'!$C3472</f>
        <v>1.9444444444444431E-2</v>
      </c>
      <c r="F3472" s="48">
        <v>0.28958333333333336</v>
      </c>
      <c r="G3472" s="49">
        <f t="shared" si="54"/>
        <v>2.2222222222222254E-2</v>
      </c>
      <c r="H3472" s="50">
        <v>41745</v>
      </c>
      <c r="I3472" s="51" t="s">
        <v>555</v>
      </c>
      <c r="J3472" s="51">
        <v>320</v>
      </c>
      <c r="K3472" s="51">
        <f>VLOOKUP(J3472,'Validacion reclamo de equipaje'!L:M,2,0)</f>
        <v>179</v>
      </c>
      <c r="L3472" s="51" t="str">
        <f>VLOOKUP(I3472,'Validacion reclamo de equipaje'!H:I,2,0)</f>
        <v>Internacional</v>
      </c>
      <c r="M3472" s="51" t="s">
        <v>523</v>
      </c>
    </row>
    <row r="3473" spans="1:13" x14ac:dyDescent="0.25">
      <c r="A3473">
        <v>913</v>
      </c>
      <c r="B3473" s="47" t="str">
        <f>VLOOKUP(Tabla6[[#This Row],['# Vuelo]],'Validacion reclamo de equipaje'!P:Q,2,0)</f>
        <v>BARATA Y MORADA</v>
      </c>
      <c r="C3473" s="52">
        <v>0.24722222222222223</v>
      </c>
      <c r="D3473" s="52">
        <v>0.2590277777777778</v>
      </c>
      <c r="E3473" s="53">
        <f>'Reclamo de equipaje rediseñado'!$D3473-'Reclamo de equipaje rediseñado'!$C3473</f>
        <v>1.1805555555555569E-2</v>
      </c>
      <c r="F3473" s="52">
        <v>0.28125</v>
      </c>
      <c r="G3473" s="53">
        <f t="shared" si="54"/>
        <v>2.2222222222222199E-2</v>
      </c>
      <c r="H3473" s="54">
        <v>41745</v>
      </c>
      <c r="I3473" s="55" t="s">
        <v>555</v>
      </c>
      <c r="J3473" s="55">
        <v>320</v>
      </c>
      <c r="K3473" s="55">
        <f>VLOOKUP(J3473,'Validacion reclamo de equipaje'!L:M,2,0)</f>
        <v>179</v>
      </c>
      <c r="L3473" s="55" t="str">
        <f>VLOOKUP(I3473,'Validacion reclamo de equipaje'!H:I,2,0)</f>
        <v>Internacional</v>
      </c>
      <c r="M3473" s="55" t="s">
        <v>523</v>
      </c>
    </row>
    <row r="3474" spans="1:13" x14ac:dyDescent="0.25">
      <c r="A3474">
        <v>913</v>
      </c>
      <c r="B3474" s="47" t="str">
        <f>VLOOKUP(Tabla6[[#This Row],['# Vuelo]],'Validacion reclamo de equipaje'!P:Q,2,0)</f>
        <v>BARATA Y MORADA</v>
      </c>
      <c r="C3474" s="48">
        <v>0.26111111111111113</v>
      </c>
      <c r="D3474" s="48">
        <v>0.28611111111111115</v>
      </c>
      <c r="E3474" s="49">
        <f>'Reclamo de equipaje rediseñado'!$D3474-'Reclamo de equipaje rediseñado'!$C3474</f>
        <v>2.5000000000000022E-2</v>
      </c>
      <c r="F3474" s="48">
        <v>0.29583333333333334</v>
      </c>
      <c r="G3474" s="49">
        <f t="shared" si="54"/>
        <v>9.7222222222221877E-3</v>
      </c>
      <c r="H3474" s="50">
        <v>41746</v>
      </c>
      <c r="I3474" s="51" t="s">
        <v>555</v>
      </c>
      <c r="J3474" s="51">
        <v>320</v>
      </c>
      <c r="K3474" s="51">
        <f>VLOOKUP(J3474,'Validacion reclamo de equipaje'!L:M,2,0)</f>
        <v>179</v>
      </c>
      <c r="L3474" s="51" t="str">
        <f>VLOOKUP(I3474,'Validacion reclamo de equipaje'!H:I,2,0)</f>
        <v>Internacional</v>
      </c>
      <c r="M3474" s="51" t="s">
        <v>523</v>
      </c>
    </row>
    <row r="3475" spans="1:13" x14ac:dyDescent="0.25">
      <c r="A3475">
        <v>913</v>
      </c>
      <c r="B3475" s="47" t="str">
        <f>VLOOKUP(Tabla6[[#This Row],['# Vuelo]],'Validacion reclamo de equipaje'!P:Q,2,0)</f>
        <v>BARATA Y MORADA</v>
      </c>
      <c r="C3475" s="52">
        <v>0.25694444444444448</v>
      </c>
      <c r="D3475" s="52">
        <v>0.27083333333333331</v>
      </c>
      <c r="E3475" s="53">
        <f>'Reclamo de equipaje rediseñado'!$D3475-'Reclamo de equipaje rediseñado'!$C3475</f>
        <v>1.388888888888884E-2</v>
      </c>
      <c r="F3475" s="52">
        <v>0.29097222222222224</v>
      </c>
      <c r="G3475" s="53">
        <f t="shared" si="54"/>
        <v>2.0138888888888928E-2</v>
      </c>
      <c r="H3475" s="54">
        <v>41747</v>
      </c>
      <c r="I3475" s="55" t="s">
        <v>555</v>
      </c>
      <c r="J3475" s="55">
        <v>320</v>
      </c>
      <c r="K3475" s="55">
        <f>VLOOKUP(J3475,'Validacion reclamo de equipaje'!L:M,2,0)</f>
        <v>179</v>
      </c>
      <c r="L3475" s="55" t="str">
        <f>VLOOKUP(I3475,'Validacion reclamo de equipaje'!H:I,2,0)</f>
        <v>Internacional</v>
      </c>
      <c r="M3475" s="55" t="s">
        <v>523</v>
      </c>
    </row>
    <row r="3476" spans="1:13" x14ac:dyDescent="0.25">
      <c r="A3476">
        <v>913</v>
      </c>
      <c r="B3476" s="47" t="str">
        <f>VLOOKUP(Tabla6[[#This Row],['# Vuelo]],'Validacion reclamo de equipaje'!P:Q,2,0)</f>
        <v>BARATA Y MORADA</v>
      </c>
      <c r="C3476" s="48">
        <v>0.26319444444444445</v>
      </c>
      <c r="D3476" s="48">
        <v>0.28263888888888888</v>
      </c>
      <c r="E3476" s="49">
        <f>'Reclamo de equipaje rediseñado'!$D3476-'Reclamo de equipaje rediseñado'!$C3476</f>
        <v>1.9444444444444431E-2</v>
      </c>
      <c r="F3476" s="48">
        <v>0.2902777777777778</v>
      </c>
      <c r="G3476" s="49">
        <f t="shared" si="54"/>
        <v>7.6388888888889173E-3</v>
      </c>
      <c r="H3476" s="50">
        <v>41749</v>
      </c>
      <c r="I3476" s="51" t="s">
        <v>555</v>
      </c>
      <c r="J3476" s="51">
        <v>320</v>
      </c>
      <c r="K3476" s="51">
        <f>VLOOKUP(J3476,'Validacion reclamo de equipaje'!L:M,2,0)</f>
        <v>179</v>
      </c>
      <c r="L3476" s="51" t="str">
        <f>VLOOKUP(I3476,'Validacion reclamo de equipaje'!H:I,2,0)</f>
        <v>Internacional</v>
      </c>
      <c r="M3476" s="51" t="s">
        <v>523</v>
      </c>
    </row>
    <row r="3477" spans="1:13" x14ac:dyDescent="0.25">
      <c r="A3477">
        <v>913</v>
      </c>
      <c r="B3477" s="47" t="str">
        <f>VLOOKUP(Tabla6[[#This Row],['# Vuelo]],'Validacion reclamo de equipaje'!P:Q,2,0)</f>
        <v>BARATA Y MORADA</v>
      </c>
      <c r="C3477" s="52">
        <v>0.25625000000000003</v>
      </c>
      <c r="D3477" s="52">
        <v>0.27083333333333331</v>
      </c>
      <c r="E3477" s="53">
        <f>'Reclamo de equipaje rediseñado'!$D3477-'Reclamo de equipaje rediseñado'!$C3477</f>
        <v>1.4583333333333282E-2</v>
      </c>
      <c r="F3477" s="52">
        <v>0.29236111111111113</v>
      </c>
      <c r="G3477" s="53">
        <f t="shared" si="54"/>
        <v>2.1527777777777812E-2</v>
      </c>
      <c r="H3477" s="54">
        <v>41752</v>
      </c>
      <c r="I3477" s="55" t="s">
        <v>555</v>
      </c>
      <c r="J3477" s="55">
        <v>320</v>
      </c>
      <c r="K3477" s="55">
        <f>VLOOKUP(J3477,'Validacion reclamo de equipaje'!L:M,2,0)</f>
        <v>179</v>
      </c>
      <c r="L3477" s="55" t="str">
        <f>VLOOKUP(I3477,'Validacion reclamo de equipaje'!H:I,2,0)</f>
        <v>Internacional</v>
      </c>
      <c r="M3477" s="55" t="s">
        <v>523</v>
      </c>
    </row>
    <row r="3478" spans="1:13" x14ac:dyDescent="0.25">
      <c r="A3478">
        <v>913</v>
      </c>
      <c r="B3478" s="47" t="str">
        <f>VLOOKUP(Tabla6[[#This Row],['# Vuelo]],'Validacion reclamo de equipaje'!P:Q,2,0)</f>
        <v>BARATA Y MORADA</v>
      </c>
      <c r="C3478" s="48">
        <v>0.26250000000000001</v>
      </c>
      <c r="D3478" s="48">
        <v>0.27499999999999997</v>
      </c>
      <c r="E3478" s="49">
        <f>'Reclamo de equipaje rediseñado'!$D3478-'Reclamo de equipaje rediseñado'!$C3478</f>
        <v>1.2499999999999956E-2</v>
      </c>
      <c r="F3478" s="48">
        <v>0.29583333333333334</v>
      </c>
      <c r="G3478" s="49">
        <f t="shared" si="54"/>
        <v>2.083333333333337E-2</v>
      </c>
      <c r="H3478" s="50">
        <v>41752</v>
      </c>
      <c r="I3478" s="51" t="s">
        <v>555</v>
      </c>
      <c r="J3478" s="51">
        <v>320</v>
      </c>
      <c r="K3478" s="51">
        <f>VLOOKUP(J3478,'Validacion reclamo de equipaje'!L:M,2,0)</f>
        <v>179</v>
      </c>
      <c r="L3478" s="51" t="str">
        <f>VLOOKUP(I3478,'Validacion reclamo de equipaje'!H:I,2,0)</f>
        <v>Internacional</v>
      </c>
      <c r="M3478" s="51" t="s">
        <v>523</v>
      </c>
    </row>
    <row r="3479" spans="1:13" x14ac:dyDescent="0.25">
      <c r="A3479">
        <v>913</v>
      </c>
      <c r="B3479" s="47" t="str">
        <f>VLOOKUP(Tabla6[[#This Row],['# Vuelo]],'Validacion reclamo de equipaje'!P:Q,2,0)</f>
        <v>BARATA Y MORADA</v>
      </c>
      <c r="C3479" s="52">
        <v>0.25208333333333333</v>
      </c>
      <c r="D3479" s="52">
        <v>0.26041666666666669</v>
      </c>
      <c r="E3479" s="53">
        <f>'Reclamo de equipaje rediseñado'!$D3479-'Reclamo de equipaje rediseñado'!$C3479</f>
        <v>8.3333333333333592E-3</v>
      </c>
      <c r="F3479" s="52">
        <v>0.26805555555555555</v>
      </c>
      <c r="G3479" s="53">
        <f t="shared" si="54"/>
        <v>7.6388888888888618E-3</v>
      </c>
      <c r="H3479" s="54">
        <v>41752</v>
      </c>
      <c r="I3479" s="55" t="s">
        <v>555</v>
      </c>
      <c r="J3479" s="55">
        <v>320</v>
      </c>
      <c r="K3479" s="55">
        <f>VLOOKUP(J3479,'Validacion reclamo de equipaje'!L:M,2,0)</f>
        <v>179</v>
      </c>
      <c r="L3479" s="55" t="str">
        <f>VLOOKUP(I3479,'Validacion reclamo de equipaje'!H:I,2,0)</f>
        <v>Internacional</v>
      </c>
      <c r="M3479" s="55" t="s">
        <v>523</v>
      </c>
    </row>
    <row r="3480" spans="1:13" x14ac:dyDescent="0.25">
      <c r="A3480">
        <v>913</v>
      </c>
      <c r="B3480" s="47" t="str">
        <f>VLOOKUP(Tabla6[[#This Row],['# Vuelo]],'Validacion reclamo de equipaje'!P:Q,2,0)</f>
        <v>BARATA Y MORADA</v>
      </c>
      <c r="C3480" s="48">
        <v>0.26527777777777778</v>
      </c>
      <c r="D3480" s="48">
        <v>0.2673611111111111</v>
      </c>
      <c r="E3480" s="49">
        <f>'Reclamo de equipaje rediseñado'!$D3480-'Reclamo de equipaje rediseñado'!$C3480</f>
        <v>2.0833333333333259E-3</v>
      </c>
      <c r="F3480" s="48">
        <v>0.27083333333333331</v>
      </c>
      <c r="G3480" s="49">
        <f t="shared" si="54"/>
        <v>3.4722222222222099E-3</v>
      </c>
      <c r="H3480" s="50">
        <v>41754</v>
      </c>
      <c r="I3480" s="51" t="s">
        <v>555</v>
      </c>
      <c r="J3480" s="51">
        <v>320</v>
      </c>
      <c r="K3480" s="51">
        <f>VLOOKUP(J3480,'Validacion reclamo de equipaje'!L:M,2,0)</f>
        <v>179</v>
      </c>
      <c r="L3480" s="51" t="str">
        <f>VLOOKUP(I3480,'Validacion reclamo de equipaje'!H:I,2,0)</f>
        <v>Internacional</v>
      </c>
      <c r="M3480" s="51" t="s">
        <v>523</v>
      </c>
    </row>
    <row r="3481" spans="1:13" x14ac:dyDescent="0.25">
      <c r="A3481">
        <v>913</v>
      </c>
      <c r="B3481" s="47" t="str">
        <f>VLOOKUP(Tabla6[[#This Row],['# Vuelo]],'Validacion reclamo de equipaje'!P:Q,2,0)</f>
        <v>BARATA Y MORADA</v>
      </c>
      <c r="C3481" s="52">
        <v>0.24791666666666667</v>
      </c>
      <c r="D3481" s="52">
        <v>0.26319444444444445</v>
      </c>
      <c r="E3481" s="53">
        <f>'Reclamo de equipaje rediseñado'!$D3481-'Reclamo de equipaje rediseñado'!$C3481</f>
        <v>1.5277777777777779E-2</v>
      </c>
      <c r="F3481" s="52">
        <v>0.28611111111111115</v>
      </c>
      <c r="G3481" s="53">
        <f t="shared" si="54"/>
        <v>2.2916666666666696E-2</v>
      </c>
      <c r="H3481" s="54">
        <v>41755</v>
      </c>
      <c r="I3481" s="55" t="s">
        <v>555</v>
      </c>
      <c r="J3481" s="55">
        <v>320</v>
      </c>
      <c r="K3481" s="55">
        <f>VLOOKUP(J3481,'Validacion reclamo de equipaje'!L:M,2,0)</f>
        <v>179</v>
      </c>
      <c r="L3481" s="55" t="str">
        <f>VLOOKUP(I3481,'Validacion reclamo de equipaje'!H:I,2,0)</f>
        <v>Internacional</v>
      </c>
      <c r="M3481" s="55" t="s">
        <v>523</v>
      </c>
    </row>
    <row r="3482" spans="1:13" x14ac:dyDescent="0.25">
      <c r="A3482">
        <v>913</v>
      </c>
      <c r="B3482" s="47" t="str">
        <f>VLOOKUP(Tabla6[[#This Row],['# Vuelo]],'Validacion reclamo de equipaje'!P:Q,2,0)</f>
        <v>BARATA Y MORADA</v>
      </c>
      <c r="C3482" s="48">
        <v>0.26944444444444443</v>
      </c>
      <c r="D3482" s="48">
        <v>0.27986111111111112</v>
      </c>
      <c r="E3482" s="49">
        <f>'Reclamo de equipaje rediseñado'!$D3482-'Reclamo de equipaje rediseñado'!$C3482</f>
        <v>1.0416666666666685E-2</v>
      </c>
      <c r="F3482" s="48">
        <v>0.30694444444444441</v>
      </c>
      <c r="G3482" s="49">
        <f t="shared" si="54"/>
        <v>2.7083333333333293E-2</v>
      </c>
      <c r="H3482" s="50">
        <v>41759</v>
      </c>
      <c r="I3482" s="51" t="s">
        <v>555</v>
      </c>
      <c r="J3482" s="51">
        <v>320</v>
      </c>
      <c r="K3482" s="51">
        <f>VLOOKUP(J3482,'Validacion reclamo de equipaje'!L:M,2,0)</f>
        <v>179</v>
      </c>
      <c r="L3482" s="51" t="str">
        <f>VLOOKUP(I3482,'Validacion reclamo de equipaje'!H:I,2,0)</f>
        <v>Internacional</v>
      </c>
      <c r="M3482" s="51" t="s">
        <v>523</v>
      </c>
    </row>
    <row r="3483" spans="1:13" x14ac:dyDescent="0.25">
      <c r="A3483">
        <v>915</v>
      </c>
      <c r="B3483" s="47" t="str">
        <f>VLOOKUP(Tabla6[[#This Row],['# Vuelo]],'Validacion reclamo de equipaje'!P:Q,2,0)</f>
        <v>BARATA Y MORADA</v>
      </c>
      <c r="C3483" s="52">
        <v>0.8534722222222223</v>
      </c>
      <c r="D3483" s="52">
        <v>0.86388888888888893</v>
      </c>
      <c r="E3483" s="53">
        <f>'Reclamo de equipaje rediseñado'!$D3483-'Reclamo de equipaje rediseñado'!$C3483</f>
        <v>1.041666666666663E-2</v>
      </c>
      <c r="F3483" s="52">
        <v>0.88263888888888886</v>
      </c>
      <c r="G3483" s="53">
        <f t="shared" si="54"/>
        <v>1.8749999999999933E-2</v>
      </c>
      <c r="H3483" s="54">
        <v>41730</v>
      </c>
      <c r="I3483" s="55" t="s">
        <v>555</v>
      </c>
      <c r="J3483" s="55">
        <v>320</v>
      </c>
      <c r="K3483" s="55">
        <f>VLOOKUP(J3483,'Validacion reclamo de equipaje'!L:M,2,0)</f>
        <v>179</v>
      </c>
      <c r="L3483" s="55" t="str">
        <f>VLOOKUP(I3483,'Validacion reclamo de equipaje'!H:I,2,0)</f>
        <v>Internacional</v>
      </c>
      <c r="M3483" s="55" t="s">
        <v>523</v>
      </c>
    </row>
    <row r="3484" spans="1:13" x14ac:dyDescent="0.25">
      <c r="A3484">
        <v>915</v>
      </c>
      <c r="B3484" s="47" t="str">
        <f>VLOOKUP(Tabla6[[#This Row],['# Vuelo]],'Validacion reclamo de equipaje'!P:Q,2,0)</f>
        <v>BARATA Y MORADA</v>
      </c>
      <c r="C3484" s="48">
        <v>0.85069444444444453</v>
      </c>
      <c r="D3484" s="48">
        <v>0.8666666666666667</v>
      </c>
      <c r="E3484" s="49">
        <f>'Reclamo de equipaje rediseñado'!$D3484-'Reclamo de equipaje rediseñado'!$C3484</f>
        <v>1.5972222222222165E-2</v>
      </c>
      <c r="F3484" s="48">
        <v>0.8833333333333333</v>
      </c>
      <c r="G3484" s="49">
        <f t="shared" si="54"/>
        <v>1.6666666666666607E-2</v>
      </c>
      <c r="H3484" s="50">
        <v>41731</v>
      </c>
      <c r="I3484" s="51" t="s">
        <v>555</v>
      </c>
      <c r="J3484" s="51">
        <v>320</v>
      </c>
      <c r="K3484" s="51">
        <f>VLOOKUP(J3484,'Validacion reclamo de equipaje'!L:M,2,0)</f>
        <v>179</v>
      </c>
      <c r="L3484" s="51" t="str">
        <f>VLOOKUP(I3484,'Validacion reclamo de equipaje'!H:I,2,0)</f>
        <v>Internacional</v>
      </c>
      <c r="M3484" s="51" t="s">
        <v>523</v>
      </c>
    </row>
    <row r="3485" spans="1:13" x14ac:dyDescent="0.25">
      <c r="A3485">
        <v>915</v>
      </c>
      <c r="B3485" s="47" t="str">
        <f>VLOOKUP(Tabla6[[#This Row],['# Vuelo]],'Validacion reclamo de equipaje'!P:Q,2,0)</f>
        <v>BARATA Y MORADA</v>
      </c>
      <c r="C3485" s="52">
        <v>0.83194444444444438</v>
      </c>
      <c r="D3485" s="52">
        <v>0.84722222222222221</v>
      </c>
      <c r="E3485" s="53">
        <f>'Reclamo de equipaje rediseñado'!$D3485-'Reclamo de equipaje rediseñado'!$C3485</f>
        <v>1.5277777777777835E-2</v>
      </c>
      <c r="F3485" s="52">
        <v>0.87083333333333324</v>
      </c>
      <c r="G3485" s="53">
        <f t="shared" si="54"/>
        <v>2.3611111111111027E-2</v>
      </c>
      <c r="H3485" s="54">
        <v>41732</v>
      </c>
      <c r="I3485" s="55" t="s">
        <v>555</v>
      </c>
      <c r="J3485" s="55">
        <v>320</v>
      </c>
      <c r="K3485" s="55">
        <f>VLOOKUP(J3485,'Validacion reclamo de equipaje'!L:M,2,0)</f>
        <v>179</v>
      </c>
      <c r="L3485" s="55" t="str">
        <f>VLOOKUP(I3485,'Validacion reclamo de equipaje'!H:I,2,0)</f>
        <v>Internacional</v>
      </c>
      <c r="M3485" s="55" t="s">
        <v>523</v>
      </c>
    </row>
    <row r="3486" spans="1:13" x14ac:dyDescent="0.25">
      <c r="A3486">
        <v>915</v>
      </c>
      <c r="B3486" s="47" t="str">
        <f>VLOOKUP(Tabla6[[#This Row],['# Vuelo]],'Validacion reclamo de equipaje'!P:Q,2,0)</f>
        <v>BARATA Y MORADA</v>
      </c>
      <c r="C3486" s="48">
        <v>0.83333333333333337</v>
      </c>
      <c r="D3486" s="48">
        <v>0.84027777777777779</v>
      </c>
      <c r="E3486" s="49">
        <f>'Reclamo de equipaje rediseñado'!$D3486-'Reclamo de equipaje rediseñado'!$C3486</f>
        <v>6.9444444444444198E-3</v>
      </c>
      <c r="F3486" s="48">
        <v>0.86111111111111116</v>
      </c>
      <c r="G3486" s="49">
        <f t="shared" si="54"/>
        <v>2.083333333333337E-2</v>
      </c>
      <c r="H3486" s="50">
        <v>41733</v>
      </c>
      <c r="I3486" s="51" t="s">
        <v>555</v>
      </c>
      <c r="J3486" s="51">
        <v>320</v>
      </c>
      <c r="K3486" s="51">
        <f>VLOOKUP(J3486,'Validacion reclamo de equipaje'!L:M,2,0)</f>
        <v>179</v>
      </c>
      <c r="L3486" s="51" t="str">
        <f>VLOOKUP(I3486,'Validacion reclamo de equipaje'!H:I,2,0)</f>
        <v>Internacional</v>
      </c>
      <c r="M3486" s="51" t="s">
        <v>523</v>
      </c>
    </row>
    <row r="3487" spans="1:13" x14ac:dyDescent="0.25">
      <c r="A3487">
        <v>915</v>
      </c>
      <c r="B3487" s="47" t="str">
        <f>VLOOKUP(Tabla6[[#This Row],['# Vuelo]],'Validacion reclamo de equipaje'!P:Q,2,0)</f>
        <v>BARATA Y MORADA</v>
      </c>
      <c r="C3487" s="52">
        <v>0.82777777777777783</v>
      </c>
      <c r="D3487" s="52">
        <v>0.83888888888888891</v>
      </c>
      <c r="E3487" s="53">
        <f>'Reclamo de equipaje rediseñado'!$D3487-'Reclamo de equipaje rediseñado'!$C3487</f>
        <v>1.1111111111111072E-2</v>
      </c>
      <c r="F3487" s="52">
        <v>0.84930555555555554</v>
      </c>
      <c r="G3487" s="53">
        <f t="shared" si="54"/>
        <v>1.041666666666663E-2</v>
      </c>
      <c r="H3487" s="54">
        <v>41735</v>
      </c>
      <c r="I3487" s="55" t="s">
        <v>555</v>
      </c>
      <c r="J3487" s="55">
        <v>320</v>
      </c>
      <c r="K3487" s="55">
        <f>VLOOKUP(J3487,'Validacion reclamo de equipaje'!L:M,2,0)</f>
        <v>179</v>
      </c>
      <c r="L3487" s="55" t="str">
        <f>VLOOKUP(I3487,'Validacion reclamo de equipaje'!H:I,2,0)</f>
        <v>Internacional</v>
      </c>
      <c r="M3487" s="55" t="s">
        <v>523</v>
      </c>
    </row>
    <row r="3488" spans="1:13" x14ac:dyDescent="0.25">
      <c r="A3488">
        <v>915</v>
      </c>
      <c r="B3488" s="47" t="str">
        <f>VLOOKUP(Tabla6[[#This Row],['# Vuelo]],'Validacion reclamo de equipaje'!P:Q,2,0)</f>
        <v>BARATA Y MORADA</v>
      </c>
      <c r="C3488" s="48">
        <v>0.82708333333333339</v>
      </c>
      <c r="D3488" s="48">
        <v>0.83680555555555547</v>
      </c>
      <c r="E3488" s="49">
        <f>'Reclamo de equipaje rediseñado'!$D3488-'Reclamo de equipaje rediseñado'!$C3488</f>
        <v>9.7222222222220767E-3</v>
      </c>
      <c r="F3488" s="48">
        <v>0.8534722222222223</v>
      </c>
      <c r="G3488" s="49">
        <f t="shared" si="54"/>
        <v>1.6666666666666829E-2</v>
      </c>
      <c r="H3488" s="50">
        <v>41736</v>
      </c>
      <c r="I3488" s="51" t="s">
        <v>555</v>
      </c>
      <c r="J3488" s="51">
        <v>320</v>
      </c>
      <c r="K3488" s="51">
        <f>VLOOKUP(J3488,'Validacion reclamo de equipaje'!L:M,2,0)</f>
        <v>179</v>
      </c>
      <c r="L3488" s="51" t="str">
        <f>VLOOKUP(I3488,'Validacion reclamo de equipaje'!H:I,2,0)</f>
        <v>Internacional</v>
      </c>
      <c r="M3488" s="51" t="s">
        <v>523</v>
      </c>
    </row>
    <row r="3489" spans="1:13" x14ac:dyDescent="0.25">
      <c r="A3489">
        <v>915</v>
      </c>
      <c r="B3489" s="47" t="str">
        <f>VLOOKUP(Tabla6[[#This Row],['# Vuelo]],'Validacion reclamo de equipaje'!P:Q,2,0)</f>
        <v>BARATA Y MORADA</v>
      </c>
      <c r="C3489" s="52">
        <v>0.88888888888888884</v>
      </c>
      <c r="D3489" s="52">
        <v>0.89861111111111114</v>
      </c>
      <c r="E3489" s="53">
        <f>'Reclamo de equipaje rediseñado'!$D3489-'Reclamo de equipaje rediseñado'!$C3489</f>
        <v>9.7222222222222987E-3</v>
      </c>
      <c r="F3489" s="52">
        <v>0.92152777777777783</v>
      </c>
      <c r="G3489" s="53">
        <f t="shared" si="54"/>
        <v>2.2916666666666696E-2</v>
      </c>
      <c r="H3489" s="54">
        <v>41740</v>
      </c>
      <c r="I3489" s="55" t="s">
        <v>555</v>
      </c>
      <c r="J3489" s="55">
        <v>320</v>
      </c>
      <c r="K3489" s="55">
        <f>VLOOKUP(J3489,'Validacion reclamo de equipaje'!L:M,2,0)</f>
        <v>179</v>
      </c>
      <c r="L3489" s="55" t="str">
        <f>VLOOKUP(I3489,'Validacion reclamo de equipaje'!H:I,2,0)</f>
        <v>Internacional</v>
      </c>
      <c r="M3489" s="55" t="s">
        <v>523</v>
      </c>
    </row>
    <row r="3490" spans="1:13" x14ac:dyDescent="0.25">
      <c r="A3490">
        <v>915</v>
      </c>
      <c r="B3490" s="47" t="str">
        <f>VLOOKUP(Tabla6[[#This Row],['# Vuelo]],'Validacion reclamo de equipaje'!P:Q,2,0)</f>
        <v>BARATA Y MORADA</v>
      </c>
      <c r="C3490" s="48">
        <v>0.8534722222222223</v>
      </c>
      <c r="D3490" s="48">
        <v>0.86388888888888893</v>
      </c>
      <c r="E3490" s="49">
        <f>'Reclamo de equipaje rediseñado'!$D3490-'Reclamo de equipaje rediseñado'!$C3490</f>
        <v>1.041666666666663E-2</v>
      </c>
      <c r="F3490" s="48">
        <v>0.88263888888888886</v>
      </c>
      <c r="G3490" s="49">
        <f t="shared" si="54"/>
        <v>1.8749999999999933E-2</v>
      </c>
      <c r="H3490" s="50">
        <v>41742</v>
      </c>
      <c r="I3490" s="51" t="s">
        <v>555</v>
      </c>
      <c r="J3490" s="51">
        <v>320</v>
      </c>
      <c r="K3490" s="51">
        <f>VLOOKUP(J3490,'Validacion reclamo de equipaje'!L:M,2,0)</f>
        <v>179</v>
      </c>
      <c r="L3490" s="51" t="str">
        <f>VLOOKUP(I3490,'Validacion reclamo de equipaje'!H:I,2,0)</f>
        <v>Internacional</v>
      </c>
      <c r="M3490" s="51" t="s">
        <v>523</v>
      </c>
    </row>
    <row r="3491" spans="1:13" x14ac:dyDescent="0.25">
      <c r="A3491">
        <v>915</v>
      </c>
      <c r="B3491" s="47" t="str">
        <f>VLOOKUP(Tabla6[[#This Row],['# Vuelo]],'Validacion reclamo de equipaje'!P:Q,2,0)</f>
        <v>BARATA Y MORADA</v>
      </c>
      <c r="C3491" s="52">
        <v>0.8305555555555556</v>
      </c>
      <c r="D3491" s="52">
        <v>0.84166666666666667</v>
      </c>
      <c r="E3491" s="53">
        <f>'Reclamo de equipaje rediseñado'!$D3491-'Reclamo de equipaje rediseñado'!$C3491</f>
        <v>1.1111111111111072E-2</v>
      </c>
      <c r="F3491" s="52">
        <v>0.85763888888888884</v>
      </c>
      <c r="G3491" s="53">
        <f t="shared" si="54"/>
        <v>1.5972222222222165E-2</v>
      </c>
      <c r="H3491" s="54">
        <v>41743</v>
      </c>
      <c r="I3491" s="55" t="s">
        <v>555</v>
      </c>
      <c r="J3491" s="55">
        <v>320</v>
      </c>
      <c r="K3491" s="55">
        <f>VLOOKUP(J3491,'Validacion reclamo de equipaje'!L:M,2,0)</f>
        <v>179</v>
      </c>
      <c r="L3491" s="55" t="str">
        <f>VLOOKUP(I3491,'Validacion reclamo de equipaje'!H:I,2,0)</f>
        <v>Internacional</v>
      </c>
      <c r="M3491" s="55" t="s">
        <v>523</v>
      </c>
    </row>
    <row r="3492" spans="1:13" x14ac:dyDescent="0.25">
      <c r="A3492">
        <v>915</v>
      </c>
      <c r="B3492" s="47" t="str">
        <f>VLOOKUP(Tabla6[[#This Row],['# Vuelo]],'Validacion reclamo de equipaje'!P:Q,2,0)</f>
        <v>BARATA Y MORADA</v>
      </c>
      <c r="C3492" s="48">
        <v>0.82500000000000007</v>
      </c>
      <c r="D3492" s="48">
        <v>0.83888888888888891</v>
      </c>
      <c r="E3492" s="49">
        <f>'Reclamo de equipaje rediseñado'!$D3492-'Reclamo de equipaje rediseñado'!$C3492</f>
        <v>1.388888888888884E-2</v>
      </c>
      <c r="F3492" s="48">
        <v>0.85416666666666663</v>
      </c>
      <c r="G3492" s="49">
        <f t="shared" si="54"/>
        <v>1.5277777777777724E-2</v>
      </c>
      <c r="H3492" s="50">
        <v>41744</v>
      </c>
      <c r="I3492" s="51" t="s">
        <v>555</v>
      </c>
      <c r="J3492" s="51">
        <v>320</v>
      </c>
      <c r="K3492" s="51">
        <f>VLOOKUP(J3492,'Validacion reclamo de equipaje'!L:M,2,0)</f>
        <v>179</v>
      </c>
      <c r="L3492" s="51" t="str">
        <f>VLOOKUP(I3492,'Validacion reclamo de equipaje'!H:I,2,0)</f>
        <v>Internacional</v>
      </c>
      <c r="M3492" s="51" t="s">
        <v>523</v>
      </c>
    </row>
    <row r="3493" spans="1:13" x14ac:dyDescent="0.25">
      <c r="A3493">
        <v>915</v>
      </c>
      <c r="B3493" s="47" t="str">
        <f>VLOOKUP(Tabla6[[#This Row],['# Vuelo]],'Validacion reclamo de equipaje'!P:Q,2,0)</f>
        <v>BARATA Y MORADA</v>
      </c>
      <c r="C3493" s="52">
        <v>0.82986111111111116</v>
      </c>
      <c r="D3493" s="52">
        <v>0.84305555555555556</v>
      </c>
      <c r="E3493" s="53">
        <f>'Reclamo de equipaje rediseñado'!$D3493-'Reclamo de equipaje rediseñado'!$C3493</f>
        <v>1.3194444444444398E-2</v>
      </c>
      <c r="F3493" s="52">
        <v>0.86041666666666661</v>
      </c>
      <c r="G3493" s="53">
        <f t="shared" si="54"/>
        <v>1.7361111111111049E-2</v>
      </c>
      <c r="H3493" s="54">
        <v>41747</v>
      </c>
      <c r="I3493" s="55" t="s">
        <v>555</v>
      </c>
      <c r="J3493" s="55">
        <v>320</v>
      </c>
      <c r="K3493" s="55">
        <f>VLOOKUP(J3493,'Validacion reclamo de equipaje'!L:M,2,0)</f>
        <v>179</v>
      </c>
      <c r="L3493" s="55" t="str">
        <f>VLOOKUP(I3493,'Validacion reclamo de equipaje'!H:I,2,0)</f>
        <v>Internacional</v>
      </c>
      <c r="M3493" s="55" t="s">
        <v>523</v>
      </c>
    </row>
    <row r="3494" spans="1:13" x14ac:dyDescent="0.25">
      <c r="A3494">
        <v>915</v>
      </c>
      <c r="B3494" s="47" t="str">
        <f>VLOOKUP(Tabla6[[#This Row],['# Vuelo]],'Validacion reclamo de equipaje'!P:Q,2,0)</f>
        <v>BARATA Y MORADA</v>
      </c>
      <c r="C3494" s="48">
        <v>0.82847222222222217</v>
      </c>
      <c r="D3494" s="48">
        <v>0.84236111111111101</v>
      </c>
      <c r="E3494" s="49">
        <f>'Reclamo de equipaje rediseñado'!$D3494-'Reclamo de equipaje rediseñado'!$C3494</f>
        <v>1.388888888888884E-2</v>
      </c>
      <c r="F3494" s="48">
        <v>0.85833333333333339</v>
      </c>
      <c r="G3494" s="49">
        <f t="shared" si="54"/>
        <v>1.5972222222222388E-2</v>
      </c>
      <c r="H3494" s="50">
        <v>41748</v>
      </c>
      <c r="I3494" s="51" t="s">
        <v>555</v>
      </c>
      <c r="J3494" s="51">
        <v>320</v>
      </c>
      <c r="K3494" s="51">
        <f>VLOOKUP(J3494,'Validacion reclamo de equipaje'!L:M,2,0)</f>
        <v>179</v>
      </c>
      <c r="L3494" s="51" t="str">
        <f>VLOOKUP(I3494,'Validacion reclamo de equipaje'!H:I,2,0)</f>
        <v>Internacional</v>
      </c>
      <c r="M3494" s="51" t="s">
        <v>523</v>
      </c>
    </row>
    <row r="3495" spans="1:13" x14ac:dyDescent="0.25">
      <c r="A3495">
        <v>915</v>
      </c>
      <c r="B3495" s="47" t="str">
        <f>VLOOKUP(Tabla6[[#This Row],['# Vuelo]],'Validacion reclamo de equipaje'!P:Q,2,0)</f>
        <v>BARATA Y MORADA</v>
      </c>
      <c r="C3495" s="52">
        <v>0.82777777777777783</v>
      </c>
      <c r="D3495" s="52">
        <v>0.84166666666666667</v>
      </c>
      <c r="E3495" s="53">
        <f>'Reclamo de equipaje rediseñado'!$D3495-'Reclamo de equipaje rediseñado'!$C3495</f>
        <v>1.388888888888884E-2</v>
      </c>
      <c r="F3495" s="52">
        <v>0.85972222222222217</v>
      </c>
      <c r="G3495" s="53">
        <f t="shared" si="54"/>
        <v>1.8055555555555491E-2</v>
      </c>
      <c r="H3495" s="54">
        <v>41751</v>
      </c>
      <c r="I3495" s="55" t="s">
        <v>555</v>
      </c>
      <c r="J3495" s="55">
        <v>320</v>
      </c>
      <c r="K3495" s="55">
        <f>VLOOKUP(J3495,'Validacion reclamo de equipaje'!L:M,2,0)</f>
        <v>179</v>
      </c>
      <c r="L3495" s="55" t="str">
        <f>VLOOKUP(I3495,'Validacion reclamo de equipaje'!H:I,2,0)</f>
        <v>Internacional</v>
      </c>
      <c r="M3495" s="55" t="s">
        <v>523</v>
      </c>
    </row>
    <row r="3496" spans="1:13" x14ac:dyDescent="0.25">
      <c r="A3496">
        <v>915</v>
      </c>
      <c r="B3496" s="47" t="str">
        <f>VLOOKUP(Tabla6[[#This Row],['# Vuelo]],'Validacion reclamo de equipaje'!P:Q,2,0)</f>
        <v>BARATA Y MORADA</v>
      </c>
      <c r="C3496" s="48">
        <v>0.82777777777777783</v>
      </c>
      <c r="D3496" s="48">
        <v>0.84027777777777779</v>
      </c>
      <c r="E3496" s="49">
        <f>'Reclamo de equipaje rediseñado'!$D3496-'Reclamo de equipaje rediseñado'!$C3496</f>
        <v>1.2499999999999956E-2</v>
      </c>
      <c r="F3496" s="48">
        <v>0.84861111111111109</v>
      </c>
      <c r="G3496" s="49">
        <f t="shared" si="54"/>
        <v>8.3333333333333037E-3</v>
      </c>
      <c r="H3496" s="50">
        <v>41752</v>
      </c>
      <c r="I3496" s="51" t="s">
        <v>555</v>
      </c>
      <c r="J3496" s="51">
        <v>320</v>
      </c>
      <c r="K3496" s="51">
        <f>VLOOKUP(J3496,'Validacion reclamo de equipaje'!L:M,2,0)</f>
        <v>179</v>
      </c>
      <c r="L3496" s="51" t="str">
        <f>VLOOKUP(I3496,'Validacion reclamo de equipaje'!H:I,2,0)</f>
        <v>Internacional</v>
      </c>
      <c r="M3496" s="51" t="s">
        <v>523</v>
      </c>
    </row>
    <row r="3497" spans="1:13" x14ac:dyDescent="0.25">
      <c r="A3497">
        <v>915</v>
      </c>
      <c r="B3497" s="47" t="str">
        <f>VLOOKUP(Tabla6[[#This Row],['# Vuelo]],'Validacion reclamo de equipaje'!P:Q,2,0)</f>
        <v>BARATA Y MORADA</v>
      </c>
      <c r="C3497" s="52">
        <v>0.83750000000000002</v>
      </c>
      <c r="D3497" s="52">
        <v>0.84305555555555556</v>
      </c>
      <c r="E3497" s="53">
        <f>'Reclamo de equipaje rediseñado'!$D3497-'Reclamo de equipaje rediseñado'!$C3497</f>
        <v>5.5555555555555358E-3</v>
      </c>
      <c r="F3497" s="52">
        <v>0.86111111111111116</v>
      </c>
      <c r="G3497" s="53">
        <f t="shared" si="54"/>
        <v>1.8055555555555602E-2</v>
      </c>
      <c r="H3497" s="54">
        <v>41754</v>
      </c>
      <c r="I3497" s="55" t="s">
        <v>555</v>
      </c>
      <c r="J3497" s="55">
        <v>320</v>
      </c>
      <c r="K3497" s="55">
        <f>VLOOKUP(J3497,'Validacion reclamo de equipaje'!L:M,2,0)</f>
        <v>179</v>
      </c>
      <c r="L3497" s="55" t="str">
        <f>VLOOKUP(I3497,'Validacion reclamo de equipaje'!H:I,2,0)</f>
        <v>Internacional</v>
      </c>
      <c r="M3497" s="55" t="s">
        <v>523</v>
      </c>
    </row>
    <row r="3498" spans="1:13" x14ac:dyDescent="0.25">
      <c r="A3498">
        <v>915</v>
      </c>
      <c r="B3498" s="47" t="str">
        <f>VLOOKUP(Tabla6[[#This Row],['# Vuelo]],'Validacion reclamo de equipaje'!P:Q,2,0)</f>
        <v>BARATA Y MORADA</v>
      </c>
      <c r="C3498" s="48">
        <v>0.82430555555555562</v>
      </c>
      <c r="D3498" s="48">
        <v>0.83888888888888891</v>
      </c>
      <c r="E3498" s="49">
        <f>'Reclamo de equipaje rediseñado'!$D3498-'Reclamo de equipaje rediseñado'!$C3498</f>
        <v>1.4583333333333282E-2</v>
      </c>
      <c r="F3498" s="48">
        <v>0.85486111111111107</v>
      </c>
      <c r="G3498" s="49">
        <f t="shared" si="54"/>
        <v>1.5972222222222165E-2</v>
      </c>
      <c r="H3498" s="50">
        <v>41756</v>
      </c>
      <c r="I3498" s="51" t="s">
        <v>555</v>
      </c>
      <c r="J3498" s="51">
        <v>320</v>
      </c>
      <c r="K3498" s="51">
        <f>VLOOKUP(J3498,'Validacion reclamo de equipaje'!L:M,2,0)</f>
        <v>179</v>
      </c>
      <c r="L3498" s="51" t="str">
        <f>VLOOKUP(I3498,'Validacion reclamo de equipaje'!H:I,2,0)</f>
        <v>Internacional</v>
      </c>
      <c r="M3498" s="51" t="s">
        <v>523</v>
      </c>
    </row>
    <row r="3499" spans="1:13" x14ac:dyDescent="0.25">
      <c r="A3499">
        <v>915</v>
      </c>
      <c r="B3499" s="47" t="str">
        <f>VLOOKUP(Tabla6[[#This Row],['# Vuelo]],'Validacion reclamo de equipaje'!P:Q,2,0)</f>
        <v>BARATA Y MORADA</v>
      </c>
      <c r="C3499" s="52">
        <v>0.84513888888888899</v>
      </c>
      <c r="D3499" s="52">
        <v>0.8569444444444444</v>
      </c>
      <c r="E3499" s="53">
        <f>'Reclamo de equipaje rediseñado'!$D3499-'Reclamo de equipaje rediseñado'!$C3499</f>
        <v>1.1805555555555403E-2</v>
      </c>
      <c r="F3499" s="52">
        <v>0.86805555555555547</v>
      </c>
      <c r="G3499" s="53">
        <f t="shared" si="54"/>
        <v>1.1111111111111072E-2</v>
      </c>
      <c r="H3499" s="54">
        <v>41757</v>
      </c>
      <c r="I3499" s="55" t="s">
        <v>555</v>
      </c>
      <c r="J3499" s="55">
        <v>320</v>
      </c>
      <c r="K3499" s="55">
        <f>VLOOKUP(J3499,'Validacion reclamo de equipaje'!L:M,2,0)</f>
        <v>179</v>
      </c>
      <c r="L3499" s="55" t="str">
        <f>VLOOKUP(I3499,'Validacion reclamo de equipaje'!H:I,2,0)</f>
        <v>Internacional</v>
      </c>
      <c r="M3499" s="55" t="s">
        <v>523</v>
      </c>
    </row>
    <row r="3500" spans="1:13" x14ac:dyDescent="0.25">
      <c r="A3500">
        <v>915</v>
      </c>
      <c r="B3500" s="47" t="str">
        <f>VLOOKUP(Tabla6[[#This Row],['# Vuelo]],'Validacion reclamo de equipaje'!P:Q,2,0)</f>
        <v>BARATA Y MORADA</v>
      </c>
      <c r="C3500" s="48">
        <v>0.86319444444444438</v>
      </c>
      <c r="D3500" s="48">
        <v>0.875</v>
      </c>
      <c r="E3500" s="49">
        <f>'Reclamo de equipaje rediseñado'!$D3500-'Reclamo de equipaje rediseñado'!$C3500</f>
        <v>1.1805555555555625E-2</v>
      </c>
      <c r="F3500" s="48">
        <v>0.90277777777777779</v>
      </c>
      <c r="G3500" s="49">
        <f t="shared" si="54"/>
        <v>2.777777777777779E-2</v>
      </c>
      <c r="H3500" s="50">
        <v>41759</v>
      </c>
      <c r="I3500" s="51" t="s">
        <v>555</v>
      </c>
      <c r="J3500" s="51">
        <v>320</v>
      </c>
      <c r="K3500" s="51">
        <f>VLOOKUP(J3500,'Validacion reclamo de equipaje'!L:M,2,0)</f>
        <v>179</v>
      </c>
      <c r="L3500" s="51" t="str">
        <f>VLOOKUP(I3500,'Validacion reclamo de equipaje'!H:I,2,0)</f>
        <v>Internacional</v>
      </c>
      <c r="M3500" s="51" t="s">
        <v>523</v>
      </c>
    </row>
    <row r="3501" spans="1:13" x14ac:dyDescent="0.25">
      <c r="A3501">
        <v>917</v>
      </c>
      <c r="B3501" s="47" t="str">
        <f>VLOOKUP(Tabla6[[#This Row],['# Vuelo]],'Validacion reclamo de equipaje'!P:Q,2,0)</f>
        <v>BARATA Y MORADA</v>
      </c>
      <c r="C3501" s="52">
        <v>0.9590277777777777</v>
      </c>
      <c r="D3501" s="52">
        <v>0.96805555555555556</v>
      </c>
      <c r="E3501" s="53">
        <f>'Reclamo de equipaje rediseñado'!$D3501-'Reclamo de equipaje rediseñado'!$C3501</f>
        <v>9.0277777777778567E-3</v>
      </c>
      <c r="F3501" s="52">
        <v>0.98055555555555562</v>
      </c>
      <c r="G3501" s="53">
        <f t="shared" si="54"/>
        <v>1.2500000000000067E-2</v>
      </c>
      <c r="H3501" s="54">
        <v>41735</v>
      </c>
      <c r="I3501" s="55" t="s">
        <v>555</v>
      </c>
      <c r="J3501" s="55" t="s">
        <v>572</v>
      </c>
      <c r="K3501" s="55">
        <f>VLOOKUP(J3501,'Validacion reclamo de equipaje'!L:M,2,0)</f>
        <v>142</v>
      </c>
      <c r="L3501" s="55" t="str">
        <f>VLOOKUP(I3501,'Validacion reclamo de equipaje'!H:I,2,0)</f>
        <v>Internacional</v>
      </c>
      <c r="M3501" s="55" t="s">
        <v>523</v>
      </c>
    </row>
    <row r="3502" spans="1:13" x14ac:dyDescent="0.25">
      <c r="A3502">
        <v>917</v>
      </c>
      <c r="B3502" s="47" t="str">
        <f>VLOOKUP(Tabla6[[#This Row],['# Vuelo]],'Validacion reclamo de equipaje'!P:Q,2,0)</f>
        <v>BARATA Y MORADA</v>
      </c>
      <c r="C3502" s="48">
        <v>0.96388888888888891</v>
      </c>
      <c r="D3502" s="48">
        <v>0.97361111111111109</v>
      </c>
      <c r="E3502" s="49">
        <f>'Reclamo de equipaje rediseñado'!$D3502-'Reclamo de equipaje rediseñado'!$C3502</f>
        <v>9.7222222222221877E-3</v>
      </c>
      <c r="F3502" s="48">
        <v>0.98888888888888893</v>
      </c>
      <c r="G3502" s="49">
        <f t="shared" si="54"/>
        <v>1.5277777777777835E-2</v>
      </c>
      <c r="H3502" s="50">
        <v>41749</v>
      </c>
      <c r="I3502" s="51" t="s">
        <v>555</v>
      </c>
      <c r="J3502" s="51" t="s">
        <v>572</v>
      </c>
      <c r="K3502" s="51">
        <f>VLOOKUP(J3502,'Validacion reclamo de equipaje'!L:M,2,0)</f>
        <v>142</v>
      </c>
      <c r="L3502" s="51" t="str">
        <f>VLOOKUP(I3502,'Validacion reclamo de equipaje'!H:I,2,0)</f>
        <v>Internacional</v>
      </c>
      <c r="M3502" s="51" t="s">
        <v>523</v>
      </c>
    </row>
    <row r="3503" spans="1:13" x14ac:dyDescent="0.25">
      <c r="A3503">
        <v>917</v>
      </c>
      <c r="B3503" s="47" t="str">
        <f>VLOOKUP(Tabla6[[#This Row],['# Vuelo]],'Validacion reclamo de equipaje'!P:Q,2,0)</f>
        <v>BARATA Y MORADA</v>
      </c>
      <c r="C3503" s="52">
        <v>0.94861111111111107</v>
      </c>
      <c r="D3503" s="52">
        <v>0.95763888888888893</v>
      </c>
      <c r="E3503" s="53">
        <f>'Reclamo de equipaje rediseñado'!$D3503-'Reclamo de equipaje rediseñado'!$C3503</f>
        <v>9.0277777777778567E-3</v>
      </c>
      <c r="F3503" s="52">
        <v>0.98055555555555562</v>
      </c>
      <c r="G3503" s="53">
        <f t="shared" si="54"/>
        <v>2.2916666666666696E-2</v>
      </c>
      <c r="H3503" s="54">
        <v>41756</v>
      </c>
      <c r="I3503" s="55" t="s">
        <v>555</v>
      </c>
      <c r="J3503" s="55" t="s">
        <v>572</v>
      </c>
      <c r="K3503" s="55">
        <f>VLOOKUP(J3503,'Validacion reclamo de equipaje'!L:M,2,0)</f>
        <v>142</v>
      </c>
      <c r="L3503" s="55" t="str">
        <f>VLOOKUP(I3503,'Validacion reclamo de equipaje'!H:I,2,0)</f>
        <v>Internacional</v>
      </c>
      <c r="M3503" s="55" t="s">
        <v>523</v>
      </c>
    </row>
    <row r="3504" spans="1:13" x14ac:dyDescent="0.25">
      <c r="A3504">
        <v>931</v>
      </c>
      <c r="B3504" s="47" t="str">
        <f>VLOOKUP(Tabla6[[#This Row],['# Vuelo]],'Validacion reclamo de equipaje'!P:Q,2,0)</f>
        <v>BARATA Y MORADA</v>
      </c>
      <c r="C3504" s="48">
        <v>0.75902777777777775</v>
      </c>
      <c r="D3504" s="48">
        <v>0.7680555555555556</v>
      </c>
      <c r="E3504" s="49">
        <f>'Reclamo de equipaje rediseñado'!$D3504-'Reclamo de equipaje rediseñado'!$C3504</f>
        <v>9.0277777777778567E-3</v>
      </c>
      <c r="F3504" s="48">
        <v>0.77708333333333324</v>
      </c>
      <c r="G3504" s="49">
        <f t="shared" si="54"/>
        <v>9.0277777777776347E-3</v>
      </c>
      <c r="H3504" s="50">
        <v>41731</v>
      </c>
      <c r="I3504" s="51" t="s">
        <v>555</v>
      </c>
      <c r="J3504" s="51">
        <v>320</v>
      </c>
      <c r="K3504" s="51">
        <f>VLOOKUP(J3504,'Validacion reclamo de equipaje'!L:M,2,0)</f>
        <v>179</v>
      </c>
      <c r="L3504" s="51" t="str">
        <f>VLOOKUP(I3504,'Validacion reclamo de equipaje'!H:I,2,0)</f>
        <v>Internacional</v>
      </c>
      <c r="M3504" s="51" t="s">
        <v>523</v>
      </c>
    </row>
    <row r="3505" spans="1:13" x14ac:dyDescent="0.25">
      <c r="A3505">
        <v>931</v>
      </c>
      <c r="B3505" s="47" t="str">
        <f>VLOOKUP(Tabla6[[#This Row],['# Vuelo]],'Validacion reclamo de equipaje'!P:Q,2,0)</f>
        <v>BARATA Y MORADA</v>
      </c>
      <c r="C3505" s="52">
        <v>0.75902777777777775</v>
      </c>
      <c r="D3505" s="52">
        <v>0.7680555555555556</v>
      </c>
      <c r="E3505" s="53">
        <f>'Reclamo de equipaje rediseñado'!$D3505-'Reclamo de equipaje rediseñado'!$C3505</f>
        <v>9.0277777777778567E-3</v>
      </c>
      <c r="F3505" s="52">
        <v>0.77708333333333324</v>
      </c>
      <c r="G3505" s="53">
        <f t="shared" si="54"/>
        <v>9.0277777777776347E-3</v>
      </c>
      <c r="H3505" s="54">
        <v>41731</v>
      </c>
      <c r="I3505" s="55" t="s">
        <v>555</v>
      </c>
      <c r="J3505" s="55">
        <v>320</v>
      </c>
      <c r="K3505" s="55">
        <f>VLOOKUP(J3505,'Validacion reclamo de equipaje'!L:M,2,0)</f>
        <v>179</v>
      </c>
      <c r="L3505" s="55" t="str">
        <f>VLOOKUP(I3505,'Validacion reclamo de equipaje'!H:I,2,0)</f>
        <v>Internacional</v>
      </c>
      <c r="M3505" s="55" t="s">
        <v>523</v>
      </c>
    </row>
    <row r="3506" spans="1:13" x14ac:dyDescent="0.25">
      <c r="A3506">
        <v>931</v>
      </c>
      <c r="B3506" s="47" t="str">
        <f>VLOOKUP(Tabla6[[#This Row],['# Vuelo]],'Validacion reclamo de equipaje'!P:Q,2,0)</f>
        <v>BARATA Y MORADA</v>
      </c>
      <c r="C3506" s="48">
        <v>0.76458333333333339</v>
      </c>
      <c r="D3506" s="48">
        <v>0.78333333333333333</v>
      </c>
      <c r="E3506" s="49">
        <f>'Reclamo de equipaje rediseñado'!$D3506-'Reclamo de equipaje rediseñado'!$C3506</f>
        <v>1.8749999999999933E-2</v>
      </c>
      <c r="F3506" s="48">
        <v>0.78680555555555554</v>
      </c>
      <c r="G3506" s="49">
        <f t="shared" si="54"/>
        <v>3.4722222222222099E-3</v>
      </c>
      <c r="H3506" s="50">
        <v>41732</v>
      </c>
      <c r="I3506" s="51" t="s">
        <v>555</v>
      </c>
      <c r="J3506" s="51">
        <v>320</v>
      </c>
      <c r="K3506" s="51">
        <f>VLOOKUP(J3506,'Validacion reclamo de equipaje'!L:M,2,0)</f>
        <v>179</v>
      </c>
      <c r="L3506" s="51" t="str">
        <f>VLOOKUP(I3506,'Validacion reclamo de equipaje'!H:I,2,0)</f>
        <v>Internacional</v>
      </c>
      <c r="M3506" s="51" t="s">
        <v>523</v>
      </c>
    </row>
    <row r="3507" spans="1:13" x14ac:dyDescent="0.25">
      <c r="A3507">
        <v>931</v>
      </c>
      <c r="B3507" s="47" t="str">
        <f>VLOOKUP(Tabla6[[#This Row],['# Vuelo]],'Validacion reclamo de equipaje'!P:Q,2,0)</f>
        <v>BARATA Y MORADA</v>
      </c>
      <c r="C3507" s="52">
        <v>0.76597222222222217</v>
      </c>
      <c r="D3507" s="52">
        <v>0.77430555555555547</v>
      </c>
      <c r="E3507" s="53">
        <f>'Reclamo de equipaje rediseñado'!$D3507-'Reclamo de equipaje rediseñado'!$C3507</f>
        <v>8.3333333333333037E-3</v>
      </c>
      <c r="F3507" s="52">
        <v>0.79166666666666663</v>
      </c>
      <c r="G3507" s="53">
        <f t="shared" si="54"/>
        <v>1.736111111111116E-2</v>
      </c>
      <c r="H3507" s="54">
        <v>41733</v>
      </c>
      <c r="I3507" s="55" t="s">
        <v>555</v>
      </c>
      <c r="J3507" s="55">
        <v>320</v>
      </c>
      <c r="K3507" s="55">
        <f>VLOOKUP(J3507,'Validacion reclamo de equipaje'!L:M,2,0)</f>
        <v>179</v>
      </c>
      <c r="L3507" s="55" t="str">
        <f>VLOOKUP(I3507,'Validacion reclamo de equipaje'!H:I,2,0)</f>
        <v>Internacional</v>
      </c>
      <c r="M3507" s="55" t="s">
        <v>523</v>
      </c>
    </row>
    <row r="3508" spans="1:13" x14ac:dyDescent="0.25">
      <c r="A3508">
        <v>931</v>
      </c>
      <c r="B3508" s="47" t="str">
        <f>VLOOKUP(Tabla6[[#This Row],['# Vuelo]],'Validacion reclamo de equipaje'!P:Q,2,0)</f>
        <v>BARATA Y MORADA</v>
      </c>
      <c r="C3508" s="48">
        <v>0.76388888888888884</v>
      </c>
      <c r="D3508" s="48">
        <v>0.77222222222222225</v>
      </c>
      <c r="E3508" s="49">
        <f>'Reclamo de equipaje rediseñado'!$D3508-'Reclamo de equipaje rediseñado'!$C3508</f>
        <v>8.3333333333334147E-3</v>
      </c>
      <c r="F3508" s="48">
        <v>0.78263888888888899</v>
      </c>
      <c r="G3508" s="49">
        <f t="shared" si="54"/>
        <v>1.0416666666666741E-2</v>
      </c>
      <c r="H3508" s="50">
        <v>41735</v>
      </c>
      <c r="I3508" s="51" t="s">
        <v>555</v>
      </c>
      <c r="J3508" s="51">
        <v>320</v>
      </c>
      <c r="K3508" s="51">
        <f>VLOOKUP(J3508,'Validacion reclamo de equipaje'!L:M,2,0)</f>
        <v>179</v>
      </c>
      <c r="L3508" s="51" t="str">
        <f>VLOOKUP(I3508,'Validacion reclamo de equipaje'!H:I,2,0)</f>
        <v>Internacional</v>
      </c>
      <c r="M3508" s="51" t="s">
        <v>523</v>
      </c>
    </row>
    <row r="3509" spans="1:13" x14ac:dyDescent="0.25">
      <c r="A3509">
        <v>931</v>
      </c>
      <c r="B3509" s="47" t="str">
        <f>VLOOKUP(Tabla6[[#This Row],['# Vuelo]],'Validacion reclamo de equipaje'!P:Q,2,0)</f>
        <v>BARATA Y MORADA</v>
      </c>
      <c r="C3509" s="52">
        <v>0.78194444444444444</v>
      </c>
      <c r="D3509" s="52">
        <v>0.79305555555555562</v>
      </c>
      <c r="E3509" s="53">
        <f>'Reclamo de equipaje rediseñado'!$D3509-'Reclamo de equipaje rediseñado'!$C3509</f>
        <v>1.1111111111111183E-2</v>
      </c>
      <c r="F3509" s="52">
        <v>0.80486111111111114</v>
      </c>
      <c r="G3509" s="53">
        <f t="shared" si="54"/>
        <v>1.1805555555555514E-2</v>
      </c>
      <c r="H3509" s="54">
        <v>41739</v>
      </c>
      <c r="I3509" s="55" t="s">
        <v>555</v>
      </c>
      <c r="J3509" s="55">
        <v>320</v>
      </c>
      <c r="K3509" s="55">
        <f>VLOOKUP(J3509,'Validacion reclamo de equipaje'!L:M,2,0)</f>
        <v>179</v>
      </c>
      <c r="L3509" s="55" t="str">
        <f>VLOOKUP(I3509,'Validacion reclamo de equipaje'!H:I,2,0)</f>
        <v>Internacional</v>
      </c>
      <c r="M3509" s="55" t="s">
        <v>523</v>
      </c>
    </row>
    <row r="3510" spans="1:13" x14ac:dyDescent="0.25">
      <c r="A3510">
        <v>931</v>
      </c>
      <c r="B3510" s="47" t="str">
        <f>VLOOKUP(Tabla6[[#This Row],['# Vuelo]],'Validacion reclamo de equipaje'!P:Q,2,0)</f>
        <v>BARATA Y MORADA</v>
      </c>
      <c r="C3510" s="48">
        <v>0.75902777777777775</v>
      </c>
      <c r="D3510" s="48">
        <v>0.76874999999999993</v>
      </c>
      <c r="E3510" s="49">
        <f>'Reclamo de equipaje rediseñado'!$D3510-'Reclamo de equipaje rediseñado'!$C3510</f>
        <v>9.7222222222221877E-3</v>
      </c>
      <c r="F3510" s="48">
        <v>0.77916666666666667</v>
      </c>
      <c r="G3510" s="49">
        <f t="shared" si="54"/>
        <v>1.0416666666666741E-2</v>
      </c>
      <c r="H3510" s="50">
        <v>41743</v>
      </c>
      <c r="I3510" s="51" t="s">
        <v>555</v>
      </c>
      <c r="J3510" s="51">
        <v>320</v>
      </c>
      <c r="K3510" s="51">
        <f>VLOOKUP(J3510,'Validacion reclamo de equipaje'!L:M,2,0)</f>
        <v>179</v>
      </c>
      <c r="L3510" s="51" t="str">
        <f>VLOOKUP(I3510,'Validacion reclamo de equipaje'!H:I,2,0)</f>
        <v>Internacional</v>
      </c>
      <c r="M3510" s="51" t="s">
        <v>523</v>
      </c>
    </row>
    <row r="3511" spans="1:13" x14ac:dyDescent="0.25">
      <c r="A3511">
        <v>931</v>
      </c>
      <c r="B3511" s="47" t="str">
        <f>VLOOKUP(Tabla6[[#This Row],['# Vuelo]],'Validacion reclamo de equipaje'!P:Q,2,0)</f>
        <v>BARATA Y MORADA</v>
      </c>
      <c r="C3511" s="52">
        <v>0.76736111111111116</v>
      </c>
      <c r="D3511" s="52">
        <v>0.77777777777777779</v>
      </c>
      <c r="E3511" s="53">
        <f>'Reclamo de equipaje rediseñado'!$D3511-'Reclamo de equipaje rediseñado'!$C3511</f>
        <v>1.041666666666663E-2</v>
      </c>
      <c r="F3511" s="52">
        <v>0.79166666666666663</v>
      </c>
      <c r="G3511" s="53">
        <f t="shared" si="54"/>
        <v>1.388888888888884E-2</v>
      </c>
      <c r="H3511" s="54">
        <v>41744</v>
      </c>
      <c r="I3511" s="55" t="s">
        <v>555</v>
      </c>
      <c r="J3511" s="55">
        <v>320</v>
      </c>
      <c r="K3511" s="55">
        <f>VLOOKUP(J3511,'Validacion reclamo de equipaje'!L:M,2,0)</f>
        <v>179</v>
      </c>
      <c r="L3511" s="55" t="str">
        <f>VLOOKUP(I3511,'Validacion reclamo de equipaje'!H:I,2,0)</f>
        <v>Internacional</v>
      </c>
      <c r="M3511" s="55" t="s">
        <v>523</v>
      </c>
    </row>
    <row r="3512" spans="1:13" x14ac:dyDescent="0.25">
      <c r="A3512">
        <v>931</v>
      </c>
      <c r="B3512" s="47" t="str">
        <f>VLOOKUP(Tabla6[[#This Row],['# Vuelo]],'Validacion reclamo de equipaje'!P:Q,2,0)</f>
        <v>BARATA Y MORADA</v>
      </c>
      <c r="C3512" s="48">
        <v>0.76874999999999993</v>
      </c>
      <c r="D3512" s="48">
        <v>0.77777777777777779</v>
      </c>
      <c r="E3512" s="49">
        <f>'Reclamo de equipaje rediseñado'!$D3512-'Reclamo de equipaje rediseñado'!$C3512</f>
        <v>9.0277777777778567E-3</v>
      </c>
      <c r="F3512" s="48">
        <v>0.78888888888888886</v>
      </c>
      <c r="G3512" s="49">
        <f t="shared" si="54"/>
        <v>1.1111111111111072E-2</v>
      </c>
      <c r="H3512" s="50">
        <v>41745</v>
      </c>
      <c r="I3512" s="51" t="s">
        <v>555</v>
      </c>
      <c r="J3512" s="51">
        <v>320</v>
      </c>
      <c r="K3512" s="51">
        <f>VLOOKUP(J3512,'Validacion reclamo de equipaje'!L:M,2,0)</f>
        <v>179</v>
      </c>
      <c r="L3512" s="51" t="str">
        <f>VLOOKUP(I3512,'Validacion reclamo de equipaje'!H:I,2,0)</f>
        <v>Internacional</v>
      </c>
      <c r="M3512" s="51" t="s">
        <v>523</v>
      </c>
    </row>
    <row r="3513" spans="1:13" x14ac:dyDescent="0.25">
      <c r="A3513">
        <v>931</v>
      </c>
      <c r="B3513" s="47" t="str">
        <f>VLOOKUP(Tabla6[[#This Row],['# Vuelo]],'Validacion reclamo de equipaje'!P:Q,2,0)</f>
        <v>BARATA Y MORADA</v>
      </c>
      <c r="C3513" s="52">
        <v>0.7729166666666667</v>
      </c>
      <c r="D3513" s="52">
        <v>0.78819444444444453</v>
      </c>
      <c r="E3513" s="53">
        <f>'Reclamo de equipaje rediseñado'!$D3513-'Reclamo de equipaje rediseñado'!$C3513</f>
        <v>1.5277777777777835E-2</v>
      </c>
      <c r="F3513" s="52">
        <v>0.80347222222222225</v>
      </c>
      <c r="G3513" s="53">
        <f t="shared" si="54"/>
        <v>1.5277777777777724E-2</v>
      </c>
      <c r="H3513" s="54">
        <v>41746</v>
      </c>
      <c r="I3513" s="55" t="s">
        <v>555</v>
      </c>
      <c r="J3513" s="55">
        <v>320</v>
      </c>
      <c r="K3513" s="55">
        <f>VLOOKUP(J3513,'Validacion reclamo de equipaje'!L:M,2,0)</f>
        <v>179</v>
      </c>
      <c r="L3513" s="55" t="str">
        <f>VLOOKUP(I3513,'Validacion reclamo de equipaje'!H:I,2,0)</f>
        <v>Internacional</v>
      </c>
      <c r="M3513" s="55" t="s">
        <v>523</v>
      </c>
    </row>
    <row r="3514" spans="1:13" x14ac:dyDescent="0.25">
      <c r="A3514">
        <v>931</v>
      </c>
      <c r="B3514" s="47" t="str">
        <f>VLOOKUP(Tabla6[[#This Row],['# Vuelo]],'Validacion reclamo de equipaje'!P:Q,2,0)</f>
        <v>BARATA Y MORADA</v>
      </c>
      <c r="C3514" s="48">
        <v>0.7597222222222223</v>
      </c>
      <c r="D3514" s="48">
        <v>0.76874999999999993</v>
      </c>
      <c r="E3514" s="49">
        <f>'Reclamo de equipaje rediseñado'!$D3514-'Reclamo de equipaje rediseñado'!$C3514</f>
        <v>9.0277777777776347E-3</v>
      </c>
      <c r="F3514" s="48">
        <v>0.78402777777777777</v>
      </c>
      <c r="G3514" s="49">
        <f t="shared" si="54"/>
        <v>1.5277777777777835E-2</v>
      </c>
      <c r="H3514" s="50">
        <v>41747</v>
      </c>
      <c r="I3514" s="51" t="s">
        <v>555</v>
      </c>
      <c r="J3514" s="51">
        <v>320</v>
      </c>
      <c r="K3514" s="51">
        <f>VLOOKUP(J3514,'Validacion reclamo de equipaje'!L:M,2,0)</f>
        <v>179</v>
      </c>
      <c r="L3514" s="51" t="str">
        <f>VLOOKUP(I3514,'Validacion reclamo de equipaje'!H:I,2,0)</f>
        <v>Internacional</v>
      </c>
      <c r="M3514" s="51" t="s">
        <v>523</v>
      </c>
    </row>
    <row r="3515" spans="1:13" x14ac:dyDescent="0.25">
      <c r="A3515">
        <v>931</v>
      </c>
      <c r="B3515" s="47" t="str">
        <f>VLOOKUP(Tabla6[[#This Row],['# Vuelo]],'Validacion reclamo de equipaje'!P:Q,2,0)</f>
        <v>BARATA Y MORADA</v>
      </c>
      <c r="C3515" s="52">
        <v>0.76736111111111116</v>
      </c>
      <c r="D3515" s="52">
        <v>0.77708333333333324</v>
      </c>
      <c r="E3515" s="53">
        <f>'Reclamo de equipaje rediseñado'!$D3515-'Reclamo de equipaje rediseñado'!$C3515</f>
        <v>9.7222222222220767E-3</v>
      </c>
      <c r="F3515" s="52">
        <v>0.79166666666666663</v>
      </c>
      <c r="G3515" s="53">
        <f t="shared" si="54"/>
        <v>1.4583333333333393E-2</v>
      </c>
      <c r="H3515" s="54">
        <v>41748</v>
      </c>
      <c r="I3515" s="55" t="s">
        <v>555</v>
      </c>
      <c r="J3515" s="55">
        <v>320</v>
      </c>
      <c r="K3515" s="55">
        <f>VLOOKUP(J3515,'Validacion reclamo de equipaje'!L:M,2,0)</f>
        <v>179</v>
      </c>
      <c r="L3515" s="55" t="str">
        <f>VLOOKUP(I3515,'Validacion reclamo de equipaje'!H:I,2,0)</f>
        <v>Internacional</v>
      </c>
      <c r="M3515" s="55" t="s">
        <v>523</v>
      </c>
    </row>
    <row r="3516" spans="1:13" x14ac:dyDescent="0.25">
      <c r="A3516">
        <v>931</v>
      </c>
      <c r="B3516" s="47" t="str">
        <f>VLOOKUP(Tabla6[[#This Row],['# Vuelo]],'Validacion reclamo de equipaje'!P:Q,2,0)</f>
        <v>BARATA Y MORADA</v>
      </c>
      <c r="C3516" s="48">
        <v>0.76874999999999993</v>
      </c>
      <c r="D3516" s="48">
        <v>0.77708333333333324</v>
      </c>
      <c r="E3516" s="49">
        <f>'Reclamo de equipaje rediseñado'!$D3516-'Reclamo de equipaje rediseñado'!$C3516</f>
        <v>8.3333333333333037E-3</v>
      </c>
      <c r="F3516" s="48">
        <v>0.79236111111111107</v>
      </c>
      <c r="G3516" s="49">
        <f t="shared" si="54"/>
        <v>1.5277777777777835E-2</v>
      </c>
      <c r="H3516" s="50">
        <v>41750</v>
      </c>
      <c r="I3516" s="51" t="s">
        <v>555</v>
      </c>
      <c r="J3516" s="51">
        <v>320</v>
      </c>
      <c r="K3516" s="51">
        <f>VLOOKUP(J3516,'Validacion reclamo de equipaje'!L:M,2,0)</f>
        <v>179</v>
      </c>
      <c r="L3516" s="51" t="str">
        <f>VLOOKUP(I3516,'Validacion reclamo de equipaje'!H:I,2,0)</f>
        <v>Internacional</v>
      </c>
      <c r="M3516" s="51" t="s">
        <v>523</v>
      </c>
    </row>
    <row r="3517" spans="1:13" x14ac:dyDescent="0.25">
      <c r="A3517">
        <v>931</v>
      </c>
      <c r="B3517" s="47" t="str">
        <f>VLOOKUP(Tabla6[[#This Row],['# Vuelo]],'Validacion reclamo de equipaje'!P:Q,2,0)</f>
        <v>BARATA Y MORADA</v>
      </c>
      <c r="C3517" s="52">
        <v>0.77013888888888893</v>
      </c>
      <c r="D3517" s="52">
        <v>0.78055555555555556</v>
      </c>
      <c r="E3517" s="53">
        <f>'Reclamo de equipaje rediseñado'!$D3517-'Reclamo de equipaje rediseñado'!$C3517</f>
        <v>1.041666666666663E-2</v>
      </c>
      <c r="F3517" s="52">
        <v>0.80208333333333337</v>
      </c>
      <c r="G3517" s="53">
        <f t="shared" si="54"/>
        <v>2.1527777777777812E-2</v>
      </c>
      <c r="H3517" s="54">
        <v>41751</v>
      </c>
      <c r="I3517" s="55" t="s">
        <v>555</v>
      </c>
      <c r="J3517" s="55">
        <v>320</v>
      </c>
      <c r="K3517" s="55">
        <f>VLOOKUP(J3517,'Validacion reclamo de equipaje'!L:M,2,0)</f>
        <v>179</v>
      </c>
      <c r="L3517" s="55" t="str">
        <f>VLOOKUP(I3517,'Validacion reclamo de equipaje'!H:I,2,0)</f>
        <v>Internacional</v>
      </c>
      <c r="M3517" s="55" t="s">
        <v>523</v>
      </c>
    </row>
    <row r="3518" spans="1:13" x14ac:dyDescent="0.25">
      <c r="A3518">
        <v>931</v>
      </c>
      <c r="B3518" s="47" t="str">
        <f>VLOOKUP(Tabla6[[#This Row],['# Vuelo]],'Validacion reclamo de equipaje'!P:Q,2,0)</f>
        <v>BARATA Y MORADA</v>
      </c>
      <c r="C3518" s="48">
        <v>0.77013888888888893</v>
      </c>
      <c r="D3518" s="48">
        <v>0.78055555555555556</v>
      </c>
      <c r="E3518" s="49">
        <f>'Reclamo de equipaje rediseñado'!$D3518-'Reclamo de equipaje rediseñado'!$C3518</f>
        <v>1.041666666666663E-2</v>
      </c>
      <c r="F3518" s="48">
        <v>0.80208333333333337</v>
      </c>
      <c r="G3518" s="49">
        <f t="shared" si="54"/>
        <v>2.1527777777777812E-2</v>
      </c>
      <c r="H3518" s="50">
        <v>41751</v>
      </c>
      <c r="I3518" s="51" t="s">
        <v>555</v>
      </c>
      <c r="J3518" s="51">
        <v>320</v>
      </c>
      <c r="K3518" s="51">
        <f>VLOOKUP(J3518,'Validacion reclamo de equipaje'!L:M,2,0)</f>
        <v>179</v>
      </c>
      <c r="L3518" s="51" t="str">
        <f>VLOOKUP(I3518,'Validacion reclamo de equipaje'!H:I,2,0)</f>
        <v>Internacional</v>
      </c>
      <c r="M3518" s="51" t="s">
        <v>523</v>
      </c>
    </row>
    <row r="3519" spans="1:13" x14ac:dyDescent="0.25">
      <c r="A3519">
        <v>931</v>
      </c>
      <c r="B3519" s="47" t="str">
        <f>VLOOKUP(Tabla6[[#This Row],['# Vuelo]],'Validacion reclamo de equipaje'!P:Q,2,0)</f>
        <v>BARATA Y MORADA</v>
      </c>
      <c r="C3519" s="52">
        <v>0.76666666666666661</v>
      </c>
      <c r="D3519" s="52">
        <v>0.77569444444444446</v>
      </c>
      <c r="E3519" s="53">
        <f>'Reclamo de equipaje rediseñado'!$D3519-'Reclamo de equipaje rediseñado'!$C3519</f>
        <v>9.0277777777778567E-3</v>
      </c>
      <c r="F3519" s="52">
        <v>0.79652777777777783</v>
      </c>
      <c r="G3519" s="53">
        <f t="shared" si="54"/>
        <v>2.083333333333337E-2</v>
      </c>
      <c r="H3519" s="54">
        <v>41753</v>
      </c>
      <c r="I3519" s="55" t="s">
        <v>555</v>
      </c>
      <c r="J3519" s="55">
        <v>320</v>
      </c>
      <c r="K3519" s="55">
        <f>VLOOKUP(J3519,'Validacion reclamo de equipaje'!L:M,2,0)</f>
        <v>179</v>
      </c>
      <c r="L3519" s="55" t="str">
        <f>VLOOKUP(I3519,'Validacion reclamo de equipaje'!H:I,2,0)</f>
        <v>Internacional</v>
      </c>
      <c r="M3519" s="55" t="s">
        <v>523</v>
      </c>
    </row>
    <row r="3520" spans="1:13" x14ac:dyDescent="0.25">
      <c r="A3520">
        <v>931</v>
      </c>
      <c r="B3520" s="47" t="str">
        <f>VLOOKUP(Tabla6[[#This Row],['# Vuelo]],'Validacion reclamo de equipaje'!P:Q,2,0)</f>
        <v>BARATA Y MORADA</v>
      </c>
      <c r="C3520" s="48">
        <v>0.77222222222222225</v>
      </c>
      <c r="D3520" s="48">
        <v>0.77986111111111101</v>
      </c>
      <c r="E3520" s="49">
        <f>'Reclamo de equipaje rediseñado'!$D3520-'Reclamo de equipaje rediseñado'!$C3520</f>
        <v>7.6388888888887507E-3</v>
      </c>
      <c r="F3520" s="48">
        <v>0.80208333333333337</v>
      </c>
      <c r="G3520" s="49">
        <f t="shared" si="54"/>
        <v>2.2222222222222365E-2</v>
      </c>
      <c r="H3520" s="50">
        <v>41756</v>
      </c>
      <c r="I3520" s="51" t="s">
        <v>555</v>
      </c>
      <c r="J3520" s="51">
        <v>320</v>
      </c>
      <c r="K3520" s="51">
        <f>VLOOKUP(J3520,'Validacion reclamo de equipaje'!L:M,2,0)</f>
        <v>179</v>
      </c>
      <c r="L3520" s="51" t="str">
        <f>VLOOKUP(I3520,'Validacion reclamo de equipaje'!H:I,2,0)</f>
        <v>Internacional</v>
      </c>
      <c r="M3520" s="51" t="s">
        <v>523</v>
      </c>
    </row>
    <row r="3521" spans="1:13" x14ac:dyDescent="0.25">
      <c r="A3521">
        <v>931</v>
      </c>
      <c r="B3521" s="47" t="str">
        <f>VLOOKUP(Tabla6[[#This Row],['# Vuelo]],'Validacion reclamo de equipaje'!P:Q,2,0)</f>
        <v>BARATA Y MORADA</v>
      </c>
      <c r="C3521" s="52">
        <v>0.76041666666666663</v>
      </c>
      <c r="D3521" s="52">
        <v>0.77083333333333337</v>
      </c>
      <c r="E3521" s="53">
        <f>'Reclamo de equipaje rediseñado'!$D3521-'Reclamo de equipaje rediseñado'!$C3521</f>
        <v>1.0416666666666741E-2</v>
      </c>
      <c r="F3521" s="52">
        <v>0.78888888888888886</v>
      </c>
      <c r="G3521" s="53">
        <f t="shared" si="54"/>
        <v>1.8055555555555491E-2</v>
      </c>
      <c r="H3521" s="54">
        <v>41757</v>
      </c>
      <c r="I3521" s="55" t="s">
        <v>555</v>
      </c>
      <c r="J3521" s="55">
        <v>320</v>
      </c>
      <c r="K3521" s="55">
        <f>VLOOKUP(J3521,'Validacion reclamo de equipaje'!L:M,2,0)</f>
        <v>179</v>
      </c>
      <c r="L3521" s="55" t="str">
        <f>VLOOKUP(I3521,'Validacion reclamo de equipaje'!H:I,2,0)</f>
        <v>Internacional</v>
      </c>
      <c r="M3521" s="55" t="s">
        <v>523</v>
      </c>
    </row>
    <row r="3522" spans="1:13" x14ac:dyDescent="0.25">
      <c r="A3522">
        <v>931</v>
      </c>
      <c r="B3522" s="47" t="str">
        <f>VLOOKUP(Tabla6[[#This Row],['# Vuelo]],'Validacion reclamo de equipaje'!P:Q,2,0)</f>
        <v>BARATA Y MORADA</v>
      </c>
      <c r="C3522" s="48">
        <v>0.77013888888888893</v>
      </c>
      <c r="D3522" s="48">
        <v>0.77708333333333324</v>
      </c>
      <c r="E3522" s="49">
        <f>'Reclamo de equipaje rediseñado'!$D3522-'Reclamo de equipaje rediseñado'!$C3522</f>
        <v>6.9444444444443088E-3</v>
      </c>
      <c r="F3522" s="48">
        <v>0.79305555555555562</v>
      </c>
      <c r="G3522" s="49">
        <f t="shared" si="54"/>
        <v>1.5972222222222388E-2</v>
      </c>
      <c r="H3522" s="50">
        <v>41759</v>
      </c>
      <c r="I3522" s="51" t="s">
        <v>555</v>
      </c>
      <c r="J3522" s="51">
        <v>320</v>
      </c>
      <c r="K3522" s="51">
        <f>VLOOKUP(J3522,'Validacion reclamo de equipaje'!L:M,2,0)</f>
        <v>179</v>
      </c>
      <c r="L3522" s="51" t="str">
        <f>VLOOKUP(I3522,'Validacion reclamo de equipaje'!H:I,2,0)</f>
        <v>Internacional</v>
      </c>
      <c r="M3522" s="51" t="s">
        <v>523</v>
      </c>
    </row>
    <row r="3523" spans="1:13" x14ac:dyDescent="0.25">
      <c r="A3523">
        <v>937</v>
      </c>
      <c r="B3523" s="47" t="str">
        <f>VLOOKUP(Tabla6[[#This Row],['# Vuelo]],'Validacion reclamo de equipaje'!P:Q,2,0)</f>
        <v>BARATA Y MORADA</v>
      </c>
      <c r="C3523" s="52">
        <v>0.23680555555555557</v>
      </c>
      <c r="D3523" s="52">
        <v>0.25625000000000003</v>
      </c>
      <c r="E3523" s="53">
        <f>'Reclamo de equipaje rediseñado'!$D3523-'Reclamo de equipaje rediseñado'!$C3523</f>
        <v>1.9444444444444459E-2</v>
      </c>
      <c r="F3523" s="52">
        <v>0.28402777777777777</v>
      </c>
      <c r="G3523" s="53">
        <f t="shared" ref="G3523:G3586" si="55">F3523-D3523</f>
        <v>2.7777777777777735E-2</v>
      </c>
      <c r="H3523" s="54">
        <v>41739</v>
      </c>
      <c r="I3523" s="55" t="s">
        <v>556</v>
      </c>
      <c r="J3523" s="55">
        <v>320</v>
      </c>
      <c r="K3523" s="55">
        <f>VLOOKUP(J3523,'Validacion reclamo de equipaje'!L:M,2,0)</f>
        <v>179</v>
      </c>
      <c r="L3523" s="55" t="str">
        <f>VLOOKUP(I3523,'Validacion reclamo de equipaje'!H:I,2,0)</f>
        <v>Internacional</v>
      </c>
      <c r="M3523" s="55" t="s">
        <v>523</v>
      </c>
    </row>
    <row r="3524" spans="1:13" x14ac:dyDescent="0.25">
      <c r="A3524">
        <v>937</v>
      </c>
      <c r="B3524" s="47" t="str">
        <f>VLOOKUP(Tabla6[[#This Row],['# Vuelo]],'Validacion reclamo de equipaje'!P:Q,2,0)</f>
        <v>BARATA Y MORADA</v>
      </c>
      <c r="C3524" s="48">
        <v>0.23402777777777781</v>
      </c>
      <c r="D3524" s="48">
        <v>0.24791666666666667</v>
      </c>
      <c r="E3524" s="49">
        <f>'Reclamo de equipaje rediseñado'!$D3524-'Reclamo de equipaje rediseñado'!$C3524</f>
        <v>1.3888888888888867E-2</v>
      </c>
      <c r="F3524" s="48">
        <v>0.26527777777777778</v>
      </c>
      <c r="G3524" s="49">
        <f t="shared" si="55"/>
        <v>1.7361111111111105E-2</v>
      </c>
      <c r="H3524" s="50">
        <v>41745</v>
      </c>
      <c r="I3524" s="51" t="s">
        <v>556</v>
      </c>
      <c r="J3524" s="51">
        <v>320</v>
      </c>
      <c r="K3524" s="51">
        <f>VLOOKUP(J3524,'Validacion reclamo de equipaje'!L:M,2,0)</f>
        <v>179</v>
      </c>
      <c r="L3524" s="51" t="str">
        <f>VLOOKUP(I3524,'Validacion reclamo de equipaje'!H:I,2,0)</f>
        <v>Internacional</v>
      </c>
      <c r="M3524" s="51" t="s">
        <v>523</v>
      </c>
    </row>
    <row r="3525" spans="1:13" x14ac:dyDescent="0.25">
      <c r="A3525">
        <v>937</v>
      </c>
      <c r="B3525" s="47" t="str">
        <f>VLOOKUP(Tabla6[[#This Row],['# Vuelo]],'Validacion reclamo de equipaje'!P:Q,2,0)</f>
        <v>BARATA Y MORADA</v>
      </c>
      <c r="C3525" s="52">
        <v>0.22500000000000001</v>
      </c>
      <c r="D3525" s="52">
        <v>0.24027777777777778</v>
      </c>
      <c r="E3525" s="53">
        <f>'Reclamo de equipaje rediseñado'!$D3525-'Reclamo de equipaje rediseñado'!$C3525</f>
        <v>1.5277777777777779E-2</v>
      </c>
      <c r="F3525" s="52">
        <v>0.26250000000000001</v>
      </c>
      <c r="G3525" s="53">
        <f t="shared" si="55"/>
        <v>2.2222222222222227E-2</v>
      </c>
      <c r="H3525" s="54">
        <v>41749</v>
      </c>
      <c r="I3525" s="55" t="s">
        <v>556</v>
      </c>
      <c r="J3525" s="55">
        <v>320</v>
      </c>
      <c r="K3525" s="55">
        <f>VLOOKUP(J3525,'Validacion reclamo de equipaje'!L:M,2,0)</f>
        <v>179</v>
      </c>
      <c r="L3525" s="55" t="str">
        <f>VLOOKUP(I3525,'Validacion reclamo de equipaje'!H:I,2,0)</f>
        <v>Internacional</v>
      </c>
      <c r="M3525" s="55" t="s">
        <v>523</v>
      </c>
    </row>
    <row r="3526" spans="1:13" x14ac:dyDescent="0.25">
      <c r="A3526">
        <v>937</v>
      </c>
      <c r="B3526" s="47" t="str">
        <f>VLOOKUP(Tabla6[[#This Row],['# Vuelo]],'Validacion reclamo de equipaje'!P:Q,2,0)</f>
        <v>BARATA Y MORADA</v>
      </c>
      <c r="C3526" s="48">
        <v>0.22708333333333333</v>
      </c>
      <c r="D3526" s="48">
        <v>0.24652777777777779</v>
      </c>
      <c r="E3526" s="49">
        <f>'Reclamo de equipaje rediseñado'!$D3526-'Reclamo de equipaje rediseñado'!$C3526</f>
        <v>1.9444444444444459E-2</v>
      </c>
      <c r="F3526" s="48">
        <v>0.25694444444444448</v>
      </c>
      <c r="G3526" s="49">
        <f t="shared" si="55"/>
        <v>1.0416666666666685E-2</v>
      </c>
      <c r="H3526" s="50">
        <v>41752</v>
      </c>
      <c r="I3526" s="51" t="s">
        <v>556</v>
      </c>
      <c r="J3526" s="51">
        <v>320</v>
      </c>
      <c r="K3526" s="51">
        <f>VLOOKUP(J3526,'Validacion reclamo de equipaje'!L:M,2,0)</f>
        <v>179</v>
      </c>
      <c r="L3526" s="51" t="str">
        <f>VLOOKUP(I3526,'Validacion reclamo de equipaje'!H:I,2,0)</f>
        <v>Internacional</v>
      </c>
      <c r="M3526" s="51" t="s">
        <v>523</v>
      </c>
    </row>
    <row r="3527" spans="1:13" x14ac:dyDescent="0.25">
      <c r="A3527">
        <v>937</v>
      </c>
      <c r="B3527" s="47" t="str">
        <f>VLOOKUP(Tabla6[[#This Row],['# Vuelo]],'Validacion reclamo de equipaje'!P:Q,2,0)</f>
        <v>BARATA Y MORADA</v>
      </c>
      <c r="C3527" s="52">
        <v>0.23263888888888887</v>
      </c>
      <c r="D3527" s="52">
        <v>0.24444444444444446</v>
      </c>
      <c r="E3527" s="53">
        <f>'Reclamo de equipaje rediseñado'!$D3527-'Reclamo de equipaje rediseñado'!$C3527</f>
        <v>1.1805555555555597E-2</v>
      </c>
      <c r="F3527" s="52">
        <v>0.26944444444444443</v>
      </c>
      <c r="G3527" s="53">
        <f t="shared" si="55"/>
        <v>2.4999999999999967E-2</v>
      </c>
      <c r="H3527" s="54">
        <v>41755</v>
      </c>
      <c r="I3527" s="55" t="s">
        <v>556</v>
      </c>
      <c r="J3527" s="55">
        <v>320</v>
      </c>
      <c r="K3527" s="55">
        <f>VLOOKUP(J3527,'Validacion reclamo de equipaje'!L:M,2,0)</f>
        <v>179</v>
      </c>
      <c r="L3527" s="55" t="str">
        <f>VLOOKUP(I3527,'Validacion reclamo de equipaje'!H:I,2,0)</f>
        <v>Internacional</v>
      </c>
      <c r="M3527" s="55" t="s">
        <v>523</v>
      </c>
    </row>
    <row r="3528" spans="1:13" x14ac:dyDescent="0.25">
      <c r="A3528">
        <v>937</v>
      </c>
      <c r="B3528" s="47" t="str">
        <f>VLOOKUP(Tabla6[[#This Row],['# Vuelo]],'Validacion reclamo de equipaje'!P:Q,2,0)</f>
        <v>BARATA Y MORADA</v>
      </c>
      <c r="C3528" s="48">
        <v>0.24236111111111111</v>
      </c>
      <c r="D3528" s="48">
        <v>0.25277777777777777</v>
      </c>
      <c r="E3528" s="49">
        <f>'Reclamo de equipaje rediseñado'!$D3528-'Reclamo de equipaje rediseñado'!$C3528</f>
        <v>1.0416666666666657E-2</v>
      </c>
      <c r="F3528" s="48">
        <v>0.27499999999999997</v>
      </c>
      <c r="G3528" s="49">
        <f t="shared" si="55"/>
        <v>2.2222222222222199E-2</v>
      </c>
      <c r="H3528" s="50">
        <v>41760</v>
      </c>
      <c r="I3528" s="51" t="s">
        <v>556</v>
      </c>
      <c r="J3528" s="51">
        <v>320</v>
      </c>
      <c r="K3528" s="51">
        <f>VLOOKUP(J3528,'Validacion reclamo de equipaje'!L:M,2,0)</f>
        <v>179</v>
      </c>
      <c r="L3528" s="51" t="str">
        <f>VLOOKUP(I3528,'Validacion reclamo de equipaje'!H:I,2,0)</f>
        <v>Internacional</v>
      </c>
      <c r="M3528" s="51" t="s">
        <v>523</v>
      </c>
    </row>
    <row r="3529" spans="1:13" x14ac:dyDescent="0.25">
      <c r="A3529">
        <v>941</v>
      </c>
      <c r="B3529" s="47" t="str">
        <f>VLOOKUP(Tabla6[[#This Row],['# Vuelo]],'Validacion reclamo de equipaje'!P:Q,2,0)</f>
        <v>BARATA Y MORADA</v>
      </c>
      <c r="C3529" s="52">
        <v>0.90277777777777779</v>
      </c>
      <c r="D3529" s="52">
        <v>0.9159722222222223</v>
      </c>
      <c r="E3529" s="53">
        <f>'Reclamo de equipaje rediseñado'!$D3529-'Reclamo de equipaje rediseñado'!$C3529</f>
        <v>1.3194444444444509E-2</v>
      </c>
      <c r="F3529" s="52">
        <v>0.92222222222222217</v>
      </c>
      <c r="G3529" s="53">
        <f t="shared" si="55"/>
        <v>6.2499999999998668E-3</v>
      </c>
      <c r="H3529" s="54">
        <v>41730</v>
      </c>
      <c r="I3529" s="55" t="s">
        <v>595</v>
      </c>
      <c r="J3529" s="55" t="s">
        <v>572</v>
      </c>
      <c r="K3529" s="55">
        <f>VLOOKUP(J3529,'Validacion reclamo de equipaje'!L:M,2,0)</f>
        <v>142</v>
      </c>
      <c r="L3529" s="55" t="str">
        <f>VLOOKUP(I3529,'Validacion reclamo de equipaje'!H:I,2,0)</f>
        <v>Internacional</v>
      </c>
      <c r="M3529" s="55" t="s">
        <v>523</v>
      </c>
    </row>
    <row r="3530" spans="1:13" x14ac:dyDescent="0.25">
      <c r="A3530">
        <v>941</v>
      </c>
      <c r="B3530" s="47" t="str">
        <f>VLOOKUP(Tabla6[[#This Row],['# Vuelo]],'Validacion reclamo de equipaje'!P:Q,2,0)</f>
        <v>BARATA Y MORADA</v>
      </c>
      <c r="C3530" s="48">
        <v>0.90625</v>
      </c>
      <c r="D3530" s="48">
        <v>0.92222222222222217</v>
      </c>
      <c r="E3530" s="49">
        <f>'Reclamo de equipaje rediseñado'!$D3530-'Reclamo de equipaje rediseñado'!$C3530</f>
        <v>1.5972222222222165E-2</v>
      </c>
      <c r="F3530" s="48">
        <v>0.9277777777777777</v>
      </c>
      <c r="G3530" s="49">
        <f t="shared" si="55"/>
        <v>5.5555555555555358E-3</v>
      </c>
      <c r="H3530" s="50">
        <v>41731</v>
      </c>
      <c r="I3530" s="51" t="s">
        <v>595</v>
      </c>
      <c r="J3530" s="51" t="s">
        <v>572</v>
      </c>
      <c r="K3530" s="51">
        <f>VLOOKUP(J3530,'Validacion reclamo de equipaje'!L:M,2,0)</f>
        <v>142</v>
      </c>
      <c r="L3530" s="51" t="str">
        <f>VLOOKUP(I3530,'Validacion reclamo de equipaje'!H:I,2,0)</f>
        <v>Internacional</v>
      </c>
      <c r="M3530" s="51" t="s">
        <v>523</v>
      </c>
    </row>
    <row r="3531" spans="1:13" x14ac:dyDescent="0.25">
      <c r="A3531">
        <v>941</v>
      </c>
      <c r="B3531" s="47" t="str">
        <f>VLOOKUP(Tabla6[[#This Row],['# Vuelo]],'Validacion reclamo de equipaje'!P:Q,2,0)</f>
        <v>BARATA Y MORADA</v>
      </c>
      <c r="C3531" s="52">
        <v>0.92708333333333337</v>
      </c>
      <c r="D3531" s="52">
        <v>0.93541666666666667</v>
      </c>
      <c r="E3531" s="53">
        <f>'Reclamo de equipaje rediseñado'!$D3531-'Reclamo de equipaje rediseñado'!$C3531</f>
        <v>8.3333333333333037E-3</v>
      </c>
      <c r="F3531" s="52">
        <v>0.96180555555555547</v>
      </c>
      <c r="G3531" s="53">
        <f t="shared" si="55"/>
        <v>2.6388888888888795E-2</v>
      </c>
      <c r="H3531" s="54">
        <v>41732</v>
      </c>
      <c r="I3531" s="55" t="s">
        <v>595</v>
      </c>
      <c r="J3531" s="55" t="s">
        <v>572</v>
      </c>
      <c r="K3531" s="55">
        <f>VLOOKUP(J3531,'Validacion reclamo de equipaje'!L:M,2,0)</f>
        <v>142</v>
      </c>
      <c r="L3531" s="55" t="str">
        <f>VLOOKUP(I3531,'Validacion reclamo de equipaje'!H:I,2,0)</f>
        <v>Internacional</v>
      </c>
      <c r="M3531" s="55" t="s">
        <v>523</v>
      </c>
    </row>
    <row r="3532" spans="1:13" x14ac:dyDescent="0.25">
      <c r="A3532">
        <v>941</v>
      </c>
      <c r="B3532" s="47" t="str">
        <f>VLOOKUP(Tabla6[[#This Row],['# Vuelo]],'Validacion reclamo de equipaje'!P:Q,2,0)</f>
        <v>BARATA Y MORADA</v>
      </c>
      <c r="C3532" s="48">
        <v>0.92708333333333337</v>
      </c>
      <c r="D3532" s="48">
        <v>0.94097222222222221</v>
      </c>
      <c r="E3532" s="49">
        <f>'Reclamo de equipaje rediseñado'!$D3532-'Reclamo de equipaje rediseñado'!$C3532</f>
        <v>1.388888888888884E-2</v>
      </c>
      <c r="F3532" s="48">
        <v>0.94791666666666663</v>
      </c>
      <c r="G3532" s="49">
        <f t="shared" si="55"/>
        <v>6.9444444444444198E-3</v>
      </c>
      <c r="H3532" s="50">
        <v>41734</v>
      </c>
      <c r="I3532" s="51" t="s">
        <v>595</v>
      </c>
      <c r="J3532" s="51" t="s">
        <v>572</v>
      </c>
      <c r="K3532" s="51">
        <f>VLOOKUP(J3532,'Validacion reclamo de equipaje'!L:M,2,0)</f>
        <v>142</v>
      </c>
      <c r="L3532" s="51" t="str">
        <f>VLOOKUP(I3532,'Validacion reclamo de equipaje'!H:I,2,0)</f>
        <v>Internacional</v>
      </c>
      <c r="M3532" s="51" t="s">
        <v>523</v>
      </c>
    </row>
    <row r="3533" spans="1:13" x14ac:dyDescent="0.25">
      <c r="A3533">
        <v>941</v>
      </c>
      <c r="B3533" s="47" t="str">
        <f>VLOOKUP(Tabla6[[#This Row],['# Vuelo]],'Validacion reclamo de equipaje'!P:Q,2,0)</f>
        <v>BARATA Y MORADA</v>
      </c>
      <c r="C3533" s="52">
        <v>0.93819444444444444</v>
      </c>
      <c r="D3533" s="52">
        <v>0.94861111111111107</v>
      </c>
      <c r="E3533" s="53">
        <f>'Reclamo de equipaje rediseñado'!$D3533-'Reclamo de equipaje rediseñado'!$C3533</f>
        <v>1.041666666666663E-2</v>
      </c>
      <c r="F3533" s="52">
        <v>0.95694444444444438</v>
      </c>
      <c r="G3533" s="53">
        <f t="shared" si="55"/>
        <v>8.3333333333333037E-3</v>
      </c>
      <c r="H3533" s="54">
        <v>41733</v>
      </c>
      <c r="I3533" s="55" t="s">
        <v>595</v>
      </c>
      <c r="J3533" s="55" t="s">
        <v>572</v>
      </c>
      <c r="K3533" s="55">
        <f>VLOOKUP(J3533,'Validacion reclamo de equipaje'!L:M,2,0)</f>
        <v>142</v>
      </c>
      <c r="L3533" s="55" t="str">
        <f>VLOOKUP(I3533,'Validacion reclamo de equipaje'!H:I,2,0)</f>
        <v>Internacional</v>
      </c>
      <c r="M3533" s="55" t="s">
        <v>523</v>
      </c>
    </row>
    <row r="3534" spans="1:13" x14ac:dyDescent="0.25">
      <c r="A3534">
        <v>941</v>
      </c>
      <c r="B3534" s="47" t="str">
        <f>VLOOKUP(Tabla6[[#This Row],['# Vuelo]],'Validacion reclamo de equipaje'!P:Q,2,0)</f>
        <v>BARATA Y MORADA</v>
      </c>
      <c r="C3534" s="48">
        <v>0.94791666666666663</v>
      </c>
      <c r="D3534" s="48">
        <v>0.9590277777777777</v>
      </c>
      <c r="E3534" s="49">
        <f>'Reclamo de equipaje rediseñado'!$D3534-'Reclamo de equipaje rediseñado'!$C3534</f>
        <v>1.1111111111111072E-2</v>
      </c>
      <c r="F3534" s="48">
        <v>0.97152777777777777</v>
      </c>
      <c r="G3534" s="49">
        <f t="shared" si="55"/>
        <v>1.2500000000000067E-2</v>
      </c>
      <c r="H3534" s="50">
        <v>41735</v>
      </c>
      <c r="I3534" s="51" t="s">
        <v>595</v>
      </c>
      <c r="J3534" s="51" t="s">
        <v>572</v>
      </c>
      <c r="K3534" s="51">
        <f>VLOOKUP(J3534,'Validacion reclamo de equipaje'!L:M,2,0)</f>
        <v>142</v>
      </c>
      <c r="L3534" s="51" t="str">
        <f>VLOOKUP(I3534,'Validacion reclamo de equipaje'!H:I,2,0)</f>
        <v>Internacional</v>
      </c>
      <c r="M3534" s="51" t="s">
        <v>523</v>
      </c>
    </row>
    <row r="3535" spans="1:13" x14ac:dyDescent="0.25">
      <c r="A3535">
        <v>941</v>
      </c>
      <c r="B3535" s="47" t="str">
        <f>VLOOKUP(Tabla6[[#This Row],['# Vuelo]],'Validacion reclamo de equipaje'!P:Q,2,0)</f>
        <v>BARATA Y MORADA</v>
      </c>
      <c r="C3535" s="52">
        <v>0.92986111111111114</v>
      </c>
      <c r="D3535" s="52">
        <v>0.94444444444444453</v>
      </c>
      <c r="E3535" s="53">
        <f>'Reclamo de equipaje rediseñado'!$D3535-'Reclamo de equipaje rediseñado'!$C3535</f>
        <v>1.4583333333333393E-2</v>
      </c>
      <c r="F3535" s="52">
        <v>0.95833333333333337</v>
      </c>
      <c r="G3535" s="53">
        <f t="shared" si="55"/>
        <v>1.388888888888884E-2</v>
      </c>
      <c r="H3535" s="54">
        <v>41736</v>
      </c>
      <c r="I3535" s="55" t="s">
        <v>595</v>
      </c>
      <c r="J3535" s="55" t="s">
        <v>572</v>
      </c>
      <c r="K3535" s="55">
        <f>VLOOKUP(J3535,'Validacion reclamo de equipaje'!L:M,2,0)</f>
        <v>142</v>
      </c>
      <c r="L3535" s="55" t="str">
        <f>VLOOKUP(I3535,'Validacion reclamo de equipaje'!H:I,2,0)</f>
        <v>Internacional</v>
      </c>
      <c r="M3535" s="55" t="s">
        <v>523</v>
      </c>
    </row>
    <row r="3536" spans="1:13" x14ac:dyDescent="0.25">
      <c r="A3536">
        <v>941</v>
      </c>
      <c r="B3536" s="47" t="str">
        <f>VLOOKUP(Tabla6[[#This Row],['# Vuelo]],'Validacion reclamo de equipaje'!P:Q,2,0)</f>
        <v>BARATA Y MORADA</v>
      </c>
      <c r="C3536" s="48">
        <v>0.91111111111111109</v>
      </c>
      <c r="D3536" s="48">
        <v>0.92152777777777783</v>
      </c>
      <c r="E3536" s="49">
        <f>'Reclamo de equipaje rediseñado'!$D3536-'Reclamo de equipaje rediseñado'!$C3536</f>
        <v>1.0416666666666741E-2</v>
      </c>
      <c r="F3536" s="48">
        <v>0.93680555555555556</v>
      </c>
      <c r="G3536" s="49">
        <f t="shared" si="55"/>
        <v>1.5277777777777724E-2</v>
      </c>
      <c r="H3536" s="50">
        <v>41737</v>
      </c>
      <c r="I3536" s="51" t="s">
        <v>595</v>
      </c>
      <c r="J3536" s="51" t="s">
        <v>572</v>
      </c>
      <c r="K3536" s="51">
        <f>VLOOKUP(J3536,'Validacion reclamo de equipaje'!L:M,2,0)</f>
        <v>142</v>
      </c>
      <c r="L3536" s="51" t="str">
        <f>VLOOKUP(I3536,'Validacion reclamo de equipaje'!H:I,2,0)</f>
        <v>Internacional</v>
      </c>
      <c r="M3536" s="51" t="s">
        <v>523</v>
      </c>
    </row>
    <row r="3537" spans="1:13" x14ac:dyDescent="0.25">
      <c r="A3537">
        <v>941</v>
      </c>
      <c r="B3537" s="47" t="str">
        <f>VLOOKUP(Tabla6[[#This Row],['# Vuelo]],'Validacion reclamo de equipaje'!P:Q,2,0)</f>
        <v>BARATA Y MORADA</v>
      </c>
      <c r="C3537" s="52">
        <v>0.90277777777777779</v>
      </c>
      <c r="D3537" s="52">
        <v>0.91249999999999998</v>
      </c>
      <c r="E3537" s="53">
        <f>'Reclamo de equipaje rediseñado'!$D3537-'Reclamo de equipaje rediseñado'!$C3537</f>
        <v>9.7222222222221877E-3</v>
      </c>
      <c r="F3537" s="52">
        <v>0.93402777777777779</v>
      </c>
      <c r="G3537" s="53">
        <f t="shared" si="55"/>
        <v>2.1527777777777812E-2</v>
      </c>
      <c r="H3537" s="54">
        <v>41738</v>
      </c>
      <c r="I3537" s="55" t="s">
        <v>595</v>
      </c>
      <c r="J3537" s="55" t="s">
        <v>572</v>
      </c>
      <c r="K3537" s="55">
        <f>VLOOKUP(J3537,'Validacion reclamo de equipaje'!L:M,2,0)</f>
        <v>142</v>
      </c>
      <c r="L3537" s="55" t="str">
        <f>VLOOKUP(I3537,'Validacion reclamo de equipaje'!H:I,2,0)</f>
        <v>Internacional</v>
      </c>
      <c r="M3537" s="55" t="s">
        <v>523</v>
      </c>
    </row>
    <row r="3538" spans="1:13" x14ac:dyDescent="0.25">
      <c r="A3538">
        <v>941</v>
      </c>
      <c r="B3538" s="47" t="str">
        <f>VLOOKUP(Tabla6[[#This Row],['# Vuelo]],'Validacion reclamo de equipaje'!P:Q,2,0)</f>
        <v>BARATA Y MORADA</v>
      </c>
      <c r="C3538" s="48">
        <v>0.90902777777777777</v>
      </c>
      <c r="D3538" s="48">
        <v>0.92222222222222217</v>
      </c>
      <c r="E3538" s="49">
        <f>'Reclamo de equipaje rediseñado'!$D3538-'Reclamo de equipaje rediseñado'!$C3538</f>
        <v>1.3194444444444398E-2</v>
      </c>
      <c r="F3538" s="48">
        <v>0.93819444444444444</v>
      </c>
      <c r="G3538" s="49">
        <f t="shared" si="55"/>
        <v>1.5972222222222276E-2</v>
      </c>
      <c r="H3538" s="50">
        <v>41739</v>
      </c>
      <c r="I3538" s="51" t="s">
        <v>595</v>
      </c>
      <c r="J3538" s="51" t="s">
        <v>572</v>
      </c>
      <c r="K3538" s="51">
        <f>VLOOKUP(J3538,'Validacion reclamo de equipaje'!L:M,2,0)</f>
        <v>142</v>
      </c>
      <c r="L3538" s="51" t="str">
        <f>VLOOKUP(I3538,'Validacion reclamo de equipaje'!H:I,2,0)</f>
        <v>Internacional</v>
      </c>
      <c r="M3538" s="51" t="s">
        <v>523</v>
      </c>
    </row>
    <row r="3539" spans="1:13" x14ac:dyDescent="0.25">
      <c r="A3539">
        <v>941</v>
      </c>
      <c r="B3539" s="47" t="str">
        <f>VLOOKUP(Tabla6[[#This Row],['# Vuelo]],'Validacion reclamo de equipaje'!P:Q,2,0)</f>
        <v>BARATA Y MORADA</v>
      </c>
      <c r="C3539" s="52">
        <v>0.9</v>
      </c>
      <c r="D3539" s="52">
        <v>0.91805555555555562</v>
      </c>
      <c r="E3539" s="53">
        <f>'Reclamo de equipaje rediseñado'!$D3539-'Reclamo de equipaje rediseñado'!$C3539</f>
        <v>1.8055555555555602E-2</v>
      </c>
      <c r="F3539" s="52">
        <v>0.93055555555555547</v>
      </c>
      <c r="G3539" s="53">
        <f t="shared" si="55"/>
        <v>1.2499999999999845E-2</v>
      </c>
      <c r="H3539" s="54">
        <v>41740</v>
      </c>
      <c r="I3539" s="55" t="s">
        <v>595</v>
      </c>
      <c r="J3539" s="55" t="s">
        <v>572</v>
      </c>
      <c r="K3539" s="55">
        <f>VLOOKUP(J3539,'Validacion reclamo de equipaje'!L:M,2,0)</f>
        <v>142</v>
      </c>
      <c r="L3539" s="55" t="str">
        <f>VLOOKUP(I3539,'Validacion reclamo de equipaje'!H:I,2,0)</f>
        <v>Internacional</v>
      </c>
      <c r="M3539" s="55" t="s">
        <v>523</v>
      </c>
    </row>
    <row r="3540" spans="1:13" x14ac:dyDescent="0.25">
      <c r="A3540">
        <v>941</v>
      </c>
      <c r="B3540" s="47" t="str">
        <f>VLOOKUP(Tabla6[[#This Row],['# Vuelo]],'Validacion reclamo de equipaje'!P:Q,2,0)</f>
        <v>BARATA Y MORADA</v>
      </c>
      <c r="C3540" s="48">
        <v>0.90277777777777779</v>
      </c>
      <c r="D3540" s="48">
        <v>0.9159722222222223</v>
      </c>
      <c r="E3540" s="49">
        <f>'Reclamo de equipaje rediseñado'!$D3540-'Reclamo de equipaje rediseñado'!$C3540</f>
        <v>1.3194444444444509E-2</v>
      </c>
      <c r="F3540" s="48">
        <v>0.92222222222222217</v>
      </c>
      <c r="G3540" s="49">
        <f t="shared" si="55"/>
        <v>6.2499999999998668E-3</v>
      </c>
      <c r="H3540" s="50">
        <v>41742</v>
      </c>
      <c r="I3540" s="51" t="s">
        <v>595</v>
      </c>
      <c r="J3540" s="51" t="s">
        <v>572</v>
      </c>
      <c r="K3540" s="51">
        <f>VLOOKUP(J3540,'Validacion reclamo de equipaje'!L:M,2,0)</f>
        <v>142</v>
      </c>
      <c r="L3540" s="51" t="str">
        <f>VLOOKUP(I3540,'Validacion reclamo de equipaje'!H:I,2,0)</f>
        <v>Internacional</v>
      </c>
      <c r="M3540" s="51" t="s">
        <v>523</v>
      </c>
    </row>
    <row r="3541" spans="1:13" x14ac:dyDescent="0.25">
      <c r="A3541">
        <v>941</v>
      </c>
      <c r="B3541" s="47" t="str">
        <f>VLOOKUP(Tabla6[[#This Row],['# Vuelo]],'Validacion reclamo de equipaje'!P:Q,2,0)</f>
        <v>BARATA Y MORADA</v>
      </c>
      <c r="C3541" s="52">
        <v>0.93472222222222223</v>
      </c>
      <c r="D3541" s="52">
        <v>0.9472222222222223</v>
      </c>
      <c r="E3541" s="53">
        <f>'Reclamo de equipaje rediseñado'!$D3541-'Reclamo de equipaje rediseñado'!$C3541</f>
        <v>1.2500000000000067E-2</v>
      </c>
      <c r="F3541" s="52">
        <v>0.96458333333333324</v>
      </c>
      <c r="G3541" s="53">
        <f t="shared" si="55"/>
        <v>1.7361111111110938E-2</v>
      </c>
      <c r="H3541" s="54">
        <v>41743</v>
      </c>
      <c r="I3541" s="55" t="s">
        <v>595</v>
      </c>
      <c r="J3541" s="55" t="s">
        <v>572</v>
      </c>
      <c r="K3541" s="55">
        <f>VLOOKUP(J3541,'Validacion reclamo de equipaje'!L:M,2,0)</f>
        <v>142</v>
      </c>
      <c r="L3541" s="55" t="str">
        <f>VLOOKUP(I3541,'Validacion reclamo de equipaje'!H:I,2,0)</f>
        <v>Internacional</v>
      </c>
      <c r="M3541" s="55" t="s">
        <v>523</v>
      </c>
    </row>
    <row r="3542" spans="1:13" x14ac:dyDescent="0.25">
      <c r="A3542">
        <v>941</v>
      </c>
      <c r="B3542" s="47" t="str">
        <f>VLOOKUP(Tabla6[[#This Row],['# Vuelo]],'Validacion reclamo de equipaje'!P:Q,2,0)</f>
        <v>BARATA Y MORADA</v>
      </c>
      <c r="C3542" s="48">
        <v>0.90416666666666667</v>
      </c>
      <c r="D3542" s="48">
        <v>0.91666666666666663</v>
      </c>
      <c r="E3542" s="49">
        <f>'Reclamo de equipaje rediseñado'!$D3542-'Reclamo de equipaje rediseñado'!$C3542</f>
        <v>1.2499999999999956E-2</v>
      </c>
      <c r="F3542" s="48">
        <v>0.93263888888888891</v>
      </c>
      <c r="G3542" s="49">
        <f t="shared" si="55"/>
        <v>1.5972222222222276E-2</v>
      </c>
      <c r="H3542" s="50">
        <v>41745</v>
      </c>
      <c r="I3542" s="51" t="s">
        <v>595</v>
      </c>
      <c r="J3542" s="51" t="s">
        <v>572</v>
      </c>
      <c r="K3542" s="51">
        <f>VLOOKUP(J3542,'Validacion reclamo de equipaje'!L:M,2,0)</f>
        <v>142</v>
      </c>
      <c r="L3542" s="51" t="str">
        <f>VLOOKUP(I3542,'Validacion reclamo de equipaje'!H:I,2,0)</f>
        <v>Internacional</v>
      </c>
      <c r="M3542" s="51" t="s">
        <v>523</v>
      </c>
    </row>
    <row r="3543" spans="1:13" x14ac:dyDescent="0.25">
      <c r="A3543">
        <v>941</v>
      </c>
      <c r="B3543" s="47" t="str">
        <f>VLOOKUP(Tabla6[[#This Row],['# Vuelo]],'Validacion reclamo de equipaje'!P:Q,2,0)</f>
        <v>BARATA Y MORADA</v>
      </c>
      <c r="C3543" s="52">
        <v>0.91249999999999998</v>
      </c>
      <c r="D3543" s="52">
        <v>0.92222222222222217</v>
      </c>
      <c r="E3543" s="53">
        <f>'Reclamo de equipaje rediseñado'!$D3543-'Reclamo de equipaje rediseñado'!$C3543</f>
        <v>9.7222222222221877E-3</v>
      </c>
      <c r="F3543" s="52">
        <v>0.93819444444444444</v>
      </c>
      <c r="G3543" s="53">
        <f t="shared" si="55"/>
        <v>1.5972222222222276E-2</v>
      </c>
      <c r="H3543" s="54">
        <v>41744</v>
      </c>
      <c r="I3543" s="55" t="s">
        <v>595</v>
      </c>
      <c r="J3543" s="55" t="s">
        <v>572</v>
      </c>
      <c r="K3543" s="55">
        <f>VLOOKUP(J3543,'Validacion reclamo de equipaje'!L:M,2,0)</f>
        <v>142</v>
      </c>
      <c r="L3543" s="55" t="str">
        <f>VLOOKUP(I3543,'Validacion reclamo de equipaje'!H:I,2,0)</f>
        <v>Internacional</v>
      </c>
      <c r="M3543" s="55" t="s">
        <v>523</v>
      </c>
    </row>
    <row r="3544" spans="1:13" x14ac:dyDescent="0.25">
      <c r="A3544">
        <v>941</v>
      </c>
      <c r="B3544" s="47" t="str">
        <f>VLOOKUP(Tabla6[[#This Row],['# Vuelo]],'Validacion reclamo de equipaje'!P:Q,2,0)</f>
        <v>BARATA Y MORADA</v>
      </c>
      <c r="C3544" s="48">
        <v>0.90902777777777777</v>
      </c>
      <c r="D3544" s="48">
        <v>0.9194444444444444</v>
      </c>
      <c r="E3544" s="49">
        <f>'Reclamo de equipaje rediseñado'!$D3544-'Reclamo de equipaje rediseñado'!$C3544</f>
        <v>1.041666666666663E-2</v>
      </c>
      <c r="F3544" s="48">
        <v>0.93472222222222223</v>
      </c>
      <c r="G3544" s="49">
        <f t="shared" si="55"/>
        <v>1.5277777777777835E-2</v>
      </c>
      <c r="H3544" s="50">
        <v>41746</v>
      </c>
      <c r="I3544" s="51" t="s">
        <v>595</v>
      </c>
      <c r="J3544" s="51" t="s">
        <v>572</v>
      </c>
      <c r="K3544" s="51">
        <f>VLOOKUP(J3544,'Validacion reclamo de equipaje'!L:M,2,0)</f>
        <v>142</v>
      </c>
      <c r="L3544" s="51" t="str">
        <f>VLOOKUP(I3544,'Validacion reclamo de equipaje'!H:I,2,0)</f>
        <v>Internacional</v>
      </c>
      <c r="M3544" s="51" t="s">
        <v>523</v>
      </c>
    </row>
    <row r="3545" spans="1:13" x14ac:dyDescent="0.25">
      <c r="A3545">
        <v>941</v>
      </c>
      <c r="B3545" s="47" t="str">
        <f>VLOOKUP(Tabla6[[#This Row],['# Vuelo]],'Validacion reclamo de equipaje'!P:Q,2,0)</f>
        <v>BARATA Y MORADA</v>
      </c>
      <c r="C3545" s="52">
        <v>0.89374999999999993</v>
      </c>
      <c r="D3545" s="52">
        <v>0.90277777777777779</v>
      </c>
      <c r="E3545" s="53">
        <f>'Reclamo de equipaje rediseñado'!$D3545-'Reclamo de equipaje rediseñado'!$C3545</f>
        <v>9.0277777777778567E-3</v>
      </c>
      <c r="F3545" s="52">
        <v>0.92152777777777783</v>
      </c>
      <c r="G3545" s="53">
        <f t="shared" si="55"/>
        <v>1.8750000000000044E-2</v>
      </c>
      <c r="H3545" s="54">
        <v>41747</v>
      </c>
      <c r="I3545" s="55" t="s">
        <v>595</v>
      </c>
      <c r="J3545" s="55" t="s">
        <v>572</v>
      </c>
      <c r="K3545" s="55">
        <f>VLOOKUP(J3545,'Validacion reclamo de equipaje'!L:M,2,0)</f>
        <v>142</v>
      </c>
      <c r="L3545" s="55" t="str">
        <f>VLOOKUP(I3545,'Validacion reclamo de equipaje'!H:I,2,0)</f>
        <v>Internacional</v>
      </c>
      <c r="M3545" s="55" t="s">
        <v>523</v>
      </c>
    </row>
    <row r="3546" spans="1:13" x14ac:dyDescent="0.25">
      <c r="A3546">
        <v>941</v>
      </c>
      <c r="B3546" s="47" t="str">
        <f>VLOOKUP(Tabla6[[#This Row],['# Vuelo]],'Validacion reclamo de equipaje'!P:Q,2,0)</f>
        <v>BARATA Y MORADA</v>
      </c>
      <c r="C3546" s="48">
        <v>0.91388888888888886</v>
      </c>
      <c r="D3546" s="48">
        <v>0.92361111111111116</v>
      </c>
      <c r="E3546" s="49">
        <f>'Reclamo de equipaje rediseñado'!$D3546-'Reclamo de equipaje rediseñado'!$C3546</f>
        <v>9.7222222222222987E-3</v>
      </c>
      <c r="F3546" s="48">
        <v>0.93819444444444444</v>
      </c>
      <c r="G3546" s="49">
        <f t="shared" si="55"/>
        <v>1.4583333333333282E-2</v>
      </c>
      <c r="H3546" s="50">
        <v>41749</v>
      </c>
      <c r="I3546" s="51" t="s">
        <v>595</v>
      </c>
      <c r="J3546" s="51" t="s">
        <v>572</v>
      </c>
      <c r="K3546" s="51">
        <f>VLOOKUP(J3546,'Validacion reclamo de equipaje'!L:M,2,0)</f>
        <v>142</v>
      </c>
      <c r="L3546" s="51" t="str">
        <f>VLOOKUP(I3546,'Validacion reclamo de equipaje'!H:I,2,0)</f>
        <v>Internacional</v>
      </c>
      <c r="M3546" s="51" t="s">
        <v>523</v>
      </c>
    </row>
    <row r="3547" spans="1:13" x14ac:dyDescent="0.25">
      <c r="A3547">
        <v>941</v>
      </c>
      <c r="B3547" s="47" t="str">
        <f>VLOOKUP(Tabla6[[#This Row],['# Vuelo]],'Validacion reclamo de equipaje'!P:Q,2,0)</f>
        <v>BARATA Y MORADA</v>
      </c>
      <c r="C3547" s="52">
        <v>0.90694444444444444</v>
      </c>
      <c r="D3547" s="52">
        <v>0.90972222222222221</v>
      </c>
      <c r="E3547" s="53">
        <f>'Reclamo de equipaje rediseñado'!$D3547-'Reclamo de equipaje rediseñado'!$C3547</f>
        <v>2.7777777777777679E-3</v>
      </c>
      <c r="F3547" s="52">
        <v>0.92638888888888893</v>
      </c>
      <c r="G3547" s="53">
        <f t="shared" si="55"/>
        <v>1.6666666666666718E-2</v>
      </c>
      <c r="H3547" s="54">
        <v>41748</v>
      </c>
      <c r="I3547" s="55" t="s">
        <v>595</v>
      </c>
      <c r="J3547" s="55" t="s">
        <v>572</v>
      </c>
      <c r="K3547" s="55">
        <f>VLOOKUP(J3547,'Validacion reclamo de equipaje'!L:M,2,0)</f>
        <v>142</v>
      </c>
      <c r="L3547" s="55" t="str">
        <f>VLOOKUP(I3547,'Validacion reclamo de equipaje'!H:I,2,0)</f>
        <v>Internacional</v>
      </c>
      <c r="M3547" s="55" t="s">
        <v>523</v>
      </c>
    </row>
    <row r="3548" spans="1:13" x14ac:dyDescent="0.25">
      <c r="A3548">
        <v>941</v>
      </c>
      <c r="B3548" s="47" t="str">
        <f>VLOOKUP(Tabla6[[#This Row],['# Vuelo]],'Validacion reclamo de equipaje'!P:Q,2,0)</f>
        <v>BARATA Y MORADA</v>
      </c>
      <c r="C3548" s="48">
        <v>0.91875000000000007</v>
      </c>
      <c r="D3548" s="48">
        <v>0.93055555555555547</v>
      </c>
      <c r="E3548" s="49">
        <f>'Reclamo de equipaje rediseñado'!$D3548-'Reclamo de equipaje rediseñado'!$C3548</f>
        <v>1.1805555555555403E-2</v>
      </c>
      <c r="F3548" s="48">
        <v>0.94097222222222221</v>
      </c>
      <c r="G3548" s="49">
        <f t="shared" si="55"/>
        <v>1.0416666666666741E-2</v>
      </c>
      <c r="H3548" s="50">
        <v>41751</v>
      </c>
      <c r="I3548" s="51" t="s">
        <v>595</v>
      </c>
      <c r="J3548" s="51" t="s">
        <v>572</v>
      </c>
      <c r="K3548" s="51">
        <f>VLOOKUP(J3548,'Validacion reclamo de equipaje'!L:M,2,0)</f>
        <v>142</v>
      </c>
      <c r="L3548" s="51" t="str">
        <f>VLOOKUP(I3548,'Validacion reclamo de equipaje'!H:I,2,0)</f>
        <v>Internacional</v>
      </c>
      <c r="M3548" s="51" t="s">
        <v>523</v>
      </c>
    </row>
    <row r="3549" spans="1:13" x14ac:dyDescent="0.25">
      <c r="A3549">
        <v>941</v>
      </c>
      <c r="B3549" s="47" t="str">
        <f>VLOOKUP(Tabla6[[#This Row],['# Vuelo]],'Validacion reclamo de equipaje'!P:Q,2,0)</f>
        <v>BARATA Y MORADA</v>
      </c>
      <c r="C3549" s="52">
        <v>0.92361111111111116</v>
      </c>
      <c r="D3549" s="52">
        <v>0.9375</v>
      </c>
      <c r="E3549" s="53">
        <f>'Reclamo de equipaje rediseñado'!$D3549-'Reclamo de equipaje rediseñado'!$C3549</f>
        <v>1.388888888888884E-2</v>
      </c>
      <c r="F3549" s="52">
        <v>0.94652777777777775</v>
      </c>
      <c r="G3549" s="53">
        <f t="shared" si="55"/>
        <v>9.0277777777777457E-3</v>
      </c>
      <c r="H3549" s="54">
        <v>41752</v>
      </c>
      <c r="I3549" s="55" t="s">
        <v>595</v>
      </c>
      <c r="J3549" s="55" t="s">
        <v>572</v>
      </c>
      <c r="K3549" s="55">
        <f>VLOOKUP(J3549,'Validacion reclamo de equipaje'!L:M,2,0)</f>
        <v>142</v>
      </c>
      <c r="L3549" s="55" t="str">
        <f>VLOOKUP(I3549,'Validacion reclamo de equipaje'!H:I,2,0)</f>
        <v>Internacional</v>
      </c>
      <c r="M3549" s="55" t="s">
        <v>523</v>
      </c>
    </row>
    <row r="3550" spans="1:13" x14ac:dyDescent="0.25">
      <c r="A3550">
        <v>941</v>
      </c>
      <c r="B3550" s="47" t="str">
        <f>VLOOKUP(Tabla6[[#This Row],['# Vuelo]],'Validacion reclamo de equipaje'!P:Q,2,0)</f>
        <v>BARATA Y MORADA</v>
      </c>
      <c r="C3550" s="48">
        <v>0.89444444444444438</v>
      </c>
      <c r="D3550" s="48">
        <v>0.9159722222222223</v>
      </c>
      <c r="E3550" s="49">
        <f>'Reclamo de equipaje rediseñado'!$D3550-'Reclamo de equipaje rediseñado'!$C3550</f>
        <v>2.1527777777777923E-2</v>
      </c>
      <c r="F3550" s="48">
        <v>0.92361111111111116</v>
      </c>
      <c r="G3550" s="49">
        <f t="shared" si="55"/>
        <v>7.6388888888888618E-3</v>
      </c>
      <c r="H3550" s="50">
        <v>41752</v>
      </c>
      <c r="I3550" s="51" t="s">
        <v>595</v>
      </c>
      <c r="J3550" s="51" t="s">
        <v>572</v>
      </c>
      <c r="K3550" s="51">
        <f>VLOOKUP(J3550,'Validacion reclamo de equipaje'!L:M,2,0)</f>
        <v>142</v>
      </c>
      <c r="L3550" s="51" t="str">
        <f>VLOOKUP(I3550,'Validacion reclamo de equipaje'!H:I,2,0)</f>
        <v>Internacional</v>
      </c>
      <c r="M3550" s="51" t="s">
        <v>523</v>
      </c>
    </row>
    <row r="3551" spans="1:13" x14ac:dyDescent="0.25">
      <c r="A3551">
        <v>941</v>
      </c>
      <c r="B3551" s="47" t="str">
        <f>VLOOKUP(Tabla6[[#This Row],['# Vuelo]],'Validacion reclamo de equipaje'!P:Q,2,0)</f>
        <v>BARATA Y MORADA</v>
      </c>
      <c r="C3551" s="52">
        <v>0.90555555555555556</v>
      </c>
      <c r="D3551" s="52">
        <v>0.91319444444444453</v>
      </c>
      <c r="E3551" s="53">
        <f>'Reclamo de equipaje rediseñado'!$D3551-'Reclamo de equipaje rediseñado'!$C3551</f>
        <v>7.6388888888889728E-3</v>
      </c>
      <c r="F3551" s="52">
        <v>0.93055555555555547</v>
      </c>
      <c r="G3551" s="53">
        <f t="shared" si="55"/>
        <v>1.7361111111110938E-2</v>
      </c>
      <c r="H3551" s="54">
        <v>41754</v>
      </c>
      <c r="I3551" s="55" t="s">
        <v>595</v>
      </c>
      <c r="J3551" s="55" t="s">
        <v>572</v>
      </c>
      <c r="K3551" s="55">
        <f>VLOOKUP(J3551,'Validacion reclamo de equipaje'!L:M,2,0)</f>
        <v>142</v>
      </c>
      <c r="L3551" s="55" t="str">
        <f>VLOOKUP(I3551,'Validacion reclamo de equipaje'!H:I,2,0)</f>
        <v>Internacional</v>
      </c>
      <c r="M3551" s="55" t="s">
        <v>523</v>
      </c>
    </row>
    <row r="3552" spans="1:13" x14ac:dyDescent="0.25">
      <c r="A3552">
        <v>941</v>
      </c>
      <c r="B3552" s="47" t="str">
        <f>VLOOKUP(Tabla6[[#This Row],['# Vuelo]],'Validacion reclamo de equipaje'!P:Q,2,0)</f>
        <v>BARATA Y MORADA</v>
      </c>
      <c r="C3552" s="48">
        <v>0.91388888888888886</v>
      </c>
      <c r="D3552" s="48">
        <v>0.9243055555555556</v>
      </c>
      <c r="E3552" s="49">
        <f>'Reclamo de equipaje rediseñado'!$D3552-'Reclamo de equipaje rediseñado'!$C3552</f>
        <v>1.0416666666666741E-2</v>
      </c>
      <c r="F3552" s="48">
        <v>0.94305555555555554</v>
      </c>
      <c r="G3552" s="49">
        <f t="shared" si="55"/>
        <v>1.8749999999999933E-2</v>
      </c>
      <c r="H3552" s="50">
        <v>41755</v>
      </c>
      <c r="I3552" s="51" t="s">
        <v>595</v>
      </c>
      <c r="J3552" s="51" t="s">
        <v>572</v>
      </c>
      <c r="K3552" s="51">
        <f>VLOOKUP(J3552,'Validacion reclamo de equipaje'!L:M,2,0)</f>
        <v>142</v>
      </c>
      <c r="L3552" s="51" t="str">
        <f>VLOOKUP(I3552,'Validacion reclamo de equipaje'!H:I,2,0)</f>
        <v>Internacional</v>
      </c>
      <c r="M3552" s="51" t="s">
        <v>523</v>
      </c>
    </row>
    <row r="3553" spans="1:13" x14ac:dyDescent="0.25">
      <c r="A3553">
        <v>941</v>
      </c>
      <c r="B3553" s="47" t="str">
        <f>VLOOKUP(Tabla6[[#This Row],['# Vuelo]],'Validacion reclamo de equipaje'!P:Q,2,0)</f>
        <v>BARATA Y MORADA</v>
      </c>
      <c r="C3553" s="52">
        <v>0.94861111111111107</v>
      </c>
      <c r="D3553" s="52">
        <v>0.96180555555555547</v>
      </c>
      <c r="E3553" s="53">
        <f>'Reclamo de equipaje rediseñado'!$D3553-'Reclamo de equipaje rediseñado'!$C3553</f>
        <v>1.3194444444444398E-2</v>
      </c>
      <c r="F3553" s="52">
        <v>0.98333333333333339</v>
      </c>
      <c r="G3553" s="53">
        <f t="shared" si="55"/>
        <v>2.1527777777777923E-2</v>
      </c>
      <c r="H3553" s="54">
        <v>41756</v>
      </c>
      <c r="I3553" s="55" t="s">
        <v>595</v>
      </c>
      <c r="J3553" s="55" t="s">
        <v>572</v>
      </c>
      <c r="K3553" s="55">
        <f>VLOOKUP(J3553,'Validacion reclamo de equipaje'!L:M,2,0)</f>
        <v>142</v>
      </c>
      <c r="L3553" s="55" t="str">
        <f>VLOOKUP(I3553,'Validacion reclamo de equipaje'!H:I,2,0)</f>
        <v>Internacional</v>
      </c>
      <c r="M3553" s="55" t="s">
        <v>523</v>
      </c>
    </row>
    <row r="3554" spans="1:13" x14ac:dyDescent="0.25">
      <c r="A3554">
        <v>941</v>
      </c>
      <c r="B3554" s="47" t="str">
        <f>VLOOKUP(Tabla6[[#This Row],['# Vuelo]],'Validacion reclamo de equipaje'!P:Q,2,0)</f>
        <v>BARATA Y MORADA</v>
      </c>
      <c r="C3554" s="48">
        <v>0.91319444444444453</v>
      </c>
      <c r="D3554" s="48">
        <v>0.93055555555555547</v>
      </c>
      <c r="E3554" s="49">
        <f>'Reclamo de equipaje rediseñado'!$D3554-'Reclamo de equipaje rediseñado'!$C3554</f>
        <v>1.7361111111110938E-2</v>
      </c>
      <c r="F3554" s="48">
        <v>0.93888888888888899</v>
      </c>
      <c r="G3554" s="49">
        <f t="shared" si="55"/>
        <v>8.3333333333335258E-3</v>
      </c>
      <c r="H3554" s="50">
        <v>41757</v>
      </c>
      <c r="I3554" s="51" t="s">
        <v>595</v>
      </c>
      <c r="J3554" s="51" t="s">
        <v>572</v>
      </c>
      <c r="K3554" s="51">
        <f>VLOOKUP(J3554,'Validacion reclamo de equipaje'!L:M,2,0)</f>
        <v>142</v>
      </c>
      <c r="L3554" s="51" t="str">
        <f>VLOOKUP(I3554,'Validacion reclamo de equipaje'!H:I,2,0)</f>
        <v>Internacional</v>
      </c>
      <c r="M3554" s="51" t="s">
        <v>523</v>
      </c>
    </row>
    <row r="3555" spans="1:13" x14ac:dyDescent="0.25">
      <c r="A3555">
        <v>941</v>
      </c>
      <c r="B3555" s="47" t="str">
        <f>VLOOKUP(Tabla6[[#This Row],['# Vuelo]],'Validacion reclamo de equipaje'!P:Q,2,0)</f>
        <v>BARATA Y MORADA</v>
      </c>
      <c r="C3555" s="52">
        <v>0.90972222222222221</v>
      </c>
      <c r="D3555" s="52">
        <v>0.92222222222222217</v>
      </c>
      <c r="E3555" s="53">
        <f>'Reclamo de equipaje rediseñado'!$D3555-'Reclamo de equipaje rediseñado'!$C3555</f>
        <v>1.2499999999999956E-2</v>
      </c>
      <c r="F3555" s="52">
        <v>0.93541666666666667</v>
      </c>
      <c r="G3555" s="53">
        <f t="shared" si="55"/>
        <v>1.3194444444444509E-2</v>
      </c>
      <c r="H3555" s="54">
        <v>41758</v>
      </c>
      <c r="I3555" s="55" t="s">
        <v>595</v>
      </c>
      <c r="J3555" s="55" t="s">
        <v>572</v>
      </c>
      <c r="K3555" s="55">
        <f>VLOOKUP(J3555,'Validacion reclamo de equipaje'!L:M,2,0)</f>
        <v>142</v>
      </c>
      <c r="L3555" s="55" t="str">
        <f>VLOOKUP(I3555,'Validacion reclamo de equipaje'!H:I,2,0)</f>
        <v>Internacional</v>
      </c>
      <c r="M3555" s="55" t="s">
        <v>523</v>
      </c>
    </row>
    <row r="3556" spans="1:13" x14ac:dyDescent="0.25">
      <c r="A3556">
        <v>941</v>
      </c>
      <c r="B3556" s="47" t="str">
        <f>VLOOKUP(Tabla6[[#This Row],['# Vuelo]],'Validacion reclamo de equipaje'!P:Q,2,0)</f>
        <v>BARATA Y MORADA</v>
      </c>
      <c r="C3556" s="48">
        <v>0.91805555555555562</v>
      </c>
      <c r="D3556" s="48">
        <v>0.92986111111111114</v>
      </c>
      <c r="E3556" s="49">
        <f>'Reclamo de equipaje rediseñado'!$D3556-'Reclamo de equipaje rediseñado'!$C3556</f>
        <v>1.1805555555555514E-2</v>
      </c>
      <c r="F3556" s="48">
        <v>0.94444444444444453</v>
      </c>
      <c r="G3556" s="49">
        <f t="shared" si="55"/>
        <v>1.4583333333333393E-2</v>
      </c>
      <c r="H3556" s="50">
        <v>41759</v>
      </c>
      <c r="I3556" s="51" t="s">
        <v>595</v>
      </c>
      <c r="J3556" s="51" t="s">
        <v>572</v>
      </c>
      <c r="K3556" s="51">
        <f>VLOOKUP(J3556,'Validacion reclamo de equipaje'!L:M,2,0)</f>
        <v>142</v>
      </c>
      <c r="L3556" s="51" t="str">
        <f>VLOOKUP(I3556,'Validacion reclamo de equipaje'!H:I,2,0)</f>
        <v>Internacional</v>
      </c>
      <c r="M3556" s="51" t="s">
        <v>523</v>
      </c>
    </row>
    <row r="3557" spans="1:13" x14ac:dyDescent="0.25">
      <c r="A3557">
        <v>951</v>
      </c>
      <c r="B3557" s="47" t="str">
        <f>VLOOKUP(Tabla6[[#This Row],['# Vuelo]],'Validacion reclamo de equipaje'!P:Q,2,0)</f>
        <v>BARATA Y MORADA</v>
      </c>
      <c r="C3557" s="52">
        <v>0.27013888888888887</v>
      </c>
      <c r="D3557" s="52">
        <v>0.28263888888888888</v>
      </c>
      <c r="E3557" s="53">
        <f>'Reclamo de equipaje rediseñado'!$D3557-'Reclamo de equipaje rediseñado'!$C3557</f>
        <v>1.2500000000000011E-2</v>
      </c>
      <c r="F3557" s="52">
        <v>0.3</v>
      </c>
      <c r="G3557" s="53">
        <f t="shared" si="55"/>
        <v>1.7361111111111105E-2</v>
      </c>
      <c r="H3557" s="54">
        <v>41731</v>
      </c>
      <c r="I3557" s="55" t="s">
        <v>564</v>
      </c>
      <c r="J3557" s="55">
        <v>320</v>
      </c>
      <c r="K3557" s="55">
        <f>VLOOKUP(J3557,'Validacion reclamo de equipaje'!L:M,2,0)</f>
        <v>179</v>
      </c>
      <c r="L3557" s="55" t="str">
        <f>VLOOKUP(I3557,'Validacion reclamo de equipaje'!H:I,2,0)</f>
        <v>Internacional</v>
      </c>
      <c r="M3557" s="55" t="s">
        <v>523</v>
      </c>
    </row>
    <row r="3558" spans="1:13" x14ac:dyDescent="0.25">
      <c r="A3558">
        <v>951</v>
      </c>
      <c r="B3558" s="47" t="str">
        <f>VLOOKUP(Tabla6[[#This Row],['# Vuelo]],'Validacion reclamo de equipaje'!P:Q,2,0)</f>
        <v>BARATA Y MORADA</v>
      </c>
      <c r="C3558" s="48">
        <v>0.26111111111111113</v>
      </c>
      <c r="D3558" s="48">
        <v>0.27430555555555552</v>
      </c>
      <c r="E3558" s="49">
        <f>'Reclamo de equipaje rediseñado'!$D3558-'Reclamo de equipaje rediseñado'!$C3558</f>
        <v>1.3194444444444398E-2</v>
      </c>
      <c r="F3558" s="48">
        <v>0.2902777777777778</v>
      </c>
      <c r="G3558" s="49">
        <f t="shared" si="55"/>
        <v>1.5972222222222276E-2</v>
      </c>
      <c r="H3558" s="50">
        <v>41733</v>
      </c>
      <c r="I3558" s="51" t="s">
        <v>564</v>
      </c>
      <c r="J3558" s="51">
        <v>320</v>
      </c>
      <c r="K3558" s="51">
        <f>VLOOKUP(J3558,'Validacion reclamo de equipaje'!L:M,2,0)</f>
        <v>179</v>
      </c>
      <c r="L3558" s="51" t="str">
        <f>VLOOKUP(I3558,'Validacion reclamo de equipaje'!H:I,2,0)</f>
        <v>Internacional</v>
      </c>
      <c r="M3558" s="51" t="s">
        <v>523</v>
      </c>
    </row>
    <row r="3559" spans="1:13" x14ac:dyDescent="0.25">
      <c r="A3559">
        <v>951</v>
      </c>
      <c r="B3559" s="47" t="str">
        <f>VLOOKUP(Tabla6[[#This Row],['# Vuelo]],'Validacion reclamo de equipaje'!P:Q,2,0)</f>
        <v>BARATA Y MORADA</v>
      </c>
      <c r="C3559" s="52">
        <v>0.26458333333333334</v>
      </c>
      <c r="D3559" s="52">
        <v>0.27430555555555552</v>
      </c>
      <c r="E3559" s="53">
        <f>'Reclamo de equipaje rediseñado'!$D3559-'Reclamo de equipaje rediseñado'!$C3559</f>
        <v>9.7222222222221877E-3</v>
      </c>
      <c r="F3559" s="52">
        <v>0.27916666666666667</v>
      </c>
      <c r="G3559" s="53">
        <f t="shared" si="55"/>
        <v>4.8611111111111494E-3</v>
      </c>
      <c r="H3559" s="54">
        <v>41733</v>
      </c>
      <c r="I3559" s="55" t="s">
        <v>564</v>
      </c>
      <c r="J3559" s="55">
        <v>320</v>
      </c>
      <c r="K3559" s="55">
        <f>VLOOKUP(J3559,'Validacion reclamo de equipaje'!L:M,2,0)</f>
        <v>179</v>
      </c>
      <c r="L3559" s="55" t="str">
        <f>VLOOKUP(I3559,'Validacion reclamo de equipaje'!H:I,2,0)</f>
        <v>Internacional</v>
      </c>
      <c r="M3559" s="55" t="s">
        <v>523</v>
      </c>
    </row>
    <row r="3560" spans="1:13" x14ac:dyDescent="0.25">
      <c r="A3560">
        <v>951</v>
      </c>
      <c r="B3560" s="47" t="str">
        <f>VLOOKUP(Tabla6[[#This Row],['# Vuelo]],'Validacion reclamo de equipaje'!P:Q,2,0)</f>
        <v>BARATA Y MORADA</v>
      </c>
      <c r="C3560" s="48">
        <v>0.26250000000000001</v>
      </c>
      <c r="D3560" s="48">
        <v>0.27430555555555552</v>
      </c>
      <c r="E3560" s="49">
        <f>'Reclamo de equipaje rediseñado'!$D3560-'Reclamo de equipaje rediseñado'!$C3560</f>
        <v>1.1805555555555514E-2</v>
      </c>
      <c r="F3560" s="48">
        <v>0.29375000000000001</v>
      </c>
      <c r="G3560" s="49">
        <f t="shared" si="55"/>
        <v>1.9444444444444486E-2</v>
      </c>
      <c r="H3560" s="50">
        <v>41736</v>
      </c>
      <c r="I3560" s="51" t="s">
        <v>564</v>
      </c>
      <c r="J3560" s="51">
        <v>320</v>
      </c>
      <c r="K3560" s="51">
        <f>VLOOKUP(J3560,'Validacion reclamo de equipaje'!L:M,2,0)</f>
        <v>179</v>
      </c>
      <c r="L3560" s="51" t="str">
        <f>VLOOKUP(I3560,'Validacion reclamo de equipaje'!H:I,2,0)</f>
        <v>Internacional</v>
      </c>
      <c r="M3560" s="51" t="s">
        <v>523</v>
      </c>
    </row>
    <row r="3561" spans="1:13" x14ac:dyDescent="0.25">
      <c r="A3561">
        <v>951</v>
      </c>
      <c r="B3561" s="47" t="str">
        <f>VLOOKUP(Tabla6[[#This Row],['# Vuelo]],'Validacion reclamo de equipaje'!P:Q,2,0)</f>
        <v>BARATA Y MORADA</v>
      </c>
      <c r="C3561" s="52">
        <v>0.24652777777777779</v>
      </c>
      <c r="D3561" s="52">
        <v>0.26458333333333334</v>
      </c>
      <c r="E3561" s="53">
        <f>'Reclamo de equipaje rediseñado'!$D3561-'Reclamo de equipaje rediseñado'!$C3561</f>
        <v>1.8055555555555547E-2</v>
      </c>
      <c r="F3561" s="52">
        <v>0.26666666666666666</v>
      </c>
      <c r="G3561" s="53">
        <f t="shared" si="55"/>
        <v>2.0833333333333259E-3</v>
      </c>
      <c r="H3561" s="54">
        <v>41738</v>
      </c>
      <c r="I3561" s="55" t="s">
        <v>564</v>
      </c>
      <c r="J3561" s="55">
        <v>320</v>
      </c>
      <c r="K3561" s="55">
        <f>VLOOKUP(J3561,'Validacion reclamo de equipaje'!L:M,2,0)</f>
        <v>179</v>
      </c>
      <c r="L3561" s="55" t="str">
        <f>VLOOKUP(I3561,'Validacion reclamo de equipaje'!H:I,2,0)</f>
        <v>Internacional</v>
      </c>
      <c r="M3561" s="55" t="s">
        <v>523</v>
      </c>
    </row>
    <row r="3562" spans="1:13" x14ac:dyDescent="0.25">
      <c r="A3562">
        <v>951</v>
      </c>
      <c r="B3562" s="47" t="str">
        <f>VLOOKUP(Tabla6[[#This Row],['# Vuelo]],'Validacion reclamo de equipaje'!P:Q,2,0)</f>
        <v>BARATA Y MORADA</v>
      </c>
      <c r="C3562" s="48">
        <v>0.27638888888888885</v>
      </c>
      <c r="D3562" s="48">
        <v>0.29097222222222224</v>
      </c>
      <c r="E3562" s="49">
        <f>'Reclamo de equipaje rediseñado'!$D3562-'Reclamo de equipaje rediseñado'!$C3562</f>
        <v>1.4583333333333393E-2</v>
      </c>
      <c r="F3562" s="48">
        <v>0.30624999999999997</v>
      </c>
      <c r="G3562" s="49">
        <f t="shared" si="55"/>
        <v>1.5277777777777724E-2</v>
      </c>
      <c r="H3562" s="50">
        <v>41739</v>
      </c>
      <c r="I3562" s="51" t="s">
        <v>564</v>
      </c>
      <c r="J3562" s="51">
        <v>320</v>
      </c>
      <c r="K3562" s="51">
        <f>VLOOKUP(J3562,'Validacion reclamo de equipaje'!L:M,2,0)</f>
        <v>179</v>
      </c>
      <c r="L3562" s="51" t="str">
        <f>VLOOKUP(I3562,'Validacion reclamo de equipaje'!H:I,2,0)</f>
        <v>Internacional</v>
      </c>
      <c r="M3562" s="51" t="s">
        <v>523</v>
      </c>
    </row>
    <row r="3563" spans="1:13" x14ac:dyDescent="0.25">
      <c r="A3563">
        <v>951</v>
      </c>
      <c r="B3563" s="47" t="str">
        <f>VLOOKUP(Tabla6[[#This Row],['# Vuelo]],'Validacion reclamo de equipaje'!P:Q,2,0)</f>
        <v>BARATA Y MORADA</v>
      </c>
      <c r="C3563" s="52">
        <v>0.26666666666666666</v>
      </c>
      <c r="D3563" s="52">
        <v>0.27638888888888885</v>
      </c>
      <c r="E3563" s="53">
        <f>'Reclamo de equipaje rediseñado'!$D3563-'Reclamo de equipaje rediseñado'!$C3563</f>
        <v>9.7222222222221877E-3</v>
      </c>
      <c r="F3563" s="52">
        <v>0.29444444444444445</v>
      </c>
      <c r="G3563" s="53">
        <f t="shared" si="55"/>
        <v>1.8055555555555602E-2</v>
      </c>
      <c r="H3563" s="54">
        <v>41743</v>
      </c>
      <c r="I3563" s="55" t="s">
        <v>564</v>
      </c>
      <c r="J3563" s="55">
        <v>320</v>
      </c>
      <c r="K3563" s="55">
        <f>VLOOKUP(J3563,'Validacion reclamo de equipaje'!L:M,2,0)</f>
        <v>179</v>
      </c>
      <c r="L3563" s="55" t="str">
        <f>VLOOKUP(I3563,'Validacion reclamo de equipaje'!H:I,2,0)</f>
        <v>Internacional</v>
      </c>
      <c r="M3563" s="55" t="s">
        <v>523</v>
      </c>
    </row>
    <row r="3564" spans="1:13" x14ac:dyDescent="0.25">
      <c r="A3564">
        <v>951</v>
      </c>
      <c r="B3564" s="47" t="str">
        <f>VLOOKUP(Tabla6[[#This Row],['# Vuelo]],'Validacion reclamo de equipaje'!P:Q,2,0)</f>
        <v>BARATA Y MORADA</v>
      </c>
      <c r="C3564" s="48">
        <v>0.24930555555555556</v>
      </c>
      <c r="D3564" s="48">
        <v>0.26597222222222222</v>
      </c>
      <c r="E3564" s="49">
        <f>'Reclamo de equipaje rediseñado'!$D3564-'Reclamo de equipaje rediseñado'!$C3564</f>
        <v>1.6666666666666663E-2</v>
      </c>
      <c r="F3564" s="48">
        <v>0.28611111111111115</v>
      </c>
      <c r="G3564" s="49">
        <f t="shared" si="55"/>
        <v>2.0138888888888928E-2</v>
      </c>
      <c r="H3564" s="50">
        <v>41745</v>
      </c>
      <c r="I3564" s="51" t="s">
        <v>564</v>
      </c>
      <c r="J3564" s="51">
        <v>320</v>
      </c>
      <c r="K3564" s="51">
        <f>VLOOKUP(J3564,'Validacion reclamo de equipaje'!L:M,2,0)</f>
        <v>179</v>
      </c>
      <c r="L3564" s="51" t="str">
        <f>VLOOKUP(I3564,'Validacion reclamo de equipaje'!H:I,2,0)</f>
        <v>Internacional</v>
      </c>
      <c r="M3564" s="51" t="s">
        <v>523</v>
      </c>
    </row>
    <row r="3565" spans="1:13" x14ac:dyDescent="0.25">
      <c r="A3565">
        <v>951</v>
      </c>
      <c r="B3565" s="47" t="str">
        <f>VLOOKUP(Tabla6[[#This Row],['# Vuelo]],'Validacion reclamo de equipaje'!P:Q,2,0)</f>
        <v>BARATA Y MORADA</v>
      </c>
      <c r="C3565" s="52">
        <v>0.24374999999999999</v>
      </c>
      <c r="D3565" s="52">
        <v>0.25277777777777777</v>
      </c>
      <c r="E3565" s="53">
        <f>'Reclamo de equipaje rediseñado'!$D3565-'Reclamo de equipaje rediseñado'!$C3565</f>
        <v>9.0277777777777735E-3</v>
      </c>
      <c r="F3565" s="52">
        <v>0.2638888888888889</v>
      </c>
      <c r="G3565" s="53">
        <f t="shared" si="55"/>
        <v>1.1111111111111127E-2</v>
      </c>
      <c r="H3565" s="54">
        <v>41745</v>
      </c>
      <c r="I3565" s="55" t="s">
        <v>564</v>
      </c>
      <c r="J3565" s="55">
        <v>320</v>
      </c>
      <c r="K3565" s="55">
        <f>VLOOKUP(J3565,'Validacion reclamo de equipaje'!L:M,2,0)</f>
        <v>179</v>
      </c>
      <c r="L3565" s="55" t="str">
        <f>VLOOKUP(I3565,'Validacion reclamo de equipaje'!H:I,2,0)</f>
        <v>Internacional</v>
      </c>
      <c r="M3565" s="55" t="s">
        <v>523</v>
      </c>
    </row>
    <row r="3566" spans="1:13" x14ac:dyDescent="0.25">
      <c r="A3566">
        <v>951</v>
      </c>
      <c r="B3566" s="47" t="str">
        <f>VLOOKUP(Tabla6[[#This Row],['# Vuelo]],'Validacion reclamo de equipaje'!P:Q,2,0)</f>
        <v>BARATA Y MORADA</v>
      </c>
      <c r="C3566" s="48">
        <v>0.26250000000000001</v>
      </c>
      <c r="D3566" s="48">
        <v>0.27986111111111112</v>
      </c>
      <c r="E3566" s="49">
        <f>'Reclamo de equipaje rediseñado'!$D3566-'Reclamo de equipaje rediseñado'!$C3566</f>
        <v>1.7361111111111105E-2</v>
      </c>
      <c r="F3566" s="48">
        <v>0.29236111111111113</v>
      </c>
      <c r="G3566" s="49">
        <f t="shared" si="55"/>
        <v>1.2500000000000011E-2</v>
      </c>
      <c r="H3566" s="50">
        <v>41747</v>
      </c>
      <c r="I3566" s="51" t="s">
        <v>564</v>
      </c>
      <c r="J3566" s="51">
        <v>320</v>
      </c>
      <c r="K3566" s="51">
        <f>VLOOKUP(J3566,'Validacion reclamo de equipaje'!L:M,2,0)</f>
        <v>179</v>
      </c>
      <c r="L3566" s="51" t="str">
        <f>VLOOKUP(I3566,'Validacion reclamo de equipaje'!H:I,2,0)</f>
        <v>Internacional</v>
      </c>
      <c r="M3566" s="51" t="s">
        <v>523</v>
      </c>
    </row>
    <row r="3567" spans="1:13" x14ac:dyDescent="0.25">
      <c r="A3567">
        <v>951</v>
      </c>
      <c r="B3567" s="47" t="str">
        <f>VLOOKUP(Tabla6[[#This Row],['# Vuelo]],'Validacion reclamo de equipaje'!P:Q,2,0)</f>
        <v>BARATA Y MORADA</v>
      </c>
      <c r="C3567" s="52">
        <v>0.26111111111111113</v>
      </c>
      <c r="D3567" s="52">
        <v>0.26666666666666666</v>
      </c>
      <c r="E3567" s="53">
        <f>'Reclamo de equipaje rediseñado'!$D3567-'Reclamo de equipaje rediseñado'!$C3567</f>
        <v>5.5555555555555358E-3</v>
      </c>
      <c r="F3567" s="52">
        <v>0.30138888888888887</v>
      </c>
      <c r="G3567" s="53">
        <f t="shared" si="55"/>
        <v>3.472222222222221E-2</v>
      </c>
      <c r="H3567" s="54">
        <v>41749</v>
      </c>
      <c r="I3567" s="55" t="s">
        <v>564</v>
      </c>
      <c r="J3567" s="55">
        <v>320</v>
      </c>
      <c r="K3567" s="55">
        <f>VLOOKUP(J3567,'Validacion reclamo de equipaje'!L:M,2,0)</f>
        <v>179</v>
      </c>
      <c r="L3567" s="55" t="str">
        <f>VLOOKUP(I3567,'Validacion reclamo de equipaje'!H:I,2,0)</f>
        <v>Internacional</v>
      </c>
      <c r="M3567" s="55" t="s">
        <v>523</v>
      </c>
    </row>
    <row r="3568" spans="1:13" x14ac:dyDescent="0.25">
      <c r="A3568">
        <v>951</v>
      </c>
      <c r="B3568" s="47" t="str">
        <f>VLOOKUP(Tabla6[[#This Row],['# Vuelo]],'Validacion reclamo de equipaje'!P:Q,2,0)</f>
        <v>BARATA Y MORADA</v>
      </c>
      <c r="C3568" s="48">
        <v>0.24930555555555556</v>
      </c>
      <c r="D3568" s="48">
        <v>0.27708333333333335</v>
      </c>
      <c r="E3568" s="49">
        <f>'Reclamo de equipaje rediseñado'!$D3568-'Reclamo de equipaje rediseñado'!$C3568</f>
        <v>2.777777777777779E-2</v>
      </c>
      <c r="F3568" s="48">
        <v>0.28680555555555554</v>
      </c>
      <c r="G3568" s="49">
        <f t="shared" si="55"/>
        <v>9.7222222222221877E-3</v>
      </c>
      <c r="H3568" s="50">
        <v>41749</v>
      </c>
      <c r="I3568" s="51" t="s">
        <v>564</v>
      </c>
      <c r="J3568" s="51">
        <v>320</v>
      </c>
      <c r="K3568" s="51">
        <f>VLOOKUP(J3568,'Validacion reclamo de equipaje'!L:M,2,0)</f>
        <v>179</v>
      </c>
      <c r="L3568" s="51" t="str">
        <f>VLOOKUP(I3568,'Validacion reclamo de equipaje'!H:I,2,0)</f>
        <v>Internacional</v>
      </c>
      <c r="M3568" s="51" t="s">
        <v>523</v>
      </c>
    </row>
    <row r="3569" spans="1:13" x14ac:dyDescent="0.25">
      <c r="A3569">
        <v>951</v>
      </c>
      <c r="B3569" s="47" t="str">
        <f>VLOOKUP(Tabla6[[#This Row],['# Vuelo]],'Validacion reclamo de equipaje'!P:Q,2,0)</f>
        <v>BARATA Y MORADA</v>
      </c>
      <c r="C3569" s="52">
        <v>0.2638888888888889</v>
      </c>
      <c r="D3569" s="52">
        <v>0.27916666666666667</v>
      </c>
      <c r="E3569" s="53">
        <f>'Reclamo de equipaje rediseñado'!$D3569-'Reclamo de equipaje rediseñado'!$C3569</f>
        <v>1.5277777777777779E-2</v>
      </c>
      <c r="F3569" s="52">
        <v>0.2951388888888889</v>
      </c>
      <c r="G3569" s="53">
        <f t="shared" si="55"/>
        <v>1.5972222222222221E-2</v>
      </c>
      <c r="H3569" s="54">
        <v>41752</v>
      </c>
      <c r="I3569" s="55" t="s">
        <v>564</v>
      </c>
      <c r="J3569" s="55">
        <v>320</v>
      </c>
      <c r="K3569" s="55">
        <f>VLOOKUP(J3569,'Validacion reclamo de equipaje'!L:M,2,0)</f>
        <v>179</v>
      </c>
      <c r="L3569" s="55" t="str">
        <f>VLOOKUP(I3569,'Validacion reclamo de equipaje'!H:I,2,0)</f>
        <v>Internacional</v>
      </c>
      <c r="M3569" s="55" t="s">
        <v>523</v>
      </c>
    </row>
    <row r="3570" spans="1:13" x14ac:dyDescent="0.25">
      <c r="A3570">
        <v>951</v>
      </c>
      <c r="B3570" s="47" t="str">
        <f>VLOOKUP(Tabla6[[#This Row],['# Vuelo]],'Validacion reclamo de equipaje'!P:Q,2,0)</f>
        <v>BARATA Y MORADA</v>
      </c>
      <c r="C3570" s="48">
        <v>0.26666666666666666</v>
      </c>
      <c r="D3570" s="48">
        <v>0.27777777777777779</v>
      </c>
      <c r="E3570" s="49">
        <f>'Reclamo de equipaje rediseñado'!$D3570-'Reclamo de equipaje rediseñado'!$C3570</f>
        <v>1.1111111111111127E-2</v>
      </c>
      <c r="F3570" s="48">
        <v>0.2986111111111111</v>
      </c>
      <c r="G3570" s="49">
        <f t="shared" si="55"/>
        <v>2.0833333333333315E-2</v>
      </c>
      <c r="H3570" s="50">
        <v>41751</v>
      </c>
      <c r="I3570" s="51" t="s">
        <v>564</v>
      </c>
      <c r="J3570" s="51">
        <v>320</v>
      </c>
      <c r="K3570" s="51">
        <f>VLOOKUP(J3570,'Validacion reclamo de equipaje'!L:M,2,0)</f>
        <v>179</v>
      </c>
      <c r="L3570" s="51" t="str">
        <f>VLOOKUP(I3570,'Validacion reclamo de equipaje'!H:I,2,0)</f>
        <v>Internacional</v>
      </c>
      <c r="M3570" s="51" t="s">
        <v>523</v>
      </c>
    </row>
    <row r="3571" spans="1:13" x14ac:dyDescent="0.25">
      <c r="A3571">
        <v>951</v>
      </c>
      <c r="B3571" s="47" t="str">
        <f>VLOOKUP(Tabla6[[#This Row],['# Vuelo]],'Validacion reclamo de equipaje'!P:Q,2,0)</f>
        <v>BARATA Y MORADA</v>
      </c>
      <c r="C3571" s="52">
        <v>0.26111111111111113</v>
      </c>
      <c r="D3571" s="52">
        <v>0.28333333333333333</v>
      </c>
      <c r="E3571" s="53">
        <f>'Reclamo de equipaje rediseñado'!$D3571-'Reclamo de equipaje rediseñado'!$C3571</f>
        <v>2.2222222222222199E-2</v>
      </c>
      <c r="F3571" s="52">
        <v>0.30555555555555552</v>
      </c>
      <c r="G3571" s="53">
        <f t="shared" si="55"/>
        <v>2.2222222222222199E-2</v>
      </c>
      <c r="H3571" s="54">
        <v>41753</v>
      </c>
      <c r="I3571" s="55" t="s">
        <v>564</v>
      </c>
      <c r="J3571" s="55">
        <v>320</v>
      </c>
      <c r="K3571" s="55">
        <f>VLOOKUP(J3571,'Validacion reclamo de equipaje'!L:M,2,0)</f>
        <v>179</v>
      </c>
      <c r="L3571" s="55" t="str">
        <f>VLOOKUP(I3571,'Validacion reclamo de equipaje'!H:I,2,0)</f>
        <v>Internacional</v>
      </c>
      <c r="M3571" s="55" t="s">
        <v>523</v>
      </c>
    </row>
    <row r="3572" spans="1:13" x14ac:dyDescent="0.25">
      <c r="A3572">
        <v>951</v>
      </c>
      <c r="B3572" s="47" t="str">
        <f>VLOOKUP(Tabla6[[#This Row],['# Vuelo]],'Validacion reclamo de equipaje'!P:Q,2,0)</f>
        <v>BARATA Y MORADA</v>
      </c>
      <c r="C3572" s="48">
        <v>0.26041666666666669</v>
      </c>
      <c r="D3572" s="48">
        <v>0.26597222222222222</v>
      </c>
      <c r="E3572" s="49">
        <f>'Reclamo de equipaje rediseñado'!$D3572-'Reclamo de equipaje rediseñado'!$C3572</f>
        <v>5.5555555555555358E-3</v>
      </c>
      <c r="F3572" s="48">
        <v>0.2722222222222222</v>
      </c>
      <c r="G3572" s="49">
        <f t="shared" si="55"/>
        <v>6.2499999999999778E-3</v>
      </c>
      <c r="H3572" s="50">
        <v>41754</v>
      </c>
      <c r="I3572" s="51" t="s">
        <v>564</v>
      </c>
      <c r="J3572" s="51">
        <v>320</v>
      </c>
      <c r="K3572" s="51">
        <f>VLOOKUP(J3572,'Validacion reclamo de equipaje'!L:M,2,0)</f>
        <v>179</v>
      </c>
      <c r="L3572" s="51" t="str">
        <f>VLOOKUP(I3572,'Validacion reclamo de equipaje'!H:I,2,0)</f>
        <v>Internacional</v>
      </c>
      <c r="M3572" s="51" t="s">
        <v>523</v>
      </c>
    </row>
    <row r="3573" spans="1:13" x14ac:dyDescent="0.25">
      <c r="A3573">
        <v>951</v>
      </c>
      <c r="B3573" s="47" t="str">
        <f>VLOOKUP(Tabla6[[#This Row],['# Vuelo]],'Validacion reclamo de equipaje'!P:Q,2,0)</f>
        <v>BARATA Y MORADA</v>
      </c>
      <c r="C3573" s="52">
        <v>0.25416666666666665</v>
      </c>
      <c r="D3573" s="52">
        <v>0.26944444444444443</v>
      </c>
      <c r="E3573" s="53">
        <f>'Reclamo de equipaje rediseñado'!$D3573-'Reclamo de equipaje rediseñado'!$C3573</f>
        <v>1.5277777777777779E-2</v>
      </c>
      <c r="F3573" s="52">
        <v>0.29097222222222224</v>
      </c>
      <c r="G3573" s="53">
        <f t="shared" si="55"/>
        <v>2.1527777777777812E-2</v>
      </c>
      <c r="H3573" s="54">
        <v>41755</v>
      </c>
      <c r="I3573" s="55" t="s">
        <v>564</v>
      </c>
      <c r="J3573" s="55">
        <v>320</v>
      </c>
      <c r="K3573" s="55">
        <f>VLOOKUP(J3573,'Validacion reclamo de equipaje'!L:M,2,0)</f>
        <v>179</v>
      </c>
      <c r="L3573" s="55" t="str">
        <f>VLOOKUP(I3573,'Validacion reclamo de equipaje'!H:I,2,0)</f>
        <v>Internacional</v>
      </c>
      <c r="M3573" s="55" t="s">
        <v>523</v>
      </c>
    </row>
    <row r="3574" spans="1:13" x14ac:dyDescent="0.25">
      <c r="A3574">
        <v>951</v>
      </c>
      <c r="B3574" s="47" t="str">
        <f>VLOOKUP(Tabla6[[#This Row],['# Vuelo]],'Validacion reclamo de equipaje'!P:Q,2,0)</f>
        <v>BARATA Y MORADA</v>
      </c>
      <c r="C3574" s="48">
        <v>0.26250000000000001</v>
      </c>
      <c r="D3574" s="48">
        <v>0.27708333333333335</v>
      </c>
      <c r="E3574" s="49">
        <f>'Reclamo de equipaje rediseñado'!$D3574-'Reclamo de equipaje rediseñado'!$C3574</f>
        <v>1.4583333333333337E-2</v>
      </c>
      <c r="F3574" s="48">
        <v>0.29930555555555555</v>
      </c>
      <c r="G3574" s="49">
        <f t="shared" si="55"/>
        <v>2.2222222222222199E-2</v>
      </c>
      <c r="H3574" s="50">
        <v>41756</v>
      </c>
      <c r="I3574" s="51" t="s">
        <v>564</v>
      </c>
      <c r="J3574" s="51">
        <v>320</v>
      </c>
      <c r="K3574" s="51">
        <f>VLOOKUP(J3574,'Validacion reclamo de equipaje'!L:M,2,0)</f>
        <v>179</v>
      </c>
      <c r="L3574" s="51" t="str">
        <f>VLOOKUP(I3574,'Validacion reclamo de equipaje'!H:I,2,0)</f>
        <v>Internacional</v>
      </c>
      <c r="M3574" s="51" t="s">
        <v>523</v>
      </c>
    </row>
    <row r="3575" spans="1:13" x14ac:dyDescent="0.25">
      <c r="A3575">
        <v>951</v>
      </c>
      <c r="B3575" s="47" t="str">
        <f>VLOOKUP(Tabla6[[#This Row],['# Vuelo]],'Validacion reclamo de equipaje'!P:Q,2,0)</f>
        <v>BARATA Y MORADA</v>
      </c>
      <c r="C3575" s="52">
        <v>0.25486111111111109</v>
      </c>
      <c r="D3575" s="52">
        <v>0.26527777777777778</v>
      </c>
      <c r="E3575" s="53">
        <f>'Reclamo de equipaje rediseñado'!$D3575-'Reclamo de equipaje rediseñado'!$C3575</f>
        <v>1.0416666666666685E-2</v>
      </c>
      <c r="F3575" s="52">
        <v>0.28958333333333336</v>
      </c>
      <c r="G3575" s="53">
        <f t="shared" si="55"/>
        <v>2.430555555555558E-2</v>
      </c>
      <c r="H3575" s="54">
        <v>41757</v>
      </c>
      <c r="I3575" s="55" t="s">
        <v>564</v>
      </c>
      <c r="J3575" s="55">
        <v>320</v>
      </c>
      <c r="K3575" s="55">
        <f>VLOOKUP(J3575,'Validacion reclamo de equipaje'!L:M,2,0)</f>
        <v>179</v>
      </c>
      <c r="L3575" s="55" t="str">
        <f>VLOOKUP(I3575,'Validacion reclamo de equipaje'!H:I,2,0)</f>
        <v>Internacional</v>
      </c>
      <c r="M3575" s="55" t="s">
        <v>523</v>
      </c>
    </row>
    <row r="3576" spans="1:13" x14ac:dyDescent="0.25">
      <c r="A3576">
        <v>951</v>
      </c>
      <c r="B3576" s="47" t="str">
        <f>VLOOKUP(Tabla6[[#This Row],['# Vuelo]],'Validacion reclamo de equipaje'!P:Q,2,0)</f>
        <v>BARATA Y MORADA</v>
      </c>
      <c r="C3576" s="48">
        <v>0.2722222222222222</v>
      </c>
      <c r="D3576" s="48">
        <v>0.28263888888888888</v>
      </c>
      <c r="E3576" s="49">
        <f>'Reclamo de equipaje rediseñado'!$D3576-'Reclamo de equipaje rediseñado'!$C3576</f>
        <v>1.0416666666666685E-2</v>
      </c>
      <c r="F3576" s="48">
        <v>0.30138888888888887</v>
      </c>
      <c r="G3576" s="49">
        <f t="shared" si="55"/>
        <v>1.8749999999999989E-2</v>
      </c>
      <c r="H3576" s="50">
        <v>41760</v>
      </c>
      <c r="I3576" s="51" t="s">
        <v>564</v>
      </c>
      <c r="J3576" s="51">
        <v>320</v>
      </c>
      <c r="K3576" s="51">
        <f>VLOOKUP(J3576,'Validacion reclamo de equipaje'!L:M,2,0)</f>
        <v>179</v>
      </c>
      <c r="L3576" s="51" t="str">
        <f>VLOOKUP(I3576,'Validacion reclamo de equipaje'!H:I,2,0)</f>
        <v>Internacional</v>
      </c>
      <c r="M3576" s="51" t="s">
        <v>523</v>
      </c>
    </row>
    <row r="3577" spans="1:13" x14ac:dyDescent="0.25">
      <c r="A3577">
        <v>955</v>
      </c>
      <c r="B3577" s="47" t="str">
        <f>VLOOKUP(Tabla6[[#This Row],['# Vuelo]],'Validacion reclamo de equipaje'!P:Q,2,0)</f>
        <v>BARATA Y MORADA</v>
      </c>
      <c r="C3577" s="52">
        <v>0.66805555555555562</v>
      </c>
      <c r="D3577" s="52">
        <v>0.67708333333333337</v>
      </c>
      <c r="E3577" s="53">
        <f>'Reclamo de equipaje rediseñado'!$D3577-'Reclamo de equipaje rediseñado'!$C3577</f>
        <v>9.0277777777777457E-3</v>
      </c>
      <c r="F3577" s="52">
        <v>0.68888888888888899</v>
      </c>
      <c r="G3577" s="53">
        <f t="shared" si="55"/>
        <v>1.1805555555555625E-2</v>
      </c>
      <c r="H3577" s="54">
        <v>41747</v>
      </c>
      <c r="I3577" s="55" t="s">
        <v>613</v>
      </c>
      <c r="J3577" s="55" t="s">
        <v>612</v>
      </c>
      <c r="K3577" s="55">
        <f>VLOOKUP(J3577,'Validacion reclamo de equipaje'!L:M,2,0)</f>
        <v>142</v>
      </c>
      <c r="L3577" s="55" t="str">
        <f>VLOOKUP(I3577,'Validacion reclamo de equipaje'!H:I,2,0)</f>
        <v>Internacional</v>
      </c>
      <c r="M3577" s="55" t="s">
        <v>523</v>
      </c>
    </row>
    <row r="3578" spans="1:13" x14ac:dyDescent="0.25">
      <c r="A3578">
        <v>955</v>
      </c>
      <c r="B3578" s="47" t="str">
        <f>VLOOKUP(Tabla6[[#This Row],['# Vuelo]],'Validacion reclamo de equipaje'!P:Q,2,0)</f>
        <v>BARATA Y MORADA</v>
      </c>
      <c r="C3578" s="48">
        <v>0.65555555555555556</v>
      </c>
      <c r="D3578" s="48">
        <v>0.6694444444444444</v>
      </c>
      <c r="E3578" s="49">
        <f>'Reclamo de equipaje rediseñado'!$D3578-'Reclamo de equipaje rediseñado'!$C3578</f>
        <v>1.388888888888884E-2</v>
      </c>
      <c r="F3578" s="48">
        <v>0.68888888888888899</v>
      </c>
      <c r="G3578" s="49">
        <f t="shared" si="55"/>
        <v>1.9444444444444597E-2</v>
      </c>
      <c r="H3578" s="50">
        <v>41749</v>
      </c>
      <c r="I3578" s="51" t="s">
        <v>613</v>
      </c>
      <c r="J3578" s="51" t="s">
        <v>612</v>
      </c>
      <c r="K3578" s="51">
        <f>VLOOKUP(J3578,'Validacion reclamo de equipaje'!L:M,2,0)</f>
        <v>142</v>
      </c>
      <c r="L3578" s="51" t="str">
        <f>VLOOKUP(I3578,'Validacion reclamo de equipaje'!H:I,2,0)</f>
        <v>Internacional</v>
      </c>
      <c r="M3578" s="51" t="s">
        <v>523</v>
      </c>
    </row>
    <row r="3579" spans="1:13" x14ac:dyDescent="0.25">
      <c r="A3579">
        <v>955</v>
      </c>
      <c r="B3579" s="47" t="str">
        <f>VLOOKUP(Tabla6[[#This Row],['# Vuelo]],'Validacion reclamo de equipaje'!P:Q,2,0)</f>
        <v>BARATA Y MORADA</v>
      </c>
      <c r="C3579" s="52">
        <v>0.66388888888888886</v>
      </c>
      <c r="D3579" s="52">
        <v>0.67569444444444438</v>
      </c>
      <c r="E3579" s="53">
        <f>'Reclamo de equipaje rediseñado'!$D3579-'Reclamo de equipaje rediseñado'!$C3579</f>
        <v>1.1805555555555514E-2</v>
      </c>
      <c r="F3579" s="52">
        <v>0.69027777777777777</v>
      </c>
      <c r="G3579" s="53">
        <f t="shared" si="55"/>
        <v>1.4583333333333393E-2</v>
      </c>
      <c r="H3579" s="54">
        <v>41754</v>
      </c>
      <c r="I3579" s="55" t="s">
        <v>613</v>
      </c>
      <c r="J3579" s="55" t="s">
        <v>612</v>
      </c>
      <c r="K3579" s="55">
        <f>VLOOKUP(J3579,'Validacion reclamo de equipaje'!L:M,2,0)</f>
        <v>142</v>
      </c>
      <c r="L3579" s="55" t="str">
        <f>VLOOKUP(I3579,'Validacion reclamo de equipaje'!H:I,2,0)</f>
        <v>Internacional</v>
      </c>
      <c r="M3579" s="55" t="s">
        <v>523</v>
      </c>
    </row>
    <row r="3580" spans="1:13" x14ac:dyDescent="0.25">
      <c r="A3580">
        <v>955</v>
      </c>
      <c r="B3580" s="47" t="str">
        <f>VLOOKUP(Tabla6[[#This Row],['# Vuelo]],'Validacion reclamo de equipaje'!P:Q,2,0)</f>
        <v>BARATA Y MORADA</v>
      </c>
      <c r="C3580" s="48">
        <v>0.67152777777777783</v>
      </c>
      <c r="D3580" s="48">
        <v>0.67847222222222225</v>
      </c>
      <c r="E3580" s="49">
        <f>'Reclamo de equipaje rediseñado'!$D3580-'Reclamo de equipaje rediseñado'!$C3580</f>
        <v>6.9444444444444198E-3</v>
      </c>
      <c r="F3580" s="48">
        <v>0.69930555555555562</v>
      </c>
      <c r="G3580" s="49">
        <f t="shared" si="55"/>
        <v>2.083333333333337E-2</v>
      </c>
      <c r="H3580" s="50">
        <v>41756</v>
      </c>
      <c r="I3580" s="51" t="s">
        <v>613</v>
      </c>
      <c r="J3580" s="51" t="s">
        <v>612</v>
      </c>
      <c r="K3580" s="51">
        <f>VLOOKUP(J3580,'Validacion reclamo de equipaje'!L:M,2,0)</f>
        <v>142</v>
      </c>
      <c r="L3580" s="51" t="str">
        <f>VLOOKUP(I3580,'Validacion reclamo de equipaje'!H:I,2,0)</f>
        <v>Internacional</v>
      </c>
      <c r="M3580" s="51" t="s">
        <v>523</v>
      </c>
    </row>
    <row r="3581" spans="1:13" x14ac:dyDescent="0.25">
      <c r="A3581">
        <v>959</v>
      </c>
      <c r="B3581" s="47" t="str">
        <f>VLOOKUP(Tabla6[[#This Row],['# Vuelo]],'Validacion reclamo de equipaje'!P:Q,2,0)</f>
        <v>BARATA Y MORADA</v>
      </c>
      <c r="C3581" s="52">
        <v>0.75277777777777777</v>
      </c>
      <c r="D3581" s="52">
        <v>0.76388888888888884</v>
      </c>
      <c r="E3581" s="53">
        <f>'Reclamo de equipaje rediseñado'!$D3581-'Reclamo de equipaje rediseñado'!$C3581</f>
        <v>1.1111111111111072E-2</v>
      </c>
      <c r="F3581" s="52">
        <v>0.7729166666666667</v>
      </c>
      <c r="G3581" s="53">
        <f t="shared" si="55"/>
        <v>9.0277777777778567E-3</v>
      </c>
      <c r="H3581" s="54">
        <v>41730</v>
      </c>
      <c r="I3581" s="55" t="s">
        <v>547</v>
      </c>
      <c r="J3581" s="55">
        <v>320</v>
      </c>
      <c r="K3581" s="55">
        <f>VLOOKUP(J3581,'Validacion reclamo de equipaje'!L:M,2,0)</f>
        <v>179</v>
      </c>
      <c r="L3581" s="55" t="str">
        <f>VLOOKUP(I3581,'Validacion reclamo de equipaje'!H:I,2,0)</f>
        <v>Nacional</v>
      </c>
      <c r="M3581" s="55" t="s">
        <v>523</v>
      </c>
    </row>
    <row r="3582" spans="1:13" x14ac:dyDescent="0.25">
      <c r="A3582">
        <v>959</v>
      </c>
      <c r="B3582" s="47" t="str">
        <f>VLOOKUP(Tabla6[[#This Row],['# Vuelo]],'Validacion reclamo de equipaje'!P:Q,2,0)</f>
        <v>BARATA Y MORADA</v>
      </c>
      <c r="C3582" s="48">
        <v>0.69374999999999998</v>
      </c>
      <c r="D3582" s="48">
        <v>0.70347222222222217</v>
      </c>
      <c r="E3582" s="49">
        <f>'Reclamo de equipaje rediseñado'!$D3582-'Reclamo de equipaje rediseñado'!$C3582</f>
        <v>9.7222222222221877E-3</v>
      </c>
      <c r="F3582" s="48">
        <v>0.71319444444444446</v>
      </c>
      <c r="G3582" s="49">
        <f t="shared" si="55"/>
        <v>9.7222222222222987E-3</v>
      </c>
      <c r="H3582" s="50">
        <v>41734</v>
      </c>
      <c r="I3582" s="51" t="s">
        <v>547</v>
      </c>
      <c r="J3582" s="51">
        <v>320</v>
      </c>
      <c r="K3582" s="51">
        <f>VLOOKUP(J3582,'Validacion reclamo de equipaje'!L:M,2,0)</f>
        <v>179</v>
      </c>
      <c r="L3582" s="51" t="str">
        <f>VLOOKUP(I3582,'Validacion reclamo de equipaje'!H:I,2,0)</f>
        <v>Nacional</v>
      </c>
      <c r="M3582" s="51" t="s">
        <v>523</v>
      </c>
    </row>
    <row r="3583" spans="1:13" x14ac:dyDescent="0.25">
      <c r="A3583">
        <v>959</v>
      </c>
      <c r="B3583" s="47" t="str">
        <f>VLOOKUP(Tabla6[[#This Row],['# Vuelo]],'Validacion reclamo de equipaje'!P:Q,2,0)</f>
        <v>BARATA Y MORADA</v>
      </c>
      <c r="C3583" s="52">
        <v>0.69097222222222221</v>
      </c>
      <c r="D3583" s="52">
        <v>0.7006944444444444</v>
      </c>
      <c r="E3583" s="53">
        <f>'Reclamo de equipaje rediseñado'!$D3583-'Reclamo de equipaje rediseñado'!$C3583</f>
        <v>9.7222222222221877E-3</v>
      </c>
      <c r="F3583" s="52">
        <v>0.71388888888888891</v>
      </c>
      <c r="G3583" s="53">
        <f t="shared" si="55"/>
        <v>1.3194444444444509E-2</v>
      </c>
      <c r="H3583" s="54">
        <v>41744</v>
      </c>
      <c r="I3583" s="55" t="s">
        <v>547</v>
      </c>
      <c r="J3583" s="55">
        <v>320</v>
      </c>
      <c r="K3583" s="55">
        <f>VLOOKUP(J3583,'Validacion reclamo de equipaje'!L:M,2,0)</f>
        <v>179</v>
      </c>
      <c r="L3583" s="55" t="str">
        <f>VLOOKUP(I3583,'Validacion reclamo de equipaje'!H:I,2,0)</f>
        <v>Nacional</v>
      </c>
      <c r="M3583" s="55" t="s">
        <v>523</v>
      </c>
    </row>
    <row r="3584" spans="1:13" x14ac:dyDescent="0.25">
      <c r="A3584">
        <v>959</v>
      </c>
      <c r="B3584" s="47" t="str">
        <f>VLOOKUP(Tabla6[[#This Row],['# Vuelo]],'Validacion reclamo de equipaje'!P:Q,2,0)</f>
        <v>BARATA Y MORADA</v>
      </c>
      <c r="C3584" s="48">
        <v>0.59166666666666667</v>
      </c>
      <c r="D3584" s="48">
        <v>0.60416666666666663</v>
      </c>
      <c r="E3584" s="49">
        <f>'Reclamo de equipaje rediseñado'!$D3584-'Reclamo de equipaje rediseñado'!$C3584</f>
        <v>1.2499999999999956E-2</v>
      </c>
      <c r="F3584" s="48">
        <v>0.61944444444444446</v>
      </c>
      <c r="G3584" s="49">
        <f t="shared" si="55"/>
        <v>1.5277777777777835E-2</v>
      </c>
      <c r="H3584" s="50">
        <v>41749</v>
      </c>
      <c r="I3584" s="51" t="s">
        <v>547</v>
      </c>
      <c r="J3584" s="51">
        <v>320</v>
      </c>
      <c r="K3584" s="51">
        <f>VLOOKUP(J3584,'Validacion reclamo de equipaje'!L:M,2,0)</f>
        <v>179</v>
      </c>
      <c r="L3584" s="51" t="str">
        <f>VLOOKUP(I3584,'Validacion reclamo de equipaje'!H:I,2,0)</f>
        <v>Nacional</v>
      </c>
      <c r="M3584" s="51" t="s">
        <v>523</v>
      </c>
    </row>
    <row r="3585" spans="1:13" x14ac:dyDescent="0.25">
      <c r="A3585">
        <v>959</v>
      </c>
      <c r="B3585" s="47" t="str">
        <f>VLOOKUP(Tabla6[[#This Row],['# Vuelo]],'Validacion reclamo de equipaje'!P:Q,2,0)</f>
        <v>BARATA Y MORADA</v>
      </c>
      <c r="C3585" s="52">
        <v>0.70694444444444438</v>
      </c>
      <c r="D3585" s="52">
        <v>0.71111111111111114</v>
      </c>
      <c r="E3585" s="53">
        <f>'Reclamo de equipaje rediseñado'!$D3585-'Reclamo de equipaje rediseñado'!$C3585</f>
        <v>4.1666666666667629E-3</v>
      </c>
      <c r="F3585" s="52">
        <v>0.72569444444444453</v>
      </c>
      <c r="G3585" s="53">
        <f t="shared" si="55"/>
        <v>1.4583333333333393E-2</v>
      </c>
      <c r="H3585" s="54">
        <v>41751</v>
      </c>
      <c r="I3585" s="55" t="s">
        <v>547</v>
      </c>
      <c r="J3585" s="55">
        <v>320</v>
      </c>
      <c r="K3585" s="55">
        <f>VLOOKUP(J3585,'Validacion reclamo de equipaje'!L:M,2,0)</f>
        <v>179</v>
      </c>
      <c r="L3585" s="55" t="str">
        <f>VLOOKUP(I3585,'Validacion reclamo de equipaje'!H:I,2,0)</f>
        <v>Nacional</v>
      </c>
      <c r="M3585" s="55" t="s">
        <v>523</v>
      </c>
    </row>
    <row r="3586" spans="1:13" x14ac:dyDescent="0.25">
      <c r="A3586">
        <v>959</v>
      </c>
      <c r="B3586" s="47" t="str">
        <f>VLOOKUP(Tabla6[[#This Row],['# Vuelo]],'Validacion reclamo de equipaje'!P:Q,2,0)</f>
        <v>BARATA Y MORADA</v>
      </c>
      <c r="C3586" s="48">
        <v>0.70694444444444438</v>
      </c>
      <c r="D3586" s="48">
        <v>0.71111111111111114</v>
      </c>
      <c r="E3586" s="49">
        <f>'Reclamo de equipaje rediseñado'!$D3586-'Reclamo de equipaje rediseñado'!$C3586</f>
        <v>4.1666666666667629E-3</v>
      </c>
      <c r="F3586" s="48">
        <v>0.72569444444444453</v>
      </c>
      <c r="G3586" s="49">
        <f t="shared" si="55"/>
        <v>1.4583333333333393E-2</v>
      </c>
      <c r="H3586" s="50">
        <v>41751</v>
      </c>
      <c r="I3586" s="51" t="s">
        <v>547</v>
      </c>
      <c r="J3586" s="51">
        <v>320</v>
      </c>
      <c r="K3586" s="51">
        <f>VLOOKUP(J3586,'Validacion reclamo de equipaje'!L:M,2,0)</f>
        <v>179</v>
      </c>
      <c r="L3586" s="51" t="str">
        <f>VLOOKUP(I3586,'Validacion reclamo de equipaje'!H:I,2,0)</f>
        <v>Nacional</v>
      </c>
      <c r="M3586" s="51" t="s">
        <v>523</v>
      </c>
    </row>
    <row r="3587" spans="1:13" x14ac:dyDescent="0.25">
      <c r="A3587">
        <v>959</v>
      </c>
      <c r="B3587" s="47" t="str">
        <f>VLOOKUP(Tabla6[[#This Row],['# Vuelo]],'Validacion reclamo de equipaje'!P:Q,2,0)</f>
        <v>BARATA Y MORADA</v>
      </c>
      <c r="C3587" s="52">
        <v>0.7368055555555556</v>
      </c>
      <c r="D3587" s="52">
        <v>0.74583333333333324</v>
      </c>
      <c r="E3587" s="53">
        <f>'Reclamo de equipaje rediseñado'!$D3587-'Reclamo de equipaje rediseñado'!$C3587</f>
        <v>9.0277777777776347E-3</v>
      </c>
      <c r="F3587" s="52">
        <v>0.76458333333333339</v>
      </c>
      <c r="G3587" s="53">
        <f t="shared" ref="G3587:G3650" si="56">F3587-D3587</f>
        <v>1.8750000000000155E-2</v>
      </c>
      <c r="H3587" s="54">
        <v>41756</v>
      </c>
      <c r="I3587" s="55" t="s">
        <v>547</v>
      </c>
      <c r="J3587" s="55">
        <v>320</v>
      </c>
      <c r="K3587" s="55">
        <f>VLOOKUP(J3587,'Validacion reclamo de equipaje'!L:M,2,0)</f>
        <v>179</v>
      </c>
      <c r="L3587" s="55" t="str">
        <f>VLOOKUP(I3587,'Validacion reclamo de equipaje'!H:I,2,0)</f>
        <v>Nacional</v>
      </c>
      <c r="M3587" s="55" t="s">
        <v>523</v>
      </c>
    </row>
    <row r="3588" spans="1:13" x14ac:dyDescent="0.25">
      <c r="A3588">
        <v>959</v>
      </c>
      <c r="B3588" s="47" t="str">
        <f>VLOOKUP(Tabla6[[#This Row],['# Vuelo]],'Validacion reclamo de equipaje'!P:Q,2,0)</f>
        <v>BARATA Y MORADA</v>
      </c>
      <c r="C3588" s="48">
        <v>0.69861111111111107</v>
      </c>
      <c r="D3588" s="48">
        <v>0.70694444444444438</v>
      </c>
      <c r="E3588" s="49">
        <f>'Reclamo de equipaje rediseñado'!$D3588-'Reclamo de equipaje rediseñado'!$C3588</f>
        <v>8.3333333333333037E-3</v>
      </c>
      <c r="F3588" s="48">
        <v>0.72152777777777777</v>
      </c>
      <c r="G3588" s="49">
        <f t="shared" si="56"/>
        <v>1.4583333333333393E-2</v>
      </c>
      <c r="H3588" s="50">
        <v>41758</v>
      </c>
      <c r="I3588" s="51" t="s">
        <v>547</v>
      </c>
      <c r="J3588" s="51">
        <v>320</v>
      </c>
      <c r="K3588" s="51">
        <f>VLOOKUP(J3588,'Validacion reclamo de equipaje'!L:M,2,0)</f>
        <v>179</v>
      </c>
      <c r="L3588" s="51" t="str">
        <f>VLOOKUP(I3588,'Validacion reclamo de equipaje'!H:I,2,0)</f>
        <v>Nacional</v>
      </c>
      <c r="M3588" s="51" t="s">
        <v>523</v>
      </c>
    </row>
    <row r="3589" spans="1:13" x14ac:dyDescent="0.25">
      <c r="A3589">
        <v>961</v>
      </c>
      <c r="B3589" s="47" t="str">
        <f>VLOOKUP(Tabla6[[#This Row],['# Vuelo]],'Validacion reclamo de equipaje'!P:Q,2,0)</f>
        <v>BARATA Y MORADA</v>
      </c>
      <c r="C3589" s="52">
        <v>0.84097222222222223</v>
      </c>
      <c r="D3589" s="52">
        <v>0.8520833333333333</v>
      </c>
      <c r="E3589" s="53">
        <f>'Reclamo de equipaje rediseñado'!$D3589-'Reclamo de equipaje rediseñado'!$C3589</f>
        <v>1.1111111111111072E-2</v>
      </c>
      <c r="F3589" s="52">
        <v>0.86041666666666661</v>
      </c>
      <c r="G3589" s="53">
        <f t="shared" si="56"/>
        <v>8.3333333333333037E-3</v>
      </c>
      <c r="H3589" s="54">
        <v>41730</v>
      </c>
      <c r="I3589" s="55" t="s">
        <v>583</v>
      </c>
      <c r="J3589" s="55" t="s">
        <v>572</v>
      </c>
      <c r="K3589" s="55">
        <f>VLOOKUP(J3589,'Validacion reclamo de equipaje'!L:M,2,0)</f>
        <v>142</v>
      </c>
      <c r="L3589" s="55" t="str">
        <f>VLOOKUP(I3589,'Validacion reclamo de equipaje'!H:I,2,0)</f>
        <v>Internacional</v>
      </c>
      <c r="M3589" s="55" t="s">
        <v>523</v>
      </c>
    </row>
    <row r="3590" spans="1:13" x14ac:dyDescent="0.25">
      <c r="A3590">
        <v>961</v>
      </c>
      <c r="B3590" s="47" t="str">
        <f>VLOOKUP(Tabla6[[#This Row],['# Vuelo]],'Validacion reclamo de equipaje'!P:Q,2,0)</f>
        <v>BARATA Y MORADA</v>
      </c>
      <c r="C3590" s="48">
        <v>0.84791666666666676</v>
      </c>
      <c r="D3590" s="48">
        <v>0.8618055555555556</v>
      </c>
      <c r="E3590" s="49">
        <f>'Reclamo de equipaje rediseñado'!$D3590-'Reclamo de equipaje rediseñado'!$C3590</f>
        <v>1.388888888888884E-2</v>
      </c>
      <c r="F3590" s="48">
        <v>0.88124999999999998</v>
      </c>
      <c r="G3590" s="49">
        <f t="shared" si="56"/>
        <v>1.9444444444444375E-2</v>
      </c>
      <c r="H3590" s="50">
        <v>41731</v>
      </c>
      <c r="I3590" s="51" t="s">
        <v>583</v>
      </c>
      <c r="J3590" s="51" t="s">
        <v>572</v>
      </c>
      <c r="K3590" s="51">
        <f>VLOOKUP(J3590,'Validacion reclamo de equipaje'!L:M,2,0)</f>
        <v>142</v>
      </c>
      <c r="L3590" s="51" t="str">
        <f>VLOOKUP(I3590,'Validacion reclamo de equipaje'!H:I,2,0)</f>
        <v>Internacional</v>
      </c>
      <c r="M3590" s="51" t="s">
        <v>523</v>
      </c>
    </row>
    <row r="3591" spans="1:13" x14ac:dyDescent="0.25">
      <c r="A3591">
        <v>961</v>
      </c>
      <c r="B3591" s="47" t="str">
        <f>VLOOKUP(Tabla6[[#This Row],['# Vuelo]],'Validacion reclamo de equipaje'!P:Q,2,0)</f>
        <v>BARATA Y MORADA</v>
      </c>
      <c r="C3591" s="52">
        <v>0.83750000000000002</v>
      </c>
      <c r="D3591" s="52">
        <v>0.85277777777777775</v>
      </c>
      <c r="E3591" s="53">
        <f>'Reclamo de equipaje rediseñado'!$D3591-'Reclamo de equipaje rediseñado'!$C3591</f>
        <v>1.5277777777777724E-2</v>
      </c>
      <c r="F3591" s="52">
        <v>0.8666666666666667</v>
      </c>
      <c r="G3591" s="53">
        <f t="shared" si="56"/>
        <v>1.3888888888888951E-2</v>
      </c>
      <c r="H3591" s="54">
        <v>41732</v>
      </c>
      <c r="I3591" s="55" t="s">
        <v>583</v>
      </c>
      <c r="J3591" s="55" t="s">
        <v>572</v>
      </c>
      <c r="K3591" s="55">
        <f>VLOOKUP(J3591,'Validacion reclamo de equipaje'!L:M,2,0)</f>
        <v>142</v>
      </c>
      <c r="L3591" s="55" t="str">
        <f>VLOOKUP(I3591,'Validacion reclamo de equipaje'!H:I,2,0)</f>
        <v>Internacional</v>
      </c>
      <c r="M3591" s="55" t="s">
        <v>523</v>
      </c>
    </row>
    <row r="3592" spans="1:13" x14ac:dyDescent="0.25">
      <c r="A3592">
        <v>961</v>
      </c>
      <c r="B3592" s="47" t="str">
        <f>VLOOKUP(Tabla6[[#This Row],['# Vuelo]],'Validacion reclamo de equipaje'!P:Q,2,0)</f>
        <v>BARATA Y MORADA</v>
      </c>
      <c r="C3592" s="48">
        <v>0.84097222222222223</v>
      </c>
      <c r="D3592" s="48">
        <v>0.85069444444444453</v>
      </c>
      <c r="E3592" s="49">
        <f>'Reclamo de equipaje rediseñado'!$D3592-'Reclamo de equipaje rediseñado'!$C3592</f>
        <v>9.7222222222222987E-3</v>
      </c>
      <c r="F3592" s="48">
        <v>0.86388888888888893</v>
      </c>
      <c r="G3592" s="49">
        <f t="shared" si="56"/>
        <v>1.3194444444444398E-2</v>
      </c>
      <c r="H3592" s="50">
        <v>41734</v>
      </c>
      <c r="I3592" s="51" t="s">
        <v>583</v>
      </c>
      <c r="J3592" s="51" t="s">
        <v>572</v>
      </c>
      <c r="K3592" s="51">
        <f>VLOOKUP(J3592,'Validacion reclamo de equipaje'!L:M,2,0)</f>
        <v>142</v>
      </c>
      <c r="L3592" s="51" t="str">
        <f>VLOOKUP(I3592,'Validacion reclamo de equipaje'!H:I,2,0)</f>
        <v>Internacional</v>
      </c>
      <c r="M3592" s="51" t="s">
        <v>523</v>
      </c>
    </row>
    <row r="3593" spans="1:13" x14ac:dyDescent="0.25">
      <c r="A3593">
        <v>961</v>
      </c>
      <c r="B3593" s="47" t="str">
        <f>VLOOKUP(Tabla6[[#This Row],['# Vuelo]],'Validacion reclamo de equipaje'!P:Q,2,0)</f>
        <v>BARATA Y MORADA</v>
      </c>
      <c r="C3593" s="52">
        <v>0.84930555555555554</v>
      </c>
      <c r="D3593" s="52">
        <v>0.85763888888888884</v>
      </c>
      <c r="E3593" s="53">
        <f>'Reclamo de equipaje rediseñado'!$D3593-'Reclamo de equipaje rediseñado'!$C3593</f>
        <v>8.3333333333333037E-3</v>
      </c>
      <c r="F3593" s="52">
        <v>0.87638888888888899</v>
      </c>
      <c r="G3593" s="53">
        <f t="shared" si="56"/>
        <v>1.8750000000000155E-2</v>
      </c>
      <c r="H3593" s="54">
        <v>41733</v>
      </c>
      <c r="I3593" s="55" t="s">
        <v>583</v>
      </c>
      <c r="J3593" s="55" t="s">
        <v>572</v>
      </c>
      <c r="K3593" s="55">
        <f>VLOOKUP(J3593,'Validacion reclamo de equipaje'!L:M,2,0)</f>
        <v>142</v>
      </c>
      <c r="L3593" s="55" t="str">
        <f>VLOOKUP(I3593,'Validacion reclamo de equipaje'!H:I,2,0)</f>
        <v>Internacional</v>
      </c>
      <c r="M3593" s="55" t="s">
        <v>523</v>
      </c>
    </row>
    <row r="3594" spans="1:13" x14ac:dyDescent="0.25">
      <c r="A3594">
        <v>961</v>
      </c>
      <c r="B3594" s="47" t="str">
        <f>VLOOKUP(Tabla6[[#This Row],['# Vuelo]],'Validacion reclamo de equipaje'!P:Q,2,0)</f>
        <v>BARATA Y MORADA</v>
      </c>
      <c r="C3594" s="48">
        <v>0.84513888888888899</v>
      </c>
      <c r="D3594" s="48">
        <v>0.85625000000000007</v>
      </c>
      <c r="E3594" s="49">
        <f>'Reclamo de equipaje rediseñado'!$D3594-'Reclamo de equipaje rediseñado'!$C3594</f>
        <v>1.1111111111111072E-2</v>
      </c>
      <c r="F3594" s="48">
        <v>0.875</v>
      </c>
      <c r="G3594" s="49">
        <f t="shared" si="56"/>
        <v>1.8749999999999933E-2</v>
      </c>
      <c r="H3594" s="50">
        <v>41735</v>
      </c>
      <c r="I3594" s="51" t="s">
        <v>583</v>
      </c>
      <c r="J3594" s="51" t="s">
        <v>572</v>
      </c>
      <c r="K3594" s="51">
        <f>VLOOKUP(J3594,'Validacion reclamo de equipaje'!L:M,2,0)</f>
        <v>142</v>
      </c>
      <c r="L3594" s="51" t="str">
        <f>VLOOKUP(I3594,'Validacion reclamo de equipaje'!H:I,2,0)</f>
        <v>Internacional</v>
      </c>
      <c r="M3594" s="51" t="s">
        <v>523</v>
      </c>
    </row>
    <row r="3595" spans="1:13" x14ac:dyDescent="0.25">
      <c r="A3595">
        <v>961</v>
      </c>
      <c r="B3595" s="47" t="str">
        <f>VLOOKUP(Tabla6[[#This Row],['# Vuelo]],'Validacion reclamo de equipaje'!P:Q,2,0)</f>
        <v>BARATA Y MORADA</v>
      </c>
      <c r="C3595" s="52">
        <v>0.83888888888888891</v>
      </c>
      <c r="D3595" s="52">
        <v>0.84583333333333333</v>
      </c>
      <c r="E3595" s="53">
        <f>'Reclamo de equipaje rediseñado'!$D3595-'Reclamo de equipaje rediseñado'!$C3595</f>
        <v>6.9444444444444198E-3</v>
      </c>
      <c r="F3595" s="52">
        <v>0.85833333333333339</v>
      </c>
      <c r="G3595" s="53">
        <f t="shared" si="56"/>
        <v>1.2500000000000067E-2</v>
      </c>
      <c r="H3595" s="54">
        <v>41736</v>
      </c>
      <c r="I3595" s="55" t="s">
        <v>583</v>
      </c>
      <c r="J3595" s="55" t="s">
        <v>572</v>
      </c>
      <c r="K3595" s="55">
        <f>VLOOKUP(J3595,'Validacion reclamo de equipaje'!L:M,2,0)</f>
        <v>142</v>
      </c>
      <c r="L3595" s="55" t="str">
        <f>VLOOKUP(I3595,'Validacion reclamo de equipaje'!H:I,2,0)</f>
        <v>Internacional</v>
      </c>
      <c r="M3595" s="55" t="s">
        <v>523</v>
      </c>
    </row>
    <row r="3596" spans="1:13" x14ac:dyDescent="0.25">
      <c r="A3596">
        <v>961</v>
      </c>
      <c r="B3596" s="47" t="str">
        <f>VLOOKUP(Tabla6[[#This Row],['# Vuelo]],'Validacion reclamo de equipaje'!P:Q,2,0)</f>
        <v>BARATA Y MORADA</v>
      </c>
      <c r="C3596" s="48">
        <v>0.84027777777777779</v>
      </c>
      <c r="D3596" s="48">
        <v>0.84861111111111109</v>
      </c>
      <c r="E3596" s="49">
        <f>'Reclamo de equipaje rediseñado'!$D3596-'Reclamo de equipaje rediseñado'!$C3596</f>
        <v>8.3333333333333037E-3</v>
      </c>
      <c r="F3596" s="48">
        <v>0.85902777777777783</v>
      </c>
      <c r="G3596" s="49">
        <f t="shared" si="56"/>
        <v>1.0416666666666741E-2</v>
      </c>
      <c r="H3596" s="50">
        <v>41737</v>
      </c>
      <c r="I3596" s="51" t="s">
        <v>583</v>
      </c>
      <c r="J3596" s="51" t="s">
        <v>572</v>
      </c>
      <c r="K3596" s="51">
        <f>VLOOKUP(J3596,'Validacion reclamo de equipaje'!L:M,2,0)</f>
        <v>142</v>
      </c>
      <c r="L3596" s="51" t="str">
        <f>VLOOKUP(I3596,'Validacion reclamo de equipaje'!H:I,2,0)</f>
        <v>Internacional</v>
      </c>
      <c r="M3596" s="51" t="s">
        <v>523</v>
      </c>
    </row>
    <row r="3597" spans="1:13" x14ac:dyDescent="0.25">
      <c r="A3597">
        <v>961</v>
      </c>
      <c r="B3597" s="47" t="str">
        <f>VLOOKUP(Tabla6[[#This Row],['# Vuelo]],'Validacion reclamo de equipaje'!P:Q,2,0)</f>
        <v>BARATA Y MORADA</v>
      </c>
      <c r="C3597" s="52">
        <v>0.82777777777777783</v>
      </c>
      <c r="D3597" s="52">
        <v>0.8354166666666667</v>
      </c>
      <c r="E3597" s="53">
        <f>'Reclamo de equipaje rediseñado'!$D3597-'Reclamo de equipaje rediseñado'!$C3597</f>
        <v>7.6388888888888618E-3</v>
      </c>
      <c r="F3597" s="52">
        <v>0.85277777777777775</v>
      </c>
      <c r="G3597" s="53">
        <f t="shared" si="56"/>
        <v>1.7361111111111049E-2</v>
      </c>
      <c r="H3597" s="54">
        <v>41738</v>
      </c>
      <c r="I3597" s="55" t="s">
        <v>583</v>
      </c>
      <c r="J3597" s="55" t="s">
        <v>572</v>
      </c>
      <c r="K3597" s="55">
        <f>VLOOKUP(J3597,'Validacion reclamo de equipaje'!L:M,2,0)</f>
        <v>142</v>
      </c>
      <c r="L3597" s="55" t="str">
        <f>VLOOKUP(I3597,'Validacion reclamo de equipaje'!H:I,2,0)</f>
        <v>Internacional</v>
      </c>
      <c r="M3597" s="55" t="s">
        <v>523</v>
      </c>
    </row>
    <row r="3598" spans="1:13" x14ac:dyDescent="0.25">
      <c r="A3598">
        <v>961</v>
      </c>
      <c r="B3598" s="47" t="str">
        <f>VLOOKUP(Tabla6[[#This Row],['# Vuelo]],'Validacion reclamo de equipaje'!P:Q,2,0)</f>
        <v>BARATA Y MORADA</v>
      </c>
      <c r="C3598" s="48">
        <v>0.85277777777777775</v>
      </c>
      <c r="D3598" s="48">
        <v>0.86388888888888893</v>
      </c>
      <c r="E3598" s="49">
        <f>'Reclamo de equipaje rediseñado'!$D3598-'Reclamo de equipaje rediseñado'!$C3598</f>
        <v>1.1111111111111183E-2</v>
      </c>
      <c r="F3598" s="48">
        <v>0.88055555555555554</v>
      </c>
      <c r="G3598" s="49">
        <f t="shared" si="56"/>
        <v>1.6666666666666607E-2</v>
      </c>
      <c r="H3598" s="50">
        <v>41739</v>
      </c>
      <c r="I3598" s="51" t="s">
        <v>583</v>
      </c>
      <c r="J3598" s="51" t="s">
        <v>572</v>
      </c>
      <c r="K3598" s="51">
        <f>VLOOKUP(J3598,'Validacion reclamo de equipaje'!L:M,2,0)</f>
        <v>142</v>
      </c>
      <c r="L3598" s="51" t="str">
        <f>VLOOKUP(I3598,'Validacion reclamo de equipaje'!H:I,2,0)</f>
        <v>Internacional</v>
      </c>
      <c r="M3598" s="51" t="s">
        <v>523</v>
      </c>
    </row>
    <row r="3599" spans="1:13" x14ac:dyDescent="0.25">
      <c r="A3599">
        <v>961</v>
      </c>
      <c r="B3599" s="47" t="str">
        <f>VLOOKUP(Tabla6[[#This Row],['# Vuelo]],'Validacion reclamo de equipaje'!P:Q,2,0)</f>
        <v>BARATA Y MORADA</v>
      </c>
      <c r="C3599" s="52">
        <v>0.84375</v>
      </c>
      <c r="D3599" s="52">
        <v>0.85416666666666663</v>
      </c>
      <c r="E3599" s="53">
        <f>'Reclamo de equipaje rediseñado'!$D3599-'Reclamo de equipaje rediseñado'!$C3599</f>
        <v>1.041666666666663E-2</v>
      </c>
      <c r="F3599" s="52">
        <v>0.87152777777777779</v>
      </c>
      <c r="G3599" s="53">
        <f t="shared" si="56"/>
        <v>1.736111111111116E-2</v>
      </c>
      <c r="H3599" s="54">
        <v>41740</v>
      </c>
      <c r="I3599" s="55" t="s">
        <v>583</v>
      </c>
      <c r="J3599" s="55" t="s">
        <v>572</v>
      </c>
      <c r="K3599" s="55">
        <f>VLOOKUP(J3599,'Validacion reclamo de equipaje'!L:M,2,0)</f>
        <v>142</v>
      </c>
      <c r="L3599" s="55" t="str">
        <f>VLOOKUP(I3599,'Validacion reclamo de equipaje'!H:I,2,0)</f>
        <v>Internacional</v>
      </c>
      <c r="M3599" s="55" t="s">
        <v>523</v>
      </c>
    </row>
    <row r="3600" spans="1:13" x14ac:dyDescent="0.25">
      <c r="A3600">
        <v>961</v>
      </c>
      <c r="B3600" s="47" t="str">
        <f>VLOOKUP(Tabla6[[#This Row],['# Vuelo]],'Validacion reclamo de equipaje'!P:Q,2,0)</f>
        <v>BARATA Y MORADA</v>
      </c>
      <c r="C3600" s="48">
        <v>0.87847222222222221</v>
      </c>
      <c r="D3600" s="48">
        <v>0.88750000000000007</v>
      </c>
      <c r="E3600" s="49">
        <f>'Reclamo de equipaje rediseñado'!$D3600-'Reclamo de equipaje rediseñado'!$C3600</f>
        <v>9.0277777777778567E-3</v>
      </c>
      <c r="F3600" s="48">
        <v>0.89097222222222217</v>
      </c>
      <c r="G3600" s="49">
        <f t="shared" si="56"/>
        <v>3.4722222222220989E-3</v>
      </c>
      <c r="H3600" s="50">
        <v>41741</v>
      </c>
      <c r="I3600" s="51" t="s">
        <v>583</v>
      </c>
      <c r="J3600" s="51" t="s">
        <v>572</v>
      </c>
      <c r="K3600" s="51">
        <f>VLOOKUP(J3600,'Validacion reclamo de equipaje'!L:M,2,0)</f>
        <v>142</v>
      </c>
      <c r="L3600" s="51" t="str">
        <f>VLOOKUP(I3600,'Validacion reclamo de equipaje'!H:I,2,0)</f>
        <v>Internacional</v>
      </c>
      <c r="M3600" s="51" t="s">
        <v>523</v>
      </c>
    </row>
    <row r="3601" spans="1:13" x14ac:dyDescent="0.25">
      <c r="A3601">
        <v>961</v>
      </c>
      <c r="B3601" s="47" t="str">
        <f>VLOOKUP(Tabla6[[#This Row],['# Vuelo]],'Validacion reclamo de equipaje'!P:Q,2,0)</f>
        <v>BARATA Y MORADA</v>
      </c>
      <c r="C3601" s="52">
        <v>0.84097222222222223</v>
      </c>
      <c r="D3601" s="52">
        <v>0.8520833333333333</v>
      </c>
      <c r="E3601" s="53">
        <f>'Reclamo de equipaje rediseñado'!$D3601-'Reclamo de equipaje rediseñado'!$C3601</f>
        <v>1.1111111111111072E-2</v>
      </c>
      <c r="F3601" s="52">
        <v>0.86041666666666661</v>
      </c>
      <c r="G3601" s="53">
        <f t="shared" si="56"/>
        <v>8.3333333333333037E-3</v>
      </c>
      <c r="H3601" s="54">
        <v>41742</v>
      </c>
      <c r="I3601" s="55" t="s">
        <v>583</v>
      </c>
      <c r="J3601" s="55" t="s">
        <v>572</v>
      </c>
      <c r="K3601" s="55">
        <f>VLOOKUP(J3601,'Validacion reclamo de equipaje'!L:M,2,0)</f>
        <v>142</v>
      </c>
      <c r="L3601" s="55" t="str">
        <f>VLOOKUP(I3601,'Validacion reclamo de equipaje'!H:I,2,0)</f>
        <v>Internacional</v>
      </c>
      <c r="M3601" s="55" t="s">
        <v>523</v>
      </c>
    </row>
    <row r="3602" spans="1:13" x14ac:dyDescent="0.25">
      <c r="A3602">
        <v>961</v>
      </c>
      <c r="B3602" s="47" t="str">
        <f>VLOOKUP(Tabla6[[#This Row],['# Vuelo]],'Validacion reclamo de equipaje'!P:Q,2,0)</f>
        <v>BARATA Y MORADA</v>
      </c>
      <c r="C3602" s="48">
        <v>0.8340277777777777</v>
      </c>
      <c r="D3602" s="48">
        <v>0.84444444444444444</v>
      </c>
      <c r="E3602" s="49">
        <f>'Reclamo de equipaje rediseñado'!$D3602-'Reclamo de equipaje rediseñado'!$C3602</f>
        <v>1.0416666666666741E-2</v>
      </c>
      <c r="F3602" s="48">
        <v>0.85972222222222217</v>
      </c>
      <c r="G3602" s="49">
        <f t="shared" si="56"/>
        <v>1.5277777777777724E-2</v>
      </c>
      <c r="H3602" s="50">
        <v>41743</v>
      </c>
      <c r="I3602" s="51" t="s">
        <v>583</v>
      </c>
      <c r="J3602" s="51" t="s">
        <v>572</v>
      </c>
      <c r="K3602" s="51">
        <f>VLOOKUP(J3602,'Validacion reclamo de equipaje'!L:M,2,0)</f>
        <v>142</v>
      </c>
      <c r="L3602" s="51" t="str">
        <f>VLOOKUP(I3602,'Validacion reclamo de equipaje'!H:I,2,0)</f>
        <v>Internacional</v>
      </c>
      <c r="M3602" s="51" t="s">
        <v>523</v>
      </c>
    </row>
    <row r="3603" spans="1:13" x14ac:dyDescent="0.25">
      <c r="A3603">
        <v>961</v>
      </c>
      <c r="B3603" s="47" t="str">
        <f>VLOOKUP(Tabla6[[#This Row],['# Vuelo]],'Validacion reclamo de equipaje'!P:Q,2,0)</f>
        <v>BARATA Y MORADA</v>
      </c>
      <c r="C3603" s="52">
        <v>0.83194444444444438</v>
      </c>
      <c r="D3603" s="52">
        <v>0.83472222222222225</v>
      </c>
      <c r="E3603" s="53">
        <f>'Reclamo de equipaje rediseñado'!$D3603-'Reclamo de equipaje rediseñado'!$C3603</f>
        <v>2.7777777777778789E-3</v>
      </c>
      <c r="F3603" s="52">
        <v>0.85763888888888884</v>
      </c>
      <c r="G3603" s="53">
        <f t="shared" si="56"/>
        <v>2.2916666666666585E-2</v>
      </c>
      <c r="H3603" s="54">
        <v>41745</v>
      </c>
      <c r="I3603" s="55" t="s">
        <v>583</v>
      </c>
      <c r="J3603" s="55" t="s">
        <v>572</v>
      </c>
      <c r="K3603" s="55">
        <f>VLOOKUP(J3603,'Validacion reclamo de equipaje'!L:M,2,0)</f>
        <v>142</v>
      </c>
      <c r="L3603" s="55" t="str">
        <f>VLOOKUP(I3603,'Validacion reclamo de equipaje'!H:I,2,0)</f>
        <v>Internacional</v>
      </c>
      <c r="M3603" s="55" t="s">
        <v>523</v>
      </c>
    </row>
    <row r="3604" spans="1:13" x14ac:dyDescent="0.25">
      <c r="A3604">
        <v>961</v>
      </c>
      <c r="B3604" s="47" t="str">
        <f>VLOOKUP(Tabla6[[#This Row],['# Vuelo]],'Validacion reclamo de equipaje'!P:Q,2,0)</f>
        <v>BARATA Y MORADA</v>
      </c>
      <c r="C3604" s="48">
        <v>0.8305555555555556</v>
      </c>
      <c r="D3604" s="48">
        <v>0.84027777777777779</v>
      </c>
      <c r="E3604" s="49">
        <f>'Reclamo de equipaje rediseñado'!$D3604-'Reclamo de equipaje rediseñado'!$C3604</f>
        <v>9.7222222222221877E-3</v>
      </c>
      <c r="F3604" s="48">
        <v>0.85277777777777775</v>
      </c>
      <c r="G3604" s="49">
        <f t="shared" si="56"/>
        <v>1.2499999999999956E-2</v>
      </c>
      <c r="H3604" s="50">
        <v>41744</v>
      </c>
      <c r="I3604" s="51" t="s">
        <v>583</v>
      </c>
      <c r="J3604" s="51" t="s">
        <v>572</v>
      </c>
      <c r="K3604" s="51">
        <f>VLOOKUP(J3604,'Validacion reclamo de equipaje'!L:M,2,0)</f>
        <v>142</v>
      </c>
      <c r="L3604" s="51" t="str">
        <f>VLOOKUP(I3604,'Validacion reclamo de equipaje'!H:I,2,0)</f>
        <v>Internacional</v>
      </c>
      <c r="M3604" s="51" t="s">
        <v>523</v>
      </c>
    </row>
    <row r="3605" spans="1:13" x14ac:dyDescent="0.25">
      <c r="A3605">
        <v>961</v>
      </c>
      <c r="B3605" s="47" t="str">
        <f>VLOOKUP(Tabla6[[#This Row],['# Vuelo]],'Validacion reclamo de equipaje'!P:Q,2,0)</f>
        <v>BARATA Y MORADA</v>
      </c>
      <c r="C3605" s="52">
        <v>0.83819444444444446</v>
      </c>
      <c r="D3605" s="52">
        <v>0.8569444444444444</v>
      </c>
      <c r="E3605" s="53">
        <f>'Reclamo de equipaje rediseñado'!$D3605-'Reclamo de equipaje rediseñado'!$C3605</f>
        <v>1.8749999999999933E-2</v>
      </c>
      <c r="F3605" s="52">
        <v>0.86319444444444438</v>
      </c>
      <c r="G3605" s="53">
        <f t="shared" si="56"/>
        <v>6.2499999999999778E-3</v>
      </c>
      <c r="H3605" s="54">
        <v>41746</v>
      </c>
      <c r="I3605" s="55" t="s">
        <v>583</v>
      </c>
      <c r="J3605" s="55" t="s">
        <v>572</v>
      </c>
      <c r="K3605" s="55">
        <f>VLOOKUP(J3605,'Validacion reclamo de equipaje'!L:M,2,0)</f>
        <v>142</v>
      </c>
      <c r="L3605" s="55" t="str">
        <f>VLOOKUP(I3605,'Validacion reclamo de equipaje'!H:I,2,0)</f>
        <v>Internacional</v>
      </c>
      <c r="M3605" s="55" t="s">
        <v>523</v>
      </c>
    </row>
    <row r="3606" spans="1:13" x14ac:dyDescent="0.25">
      <c r="A3606">
        <v>961</v>
      </c>
      <c r="B3606" s="47" t="str">
        <f>VLOOKUP(Tabla6[[#This Row],['# Vuelo]],'Validacion reclamo de equipaje'!P:Q,2,0)</f>
        <v>BARATA Y MORADA</v>
      </c>
      <c r="C3606" s="48">
        <v>0.83750000000000002</v>
      </c>
      <c r="D3606" s="48">
        <v>0.85</v>
      </c>
      <c r="E3606" s="49">
        <f>'Reclamo de equipaje rediseñado'!$D3606-'Reclamo de equipaje rediseñado'!$C3606</f>
        <v>1.2499999999999956E-2</v>
      </c>
      <c r="F3606" s="48">
        <v>0.875</v>
      </c>
      <c r="G3606" s="49">
        <f t="shared" si="56"/>
        <v>2.5000000000000022E-2</v>
      </c>
      <c r="H3606" s="50">
        <v>41747</v>
      </c>
      <c r="I3606" s="51" t="s">
        <v>583</v>
      </c>
      <c r="J3606" s="51" t="s">
        <v>572</v>
      </c>
      <c r="K3606" s="51">
        <f>VLOOKUP(J3606,'Validacion reclamo de equipaje'!L:M,2,0)</f>
        <v>142</v>
      </c>
      <c r="L3606" s="51" t="str">
        <f>VLOOKUP(I3606,'Validacion reclamo de equipaje'!H:I,2,0)</f>
        <v>Internacional</v>
      </c>
      <c r="M3606" s="51" t="s">
        <v>523</v>
      </c>
    </row>
    <row r="3607" spans="1:13" x14ac:dyDescent="0.25">
      <c r="A3607">
        <v>961</v>
      </c>
      <c r="B3607" s="47" t="str">
        <f>VLOOKUP(Tabla6[[#This Row],['# Vuelo]],'Validacion reclamo de equipaje'!P:Q,2,0)</f>
        <v>BARATA Y MORADA</v>
      </c>
      <c r="C3607" s="52">
        <v>0.85555555555555562</v>
      </c>
      <c r="D3607" s="52">
        <v>0.86875000000000002</v>
      </c>
      <c r="E3607" s="53">
        <f>'Reclamo de equipaje rediseñado'!$D3607-'Reclamo de equipaje rediseñado'!$C3607</f>
        <v>1.3194444444444398E-2</v>
      </c>
      <c r="F3607" s="52">
        <v>0.88611111111111107</v>
      </c>
      <c r="G3607" s="53">
        <f t="shared" si="56"/>
        <v>1.7361111111111049E-2</v>
      </c>
      <c r="H3607" s="54">
        <v>41749</v>
      </c>
      <c r="I3607" s="55" t="s">
        <v>583</v>
      </c>
      <c r="J3607" s="55" t="s">
        <v>572</v>
      </c>
      <c r="K3607" s="55">
        <f>VLOOKUP(J3607,'Validacion reclamo de equipaje'!L:M,2,0)</f>
        <v>142</v>
      </c>
      <c r="L3607" s="55" t="str">
        <f>VLOOKUP(I3607,'Validacion reclamo de equipaje'!H:I,2,0)</f>
        <v>Internacional</v>
      </c>
      <c r="M3607" s="55" t="s">
        <v>523</v>
      </c>
    </row>
    <row r="3608" spans="1:13" x14ac:dyDescent="0.25">
      <c r="A3608">
        <v>961</v>
      </c>
      <c r="B3608" s="47" t="str">
        <f>VLOOKUP(Tabla6[[#This Row],['# Vuelo]],'Validacion reclamo de equipaje'!P:Q,2,0)</f>
        <v>BARATA Y MORADA</v>
      </c>
      <c r="C3608" s="48">
        <v>0.84166666666666667</v>
      </c>
      <c r="D3608" s="48">
        <v>0.85277777777777775</v>
      </c>
      <c r="E3608" s="49">
        <f>'Reclamo de equipaje rediseñado'!$D3608-'Reclamo de equipaje rediseñado'!$C3608</f>
        <v>1.1111111111111072E-2</v>
      </c>
      <c r="F3608" s="48">
        <v>0.86388888888888893</v>
      </c>
      <c r="G3608" s="49">
        <f t="shared" si="56"/>
        <v>1.1111111111111183E-2</v>
      </c>
      <c r="H3608" s="50">
        <v>41748</v>
      </c>
      <c r="I3608" s="51" t="s">
        <v>583</v>
      </c>
      <c r="J3608" s="51" t="s">
        <v>572</v>
      </c>
      <c r="K3608" s="51">
        <f>VLOOKUP(J3608,'Validacion reclamo de equipaje'!L:M,2,0)</f>
        <v>142</v>
      </c>
      <c r="L3608" s="51" t="str">
        <f>VLOOKUP(I3608,'Validacion reclamo de equipaje'!H:I,2,0)</f>
        <v>Internacional</v>
      </c>
      <c r="M3608" s="51" t="s">
        <v>523</v>
      </c>
    </row>
    <row r="3609" spans="1:13" x14ac:dyDescent="0.25">
      <c r="A3609">
        <v>961</v>
      </c>
      <c r="B3609" s="47" t="str">
        <f>VLOOKUP(Tabla6[[#This Row],['# Vuelo]],'Validacion reclamo de equipaje'!P:Q,2,0)</f>
        <v>BARATA Y MORADA</v>
      </c>
      <c r="C3609" s="52">
        <v>0.83819444444444446</v>
      </c>
      <c r="D3609" s="52">
        <v>0.84861111111111109</v>
      </c>
      <c r="E3609" s="53">
        <f>'Reclamo de equipaje rediseñado'!$D3609-'Reclamo de equipaje rediseñado'!$C3609</f>
        <v>1.041666666666663E-2</v>
      </c>
      <c r="F3609" s="52">
        <v>0.87083333333333324</v>
      </c>
      <c r="G3609" s="53">
        <f t="shared" si="56"/>
        <v>2.2222222222222143E-2</v>
      </c>
      <c r="H3609" s="54">
        <v>41751</v>
      </c>
      <c r="I3609" s="55" t="s">
        <v>583</v>
      </c>
      <c r="J3609" s="55" t="s">
        <v>572</v>
      </c>
      <c r="K3609" s="55">
        <f>VLOOKUP(J3609,'Validacion reclamo de equipaje'!L:M,2,0)</f>
        <v>142</v>
      </c>
      <c r="L3609" s="55" t="str">
        <f>VLOOKUP(I3609,'Validacion reclamo de equipaje'!H:I,2,0)</f>
        <v>Internacional</v>
      </c>
      <c r="M3609" s="55" t="s">
        <v>523</v>
      </c>
    </row>
    <row r="3610" spans="1:13" x14ac:dyDescent="0.25">
      <c r="A3610">
        <v>961</v>
      </c>
      <c r="B3610" s="47" t="str">
        <f>VLOOKUP(Tabla6[[#This Row],['# Vuelo]],'Validacion reclamo de equipaje'!P:Q,2,0)</f>
        <v>BARATA Y MORADA</v>
      </c>
      <c r="C3610" s="48">
        <v>0.83472222222222225</v>
      </c>
      <c r="D3610" s="48">
        <v>0.84722222222222221</v>
      </c>
      <c r="E3610" s="49">
        <f>'Reclamo de equipaje rediseñado'!$D3610-'Reclamo de equipaje rediseñado'!$C3610</f>
        <v>1.2499999999999956E-2</v>
      </c>
      <c r="F3610" s="48">
        <v>0.85833333333333339</v>
      </c>
      <c r="G3610" s="49">
        <f t="shared" si="56"/>
        <v>1.1111111111111183E-2</v>
      </c>
      <c r="H3610" s="50">
        <v>41752</v>
      </c>
      <c r="I3610" s="51" t="s">
        <v>583</v>
      </c>
      <c r="J3610" s="51" t="s">
        <v>572</v>
      </c>
      <c r="K3610" s="51">
        <f>VLOOKUP(J3610,'Validacion reclamo de equipaje'!L:M,2,0)</f>
        <v>142</v>
      </c>
      <c r="L3610" s="51" t="str">
        <f>VLOOKUP(I3610,'Validacion reclamo de equipaje'!H:I,2,0)</f>
        <v>Internacional</v>
      </c>
      <c r="M3610" s="51" t="s">
        <v>523</v>
      </c>
    </row>
    <row r="3611" spans="1:13" x14ac:dyDescent="0.25">
      <c r="A3611">
        <v>961</v>
      </c>
      <c r="B3611" s="47" t="str">
        <f>VLOOKUP(Tabla6[[#This Row],['# Vuelo]],'Validacion reclamo de equipaje'!P:Q,2,0)</f>
        <v>BARATA Y MORADA</v>
      </c>
      <c r="C3611" s="52">
        <v>0.84583333333333333</v>
      </c>
      <c r="D3611" s="52">
        <v>0.87152777777777779</v>
      </c>
      <c r="E3611" s="53">
        <f>'Reclamo de equipaje rediseñado'!$D3611-'Reclamo de equipaje rediseñado'!$C3611</f>
        <v>2.5694444444444464E-2</v>
      </c>
      <c r="F3611" s="52">
        <v>0.87708333333333333</v>
      </c>
      <c r="G3611" s="53">
        <f t="shared" si="56"/>
        <v>5.5555555555555358E-3</v>
      </c>
      <c r="H3611" s="54">
        <v>41752</v>
      </c>
      <c r="I3611" s="55" t="s">
        <v>583</v>
      </c>
      <c r="J3611" s="55" t="s">
        <v>572</v>
      </c>
      <c r="K3611" s="55">
        <f>VLOOKUP(J3611,'Validacion reclamo de equipaje'!L:M,2,0)</f>
        <v>142</v>
      </c>
      <c r="L3611" s="55" t="str">
        <f>VLOOKUP(I3611,'Validacion reclamo de equipaje'!H:I,2,0)</f>
        <v>Internacional</v>
      </c>
      <c r="M3611" s="55" t="s">
        <v>523</v>
      </c>
    </row>
    <row r="3612" spans="1:13" x14ac:dyDescent="0.25">
      <c r="A3612">
        <v>961</v>
      </c>
      <c r="B3612" s="47" t="str">
        <f>VLOOKUP(Tabla6[[#This Row],['# Vuelo]],'Validacion reclamo de equipaje'!P:Q,2,0)</f>
        <v>BARATA Y MORADA</v>
      </c>
      <c r="C3612" s="48">
        <v>0.84791666666666676</v>
      </c>
      <c r="D3612" s="48">
        <v>0.8569444444444444</v>
      </c>
      <c r="E3612" s="49">
        <f>'Reclamo de equipaje rediseñado'!$D3612-'Reclamo de equipaje rediseñado'!$C3612</f>
        <v>9.0277777777776347E-3</v>
      </c>
      <c r="F3612" s="48">
        <v>0.875</v>
      </c>
      <c r="G3612" s="49">
        <f t="shared" si="56"/>
        <v>1.8055555555555602E-2</v>
      </c>
      <c r="H3612" s="50">
        <v>41754</v>
      </c>
      <c r="I3612" s="51" t="s">
        <v>583</v>
      </c>
      <c r="J3612" s="51" t="s">
        <v>572</v>
      </c>
      <c r="K3612" s="51">
        <f>VLOOKUP(J3612,'Validacion reclamo de equipaje'!L:M,2,0)</f>
        <v>142</v>
      </c>
      <c r="L3612" s="51" t="str">
        <f>VLOOKUP(I3612,'Validacion reclamo de equipaje'!H:I,2,0)</f>
        <v>Internacional</v>
      </c>
      <c r="M3612" s="51" t="s">
        <v>523</v>
      </c>
    </row>
    <row r="3613" spans="1:13" x14ac:dyDescent="0.25">
      <c r="A3613">
        <v>961</v>
      </c>
      <c r="B3613" s="47" t="str">
        <f>VLOOKUP(Tabla6[[#This Row],['# Vuelo]],'Validacion reclamo de equipaje'!P:Q,2,0)</f>
        <v>BARATA Y MORADA</v>
      </c>
      <c r="C3613" s="52">
        <v>0.83333333333333337</v>
      </c>
      <c r="D3613" s="52">
        <v>0.84166666666666667</v>
      </c>
      <c r="E3613" s="53">
        <f>'Reclamo de equipaje rediseñado'!$D3613-'Reclamo de equipaje rediseñado'!$C3613</f>
        <v>8.3333333333333037E-3</v>
      </c>
      <c r="F3613" s="52">
        <v>0.8618055555555556</v>
      </c>
      <c r="G3613" s="53">
        <f t="shared" si="56"/>
        <v>2.0138888888888928E-2</v>
      </c>
      <c r="H3613" s="54">
        <v>41755</v>
      </c>
      <c r="I3613" s="55" t="s">
        <v>583</v>
      </c>
      <c r="J3613" s="55" t="s">
        <v>572</v>
      </c>
      <c r="K3613" s="55">
        <f>VLOOKUP(J3613,'Validacion reclamo de equipaje'!L:M,2,0)</f>
        <v>142</v>
      </c>
      <c r="L3613" s="55" t="str">
        <f>VLOOKUP(I3613,'Validacion reclamo de equipaje'!H:I,2,0)</f>
        <v>Internacional</v>
      </c>
      <c r="M3613" s="55" t="s">
        <v>523</v>
      </c>
    </row>
    <row r="3614" spans="1:13" x14ac:dyDescent="0.25">
      <c r="A3614">
        <v>961</v>
      </c>
      <c r="B3614" s="47" t="str">
        <f>VLOOKUP(Tabla6[[#This Row],['# Vuelo]],'Validacion reclamo de equipaje'!P:Q,2,0)</f>
        <v>BARATA Y MORADA</v>
      </c>
      <c r="C3614" s="48">
        <v>0.84652777777777777</v>
      </c>
      <c r="D3614" s="48">
        <v>0.86111111111111116</v>
      </c>
      <c r="E3614" s="49">
        <f>'Reclamo de equipaje rediseñado'!$D3614-'Reclamo de equipaje rediseñado'!$C3614</f>
        <v>1.4583333333333393E-2</v>
      </c>
      <c r="F3614" s="48">
        <v>0.86805555555555547</v>
      </c>
      <c r="G3614" s="49">
        <f t="shared" si="56"/>
        <v>6.9444444444443088E-3</v>
      </c>
      <c r="H3614" s="50">
        <v>41756</v>
      </c>
      <c r="I3614" s="51" t="s">
        <v>583</v>
      </c>
      <c r="J3614" s="51" t="s">
        <v>572</v>
      </c>
      <c r="K3614" s="51">
        <f>VLOOKUP(J3614,'Validacion reclamo de equipaje'!L:M,2,0)</f>
        <v>142</v>
      </c>
      <c r="L3614" s="51" t="str">
        <f>VLOOKUP(I3614,'Validacion reclamo de equipaje'!H:I,2,0)</f>
        <v>Internacional</v>
      </c>
      <c r="M3614" s="51" t="s">
        <v>523</v>
      </c>
    </row>
    <row r="3615" spans="1:13" x14ac:dyDescent="0.25">
      <c r="A3615">
        <v>961</v>
      </c>
      <c r="B3615" s="47" t="str">
        <f>VLOOKUP(Tabla6[[#This Row],['# Vuelo]],'Validacion reclamo de equipaje'!P:Q,2,0)</f>
        <v>BARATA Y MORADA</v>
      </c>
      <c r="C3615" s="52">
        <v>0.84166666666666667</v>
      </c>
      <c r="D3615" s="52">
        <v>0.85555555555555562</v>
      </c>
      <c r="E3615" s="53">
        <f>'Reclamo de equipaje rediseñado'!$D3615-'Reclamo de equipaje rediseñado'!$C3615</f>
        <v>1.3888888888888951E-2</v>
      </c>
      <c r="F3615" s="52">
        <v>0.86388888888888893</v>
      </c>
      <c r="G3615" s="53">
        <f t="shared" si="56"/>
        <v>8.3333333333333037E-3</v>
      </c>
      <c r="H3615" s="54">
        <v>41757</v>
      </c>
      <c r="I3615" s="55" t="s">
        <v>583</v>
      </c>
      <c r="J3615" s="55" t="s">
        <v>572</v>
      </c>
      <c r="K3615" s="55">
        <f>VLOOKUP(J3615,'Validacion reclamo de equipaje'!L:M,2,0)</f>
        <v>142</v>
      </c>
      <c r="L3615" s="55" t="str">
        <f>VLOOKUP(I3615,'Validacion reclamo de equipaje'!H:I,2,0)</f>
        <v>Internacional</v>
      </c>
      <c r="M3615" s="55" t="s">
        <v>523</v>
      </c>
    </row>
    <row r="3616" spans="1:13" x14ac:dyDescent="0.25">
      <c r="A3616">
        <v>961</v>
      </c>
      <c r="B3616" s="47" t="str">
        <f>VLOOKUP(Tabla6[[#This Row],['# Vuelo]],'Validacion reclamo de equipaje'!P:Q,2,0)</f>
        <v>BARATA Y MORADA</v>
      </c>
      <c r="C3616" s="48">
        <v>0.89583333333333337</v>
      </c>
      <c r="D3616" s="48">
        <v>0.92569444444444438</v>
      </c>
      <c r="E3616" s="49">
        <f>'Reclamo de equipaje rediseñado'!$D3616-'Reclamo de equipaje rediseñado'!$C3616</f>
        <v>2.9861111111111005E-2</v>
      </c>
      <c r="F3616" s="48">
        <v>0.93541666666666667</v>
      </c>
      <c r="G3616" s="49">
        <f t="shared" si="56"/>
        <v>9.7222222222222987E-3</v>
      </c>
      <c r="H3616" s="50">
        <v>41759</v>
      </c>
      <c r="I3616" s="51" t="s">
        <v>583</v>
      </c>
      <c r="J3616" s="51" t="s">
        <v>572</v>
      </c>
      <c r="K3616" s="51">
        <f>VLOOKUP(J3616,'Validacion reclamo de equipaje'!L:M,2,0)</f>
        <v>142</v>
      </c>
      <c r="L3616" s="51" t="str">
        <f>VLOOKUP(I3616,'Validacion reclamo de equipaje'!H:I,2,0)</f>
        <v>Internacional</v>
      </c>
      <c r="M3616" s="51" t="s">
        <v>523</v>
      </c>
    </row>
    <row r="3617" spans="1:13" x14ac:dyDescent="0.25">
      <c r="A3617">
        <v>971</v>
      </c>
      <c r="B3617" s="47" t="str">
        <f>VLOOKUP(Tabla6[[#This Row],['# Vuelo]],'Validacion reclamo de equipaje'!P:Q,2,0)</f>
        <v>BARATA Y MORADA</v>
      </c>
      <c r="C3617" s="52">
        <v>0.21944444444444444</v>
      </c>
      <c r="D3617" s="52">
        <v>0.23472222222222219</v>
      </c>
      <c r="E3617" s="53">
        <f>'Reclamo de equipaje rediseñado'!$D3617-'Reclamo de equipaje rediseñado'!$C3617</f>
        <v>1.5277777777777751E-2</v>
      </c>
      <c r="F3617" s="52">
        <v>0.25277777777777777</v>
      </c>
      <c r="G3617" s="53">
        <f t="shared" si="56"/>
        <v>1.8055555555555575E-2</v>
      </c>
      <c r="H3617" s="54">
        <v>41730</v>
      </c>
      <c r="I3617" s="55" t="s">
        <v>563</v>
      </c>
      <c r="J3617" s="55">
        <v>320</v>
      </c>
      <c r="K3617" s="55">
        <f>VLOOKUP(J3617,'Validacion reclamo de equipaje'!L:M,2,0)</f>
        <v>179</v>
      </c>
      <c r="L3617" s="55" t="str">
        <f>VLOOKUP(I3617,'Validacion reclamo de equipaje'!H:I,2,0)</f>
        <v>Internacional</v>
      </c>
      <c r="M3617" s="55" t="s">
        <v>523</v>
      </c>
    </row>
    <row r="3618" spans="1:13" x14ac:dyDescent="0.25">
      <c r="A3618">
        <v>971</v>
      </c>
      <c r="B3618" s="47" t="str">
        <f>VLOOKUP(Tabla6[[#This Row],['# Vuelo]],'Validacion reclamo de equipaje'!P:Q,2,0)</f>
        <v>BARATA Y MORADA</v>
      </c>
      <c r="C3618" s="48">
        <v>0.24652777777777779</v>
      </c>
      <c r="D3618" s="48">
        <v>0.25694444444444448</v>
      </c>
      <c r="E3618" s="49">
        <f>'Reclamo de equipaje rediseñado'!$D3618-'Reclamo de equipaje rediseñado'!$C3618</f>
        <v>1.0416666666666685E-2</v>
      </c>
      <c r="F3618" s="48">
        <v>0.26944444444444443</v>
      </c>
      <c r="G3618" s="49">
        <f t="shared" si="56"/>
        <v>1.2499999999999956E-2</v>
      </c>
      <c r="H3618" s="50">
        <v>41734</v>
      </c>
      <c r="I3618" s="51" t="s">
        <v>563</v>
      </c>
      <c r="J3618" s="51">
        <v>320</v>
      </c>
      <c r="K3618" s="51">
        <f>VLOOKUP(J3618,'Validacion reclamo de equipaje'!L:M,2,0)</f>
        <v>179</v>
      </c>
      <c r="L3618" s="51" t="str">
        <f>VLOOKUP(I3618,'Validacion reclamo de equipaje'!H:I,2,0)</f>
        <v>Internacional</v>
      </c>
      <c r="M3618" s="51" t="s">
        <v>523</v>
      </c>
    </row>
    <row r="3619" spans="1:13" x14ac:dyDescent="0.25">
      <c r="A3619">
        <v>971</v>
      </c>
      <c r="B3619" s="47" t="str">
        <f>VLOOKUP(Tabla6[[#This Row],['# Vuelo]],'Validacion reclamo de equipaje'!P:Q,2,0)</f>
        <v>BARATA Y MORADA</v>
      </c>
      <c r="C3619" s="52">
        <v>0.2673611111111111</v>
      </c>
      <c r="D3619" s="52">
        <v>0.27361111111111108</v>
      </c>
      <c r="E3619" s="53">
        <f>'Reclamo de equipaje rediseñado'!$D3619-'Reclamo de equipaje rediseñado'!$C3619</f>
        <v>6.2499999999999778E-3</v>
      </c>
      <c r="F3619" s="52">
        <v>0.27916666666666667</v>
      </c>
      <c r="G3619" s="53">
        <f t="shared" si="56"/>
        <v>5.5555555555555913E-3</v>
      </c>
      <c r="H3619" s="54">
        <v>41736</v>
      </c>
      <c r="I3619" s="55" t="s">
        <v>563</v>
      </c>
      <c r="J3619" s="55">
        <v>320</v>
      </c>
      <c r="K3619" s="55">
        <f>VLOOKUP(J3619,'Validacion reclamo de equipaje'!L:M,2,0)</f>
        <v>179</v>
      </c>
      <c r="L3619" s="55" t="str">
        <f>VLOOKUP(I3619,'Validacion reclamo de equipaje'!H:I,2,0)</f>
        <v>Internacional</v>
      </c>
      <c r="M3619" s="55" t="s">
        <v>523</v>
      </c>
    </row>
    <row r="3620" spans="1:13" x14ac:dyDescent="0.25">
      <c r="A3620">
        <v>971</v>
      </c>
      <c r="B3620" s="47" t="str">
        <f>VLOOKUP(Tabla6[[#This Row],['# Vuelo]],'Validacion reclamo de equipaje'!P:Q,2,0)</f>
        <v>BARATA Y MORADA</v>
      </c>
      <c r="C3620" s="48">
        <v>0.21875</v>
      </c>
      <c r="D3620" s="48">
        <v>0.23680555555555557</v>
      </c>
      <c r="E3620" s="49">
        <f>'Reclamo de equipaje rediseñado'!$D3620-'Reclamo de equipaje rediseñado'!$C3620</f>
        <v>1.8055555555555575E-2</v>
      </c>
      <c r="F3620" s="48">
        <v>0.24861111111111112</v>
      </c>
      <c r="G3620" s="49">
        <f t="shared" si="56"/>
        <v>1.1805555555555541E-2</v>
      </c>
      <c r="H3620" s="50">
        <v>41736</v>
      </c>
      <c r="I3620" s="51" t="s">
        <v>563</v>
      </c>
      <c r="J3620" s="51">
        <v>320</v>
      </c>
      <c r="K3620" s="51">
        <f>VLOOKUP(J3620,'Validacion reclamo de equipaje'!L:M,2,0)</f>
        <v>179</v>
      </c>
      <c r="L3620" s="51" t="str">
        <f>VLOOKUP(I3620,'Validacion reclamo de equipaje'!H:I,2,0)</f>
        <v>Internacional</v>
      </c>
      <c r="M3620" s="51" t="s">
        <v>523</v>
      </c>
    </row>
    <row r="3621" spans="1:13" x14ac:dyDescent="0.25">
      <c r="A3621">
        <v>971</v>
      </c>
      <c r="B3621" s="47" t="str">
        <f>VLOOKUP(Tabla6[[#This Row],['# Vuelo]],'Validacion reclamo de equipaje'!P:Q,2,0)</f>
        <v>BARATA Y MORADA</v>
      </c>
      <c r="C3621" s="52">
        <v>0.21805555555555556</v>
      </c>
      <c r="D3621" s="52">
        <v>0.23333333333333331</v>
      </c>
      <c r="E3621" s="53">
        <f>'Reclamo de equipaje rediseñado'!$D3621-'Reclamo de equipaje rediseñado'!$C3621</f>
        <v>1.5277777777777751E-2</v>
      </c>
      <c r="F3621" s="52">
        <v>0.26250000000000001</v>
      </c>
      <c r="G3621" s="53">
        <f t="shared" si="56"/>
        <v>2.9166666666666702E-2</v>
      </c>
      <c r="H3621" s="54">
        <v>41737</v>
      </c>
      <c r="I3621" s="55" t="s">
        <v>563</v>
      </c>
      <c r="J3621" s="55">
        <v>320</v>
      </c>
      <c r="K3621" s="55">
        <f>VLOOKUP(J3621,'Validacion reclamo de equipaje'!L:M,2,0)</f>
        <v>179</v>
      </c>
      <c r="L3621" s="55" t="str">
        <f>VLOOKUP(I3621,'Validacion reclamo de equipaje'!H:I,2,0)</f>
        <v>Internacional</v>
      </c>
      <c r="M3621" s="55" t="s">
        <v>523</v>
      </c>
    </row>
    <row r="3622" spans="1:13" x14ac:dyDescent="0.25">
      <c r="A3622">
        <v>971</v>
      </c>
      <c r="B3622" s="47" t="str">
        <f>VLOOKUP(Tabla6[[#This Row],['# Vuelo]],'Validacion reclamo de equipaje'!P:Q,2,0)</f>
        <v>BARATA Y MORADA</v>
      </c>
      <c r="C3622" s="48">
        <v>0.20902777777777778</v>
      </c>
      <c r="D3622" s="48">
        <v>0.22291666666666665</v>
      </c>
      <c r="E3622" s="49">
        <f>'Reclamo de equipaje rediseñado'!$D3622-'Reclamo de equipaje rediseñado'!$C3622</f>
        <v>1.3888888888888867E-2</v>
      </c>
      <c r="F3622" s="48">
        <v>0.23680555555555557</v>
      </c>
      <c r="G3622" s="49">
        <f t="shared" si="56"/>
        <v>1.3888888888888923E-2</v>
      </c>
      <c r="H3622" s="50">
        <v>41739</v>
      </c>
      <c r="I3622" s="51" t="s">
        <v>563</v>
      </c>
      <c r="J3622" s="51">
        <v>320</v>
      </c>
      <c r="K3622" s="51">
        <f>VLOOKUP(J3622,'Validacion reclamo de equipaje'!L:M,2,0)</f>
        <v>179</v>
      </c>
      <c r="L3622" s="51" t="str">
        <f>VLOOKUP(I3622,'Validacion reclamo de equipaje'!H:I,2,0)</f>
        <v>Internacional</v>
      </c>
      <c r="M3622" s="51" t="s">
        <v>523</v>
      </c>
    </row>
    <row r="3623" spans="1:13" x14ac:dyDescent="0.25">
      <c r="A3623">
        <v>971</v>
      </c>
      <c r="B3623" s="47" t="str">
        <f>VLOOKUP(Tabla6[[#This Row],['# Vuelo]],'Validacion reclamo de equipaje'!P:Q,2,0)</f>
        <v>BARATA Y MORADA</v>
      </c>
      <c r="C3623" s="52">
        <v>0.21944444444444444</v>
      </c>
      <c r="D3623" s="52">
        <v>0.23472222222222219</v>
      </c>
      <c r="E3623" s="53">
        <f>'Reclamo de equipaje rediseñado'!$D3623-'Reclamo de equipaje rediseñado'!$C3623</f>
        <v>1.5277777777777751E-2</v>
      </c>
      <c r="F3623" s="52">
        <v>0.25277777777777777</v>
      </c>
      <c r="G3623" s="53">
        <f t="shared" si="56"/>
        <v>1.8055555555555575E-2</v>
      </c>
      <c r="H3623" s="54">
        <v>41742</v>
      </c>
      <c r="I3623" s="55" t="s">
        <v>563</v>
      </c>
      <c r="J3623" s="55">
        <v>320</v>
      </c>
      <c r="K3623" s="55">
        <f>VLOOKUP(J3623,'Validacion reclamo de equipaje'!L:M,2,0)</f>
        <v>179</v>
      </c>
      <c r="L3623" s="55" t="str">
        <f>VLOOKUP(I3623,'Validacion reclamo de equipaje'!H:I,2,0)</f>
        <v>Internacional</v>
      </c>
      <c r="M3623" s="55" t="s">
        <v>523</v>
      </c>
    </row>
    <row r="3624" spans="1:13" x14ac:dyDescent="0.25">
      <c r="A3624">
        <v>971</v>
      </c>
      <c r="B3624" s="47" t="str">
        <f>VLOOKUP(Tabla6[[#This Row],['# Vuelo]],'Validacion reclamo de equipaje'!P:Q,2,0)</f>
        <v>BARATA Y MORADA</v>
      </c>
      <c r="C3624" s="48">
        <v>0.19930555555555554</v>
      </c>
      <c r="D3624" s="48">
        <v>0.21249999999999999</v>
      </c>
      <c r="E3624" s="49">
        <f>'Reclamo de equipaje rediseñado'!$D3624-'Reclamo de equipaje rediseñado'!$C3624</f>
        <v>1.3194444444444453E-2</v>
      </c>
      <c r="F3624" s="48">
        <v>0.23680555555555557</v>
      </c>
      <c r="G3624" s="49">
        <f t="shared" si="56"/>
        <v>2.430555555555558E-2</v>
      </c>
      <c r="H3624" s="50">
        <v>41743</v>
      </c>
      <c r="I3624" s="51" t="s">
        <v>563</v>
      </c>
      <c r="J3624" s="51">
        <v>320</v>
      </c>
      <c r="K3624" s="51">
        <f>VLOOKUP(J3624,'Validacion reclamo de equipaje'!L:M,2,0)</f>
        <v>179</v>
      </c>
      <c r="L3624" s="51" t="str">
        <f>VLOOKUP(I3624,'Validacion reclamo de equipaje'!H:I,2,0)</f>
        <v>Internacional</v>
      </c>
      <c r="M3624" s="51" t="s">
        <v>523</v>
      </c>
    </row>
    <row r="3625" spans="1:13" x14ac:dyDescent="0.25">
      <c r="A3625">
        <v>971</v>
      </c>
      <c r="B3625" s="47" t="str">
        <f>VLOOKUP(Tabla6[[#This Row],['# Vuelo]],'Validacion reclamo de equipaje'!P:Q,2,0)</f>
        <v>BARATA Y MORADA</v>
      </c>
      <c r="C3625" s="52">
        <v>0.20069444444444443</v>
      </c>
      <c r="D3625" s="52">
        <v>0.21180555555555555</v>
      </c>
      <c r="E3625" s="53">
        <f>'Reclamo de equipaje rediseñado'!$D3625-'Reclamo de equipaje rediseñado'!$C3625</f>
        <v>1.1111111111111127E-2</v>
      </c>
      <c r="F3625" s="52">
        <v>0.22777777777777777</v>
      </c>
      <c r="G3625" s="53">
        <f t="shared" si="56"/>
        <v>1.5972222222222221E-2</v>
      </c>
      <c r="H3625" s="54">
        <v>41745</v>
      </c>
      <c r="I3625" s="55" t="s">
        <v>563</v>
      </c>
      <c r="J3625" s="55">
        <v>320</v>
      </c>
      <c r="K3625" s="55">
        <f>VLOOKUP(J3625,'Validacion reclamo de equipaje'!L:M,2,0)</f>
        <v>179</v>
      </c>
      <c r="L3625" s="55" t="str">
        <f>VLOOKUP(I3625,'Validacion reclamo de equipaje'!H:I,2,0)</f>
        <v>Internacional</v>
      </c>
      <c r="M3625" s="55" t="s">
        <v>523</v>
      </c>
    </row>
    <row r="3626" spans="1:13" x14ac:dyDescent="0.25">
      <c r="A3626">
        <v>971</v>
      </c>
      <c r="B3626" s="47" t="str">
        <f>VLOOKUP(Tabla6[[#This Row],['# Vuelo]],'Validacion reclamo de equipaje'!P:Q,2,0)</f>
        <v>BARATA Y MORADA</v>
      </c>
      <c r="C3626" s="48">
        <v>0.22847222222222222</v>
      </c>
      <c r="D3626" s="48">
        <v>0.23750000000000002</v>
      </c>
      <c r="E3626" s="49">
        <f>'Reclamo de equipaje rediseñado'!$D3626-'Reclamo de equipaje rediseñado'!$C3626</f>
        <v>9.0277777777778012E-3</v>
      </c>
      <c r="F3626" s="48">
        <v>0.27777777777777779</v>
      </c>
      <c r="G3626" s="49">
        <f t="shared" si="56"/>
        <v>4.0277777777777773E-2</v>
      </c>
      <c r="H3626" s="50">
        <v>41746</v>
      </c>
      <c r="I3626" s="51" t="s">
        <v>563</v>
      </c>
      <c r="J3626" s="51">
        <v>320</v>
      </c>
      <c r="K3626" s="51">
        <f>VLOOKUP(J3626,'Validacion reclamo de equipaje'!L:M,2,0)</f>
        <v>179</v>
      </c>
      <c r="L3626" s="51" t="str">
        <f>VLOOKUP(I3626,'Validacion reclamo de equipaje'!H:I,2,0)</f>
        <v>Internacional</v>
      </c>
      <c r="M3626" s="51" t="s">
        <v>523</v>
      </c>
    </row>
    <row r="3627" spans="1:13" x14ac:dyDescent="0.25">
      <c r="A3627">
        <v>971</v>
      </c>
      <c r="B3627" s="47" t="str">
        <f>VLOOKUP(Tabla6[[#This Row],['# Vuelo]],'Validacion reclamo de equipaje'!P:Q,2,0)</f>
        <v>BARATA Y MORADA</v>
      </c>
      <c r="C3627" s="52">
        <v>0.20416666666666669</v>
      </c>
      <c r="D3627" s="52">
        <v>0.21597222222222223</v>
      </c>
      <c r="E3627" s="53">
        <f>'Reclamo de equipaje rediseñado'!$D3627-'Reclamo de equipaje rediseñado'!$C3627</f>
        <v>1.1805555555555541E-2</v>
      </c>
      <c r="F3627" s="52">
        <v>0.22638888888888889</v>
      </c>
      <c r="G3627" s="53">
        <f t="shared" si="56"/>
        <v>1.0416666666666657E-2</v>
      </c>
      <c r="H3627" s="54">
        <v>41749</v>
      </c>
      <c r="I3627" s="55" t="s">
        <v>563</v>
      </c>
      <c r="J3627" s="55">
        <v>320</v>
      </c>
      <c r="K3627" s="55">
        <f>VLOOKUP(J3627,'Validacion reclamo de equipaje'!L:M,2,0)</f>
        <v>179</v>
      </c>
      <c r="L3627" s="55" t="str">
        <f>VLOOKUP(I3627,'Validacion reclamo de equipaje'!H:I,2,0)</f>
        <v>Internacional</v>
      </c>
      <c r="M3627" s="55" t="s">
        <v>523</v>
      </c>
    </row>
    <row r="3628" spans="1:13" x14ac:dyDescent="0.25">
      <c r="A3628">
        <v>971</v>
      </c>
      <c r="B3628" s="47" t="str">
        <f>VLOOKUP(Tabla6[[#This Row],['# Vuelo]],'Validacion reclamo de equipaje'!P:Q,2,0)</f>
        <v>BARATA Y MORADA</v>
      </c>
      <c r="C3628" s="48">
        <v>0.21527777777777779</v>
      </c>
      <c r="D3628" s="48">
        <v>0.2298611111111111</v>
      </c>
      <c r="E3628" s="49">
        <f>'Reclamo de equipaje rediseñado'!$D3628-'Reclamo de equipaje rediseñado'!$C3628</f>
        <v>1.4583333333333309E-2</v>
      </c>
      <c r="F3628" s="48">
        <v>0.23958333333333334</v>
      </c>
      <c r="G3628" s="49">
        <f t="shared" si="56"/>
        <v>9.7222222222222432E-3</v>
      </c>
      <c r="H3628" s="50">
        <v>41751</v>
      </c>
      <c r="I3628" s="51" t="s">
        <v>563</v>
      </c>
      <c r="J3628" s="51">
        <v>320</v>
      </c>
      <c r="K3628" s="51">
        <f>VLOOKUP(J3628,'Validacion reclamo de equipaje'!L:M,2,0)</f>
        <v>179</v>
      </c>
      <c r="L3628" s="51" t="str">
        <f>VLOOKUP(I3628,'Validacion reclamo de equipaje'!H:I,2,0)</f>
        <v>Internacional</v>
      </c>
      <c r="M3628" s="51" t="s">
        <v>523</v>
      </c>
    </row>
    <row r="3629" spans="1:13" x14ac:dyDescent="0.25">
      <c r="A3629">
        <v>971</v>
      </c>
      <c r="B3629" s="47" t="str">
        <f>VLOOKUP(Tabla6[[#This Row],['# Vuelo]],'Validacion reclamo de equipaje'!P:Q,2,0)</f>
        <v>BARATA Y MORADA</v>
      </c>
      <c r="C3629" s="52">
        <v>0.20555555555555557</v>
      </c>
      <c r="D3629" s="52">
        <v>0.22013888888888888</v>
      </c>
      <c r="E3629" s="53">
        <f>'Reclamo de equipaje rediseñado'!$D3629-'Reclamo de equipaje rediseñado'!$C3629</f>
        <v>1.4583333333333309E-2</v>
      </c>
      <c r="F3629" s="52">
        <v>0.23680555555555557</v>
      </c>
      <c r="G3629" s="53">
        <f t="shared" si="56"/>
        <v>1.6666666666666691E-2</v>
      </c>
      <c r="H3629" s="54">
        <v>41752</v>
      </c>
      <c r="I3629" s="55" t="s">
        <v>563</v>
      </c>
      <c r="J3629" s="55">
        <v>320</v>
      </c>
      <c r="K3629" s="55">
        <f>VLOOKUP(J3629,'Validacion reclamo de equipaje'!L:M,2,0)</f>
        <v>179</v>
      </c>
      <c r="L3629" s="55" t="str">
        <f>VLOOKUP(I3629,'Validacion reclamo de equipaje'!H:I,2,0)</f>
        <v>Internacional</v>
      </c>
      <c r="M3629" s="55" t="s">
        <v>523</v>
      </c>
    </row>
    <row r="3630" spans="1:13" x14ac:dyDescent="0.25">
      <c r="A3630">
        <v>971</v>
      </c>
      <c r="B3630" s="47" t="str">
        <f>VLOOKUP(Tabla6[[#This Row],['# Vuelo]],'Validacion reclamo de equipaje'!P:Q,2,0)</f>
        <v>BARATA Y MORADA</v>
      </c>
      <c r="C3630" s="48">
        <v>0.22013888888888888</v>
      </c>
      <c r="D3630" s="48">
        <v>0.23124999999999998</v>
      </c>
      <c r="E3630" s="49">
        <f>'Reclamo de equipaje rediseñado'!$D3630-'Reclamo de equipaje rediseñado'!$C3630</f>
        <v>1.1111111111111099E-2</v>
      </c>
      <c r="F3630" s="48">
        <v>0.24861111111111112</v>
      </c>
      <c r="G3630" s="49">
        <f t="shared" si="56"/>
        <v>1.7361111111111133E-2</v>
      </c>
      <c r="H3630" s="50">
        <v>41755</v>
      </c>
      <c r="I3630" s="51" t="s">
        <v>563</v>
      </c>
      <c r="J3630" s="51">
        <v>320</v>
      </c>
      <c r="K3630" s="51">
        <f>VLOOKUP(J3630,'Validacion reclamo de equipaje'!L:M,2,0)</f>
        <v>179</v>
      </c>
      <c r="L3630" s="51" t="str">
        <f>VLOOKUP(I3630,'Validacion reclamo de equipaje'!H:I,2,0)</f>
        <v>Internacional</v>
      </c>
      <c r="M3630" s="51" t="s">
        <v>523</v>
      </c>
    </row>
    <row r="3631" spans="1:13" x14ac:dyDescent="0.25">
      <c r="A3631">
        <v>971</v>
      </c>
      <c r="B3631" s="47" t="str">
        <f>VLOOKUP(Tabla6[[#This Row],['# Vuelo]],'Validacion reclamo de equipaje'!P:Q,2,0)</f>
        <v>BARATA Y MORADA</v>
      </c>
      <c r="C3631" s="52">
        <v>0.21597222222222223</v>
      </c>
      <c r="D3631" s="52">
        <v>0.22222222222222221</v>
      </c>
      <c r="E3631" s="53">
        <f>'Reclamo de equipaje rediseñado'!$D3631-'Reclamo de equipaje rediseñado'!$C3631</f>
        <v>6.2499999999999778E-3</v>
      </c>
      <c r="F3631" s="52">
        <v>0.23819444444444446</v>
      </c>
      <c r="G3631" s="53">
        <f t="shared" si="56"/>
        <v>1.5972222222222249E-2</v>
      </c>
      <c r="H3631" s="54">
        <v>41757</v>
      </c>
      <c r="I3631" s="55" t="s">
        <v>563</v>
      </c>
      <c r="J3631" s="55">
        <v>320</v>
      </c>
      <c r="K3631" s="55">
        <f>VLOOKUP(J3631,'Validacion reclamo de equipaje'!L:M,2,0)</f>
        <v>179</v>
      </c>
      <c r="L3631" s="55" t="str">
        <f>VLOOKUP(I3631,'Validacion reclamo de equipaje'!H:I,2,0)</f>
        <v>Internacional</v>
      </c>
      <c r="M3631" s="55" t="s">
        <v>523</v>
      </c>
    </row>
    <row r="3632" spans="1:13" x14ac:dyDescent="0.25">
      <c r="A3632">
        <v>971</v>
      </c>
      <c r="B3632" s="47" t="str">
        <f>VLOOKUP(Tabla6[[#This Row],['# Vuelo]],'Validacion reclamo de equipaje'!P:Q,2,0)</f>
        <v>BARATA Y MORADA</v>
      </c>
      <c r="C3632" s="48">
        <v>0.22430555555555556</v>
      </c>
      <c r="D3632" s="48">
        <v>0.24583333333333335</v>
      </c>
      <c r="E3632" s="49">
        <f>'Reclamo de equipaje rediseñado'!$D3632-'Reclamo de equipaje rediseñado'!$C3632</f>
        <v>2.1527777777777785E-2</v>
      </c>
      <c r="F3632" s="48">
        <v>0.26666666666666666</v>
      </c>
      <c r="G3632" s="49">
        <f t="shared" si="56"/>
        <v>2.0833333333333315E-2</v>
      </c>
      <c r="H3632" s="50">
        <v>41758</v>
      </c>
      <c r="I3632" s="51" t="s">
        <v>563</v>
      </c>
      <c r="J3632" s="51">
        <v>320</v>
      </c>
      <c r="K3632" s="51">
        <f>VLOOKUP(J3632,'Validacion reclamo de equipaje'!L:M,2,0)</f>
        <v>179</v>
      </c>
      <c r="L3632" s="51" t="str">
        <f>VLOOKUP(I3632,'Validacion reclamo de equipaje'!H:I,2,0)</f>
        <v>Internacional</v>
      </c>
      <c r="M3632" s="51" t="s">
        <v>523</v>
      </c>
    </row>
    <row r="3633" spans="1:13" x14ac:dyDescent="0.25">
      <c r="A3633">
        <v>973</v>
      </c>
      <c r="B3633" s="47" t="str">
        <f>VLOOKUP(Tabla6[[#This Row],['# Vuelo]],'Validacion reclamo de equipaje'!P:Q,2,0)</f>
        <v>BARATA Y MORADA</v>
      </c>
      <c r="C3633" s="52">
        <v>0.76597222222222217</v>
      </c>
      <c r="D3633" s="52">
        <v>0.76944444444444438</v>
      </c>
      <c r="E3633" s="53">
        <f>'Reclamo de equipaje rediseñado'!$D3633-'Reclamo de equipaje rediseñado'!$C3633</f>
        <v>3.4722222222222099E-3</v>
      </c>
      <c r="F3633" s="52">
        <v>0.77500000000000002</v>
      </c>
      <c r="G3633" s="53">
        <f t="shared" si="56"/>
        <v>5.5555555555556468E-3</v>
      </c>
      <c r="H3633" s="54">
        <v>41736</v>
      </c>
      <c r="I3633" s="55" t="s">
        <v>563</v>
      </c>
      <c r="J3633" s="55" t="s">
        <v>614</v>
      </c>
      <c r="K3633" s="55" t="e">
        <f>VLOOKUP(J3633,'Validacion reclamo de equipaje'!L:M,2,0)</f>
        <v>#N/A</v>
      </c>
      <c r="L3633" s="55" t="str">
        <f>VLOOKUP(I3633,'Validacion reclamo de equipaje'!H:I,2,0)</f>
        <v>Internacional</v>
      </c>
      <c r="M3633" s="55" t="s">
        <v>523</v>
      </c>
    </row>
    <row r="3634" spans="1:13" x14ac:dyDescent="0.25">
      <c r="A3634">
        <v>973</v>
      </c>
      <c r="B3634" s="47" t="str">
        <f>VLOOKUP(Tabla6[[#This Row],['# Vuelo]],'Validacion reclamo de equipaje'!P:Q,2,0)</f>
        <v>BARATA Y MORADA</v>
      </c>
      <c r="C3634" s="48">
        <v>0.24722222222222223</v>
      </c>
      <c r="D3634" s="48">
        <v>0.25555555555555559</v>
      </c>
      <c r="E3634" s="49">
        <f>'Reclamo de equipaje rediseñado'!$D3634-'Reclamo de equipaje rediseñado'!$C3634</f>
        <v>8.3333333333333592E-3</v>
      </c>
      <c r="F3634" s="48">
        <v>0.2951388888888889</v>
      </c>
      <c r="G3634" s="49">
        <f t="shared" si="56"/>
        <v>3.9583333333333304E-2</v>
      </c>
      <c r="H3634" s="50">
        <v>41758</v>
      </c>
      <c r="I3634" s="51" t="s">
        <v>563</v>
      </c>
      <c r="J3634" s="51" t="s">
        <v>614</v>
      </c>
      <c r="K3634" s="51" t="e">
        <f>VLOOKUP(J3634,'Validacion reclamo de equipaje'!L:M,2,0)</f>
        <v>#N/A</v>
      </c>
      <c r="L3634" s="51" t="str">
        <f>VLOOKUP(I3634,'Validacion reclamo de equipaje'!H:I,2,0)</f>
        <v>Internacional</v>
      </c>
      <c r="M3634" s="51" t="s">
        <v>523</v>
      </c>
    </row>
    <row r="3635" spans="1:13" x14ac:dyDescent="0.25">
      <c r="A3635">
        <v>975</v>
      </c>
      <c r="B3635" s="47" t="str">
        <f>VLOOKUP(Tabla6[[#This Row],['# Vuelo]],'Validacion reclamo de equipaje'!P:Q,2,0)</f>
        <v>BARATA Y MORADA</v>
      </c>
      <c r="C3635" s="52">
        <v>0.19513888888888889</v>
      </c>
      <c r="D3635" s="52">
        <v>0.2076388888888889</v>
      </c>
      <c r="E3635" s="53">
        <f>'Reclamo de equipaje rediseñado'!$D3635-'Reclamo de equipaje rediseñado'!$C3635</f>
        <v>1.2500000000000011E-2</v>
      </c>
      <c r="F3635" s="52">
        <v>0.22083333333333333</v>
      </c>
      <c r="G3635" s="53">
        <f t="shared" si="56"/>
        <v>1.3194444444444425E-2</v>
      </c>
      <c r="H3635" s="54">
        <v>41731</v>
      </c>
      <c r="I3635" s="55" t="s">
        <v>591</v>
      </c>
      <c r="J3635" s="55">
        <v>320</v>
      </c>
      <c r="K3635" s="55">
        <f>VLOOKUP(J3635,'Validacion reclamo de equipaje'!L:M,2,0)</f>
        <v>179</v>
      </c>
      <c r="L3635" s="55" t="str">
        <f>VLOOKUP(I3635,'Validacion reclamo de equipaje'!H:I,2,0)</f>
        <v>Internacional</v>
      </c>
      <c r="M3635" s="55" t="s">
        <v>523</v>
      </c>
    </row>
    <row r="3636" spans="1:13" x14ac:dyDescent="0.25">
      <c r="A3636">
        <v>975</v>
      </c>
      <c r="B3636" s="47" t="str">
        <f>VLOOKUP(Tabla6[[#This Row],['# Vuelo]],'Validacion reclamo de equipaje'!P:Q,2,0)</f>
        <v>BARATA Y MORADA</v>
      </c>
      <c r="C3636" s="48">
        <v>0.20277777777777781</v>
      </c>
      <c r="D3636" s="48">
        <v>0.21666666666666667</v>
      </c>
      <c r="E3636" s="49">
        <f>'Reclamo de equipaje rediseñado'!$D3636-'Reclamo de equipaje rediseñado'!$C3636</f>
        <v>1.3888888888888867E-2</v>
      </c>
      <c r="F3636" s="48">
        <v>0.25555555555555559</v>
      </c>
      <c r="G3636" s="49">
        <f t="shared" si="56"/>
        <v>3.8888888888888917E-2</v>
      </c>
      <c r="H3636" s="50">
        <v>41733</v>
      </c>
      <c r="I3636" s="51" t="s">
        <v>591</v>
      </c>
      <c r="J3636" s="51">
        <v>320</v>
      </c>
      <c r="K3636" s="51">
        <f>VLOOKUP(J3636,'Validacion reclamo de equipaje'!L:M,2,0)</f>
        <v>179</v>
      </c>
      <c r="L3636" s="51" t="str">
        <f>VLOOKUP(I3636,'Validacion reclamo de equipaje'!H:I,2,0)</f>
        <v>Internacional</v>
      </c>
      <c r="M3636" s="51" t="s">
        <v>523</v>
      </c>
    </row>
    <row r="3637" spans="1:13" x14ac:dyDescent="0.25">
      <c r="A3637">
        <v>975</v>
      </c>
      <c r="B3637" s="47" t="str">
        <f>VLOOKUP(Tabla6[[#This Row],['# Vuelo]],'Validacion reclamo de equipaje'!P:Q,2,0)</f>
        <v>BARATA Y MORADA</v>
      </c>
      <c r="C3637" s="52">
        <v>0.22291666666666665</v>
      </c>
      <c r="D3637" s="52">
        <v>0.23611111111111113</v>
      </c>
      <c r="E3637" s="53">
        <f>'Reclamo de equipaje rediseñado'!$D3637-'Reclamo de equipaje rediseñado'!$C3637</f>
        <v>1.3194444444444481E-2</v>
      </c>
      <c r="F3637" s="52">
        <v>0.2590277777777778</v>
      </c>
      <c r="G3637" s="53">
        <f t="shared" si="56"/>
        <v>2.2916666666666669E-2</v>
      </c>
      <c r="H3637" s="54">
        <v>41736</v>
      </c>
      <c r="I3637" s="55" t="s">
        <v>591</v>
      </c>
      <c r="J3637" s="55">
        <v>320</v>
      </c>
      <c r="K3637" s="55">
        <f>VLOOKUP(J3637,'Validacion reclamo de equipaje'!L:M,2,0)</f>
        <v>179</v>
      </c>
      <c r="L3637" s="55" t="str">
        <f>VLOOKUP(I3637,'Validacion reclamo de equipaje'!H:I,2,0)</f>
        <v>Internacional</v>
      </c>
      <c r="M3637" s="55" t="s">
        <v>523</v>
      </c>
    </row>
    <row r="3638" spans="1:13" x14ac:dyDescent="0.25">
      <c r="A3638">
        <v>975</v>
      </c>
      <c r="B3638" s="47" t="str">
        <f>VLOOKUP(Tabla6[[#This Row],['# Vuelo]],'Validacion reclamo de equipaje'!P:Q,2,0)</f>
        <v>BARATA Y MORADA</v>
      </c>
      <c r="C3638" s="48">
        <v>0.2076388888888889</v>
      </c>
      <c r="D3638" s="48">
        <v>0.22222222222222221</v>
      </c>
      <c r="E3638" s="49">
        <f>'Reclamo de equipaje rediseñado'!$D3638-'Reclamo de equipaje rediseñado'!$C3638</f>
        <v>1.4583333333333309E-2</v>
      </c>
      <c r="F3638" s="48">
        <v>0.24305555555555555</v>
      </c>
      <c r="G3638" s="49">
        <f t="shared" si="56"/>
        <v>2.0833333333333343E-2</v>
      </c>
      <c r="H3638" s="50">
        <v>41738</v>
      </c>
      <c r="I3638" s="51" t="s">
        <v>591</v>
      </c>
      <c r="J3638" s="51">
        <v>320</v>
      </c>
      <c r="K3638" s="51">
        <f>VLOOKUP(J3638,'Validacion reclamo de equipaje'!L:M,2,0)</f>
        <v>179</v>
      </c>
      <c r="L3638" s="51" t="str">
        <f>VLOOKUP(I3638,'Validacion reclamo de equipaje'!H:I,2,0)</f>
        <v>Internacional</v>
      </c>
      <c r="M3638" s="51" t="s">
        <v>523</v>
      </c>
    </row>
    <row r="3639" spans="1:13" x14ac:dyDescent="0.25">
      <c r="A3639">
        <v>975</v>
      </c>
      <c r="B3639" s="47" t="str">
        <f>VLOOKUP(Tabla6[[#This Row],['# Vuelo]],'Validacion reclamo de equipaje'!P:Q,2,0)</f>
        <v>BARATA Y MORADA</v>
      </c>
      <c r="C3639" s="52">
        <v>0.20625000000000002</v>
      </c>
      <c r="D3639" s="52">
        <v>0.22013888888888888</v>
      </c>
      <c r="E3639" s="53">
        <f>'Reclamo de equipaje rediseñado'!$D3639-'Reclamo de equipaje rediseñado'!$C3639</f>
        <v>1.3888888888888867E-2</v>
      </c>
      <c r="F3639" s="52">
        <v>0.23333333333333331</v>
      </c>
      <c r="G3639" s="53">
        <f t="shared" si="56"/>
        <v>1.3194444444444425E-2</v>
      </c>
      <c r="H3639" s="54">
        <v>41739</v>
      </c>
      <c r="I3639" s="55" t="s">
        <v>591</v>
      </c>
      <c r="J3639" s="55">
        <v>320</v>
      </c>
      <c r="K3639" s="55">
        <f>VLOOKUP(J3639,'Validacion reclamo de equipaje'!L:M,2,0)</f>
        <v>179</v>
      </c>
      <c r="L3639" s="55" t="str">
        <f>VLOOKUP(I3639,'Validacion reclamo de equipaje'!H:I,2,0)</f>
        <v>Internacional</v>
      </c>
      <c r="M3639" s="55" t="s">
        <v>523</v>
      </c>
    </row>
    <row r="3640" spans="1:13" x14ac:dyDescent="0.25">
      <c r="A3640">
        <v>975</v>
      </c>
      <c r="B3640" s="47" t="str">
        <f>VLOOKUP(Tabla6[[#This Row],['# Vuelo]],'Validacion reclamo de equipaje'!P:Q,2,0)</f>
        <v>BARATA Y MORADA</v>
      </c>
      <c r="C3640" s="48">
        <v>0.20902777777777778</v>
      </c>
      <c r="D3640" s="48">
        <v>0.22013888888888888</v>
      </c>
      <c r="E3640" s="49">
        <f>'Reclamo de equipaje rediseñado'!$D3640-'Reclamo de equipaje rediseñado'!$C3640</f>
        <v>1.1111111111111099E-2</v>
      </c>
      <c r="F3640" s="48">
        <v>0.23194444444444443</v>
      </c>
      <c r="G3640" s="49">
        <f t="shared" si="56"/>
        <v>1.1805555555555541E-2</v>
      </c>
      <c r="H3640" s="50">
        <v>41745</v>
      </c>
      <c r="I3640" s="51" t="s">
        <v>591</v>
      </c>
      <c r="J3640" s="51">
        <v>320</v>
      </c>
      <c r="K3640" s="51">
        <f>VLOOKUP(J3640,'Validacion reclamo de equipaje'!L:M,2,0)</f>
        <v>179</v>
      </c>
      <c r="L3640" s="51" t="str">
        <f>VLOOKUP(I3640,'Validacion reclamo de equipaje'!H:I,2,0)</f>
        <v>Internacional</v>
      </c>
      <c r="M3640" s="51" t="s">
        <v>523</v>
      </c>
    </row>
    <row r="3641" spans="1:13" x14ac:dyDescent="0.25">
      <c r="A3641">
        <v>975</v>
      </c>
      <c r="B3641" s="47" t="str">
        <f>VLOOKUP(Tabla6[[#This Row],['# Vuelo]],'Validacion reclamo de equipaje'!P:Q,2,0)</f>
        <v>BARATA Y MORADA</v>
      </c>
      <c r="C3641" s="52">
        <v>0.22361111111111109</v>
      </c>
      <c r="D3641" s="52">
        <v>0.22500000000000001</v>
      </c>
      <c r="E3641" s="53">
        <f>'Reclamo de equipaje rediseñado'!$D3641-'Reclamo de equipaje rediseñado'!$C3641</f>
        <v>1.3888888888889117E-3</v>
      </c>
      <c r="F3641" s="52">
        <v>0.23541666666666669</v>
      </c>
      <c r="G3641" s="53">
        <f t="shared" si="56"/>
        <v>1.0416666666666685E-2</v>
      </c>
      <c r="H3641" s="54">
        <v>41746</v>
      </c>
      <c r="I3641" s="55" t="s">
        <v>591</v>
      </c>
      <c r="J3641" s="55">
        <v>320</v>
      </c>
      <c r="K3641" s="55">
        <f>VLOOKUP(J3641,'Validacion reclamo de equipaje'!L:M,2,0)</f>
        <v>179</v>
      </c>
      <c r="L3641" s="55" t="str">
        <f>VLOOKUP(I3641,'Validacion reclamo de equipaje'!H:I,2,0)</f>
        <v>Internacional</v>
      </c>
      <c r="M3641" s="55" t="s">
        <v>523</v>
      </c>
    </row>
    <row r="3642" spans="1:13" x14ac:dyDescent="0.25">
      <c r="A3642">
        <v>975</v>
      </c>
      <c r="B3642" s="47" t="str">
        <f>VLOOKUP(Tabla6[[#This Row],['# Vuelo]],'Validacion reclamo de equipaje'!P:Q,2,0)</f>
        <v>BARATA Y MORADA</v>
      </c>
      <c r="C3642" s="48">
        <v>0.22430555555555556</v>
      </c>
      <c r="D3642" s="48">
        <v>0.24166666666666667</v>
      </c>
      <c r="E3642" s="49">
        <f>'Reclamo de equipaje rediseñado'!$D3642-'Reclamo de equipaje rediseñado'!$C3642</f>
        <v>1.7361111111111105E-2</v>
      </c>
      <c r="F3642" s="48">
        <v>0.27777777777777779</v>
      </c>
      <c r="G3642" s="49">
        <f t="shared" si="56"/>
        <v>3.6111111111111122E-2</v>
      </c>
      <c r="H3642" s="50">
        <v>41749</v>
      </c>
      <c r="I3642" s="51" t="s">
        <v>591</v>
      </c>
      <c r="J3642" s="51">
        <v>320</v>
      </c>
      <c r="K3642" s="51">
        <f>VLOOKUP(J3642,'Validacion reclamo de equipaje'!L:M,2,0)</f>
        <v>179</v>
      </c>
      <c r="L3642" s="51" t="str">
        <f>VLOOKUP(I3642,'Validacion reclamo de equipaje'!H:I,2,0)</f>
        <v>Internacional</v>
      </c>
      <c r="M3642" s="51" t="s">
        <v>523</v>
      </c>
    </row>
    <row r="3643" spans="1:13" x14ac:dyDescent="0.25">
      <c r="A3643">
        <v>975</v>
      </c>
      <c r="B3643" s="47" t="str">
        <f>VLOOKUP(Tabla6[[#This Row],['# Vuelo]],'Validacion reclamo de equipaje'!P:Q,2,0)</f>
        <v>BARATA Y MORADA</v>
      </c>
      <c r="C3643" s="52">
        <v>0.20833333333333334</v>
      </c>
      <c r="D3643" s="52">
        <v>0.22361111111111109</v>
      </c>
      <c r="E3643" s="53">
        <f>'Reclamo de equipaje rediseñado'!$D3643-'Reclamo de equipaje rediseñado'!$C3643</f>
        <v>1.5277777777777751E-2</v>
      </c>
      <c r="F3643" s="52">
        <v>0.24652777777777779</v>
      </c>
      <c r="G3643" s="53">
        <f t="shared" si="56"/>
        <v>2.2916666666666696E-2</v>
      </c>
      <c r="H3643" s="54">
        <v>41756</v>
      </c>
      <c r="I3643" s="55" t="s">
        <v>591</v>
      </c>
      <c r="J3643" s="55">
        <v>320</v>
      </c>
      <c r="K3643" s="55">
        <f>VLOOKUP(J3643,'Validacion reclamo de equipaje'!L:M,2,0)</f>
        <v>179</v>
      </c>
      <c r="L3643" s="55" t="str">
        <f>VLOOKUP(I3643,'Validacion reclamo de equipaje'!H:I,2,0)</f>
        <v>Internacional</v>
      </c>
      <c r="M3643" s="55" t="s">
        <v>523</v>
      </c>
    </row>
    <row r="3644" spans="1:13" x14ac:dyDescent="0.25">
      <c r="A3644">
        <v>4734</v>
      </c>
      <c r="B3644" s="47" t="str">
        <f>VLOOKUP(Tabla6[[#This Row],['# Vuelo]],'Validacion reclamo de equipaje'!P:Q,2,0)</f>
        <v>BARATA Y MORADA</v>
      </c>
      <c r="C3644" s="48">
        <v>0.23611111111111113</v>
      </c>
      <c r="D3644" s="48">
        <v>0.24722222222222223</v>
      </c>
      <c r="E3644" s="49">
        <f>'Reclamo de equipaje rediseñado'!$D3644-'Reclamo de equipaje rediseñado'!$C3644</f>
        <v>1.1111111111111099E-2</v>
      </c>
      <c r="F3644" s="48">
        <v>0.25138888888888888</v>
      </c>
      <c r="G3644" s="49">
        <f t="shared" si="56"/>
        <v>4.1666666666666519E-3</v>
      </c>
      <c r="H3644" s="50">
        <v>41730</v>
      </c>
      <c r="I3644" s="51" t="s">
        <v>536</v>
      </c>
      <c r="J3644" s="51">
        <v>320</v>
      </c>
      <c r="K3644" s="51">
        <f>VLOOKUP(J3644,'Validacion reclamo de equipaje'!L:M,2,0)</f>
        <v>179</v>
      </c>
      <c r="L3644" s="51" t="str">
        <f>VLOOKUP(I3644,'Validacion reclamo de equipaje'!H:I,2,0)</f>
        <v>Nacional</v>
      </c>
      <c r="M3644" s="51" t="s">
        <v>523</v>
      </c>
    </row>
    <row r="3645" spans="1:13" x14ac:dyDescent="0.25">
      <c r="A3645">
        <v>4734</v>
      </c>
      <c r="B3645" s="47" t="str">
        <f>VLOOKUP(Tabla6[[#This Row],['# Vuelo]],'Validacion reclamo de equipaje'!P:Q,2,0)</f>
        <v>BARATA Y MORADA</v>
      </c>
      <c r="C3645" s="52">
        <v>0.25486111111111109</v>
      </c>
      <c r="D3645" s="52">
        <v>0.2673611111111111</v>
      </c>
      <c r="E3645" s="53">
        <f>'Reclamo de equipaje rediseñado'!$D3645-'Reclamo de equipaje rediseñado'!$C3645</f>
        <v>1.2500000000000011E-2</v>
      </c>
      <c r="F3645" s="52">
        <v>0.27777777777777779</v>
      </c>
      <c r="G3645" s="53">
        <f t="shared" si="56"/>
        <v>1.0416666666666685E-2</v>
      </c>
      <c r="H3645" s="54">
        <v>41736</v>
      </c>
      <c r="I3645" s="55" t="s">
        <v>536</v>
      </c>
      <c r="J3645" s="55">
        <v>320</v>
      </c>
      <c r="K3645" s="55">
        <f>VLOOKUP(J3645,'Validacion reclamo de equipaje'!L:M,2,0)</f>
        <v>179</v>
      </c>
      <c r="L3645" s="55" t="str">
        <f>VLOOKUP(I3645,'Validacion reclamo de equipaje'!H:I,2,0)</f>
        <v>Nacional</v>
      </c>
      <c r="M3645" s="55" t="s">
        <v>523</v>
      </c>
    </row>
    <row r="3646" spans="1:13" x14ac:dyDescent="0.25">
      <c r="A3646">
        <v>4734</v>
      </c>
      <c r="B3646" s="47" t="str">
        <f>VLOOKUP(Tabla6[[#This Row],['# Vuelo]],'Validacion reclamo de equipaje'!P:Q,2,0)</f>
        <v>BARATA Y MORADA</v>
      </c>
      <c r="C3646" s="48">
        <v>0.23402777777777781</v>
      </c>
      <c r="D3646" s="48">
        <v>0.25555555555555559</v>
      </c>
      <c r="E3646" s="49">
        <f>'Reclamo de equipaje rediseñado'!$D3646-'Reclamo de equipaje rediseñado'!$C3646</f>
        <v>2.1527777777777785E-2</v>
      </c>
      <c r="F3646" s="48">
        <v>0.25694444444444448</v>
      </c>
      <c r="G3646" s="49">
        <f t="shared" si="56"/>
        <v>1.388888888888884E-3</v>
      </c>
      <c r="H3646" s="50">
        <v>41736</v>
      </c>
      <c r="I3646" s="51" t="s">
        <v>536</v>
      </c>
      <c r="J3646" s="51">
        <v>320</v>
      </c>
      <c r="K3646" s="51">
        <f>VLOOKUP(J3646,'Validacion reclamo de equipaje'!L:M,2,0)</f>
        <v>179</v>
      </c>
      <c r="L3646" s="51" t="str">
        <f>VLOOKUP(I3646,'Validacion reclamo de equipaje'!H:I,2,0)</f>
        <v>Nacional</v>
      </c>
      <c r="M3646" s="51" t="s">
        <v>523</v>
      </c>
    </row>
    <row r="3647" spans="1:13" x14ac:dyDescent="0.25">
      <c r="A3647">
        <v>4734</v>
      </c>
      <c r="B3647" s="47" t="str">
        <f>VLOOKUP(Tabla6[[#This Row],['# Vuelo]],'Validacion reclamo de equipaje'!P:Q,2,0)</f>
        <v>BARATA Y MORADA</v>
      </c>
      <c r="C3647" s="52">
        <v>0.26458333333333334</v>
      </c>
      <c r="D3647" s="52">
        <v>0.27708333333333335</v>
      </c>
      <c r="E3647" s="53">
        <f>'Reclamo de equipaje rediseñado'!$D3647-'Reclamo de equipaje rediseñado'!$C3647</f>
        <v>1.2500000000000011E-2</v>
      </c>
      <c r="F3647" s="52">
        <v>0.28472222222222221</v>
      </c>
      <c r="G3647" s="53">
        <f t="shared" si="56"/>
        <v>7.6388888888888618E-3</v>
      </c>
      <c r="H3647" s="54">
        <v>41738</v>
      </c>
      <c r="I3647" s="55" t="s">
        <v>536</v>
      </c>
      <c r="J3647" s="55">
        <v>320</v>
      </c>
      <c r="K3647" s="55">
        <f>VLOOKUP(J3647,'Validacion reclamo de equipaje'!L:M,2,0)</f>
        <v>179</v>
      </c>
      <c r="L3647" s="55" t="str">
        <f>VLOOKUP(I3647,'Validacion reclamo de equipaje'!H:I,2,0)</f>
        <v>Nacional</v>
      </c>
      <c r="M3647" s="55" t="s">
        <v>523</v>
      </c>
    </row>
    <row r="3648" spans="1:13" x14ac:dyDescent="0.25">
      <c r="A3648">
        <v>4734</v>
      </c>
      <c r="B3648" s="47" t="str">
        <f>VLOOKUP(Tabla6[[#This Row],['# Vuelo]],'Validacion reclamo de equipaje'!P:Q,2,0)</f>
        <v>BARATA Y MORADA</v>
      </c>
      <c r="C3648" s="48">
        <v>0.24305555555555555</v>
      </c>
      <c r="D3648" s="48">
        <v>0.25625000000000003</v>
      </c>
      <c r="E3648" s="49">
        <f>'Reclamo de equipaje rediseñado'!$D3648-'Reclamo de equipaje rediseñado'!$C3648</f>
        <v>1.3194444444444481E-2</v>
      </c>
      <c r="F3648" s="48">
        <v>0.2590277777777778</v>
      </c>
      <c r="G3648" s="49">
        <f t="shared" si="56"/>
        <v>2.7777777777777679E-3</v>
      </c>
      <c r="H3648" s="50">
        <v>41739</v>
      </c>
      <c r="I3648" s="51" t="s">
        <v>536</v>
      </c>
      <c r="J3648" s="51">
        <v>320</v>
      </c>
      <c r="K3648" s="51">
        <f>VLOOKUP(J3648,'Validacion reclamo de equipaje'!L:M,2,0)</f>
        <v>179</v>
      </c>
      <c r="L3648" s="51" t="str">
        <f>VLOOKUP(I3648,'Validacion reclamo de equipaje'!H:I,2,0)</f>
        <v>Nacional</v>
      </c>
      <c r="M3648" s="51" t="s">
        <v>523</v>
      </c>
    </row>
    <row r="3649" spans="1:13" x14ac:dyDescent="0.25">
      <c r="A3649">
        <v>4734</v>
      </c>
      <c r="B3649" s="47" t="str">
        <f>VLOOKUP(Tabla6[[#This Row],['# Vuelo]],'Validacion reclamo de equipaje'!P:Q,2,0)</f>
        <v>BARATA Y MORADA</v>
      </c>
      <c r="C3649" s="52">
        <v>0.24513888888888888</v>
      </c>
      <c r="D3649" s="52">
        <v>0.25625000000000003</v>
      </c>
      <c r="E3649" s="53">
        <f>'Reclamo de equipaje rediseñado'!$D3649-'Reclamo de equipaje rediseñado'!$C3649</f>
        <v>1.1111111111111155E-2</v>
      </c>
      <c r="F3649" s="52">
        <v>0.2590277777777778</v>
      </c>
      <c r="G3649" s="53">
        <f t="shared" si="56"/>
        <v>2.7777777777777679E-3</v>
      </c>
      <c r="H3649" s="54">
        <v>41739</v>
      </c>
      <c r="I3649" s="55" t="s">
        <v>536</v>
      </c>
      <c r="J3649" s="55">
        <v>320</v>
      </c>
      <c r="K3649" s="55">
        <f>VLOOKUP(J3649,'Validacion reclamo de equipaje'!L:M,2,0)</f>
        <v>179</v>
      </c>
      <c r="L3649" s="55" t="str">
        <f>VLOOKUP(I3649,'Validacion reclamo de equipaje'!H:I,2,0)</f>
        <v>Nacional</v>
      </c>
      <c r="M3649" s="55" t="s">
        <v>523</v>
      </c>
    </row>
    <row r="3650" spans="1:13" x14ac:dyDescent="0.25">
      <c r="A3650">
        <v>4734</v>
      </c>
      <c r="B3650" s="47" t="str">
        <f>VLOOKUP(Tabla6[[#This Row],['# Vuelo]],'Validacion reclamo de equipaje'!P:Q,2,0)</f>
        <v>BARATA Y MORADA</v>
      </c>
      <c r="C3650" s="48">
        <v>0.23611111111111113</v>
      </c>
      <c r="D3650" s="48">
        <v>0.24722222222222223</v>
      </c>
      <c r="E3650" s="49">
        <f>'Reclamo de equipaje rediseñado'!$D3650-'Reclamo de equipaje rediseñado'!$C3650</f>
        <v>1.1111111111111099E-2</v>
      </c>
      <c r="F3650" s="48">
        <v>0.25138888888888888</v>
      </c>
      <c r="G3650" s="49">
        <f t="shared" si="56"/>
        <v>4.1666666666666519E-3</v>
      </c>
      <c r="H3650" s="50">
        <v>41742</v>
      </c>
      <c r="I3650" s="51" t="s">
        <v>536</v>
      </c>
      <c r="J3650" s="51">
        <v>320</v>
      </c>
      <c r="K3650" s="51">
        <f>VLOOKUP(J3650,'Validacion reclamo de equipaje'!L:M,2,0)</f>
        <v>179</v>
      </c>
      <c r="L3650" s="51" t="str">
        <f>VLOOKUP(I3650,'Validacion reclamo de equipaje'!H:I,2,0)</f>
        <v>Nacional</v>
      </c>
      <c r="M3650" s="51" t="s">
        <v>523</v>
      </c>
    </row>
    <row r="3651" spans="1:13" x14ac:dyDescent="0.25">
      <c r="A3651">
        <v>4734</v>
      </c>
      <c r="B3651" s="47" t="str">
        <f>VLOOKUP(Tabla6[[#This Row],['# Vuelo]],'Validacion reclamo de equipaje'!P:Q,2,0)</f>
        <v>BARATA Y MORADA</v>
      </c>
      <c r="C3651" s="52">
        <v>0.23124999999999998</v>
      </c>
      <c r="D3651" s="52">
        <v>0.24374999999999999</v>
      </c>
      <c r="E3651" s="53">
        <f>'Reclamo de equipaje rediseñado'!$D3651-'Reclamo de equipaje rediseñado'!$C3651</f>
        <v>1.2500000000000011E-2</v>
      </c>
      <c r="F3651" s="52">
        <v>0.25069444444444444</v>
      </c>
      <c r="G3651" s="53">
        <f t="shared" ref="G3651:G3714" si="57">F3651-D3651</f>
        <v>6.9444444444444475E-3</v>
      </c>
      <c r="H3651" s="54">
        <v>41743</v>
      </c>
      <c r="I3651" s="55" t="s">
        <v>536</v>
      </c>
      <c r="J3651" s="55">
        <v>320</v>
      </c>
      <c r="K3651" s="55">
        <f>VLOOKUP(J3651,'Validacion reclamo de equipaje'!L:M,2,0)</f>
        <v>179</v>
      </c>
      <c r="L3651" s="55" t="str">
        <f>VLOOKUP(I3651,'Validacion reclamo de equipaje'!H:I,2,0)</f>
        <v>Nacional</v>
      </c>
      <c r="M3651" s="55" t="s">
        <v>523</v>
      </c>
    </row>
    <row r="3652" spans="1:13" x14ac:dyDescent="0.25">
      <c r="A3652">
        <v>4734</v>
      </c>
      <c r="B3652" s="47" t="str">
        <f>VLOOKUP(Tabla6[[#This Row],['# Vuelo]],'Validacion reclamo de equipaje'!P:Q,2,0)</f>
        <v>BARATA Y MORADA</v>
      </c>
      <c r="C3652" s="48">
        <v>0.23124999999999998</v>
      </c>
      <c r="D3652" s="48">
        <v>0.24444444444444446</v>
      </c>
      <c r="E3652" s="49">
        <f>'Reclamo de equipaje rediseñado'!$D3652-'Reclamo de equipaje rediseñado'!$C3652</f>
        <v>1.3194444444444481E-2</v>
      </c>
      <c r="F3652" s="48">
        <v>0.25</v>
      </c>
      <c r="G3652" s="49">
        <f t="shared" si="57"/>
        <v>5.5555555555555358E-3</v>
      </c>
      <c r="H3652" s="50">
        <v>41745</v>
      </c>
      <c r="I3652" s="51" t="s">
        <v>536</v>
      </c>
      <c r="J3652" s="51">
        <v>320</v>
      </c>
      <c r="K3652" s="51">
        <f>VLOOKUP(J3652,'Validacion reclamo de equipaje'!L:M,2,0)</f>
        <v>179</v>
      </c>
      <c r="L3652" s="51" t="str">
        <f>VLOOKUP(I3652,'Validacion reclamo de equipaje'!H:I,2,0)</f>
        <v>Nacional</v>
      </c>
      <c r="M3652" s="51" t="s">
        <v>523</v>
      </c>
    </row>
    <row r="3653" spans="1:13" x14ac:dyDescent="0.25">
      <c r="A3653">
        <v>4734</v>
      </c>
      <c r="B3653" s="47" t="str">
        <f>VLOOKUP(Tabla6[[#This Row],['# Vuelo]],'Validacion reclamo de equipaje'!P:Q,2,0)</f>
        <v>BARATA Y MORADA</v>
      </c>
      <c r="C3653" s="52">
        <v>0.23333333333333331</v>
      </c>
      <c r="D3653" s="52">
        <v>0.24166666666666667</v>
      </c>
      <c r="E3653" s="53">
        <f>'Reclamo de equipaje rediseñado'!$D3653-'Reclamo de equipaje rediseñado'!$C3653</f>
        <v>8.3333333333333592E-3</v>
      </c>
      <c r="F3653" s="52">
        <v>0.25416666666666665</v>
      </c>
      <c r="G3653" s="53">
        <f t="shared" si="57"/>
        <v>1.2499999999999983E-2</v>
      </c>
      <c r="H3653" s="54">
        <v>41746</v>
      </c>
      <c r="I3653" s="55" t="s">
        <v>536</v>
      </c>
      <c r="J3653" s="55">
        <v>320</v>
      </c>
      <c r="K3653" s="55">
        <f>VLOOKUP(J3653,'Validacion reclamo de equipaje'!L:M,2,0)</f>
        <v>179</v>
      </c>
      <c r="L3653" s="55" t="str">
        <f>VLOOKUP(I3653,'Validacion reclamo de equipaje'!H:I,2,0)</f>
        <v>Nacional</v>
      </c>
      <c r="M3653" s="55" t="s">
        <v>523</v>
      </c>
    </row>
    <row r="3654" spans="1:13" x14ac:dyDescent="0.25">
      <c r="A3654">
        <v>4734</v>
      </c>
      <c r="B3654" s="47" t="str">
        <f>VLOOKUP(Tabla6[[#This Row],['# Vuelo]],'Validacion reclamo de equipaje'!P:Q,2,0)</f>
        <v>BARATA Y MORADA</v>
      </c>
      <c r="C3654" s="48">
        <v>0.23263888888888887</v>
      </c>
      <c r="D3654" s="48">
        <v>0.23819444444444446</v>
      </c>
      <c r="E3654" s="49">
        <f>'Reclamo de equipaje rediseñado'!$D3654-'Reclamo de equipaje rediseñado'!$C3654</f>
        <v>5.5555555555555913E-3</v>
      </c>
      <c r="F3654" s="48">
        <v>0.24513888888888888</v>
      </c>
      <c r="G3654" s="49">
        <f t="shared" si="57"/>
        <v>6.9444444444444198E-3</v>
      </c>
      <c r="H3654" s="50">
        <v>41751</v>
      </c>
      <c r="I3654" s="51" t="s">
        <v>536</v>
      </c>
      <c r="J3654" s="51">
        <v>320</v>
      </c>
      <c r="K3654" s="51">
        <f>VLOOKUP(J3654,'Validacion reclamo de equipaje'!L:M,2,0)</f>
        <v>179</v>
      </c>
      <c r="L3654" s="51" t="str">
        <f>VLOOKUP(I3654,'Validacion reclamo de equipaje'!H:I,2,0)</f>
        <v>Nacional</v>
      </c>
      <c r="M3654" s="51" t="s">
        <v>523</v>
      </c>
    </row>
    <row r="3655" spans="1:13" x14ac:dyDescent="0.25">
      <c r="A3655">
        <v>4734</v>
      </c>
      <c r="B3655" s="47" t="str">
        <f>VLOOKUP(Tabla6[[#This Row],['# Vuelo]],'Validacion reclamo de equipaje'!P:Q,2,0)</f>
        <v>BARATA Y MORADA</v>
      </c>
      <c r="C3655" s="52">
        <v>0.24374999999999999</v>
      </c>
      <c r="D3655" s="52">
        <v>0.25347222222222221</v>
      </c>
      <c r="E3655" s="53">
        <f>'Reclamo de equipaje rediseñado'!$D3655-'Reclamo de equipaje rediseñado'!$C3655</f>
        <v>9.7222222222222154E-3</v>
      </c>
      <c r="F3655" s="52">
        <v>0.26041666666666669</v>
      </c>
      <c r="G3655" s="53">
        <f t="shared" si="57"/>
        <v>6.9444444444444753E-3</v>
      </c>
      <c r="H3655" s="54">
        <v>41753</v>
      </c>
      <c r="I3655" s="55" t="s">
        <v>536</v>
      </c>
      <c r="J3655" s="55">
        <v>320</v>
      </c>
      <c r="K3655" s="55">
        <f>VLOOKUP(J3655,'Validacion reclamo de equipaje'!L:M,2,0)</f>
        <v>179</v>
      </c>
      <c r="L3655" s="55" t="str">
        <f>VLOOKUP(I3655,'Validacion reclamo de equipaje'!H:I,2,0)</f>
        <v>Nacional</v>
      </c>
      <c r="M3655" s="55" t="s">
        <v>523</v>
      </c>
    </row>
    <row r="3656" spans="1:13" x14ac:dyDescent="0.25">
      <c r="A3656">
        <v>4734</v>
      </c>
      <c r="B3656" s="47" t="str">
        <f>VLOOKUP(Tabla6[[#This Row],['# Vuelo]],'Validacion reclamo de equipaje'!P:Q,2,0)</f>
        <v>BARATA Y MORADA</v>
      </c>
      <c r="C3656" s="48">
        <v>0.27361111111111108</v>
      </c>
      <c r="D3656" s="48">
        <v>0.29166666666666669</v>
      </c>
      <c r="E3656" s="49">
        <f>'Reclamo de equipaje rediseñado'!$D3656-'Reclamo de equipaje rediseñado'!$C3656</f>
        <v>1.8055555555555602E-2</v>
      </c>
      <c r="F3656" s="48">
        <v>0.30416666666666664</v>
      </c>
      <c r="G3656" s="49">
        <f t="shared" si="57"/>
        <v>1.2499999999999956E-2</v>
      </c>
      <c r="H3656" s="50">
        <v>41757</v>
      </c>
      <c r="I3656" s="51" t="s">
        <v>536</v>
      </c>
      <c r="J3656" s="51">
        <v>320</v>
      </c>
      <c r="K3656" s="51">
        <f>VLOOKUP(J3656,'Validacion reclamo de equipaje'!L:M,2,0)</f>
        <v>179</v>
      </c>
      <c r="L3656" s="51" t="str">
        <f>VLOOKUP(I3656,'Validacion reclamo de equipaje'!H:I,2,0)</f>
        <v>Nacional</v>
      </c>
      <c r="M3656" s="51" t="s">
        <v>523</v>
      </c>
    </row>
    <row r="3657" spans="1:13" x14ac:dyDescent="0.25">
      <c r="A3657">
        <v>4734</v>
      </c>
      <c r="B3657" s="47" t="str">
        <f>VLOOKUP(Tabla6[[#This Row],['# Vuelo]],'Validacion reclamo de equipaje'!P:Q,2,0)</f>
        <v>BARATA Y MORADA</v>
      </c>
      <c r="C3657" s="52">
        <v>0.23680555555555557</v>
      </c>
      <c r="D3657" s="52">
        <v>0.24513888888888888</v>
      </c>
      <c r="E3657" s="53">
        <f>'Reclamo de equipaje rediseñado'!$D3657-'Reclamo de equipaje rediseñado'!$C3657</f>
        <v>8.3333333333333037E-3</v>
      </c>
      <c r="F3657" s="52">
        <v>0.24930555555555556</v>
      </c>
      <c r="G3657" s="53">
        <f t="shared" si="57"/>
        <v>4.1666666666666796E-3</v>
      </c>
      <c r="H3657" s="54">
        <v>41759</v>
      </c>
      <c r="I3657" s="55" t="s">
        <v>536</v>
      </c>
      <c r="J3657" s="55">
        <v>320</v>
      </c>
      <c r="K3657" s="55">
        <f>VLOOKUP(J3657,'Validacion reclamo de equipaje'!L:M,2,0)</f>
        <v>179</v>
      </c>
      <c r="L3657" s="55" t="str">
        <f>VLOOKUP(I3657,'Validacion reclamo de equipaje'!H:I,2,0)</f>
        <v>Nacional</v>
      </c>
      <c r="M3657" s="55" t="s">
        <v>523</v>
      </c>
    </row>
    <row r="3658" spans="1:13" x14ac:dyDescent="0.25">
      <c r="A3658">
        <v>4734</v>
      </c>
      <c r="B3658" s="47" t="str">
        <f>VLOOKUP(Tabla6[[#This Row],['# Vuelo]],'Validacion reclamo de equipaje'!P:Q,2,0)</f>
        <v>BARATA Y MORADA</v>
      </c>
      <c r="C3658" s="48">
        <v>0.23819444444444446</v>
      </c>
      <c r="D3658" s="48">
        <v>0.25</v>
      </c>
      <c r="E3658" s="49">
        <f>'Reclamo de equipaje rediseñado'!$D3658-'Reclamo de equipaje rediseñado'!$C3658</f>
        <v>1.1805555555555541E-2</v>
      </c>
      <c r="F3658" s="48">
        <v>0.26180555555555557</v>
      </c>
      <c r="G3658" s="49">
        <f t="shared" si="57"/>
        <v>1.1805555555555569E-2</v>
      </c>
      <c r="H3658" s="50">
        <v>41759</v>
      </c>
      <c r="I3658" s="51" t="s">
        <v>536</v>
      </c>
      <c r="J3658" s="51">
        <v>320</v>
      </c>
      <c r="K3658" s="51">
        <f>VLOOKUP(J3658,'Validacion reclamo de equipaje'!L:M,2,0)</f>
        <v>179</v>
      </c>
      <c r="L3658" s="51" t="str">
        <f>VLOOKUP(I3658,'Validacion reclamo de equipaje'!H:I,2,0)</f>
        <v>Nacional</v>
      </c>
      <c r="M3658" s="51" t="s">
        <v>523</v>
      </c>
    </row>
    <row r="3659" spans="1:13" x14ac:dyDescent="0.25">
      <c r="A3659">
        <v>4734</v>
      </c>
      <c r="B3659" s="47" t="str">
        <f>VLOOKUP(Tabla6[[#This Row],['# Vuelo]],'Validacion reclamo de equipaje'!P:Q,2,0)</f>
        <v>BARATA Y MORADA</v>
      </c>
      <c r="C3659" s="52">
        <v>0.24166666666666667</v>
      </c>
      <c r="D3659" s="52">
        <v>0.25208333333333333</v>
      </c>
      <c r="E3659" s="53">
        <f>'Reclamo de equipaje rediseñado'!$D3659-'Reclamo de equipaje rediseñado'!$C3659</f>
        <v>1.0416666666666657E-2</v>
      </c>
      <c r="F3659" s="52">
        <v>0.25625000000000003</v>
      </c>
      <c r="G3659" s="53">
        <f t="shared" si="57"/>
        <v>4.1666666666667074E-3</v>
      </c>
      <c r="H3659" s="54">
        <v>41732</v>
      </c>
      <c r="I3659" s="55" t="s">
        <v>536</v>
      </c>
      <c r="J3659" s="55">
        <v>320</v>
      </c>
      <c r="K3659" s="55">
        <f>VLOOKUP(J3659,'Validacion reclamo de equipaje'!L:M,2,0)</f>
        <v>179</v>
      </c>
      <c r="L3659" s="55" t="str">
        <f>VLOOKUP(I3659,'Validacion reclamo de equipaje'!H:I,2,0)</f>
        <v>Nacional</v>
      </c>
      <c r="M3659" s="55" t="s">
        <v>523</v>
      </c>
    </row>
    <row r="3660" spans="1:13" x14ac:dyDescent="0.25">
      <c r="A3660">
        <v>5422</v>
      </c>
      <c r="B3660" s="47" t="str">
        <f>VLOOKUP(Tabla6[[#This Row],['# Vuelo]],'Validacion reclamo de equipaje'!P:Q,2,0)</f>
        <v>BARATA Y MORADA</v>
      </c>
      <c r="C3660" s="48">
        <v>0.27430555555555552</v>
      </c>
      <c r="D3660" s="48">
        <v>0.28819444444444448</v>
      </c>
      <c r="E3660" s="49">
        <f>'Reclamo de equipaje rediseñado'!$D3660-'Reclamo de equipaje rediseñado'!$C3660</f>
        <v>1.3888888888888951E-2</v>
      </c>
      <c r="F3660" s="48">
        <v>0.2951388888888889</v>
      </c>
      <c r="G3660" s="49">
        <f t="shared" si="57"/>
        <v>6.9444444444444198E-3</v>
      </c>
      <c r="H3660" s="50">
        <v>41738</v>
      </c>
      <c r="I3660" s="51" t="s">
        <v>549</v>
      </c>
      <c r="J3660" s="51">
        <v>320</v>
      </c>
      <c r="K3660" s="51">
        <f>VLOOKUP(J3660,'Validacion reclamo de equipaje'!L:M,2,0)</f>
        <v>179</v>
      </c>
      <c r="L3660" s="51" t="str">
        <f>VLOOKUP(I3660,'Validacion reclamo de equipaje'!H:I,2,0)</f>
        <v>Nacional</v>
      </c>
      <c r="M3660" s="51" t="s">
        <v>523</v>
      </c>
    </row>
    <row r="3661" spans="1:13" x14ac:dyDescent="0.25">
      <c r="A3661">
        <v>5422</v>
      </c>
      <c r="B3661" s="47" t="str">
        <f>VLOOKUP(Tabla6[[#This Row],['# Vuelo]],'Validacion reclamo de equipaje'!P:Q,2,0)</f>
        <v>BARATA Y MORADA</v>
      </c>
      <c r="C3661" s="52">
        <v>0.27499999999999997</v>
      </c>
      <c r="D3661" s="52">
        <v>0.28263888888888888</v>
      </c>
      <c r="E3661" s="53">
        <f>'Reclamo de equipaje rediseñado'!$D3661-'Reclamo de equipaje rediseñado'!$C3661</f>
        <v>7.6388888888889173E-3</v>
      </c>
      <c r="F3661" s="52">
        <v>0.29097222222222224</v>
      </c>
      <c r="G3661" s="53">
        <f t="shared" si="57"/>
        <v>8.3333333333333592E-3</v>
      </c>
      <c r="H3661" s="54">
        <v>41749</v>
      </c>
      <c r="I3661" s="55" t="s">
        <v>549</v>
      </c>
      <c r="J3661" s="55">
        <v>320</v>
      </c>
      <c r="K3661" s="55">
        <f>VLOOKUP(J3661,'Validacion reclamo de equipaje'!L:M,2,0)</f>
        <v>179</v>
      </c>
      <c r="L3661" s="55" t="str">
        <f>VLOOKUP(I3661,'Validacion reclamo de equipaje'!H:I,2,0)</f>
        <v>Nacional</v>
      </c>
      <c r="M3661" s="55" t="s">
        <v>523</v>
      </c>
    </row>
    <row r="3662" spans="1:13" x14ac:dyDescent="0.25">
      <c r="A3662">
        <v>5422</v>
      </c>
      <c r="B3662" s="47" t="str">
        <f>VLOOKUP(Tabla6[[#This Row],['# Vuelo]],'Validacion reclamo de equipaje'!P:Q,2,0)</f>
        <v>BARATA Y MORADA</v>
      </c>
      <c r="C3662" s="48">
        <v>0.27569444444444446</v>
      </c>
      <c r="D3662" s="48">
        <v>0.28263888888888888</v>
      </c>
      <c r="E3662" s="49">
        <f>'Reclamo de equipaje rediseñado'!$D3662-'Reclamo de equipaje rediseñado'!$C3662</f>
        <v>6.9444444444444198E-3</v>
      </c>
      <c r="F3662" s="48">
        <v>0.2986111111111111</v>
      </c>
      <c r="G3662" s="49">
        <f t="shared" si="57"/>
        <v>1.5972222222222221E-2</v>
      </c>
      <c r="H3662" s="50">
        <v>41755</v>
      </c>
      <c r="I3662" s="51" t="s">
        <v>549</v>
      </c>
      <c r="J3662" s="51">
        <v>320</v>
      </c>
      <c r="K3662" s="51">
        <f>VLOOKUP(J3662,'Validacion reclamo de equipaje'!L:M,2,0)</f>
        <v>179</v>
      </c>
      <c r="L3662" s="51" t="str">
        <f>VLOOKUP(I3662,'Validacion reclamo de equipaje'!H:I,2,0)</f>
        <v>Nacional</v>
      </c>
      <c r="M3662" s="51" t="s">
        <v>523</v>
      </c>
    </row>
    <row r="3663" spans="1:13" x14ac:dyDescent="0.25">
      <c r="A3663">
        <v>5424</v>
      </c>
      <c r="B3663" s="47" t="str">
        <f>VLOOKUP(Tabla6[[#This Row],['# Vuelo]],'Validacion reclamo de equipaje'!P:Q,2,0)</f>
        <v>BARATA Y MORADA</v>
      </c>
      <c r="C3663" s="52">
        <v>0.66875000000000007</v>
      </c>
      <c r="D3663" s="52">
        <v>0.6777777777777777</v>
      </c>
      <c r="E3663" s="53">
        <f>'Reclamo de equipaje rediseñado'!$D3663-'Reclamo de equipaje rediseñado'!$C3663</f>
        <v>9.0277777777776347E-3</v>
      </c>
      <c r="F3663" s="52">
        <v>0.69097222222222221</v>
      </c>
      <c r="G3663" s="53">
        <f t="shared" si="57"/>
        <v>1.3194444444444509E-2</v>
      </c>
      <c r="H3663" s="54">
        <v>41735</v>
      </c>
      <c r="I3663" s="55" t="s">
        <v>549</v>
      </c>
      <c r="J3663" s="55" t="s">
        <v>572</v>
      </c>
      <c r="K3663" s="55">
        <f>VLOOKUP(J3663,'Validacion reclamo de equipaje'!L:M,2,0)</f>
        <v>142</v>
      </c>
      <c r="L3663" s="55" t="str">
        <f>VLOOKUP(I3663,'Validacion reclamo de equipaje'!H:I,2,0)</f>
        <v>Nacional</v>
      </c>
      <c r="M3663" s="55" t="s">
        <v>523</v>
      </c>
    </row>
    <row r="3664" spans="1:13" x14ac:dyDescent="0.25">
      <c r="A3664">
        <v>5424</v>
      </c>
      <c r="B3664" s="47" t="str">
        <f>VLOOKUP(Tabla6[[#This Row],['# Vuelo]],'Validacion reclamo de equipaje'!P:Q,2,0)</f>
        <v>BARATA Y MORADA</v>
      </c>
      <c r="C3664" s="48">
        <v>0.66666666666666663</v>
      </c>
      <c r="D3664" s="48">
        <v>0.6791666666666667</v>
      </c>
      <c r="E3664" s="49">
        <f>'Reclamo de equipaje rediseñado'!$D3664-'Reclamo de equipaje rediseñado'!$C3664</f>
        <v>1.2500000000000067E-2</v>
      </c>
      <c r="F3664" s="48">
        <v>0.68541666666666667</v>
      </c>
      <c r="G3664" s="49">
        <f t="shared" si="57"/>
        <v>6.2499999999999778E-3</v>
      </c>
      <c r="H3664" s="50">
        <v>41745</v>
      </c>
      <c r="I3664" s="51" t="s">
        <v>549</v>
      </c>
      <c r="J3664" s="51" t="s">
        <v>572</v>
      </c>
      <c r="K3664" s="51">
        <f>VLOOKUP(J3664,'Validacion reclamo de equipaje'!L:M,2,0)</f>
        <v>142</v>
      </c>
      <c r="L3664" s="51" t="str">
        <f>VLOOKUP(I3664,'Validacion reclamo de equipaje'!H:I,2,0)</f>
        <v>Nacional</v>
      </c>
      <c r="M3664" s="51" t="s">
        <v>523</v>
      </c>
    </row>
    <row r="3665" spans="1:13" x14ac:dyDescent="0.25">
      <c r="A3665">
        <v>5424</v>
      </c>
      <c r="B3665" s="47" t="str">
        <f>VLOOKUP(Tabla6[[#This Row],['# Vuelo]],'Validacion reclamo de equipaje'!P:Q,2,0)</f>
        <v>BARATA Y MORADA</v>
      </c>
      <c r="C3665" s="52">
        <v>0.66111111111111109</v>
      </c>
      <c r="D3665" s="52">
        <v>0.67638888888888893</v>
      </c>
      <c r="E3665" s="53">
        <f>'Reclamo de equipaje rediseñado'!$D3665-'Reclamo de equipaje rediseñado'!$C3665</f>
        <v>1.5277777777777835E-2</v>
      </c>
      <c r="F3665" s="52">
        <v>0.68611111111111101</v>
      </c>
      <c r="G3665" s="53">
        <f t="shared" si="57"/>
        <v>9.7222222222220767E-3</v>
      </c>
      <c r="H3665" s="54">
        <v>41749</v>
      </c>
      <c r="I3665" s="55" t="s">
        <v>549</v>
      </c>
      <c r="J3665" s="55" t="s">
        <v>572</v>
      </c>
      <c r="K3665" s="55">
        <f>VLOOKUP(J3665,'Validacion reclamo de equipaje'!L:M,2,0)</f>
        <v>142</v>
      </c>
      <c r="L3665" s="55" t="str">
        <f>VLOOKUP(I3665,'Validacion reclamo de equipaje'!H:I,2,0)</f>
        <v>Nacional</v>
      </c>
      <c r="M3665" s="55" t="s">
        <v>523</v>
      </c>
    </row>
    <row r="3666" spans="1:13" x14ac:dyDescent="0.25">
      <c r="A3666">
        <v>5424</v>
      </c>
      <c r="B3666" s="47" t="str">
        <f>VLOOKUP(Tabla6[[#This Row],['# Vuelo]],'Validacion reclamo de equipaje'!P:Q,2,0)</f>
        <v>BARATA Y MORADA</v>
      </c>
      <c r="C3666" s="48">
        <v>0.67986111111111114</v>
      </c>
      <c r="D3666" s="48">
        <v>0.69166666666666676</v>
      </c>
      <c r="E3666" s="49">
        <f>'Reclamo de equipaje rediseñado'!$D3666-'Reclamo de equipaje rediseñado'!$C3666</f>
        <v>1.1805555555555625E-2</v>
      </c>
      <c r="F3666" s="48">
        <v>0.70138888888888884</v>
      </c>
      <c r="G3666" s="49">
        <f t="shared" si="57"/>
        <v>9.7222222222220767E-3</v>
      </c>
      <c r="H3666" s="50">
        <v>41756</v>
      </c>
      <c r="I3666" s="51" t="s">
        <v>549</v>
      </c>
      <c r="J3666" s="51" t="s">
        <v>572</v>
      </c>
      <c r="K3666" s="51">
        <f>VLOOKUP(J3666,'Validacion reclamo de equipaje'!L:M,2,0)</f>
        <v>142</v>
      </c>
      <c r="L3666" s="51" t="str">
        <f>VLOOKUP(I3666,'Validacion reclamo de equipaje'!H:I,2,0)</f>
        <v>Nacional</v>
      </c>
      <c r="M3666" s="51" t="s">
        <v>523</v>
      </c>
    </row>
    <row r="3667" spans="1:13" x14ac:dyDescent="0.25">
      <c r="A3667">
        <v>5428</v>
      </c>
      <c r="B3667" s="47" t="str">
        <f>VLOOKUP(Tabla6[[#This Row],['# Vuelo]],'Validacion reclamo de equipaje'!P:Q,2,0)</f>
        <v>BARATA Y MORADA</v>
      </c>
      <c r="C3667" s="52">
        <v>0.85833333333333339</v>
      </c>
      <c r="D3667" s="52">
        <v>0.86249999999999993</v>
      </c>
      <c r="E3667" s="53">
        <f>'Reclamo de equipaje rediseñado'!$D3667-'Reclamo de equipaje rediseñado'!$C3667</f>
        <v>4.1666666666665408E-3</v>
      </c>
      <c r="F3667" s="52">
        <v>0.87638888888888899</v>
      </c>
      <c r="G3667" s="53">
        <f t="shared" si="57"/>
        <v>1.3888888888889062E-2</v>
      </c>
      <c r="H3667" s="54">
        <v>41739</v>
      </c>
      <c r="I3667" s="55" t="s">
        <v>549</v>
      </c>
      <c r="J3667" s="55" t="s">
        <v>612</v>
      </c>
      <c r="K3667" s="55">
        <f>VLOOKUP(J3667,'Validacion reclamo de equipaje'!L:M,2,0)</f>
        <v>142</v>
      </c>
      <c r="L3667" s="55" t="str">
        <f>VLOOKUP(I3667,'Validacion reclamo de equipaje'!H:I,2,0)</f>
        <v>Nacional</v>
      </c>
      <c r="M3667" s="55" t="s">
        <v>523</v>
      </c>
    </row>
    <row r="3668" spans="1:13" x14ac:dyDescent="0.25">
      <c r="A3668">
        <v>5428</v>
      </c>
      <c r="B3668" s="47" t="str">
        <f>VLOOKUP(Tabla6[[#This Row],['# Vuelo]],'Validacion reclamo de equipaje'!P:Q,2,0)</f>
        <v>BARATA Y MORADA</v>
      </c>
      <c r="C3668" s="48">
        <v>0.86736111111111114</v>
      </c>
      <c r="D3668" s="48">
        <v>0.8847222222222223</v>
      </c>
      <c r="E3668" s="49">
        <f>'Reclamo de equipaje rediseñado'!$D3668-'Reclamo de equipaje rediseñado'!$C3668</f>
        <v>1.736111111111116E-2</v>
      </c>
      <c r="F3668" s="48">
        <v>0.89583333333333337</v>
      </c>
      <c r="G3668" s="49">
        <f t="shared" si="57"/>
        <v>1.1111111111111072E-2</v>
      </c>
      <c r="H3668" s="50">
        <v>41753</v>
      </c>
      <c r="I3668" s="51" t="s">
        <v>549</v>
      </c>
      <c r="J3668" s="51" t="s">
        <v>612</v>
      </c>
      <c r="K3668" s="51">
        <f>VLOOKUP(J3668,'Validacion reclamo de equipaje'!L:M,2,0)</f>
        <v>142</v>
      </c>
      <c r="L3668" s="51" t="str">
        <f>VLOOKUP(I3668,'Validacion reclamo de equipaje'!H:I,2,0)</f>
        <v>Nacional</v>
      </c>
      <c r="M3668" s="51" t="s">
        <v>523</v>
      </c>
    </row>
    <row r="3669" spans="1:13" x14ac:dyDescent="0.25">
      <c r="A3669">
        <v>5436</v>
      </c>
      <c r="B3669" s="47" t="str">
        <f>VLOOKUP(Tabla6[[#This Row],['# Vuelo]],'Validacion reclamo de equipaje'!P:Q,2,0)</f>
        <v>BARATA Y MORADA</v>
      </c>
      <c r="C3669" s="52">
        <v>0.98888888888888893</v>
      </c>
      <c r="D3669" s="52">
        <v>0.99930555555555556</v>
      </c>
      <c r="E3669" s="53">
        <f>'Reclamo de equipaje rediseñado'!$D3669-'Reclamo de equipaje rediseñado'!$C3669</f>
        <v>1.041666666666663E-2</v>
      </c>
      <c r="F3669" s="52">
        <v>1.0034722222222221</v>
      </c>
      <c r="G3669" s="53">
        <f t="shared" si="57"/>
        <v>4.1666666666665408E-3</v>
      </c>
      <c r="H3669" s="54">
        <v>41734</v>
      </c>
      <c r="I3669" s="55" t="s">
        <v>549</v>
      </c>
      <c r="J3669" s="55">
        <v>320</v>
      </c>
      <c r="K3669" s="55">
        <f>VLOOKUP(J3669,'Validacion reclamo de equipaje'!L:M,2,0)</f>
        <v>179</v>
      </c>
      <c r="L3669" s="55" t="str">
        <f>VLOOKUP(I3669,'Validacion reclamo de equipaje'!H:I,2,0)</f>
        <v>Nacional</v>
      </c>
      <c r="M3669" s="55" t="s">
        <v>523</v>
      </c>
    </row>
    <row r="3670" spans="1:13" x14ac:dyDescent="0.25">
      <c r="A3670">
        <v>5438</v>
      </c>
      <c r="B3670" s="47" t="str">
        <f>VLOOKUP(Tabla6[[#This Row],['# Vuelo]],'Validacion reclamo de equipaje'!P:Q,2,0)</f>
        <v>BARATA Y MORADA</v>
      </c>
      <c r="C3670" s="48">
        <v>0.55625000000000002</v>
      </c>
      <c r="D3670" s="48">
        <v>0.56527777777777777</v>
      </c>
      <c r="E3670" s="49">
        <f>'Reclamo de equipaje rediseñado'!$D3670-'Reclamo de equipaje rediseñado'!$C3670</f>
        <v>9.0277777777777457E-3</v>
      </c>
      <c r="F3670" s="48">
        <v>0.57291666666666663</v>
      </c>
      <c r="G3670" s="49">
        <f t="shared" si="57"/>
        <v>7.6388888888888618E-3</v>
      </c>
      <c r="H3670" s="50">
        <v>41731</v>
      </c>
      <c r="I3670" s="51" t="s">
        <v>549</v>
      </c>
      <c r="J3670" s="51">
        <v>320</v>
      </c>
      <c r="K3670" s="51">
        <f>VLOOKUP(J3670,'Validacion reclamo de equipaje'!L:M,2,0)</f>
        <v>179</v>
      </c>
      <c r="L3670" s="51" t="str">
        <f>VLOOKUP(I3670,'Validacion reclamo de equipaje'!H:I,2,0)</f>
        <v>Nacional</v>
      </c>
      <c r="M3670" s="51" t="s">
        <v>523</v>
      </c>
    </row>
    <row r="3671" spans="1:13" x14ac:dyDescent="0.25">
      <c r="A3671">
        <v>5438</v>
      </c>
      <c r="B3671" s="47" t="str">
        <f>VLOOKUP(Tabla6[[#This Row],['# Vuelo]],'Validacion reclamo de equipaje'!P:Q,2,0)</f>
        <v>BARATA Y MORADA</v>
      </c>
      <c r="C3671" s="52">
        <v>0.56388888888888888</v>
      </c>
      <c r="D3671" s="52">
        <v>0.56805555555555554</v>
      </c>
      <c r="E3671" s="53">
        <f>'Reclamo de equipaje rediseñado'!$D3671-'Reclamo de equipaje rediseñado'!$C3671</f>
        <v>4.1666666666666519E-3</v>
      </c>
      <c r="F3671" s="52">
        <v>0.58680555555555558</v>
      </c>
      <c r="G3671" s="53">
        <f t="shared" si="57"/>
        <v>1.8750000000000044E-2</v>
      </c>
      <c r="H3671" s="54">
        <v>41738</v>
      </c>
      <c r="I3671" s="55" t="s">
        <v>549</v>
      </c>
      <c r="J3671" s="55">
        <v>320</v>
      </c>
      <c r="K3671" s="55">
        <f>VLOOKUP(J3671,'Validacion reclamo de equipaje'!L:M,2,0)</f>
        <v>179</v>
      </c>
      <c r="L3671" s="55" t="str">
        <f>VLOOKUP(I3671,'Validacion reclamo de equipaje'!H:I,2,0)</f>
        <v>Nacional</v>
      </c>
      <c r="M3671" s="55" t="s">
        <v>523</v>
      </c>
    </row>
    <row r="3672" spans="1:13" x14ac:dyDescent="0.25">
      <c r="A3672">
        <v>5438</v>
      </c>
      <c r="B3672" s="47" t="str">
        <f>VLOOKUP(Tabla6[[#This Row],['# Vuelo]],'Validacion reclamo de equipaje'!P:Q,2,0)</f>
        <v>BARATA Y MORADA</v>
      </c>
      <c r="C3672" s="48">
        <v>0.56388888888888888</v>
      </c>
      <c r="D3672" s="48">
        <v>0.56944444444444442</v>
      </c>
      <c r="E3672" s="49">
        <f>'Reclamo de equipaje rediseñado'!$D3672-'Reclamo de equipaje rediseñado'!$C3672</f>
        <v>5.5555555555555358E-3</v>
      </c>
      <c r="F3672" s="48">
        <v>0.58333333333333337</v>
      </c>
      <c r="G3672" s="49">
        <f t="shared" si="57"/>
        <v>1.3888888888888951E-2</v>
      </c>
      <c r="H3672" s="50">
        <v>41758</v>
      </c>
      <c r="I3672" s="51" t="s">
        <v>549</v>
      </c>
      <c r="J3672" s="51">
        <v>320</v>
      </c>
      <c r="K3672" s="51">
        <f>VLOOKUP(J3672,'Validacion reclamo de equipaje'!L:M,2,0)</f>
        <v>179</v>
      </c>
      <c r="L3672" s="51" t="str">
        <f>VLOOKUP(I3672,'Validacion reclamo de equipaje'!H:I,2,0)</f>
        <v>Nacional</v>
      </c>
      <c r="M3672" s="51" t="s">
        <v>523</v>
      </c>
    </row>
    <row r="3673" spans="1:13" x14ac:dyDescent="0.25">
      <c r="A3673">
        <v>5438</v>
      </c>
      <c r="B3673" s="47" t="str">
        <f>VLOOKUP(Tabla6[[#This Row],['# Vuelo]],'Validacion reclamo de equipaje'!P:Q,2,0)</f>
        <v>BARATA Y MORADA</v>
      </c>
      <c r="C3673" s="52">
        <v>0.56874999999999998</v>
      </c>
      <c r="D3673" s="52">
        <v>0.57361111111111118</v>
      </c>
      <c r="E3673" s="53">
        <f>'Reclamo de equipaje rediseñado'!$D3673-'Reclamo de equipaje rediseñado'!$C3673</f>
        <v>4.8611111111112049E-3</v>
      </c>
      <c r="F3673" s="52">
        <v>0.5854166666666667</v>
      </c>
      <c r="G3673" s="53">
        <f t="shared" si="57"/>
        <v>1.1805555555555514E-2</v>
      </c>
      <c r="H3673" s="54">
        <v>41759</v>
      </c>
      <c r="I3673" s="55" t="s">
        <v>549</v>
      </c>
      <c r="J3673" s="55">
        <v>320</v>
      </c>
      <c r="K3673" s="55">
        <f>VLOOKUP(J3673,'Validacion reclamo de equipaje'!L:M,2,0)</f>
        <v>179</v>
      </c>
      <c r="L3673" s="55" t="str">
        <f>VLOOKUP(I3673,'Validacion reclamo de equipaje'!H:I,2,0)</f>
        <v>Nacional</v>
      </c>
      <c r="M3673" s="55" t="s">
        <v>523</v>
      </c>
    </row>
    <row r="3674" spans="1:13" x14ac:dyDescent="0.25">
      <c r="A3674">
        <v>6813</v>
      </c>
      <c r="B3674" s="47" t="str">
        <f>VLOOKUP(Tabla6[[#This Row],['# Vuelo]],'Validacion reclamo de equipaje'!P:Q,2,0)</f>
        <v>BARATA Y MORADA</v>
      </c>
      <c r="C3674" s="48">
        <v>0.94444444444444453</v>
      </c>
      <c r="D3674" s="48">
        <v>0.94791666666666663</v>
      </c>
      <c r="E3674" s="49">
        <f>'Reclamo de equipaje rediseñado'!$D3674-'Reclamo de equipaje rediseñado'!$C3674</f>
        <v>3.4722222222220989E-3</v>
      </c>
      <c r="F3674" s="48">
        <v>0.95138888888888884</v>
      </c>
      <c r="G3674" s="49">
        <f t="shared" si="57"/>
        <v>3.4722222222222099E-3</v>
      </c>
      <c r="H3674" s="50">
        <v>41730</v>
      </c>
      <c r="I3674" s="51" t="s">
        <v>549</v>
      </c>
      <c r="J3674" s="51" t="s">
        <v>614</v>
      </c>
      <c r="K3674" s="51" t="e">
        <f>VLOOKUP(J3674,'Validacion reclamo de equipaje'!L:M,2,0)</f>
        <v>#N/A</v>
      </c>
      <c r="L3674" s="51" t="str">
        <f>VLOOKUP(I3674,'Validacion reclamo de equipaje'!H:I,2,0)</f>
        <v>Nacional</v>
      </c>
      <c r="M3674" s="51" t="s">
        <v>523</v>
      </c>
    </row>
    <row r="3675" spans="1:13" x14ac:dyDescent="0.25">
      <c r="A3675">
        <v>6813</v>
      </c>
      <c r="B3675" s="47" t="str">
        <f>VLOOKUP(Tabla6[[#This Row],['# Vuelo]],'Validacion reclamo de equipaje'!P:Q,2,0)</f>
        <v>BARATA Y MORADA</v>
      </c>
      <c r="C3675" s="52">
        <v>0.9291666666666667</v>
      </c>
      <c r="D3675" s="52">
        <v>0.9506944444444444</v>
      </c>
      <c r="E3675" s="53">
        <f>'Reclamo de equipaje rediseñado'!$D3675-'Reclamo de equipaje rediseñado'!$C3675</f>
        <v>2.1527777777777701E-2</v>
      </c>
      <c r="F3675" s="52">
        <v>0.95416666666666661</v>
      </c>
      <c r="G3675" s="53">
        <f t="shared" si="57"/>
        <v>3.4722222222222099E-3</v>
      </c>
      <c r="H3675" s="54">
        <v>41731</v>
      </c>
      <c r="I3675" s="55" t="s">
        <v>549</v>
      </c>
      <c r="J3675" s="55" t="s">
        <v>614</v>
      </c>
      <c r="K3675" s="55" t="e">
        <f>VLOOKUP(J3675,'Validacion reclamo de equipaje'!L:M,2,0)</f>
        <v>#N/A</v>
      </c>
      <c r="L3675" s="55" t="str">
        <f>VLOOKUP(I3675,'Validacion reclamo de equipaje'!H:I,2,0)</f>
        <v>Nacional</v>
      </c>
      <c r="M3675" s="55" t="s">
        <v>523</v>
      </c>
    </row>
    <row r="3676" spans="1:13" x14ac:dyDescent="0.25">
      <c r="A3676">
        <v>3228</v>
      </c>
      <c r="B3676" s="47" t="str">
        <f>VLOOKUP(Tabla6[[#This Row],['# Vuelo]],'Validacion reclamo de equipaje'!P:Q,2,0)</f>
        <v>MEXICO AEREO</v>
      </c>
      <c r="C3676" s="48">
        <v>0.74722222222222223</v>
      </c>
      <c r="D3676" s="48">
        <v>0.75486111111111109</v>
      </c>
      <c r="E3676" s="49">
        <f>'Reclamo de equipaje rediseñado'!$D3676-'Reclamo de equipaje rediseñado'!$C3676</f>
        <v>7.6388888888888618E-3</v>
      </c>
      <c r="F3676" s="48">
        <v>0.75694444444444453</v>
      </c>
      <c r="G3676" s="49">
        <f t="shared" si="57"/>
        <v>2.083333333333437E-3</v>
      </c>
      <c r="H3676" s="50">
        <v>41799</v>
      </c>
      <c r="I3676" s="51" t="s">
        <v>536</v>
      </c>
      <c r="J3676" s="51" t="s">
        <v>535</v>
      </c>
      <c r="K3676" s="51">
        <f>VLOOKUP(J3676,'Validacion reclamo de equipaje'!L:M,2,0)</f>
        <v>50</v>
      </c>
      <c r="L3676" s="51" t="str">
        <f>VLOOKUP(I3676,'Validacion reclamo de equipaje'!H:I,2,0)</f>
        <v>Nacional</v>
      </c>
      <c r="M3676" s="51" t="s">
        <v>615</v>
      </c>
    </row>
    <row r="3677" spans="1:13" x14ac:dyDescent="0.25">
      <c r="A3677">
        <v>3228</v>
      </c>
      <c r="B3677" s="47" t="str">
        <f>VLOOKUP(Tabla6[[#This Row],['# Vuelo]],'Validacion reclamo de equipaje'!P:Q,2,0)</f>
        <v>MEXICO AEREO</v>
      </c>
      <c r="C3677" s="52">
        <v>0.4375</v>
      </c>
      <c r="D3677" s="52">
        <v>0.4375</v>
      </c>
      <c r="E3677" s="53">
        <f>'Reclamo de equipaje rediseñado'!$D3677-'Reclamo de equipaje rediseñado'!$C3677</f>
        <v>0</v>
      </c>
      <c r="F3677" s="52">
        <v>0.44097222222222227</v>
      </c>
      <c r="G3677" s="53">
        <f t="shared" si="57"/>
        <v>3.4722222222222654E-3</v>
      </c>
      <c r="H3677" s="54">
        <v>41801</v>
      </c>
      <c r="I3677" s="55" t="s">
        <v>536</v>
      </c>
      <c r="J3677" s="55" t="s">
        <v>535</v>
      </c>
      <c r="K3677" s="55">
        <f>VLOOKUP(J3677,'Validacion reclamo de equipaje'!L:M,2,0)</f>
        <v>50</v>
      </c>
      <c r="L3677" s="55" t="str">
        <f>VLOOKUP(I3677,'Validacion reclamo de equipaje'!H:I,2,0)</f>
        <v>Nacional</v>
      </c>
      <c r="M3677" s="55" t="s">
        <v>615</v>
      </c>
    </row>
    <row r="3678" spans="1:13" x14ac:dyDescent="0.25">
      <c r="A3678">
        <v>3228</v>
      </c>
      <c r="B3678" s="47" t="str">
        <f>VLOOKUP(Tabla6[[#This Row],['# Vuelo]],'Validacion reclamo de equipaje'!P:Q,2,0)</f>
        <v>MEXICO AEREO</v>
      </c>
      <c r="C3678" s="48">
        <v>0.25833333333333336</v>
      </c>
      <c r="D3678" s="48">
        <v>0.26319444444444445</v>
      </c>
      <c r="E3678" s="49">
        <f>'Reclamo de equipaje rediseñado'!$D3678-'Reclamo de equipaje rediseñado'!$C3678</f>
        <v>4.8611111111110938E-3</v>
      </c>
      <c r="F3678" s="48">
        <v>0.27361111111111108</v>
      </c>
      <c r="G3678" s="49">
        <f t="shared" si="57"/>
        <v>1.041666666666663E-2</v>
      </c>
      <c r="H3678" s="50">
        <v>41802</v>
      </c>
      <c r="I3678" s="51" t="s">
        <v>536</v>
      </c>
      <c r="J3678" s="51" t="s">
        <v>535</v>
      </c>
      <c r="K3678" s="51">
        <f>VLOOKUP(J3678,'Validacion reclamo de equipaje'!L:M,2,0)</f>
        <v>50</v>
      </c>
      <c r="L3678" s="51" t="str">
        <f>VLOOKUP(I3678,'Validacion reclamo de equipaje'!H:I,2,0)</f>
        <v>Nacional</v>
      </c>
      <c r="M3678" s="51" t="s">
        <v>615</v>
      </c>
    </row>
    <row r="3679" spans="1:13" x14ac:dyDescent="0.25">
      <c r="A3679">
        <v>3228</v>
      </c>
      <c r="B3679" s="47" t="str">
        <f>VLOOKUP(Tabla6[[#This Row],['# Vuelo]],'Validacion reclamo de equipaje'!P:Q,2,0)</f>
        <v>MEXICO AEREO</v>
      </c>
      <c r="C3679" s="52">
        <v>0.52916666666666667</v>
      </c>
      <c r="D3679" s="52">
        <v>0.53472222222222221</v>
      </c>
      <c r="E3679" s="53">
        <f>'Reclamo de equipaje rediseñado'!$D3679-'Reclamo de equipaje rediseñado'!$C3679</f>
        <v>5.5555555555555358E-3</v>
      </c>
      <c r="F3679" s="52">
        <v>0.53611111111111109</v>
      </c>
      <c r="G3679" s="53">
        <f t="shared" si="57"/>
        <v>1.388888888888884E-3</v>
      </c>
      <c r="H3679" s="54">
        <v>41803</v>
      </c>
      <c r="I3679" s="55" t="s">
        <v>536</v>
      </c>
      <c r="J3679" s="55" t="s">
        <v>535</v>
      </c>
      <c r="K3679" s="55">
        <f>VLOOKUP(J3679,'Validacion reclamo de equipaje'!L:M,2,0)</f>
        <v>50</v>
      </c>
      <c r="L3679" s="55" t="str">
        <f>VLOOKUP(I3679,'Validacion reclamo de equipaje'!H:I,2,0)</f>
        <v>Nacional</v>
      </c>
      <c r="M3679" s="55" t="s">
        <v>615</v>
      </c>
    </row>
    <row r="3680" spans="1:13" x14ac:dyDescent="0.25">
      <c r="A3680">
        <v>3228</v>
      </c>
      <c r="B3680" s="47" t="str">
        <f>VLOOKUP(Tabla6[[#This Row],['# Vuelo]],'Validacion reclamo de equipaje'!P:Q,2,0)</f>
        <v>MEXICO AEREO</v>
      </c>
      <c r="C3680" s="48">
        <v>0.71180555555555547</v>
      </c>
      <c r="D3680" s="48">
        <v>0.72152777777777777</v>
      </c>
      <c r="E3680" s="49">
        <f>'Reclamo de equipaje rediseñado'!$D3680-'Reclamo de equipaje rediseñado'!$C3680</f>
        <v>9.7222222222222987E-3</v>
      </c>
      <c r="F3680" s="48">
        <v>0.72569444444444453</v>
      </c>
      <c r="G3680" s="49">
        <f t="shared" si="57"/>
        <v>4.1666666666667629E-3</v>
      </c>
      <c r="H3680" s="50">
        <v>41804</v>
      </c>
      <c r="I3680" s="51" t="s">
        <v>536</v>
      </c>
      <c r="J3680" s="51" t="s">
        <v>535</v>
      </c>
      <c r="K3680" s="51">
        <f>VLOOKUP(J3680,'Validacion reclamo de equipaje'!L:M,2,0)</f>
        <v>50</v>
      </c>
      <c r="L3680" s="51" t="str">
        <f>VLOOKUP(I3680,'Validacion reclamo de equipaje'!H:I,2,0)</f>
        <v>Nacional</v>
      </c>
      <c r="M3680" s="51" t="s">
        <v>615</v>
      </c>
    </row>
    <row r="3681" spans="1:13" x14ac:dyDescent="0.25">
      <c r="A3681">
        <v>3228</v>
      </c>
      <c r="B3681" s="47" t="str">
        <f>VLOOKUP(Tabla6[[#This Row],['# Vuelo]],'Validacion reclamo de equipaje'!P:Q,2,0)</f>
        <v>MEXICO AEREO</v>
      </c>
      <c r="C3681" s="52">
        <v>0.53819444444444442</v>
      </c>
      <c r="D3681" s="52">
        <v>0.54513888888888895</v>
      </c>
      <c r="E3681" s="53">
        <f>'Reclamo de equipaje rediseñado'!$D3681-'Reclamo de equipaje rediseñado'!$C3681</f>
        <v>6.9444444444445308E-3</v>
      </c>
      <c r="F3681" s="52">
        <v>0.55625000000000002</v>
      </c>
      <c r="G3681" s="53">
        <f t="shared" si="57"/>
        <v>1.1111111111111072E-2</v>
      </c>
      <c r="H3681" s="54">
        <v>41805</v>
      </c>
      <c r="I3681" s="55" t="s">
        <v>536</v>
      </c>
      <c r="J3681" s="55" t="s">
        <v>535</v>
      </c>
      <c r="K3681" s="55">
        <f>VLOOKUP(J3681,'Validacion reclamo de equipaje'!L:M,2,0)</f>
        <v>50</v>
      </c>
      <c r="L3681" s="55" t="str">
        <f>VLOOKUP(I3681,'Validacion reclamo de equipaje'!H:I,2,0)</f>
        <v>Nacional</v>
      </c>
      <c r="M3681" s="55" t="s">
        <v>615</v>
      </c>
    </row>
    <row r="3682" spans="1:13" x14ac:dyDescent="0.25">
      <c r="A3682">
        <v>3228</v>
      </c>
      <c r="B3682" s="47" t="str">
        <f>VLOOKUP(Tabla6[[#This Row],['# Vuelo]],'Validacion reclamo de equipaje'!P:Q,2,0)</f>
        <v>MEXICO AEREO</v>
      </c>
      <c r="C3682" s="48">
        <v>0.24444444444444446</v>
      </c>
      <c r="D3682" s="48">
        <v>0.26527777777777778</v>
      </c>
      <c r="E3682" s="49">
        <f>'Reclamo de equipaje rediseñado'!$D3682-'Reclamo de equipaje rediseñado'!$C3682</f>
        <v>2.0833333333333315E-2</v>
      </c>
      <c r="F3682" s="48">
        <v>0.27361111111111108</v>
      </c>
      <c r="G3682" s="49">
        <f t="shared" si="57"/>
        <v>8.3333333333333037E-3</v>
      </c>
      <c r="H3682" s="50">
        <v>41806</v>
      </c>
      <c r="I3682" s="51" t="s">
        <v>536</v>
      </c>
      <c r="J3682" s="51" t="s">
        <v>535</v>
      </c>
      <c r="K3682" s="51">
        <f>VLOOKUP(J3682,'Validacion reclamo de equipaje'!L:M,2,0)</f>
        <v>50</v>
      </c>
      <c r="L3682" s="51" t="str">
        <f>VLOOKUP(I3682,'Validacion reclamo de equipaje'!H:I,2,0)</f>
        <v>Nacional</v>
      </c>
      <c r="M3682" s="51" t="s">
        <v>615</v>
      </c>
    </row>
    <row r="3683" spans="1:13" x14ac:dyDescent="0.25">
      <c r="A3683">
        <v>3228</v>
      </c>
      <c r="B3683" s="47" t="str">
        <f>VLOOKUP(Tabla6[[#This Row],['# Vuelo]],'Validacion reclamo de equipaje'!P:Q,2,0)</f>
        <v>MEXICO AEREO</v>
      </c>
      <c r="C3683" s="52">
        <v>0.27638888888888885</v>
      </c>
      <c r="D3683" s="52">
        <v>0.29097222222222224</v>
      </c>
      <c r="E3683" s="53">
        <f>'Reclamo de equipaje rediseñado'!$D3683-'Reclamo de equipaje rediseñado'!$C3683</f>
        <v>1.4583333333333393E-2</v>
      </c>
      <c r="F3683" s="52">
        <v>0.30624999999999997</v>
      </c>
      <c r="G3683" s="53">
        <f t="shared" si="57"/>
        <v>1.5277777777777724E-2</v>
      </c>
      <c r="H3683" s="54">
        <v>41807</v>
      </c>
      <c r="I3683" s="55" t="s">
        <v>536</v>
      </c>
      <c r="J3683" s="55" t="s">
        <v>535</v>
      </c>
      <c r="K3683" s="55">
        <f>VLOOKUP(J3683,'Validacion reclamo de equipaje'!L:M,2,0)</f>
        <v>50</v>
      </c>
      <c r="L3683" s="55" t="str">
        <f>VLOOKUP(I3683,'Validacion reclamo de equipaje'!H:I,2,0)</f>
        <v>Nacional</v>
      </c>
      <c r="M3683" s="55" t="s">
        <v>615</v>
      </c>
    </row>
    <row r="3684" spans="1:13" x14ac:dyDescent="0.25">
      <c r="A3684">
        <v>3228</v>
      </c>
      <c r="B3684" s="47" t="str">
        <f>VLOOKUP(Tabla6[[#This Row],['# Vuelo]],'Validacion reclamo de equipaje'!P:Q,2,0)</f>
        <v>MEXICO AEREO</v>
      </c>
      <c r="C3684" s="48">
        <v>0.68819444444444444</v>
      </c>
      <c r="D3684" s="48">
        <v>0.69097222222222221</v>
      </c>
      <c r="E3684" s="49">
        <f>'Reclamo de equipaje rediseñado'!$D3684-'Reclamo de equipaje rediseñado'!$C3684</f>
        <v>2.7777777777777679E-3</v>
      </c>
      <c r="F3684" s="48">
        <v>0.69791666666666663</v>
      </c>
      <c r="G3684" s="49">
        <f t="shared" si="57"/>
        <v>6.9444444444444198E-3</v>
      </c>
      <c r="H3684" s="50">
        <v>41808</v>
      </c>
      <c r="I3684" s="51" t="s">
        <v>536</v>
      </c>
      <c r="J3684" s="51" t="s">
        <v>535</v>
      </c>
      <c r="K3684" s="51">
        <f>VLOOKUP(J3684,'Validacion reclamo de equipaje'!L:M,2,0)</f>
        <v>50</v>
      </c>
      <c r="L3684" s="51" t="str">
        <f>VLOOKUP(I3684,'Validacion reclamo de equipaje'!H:I,2,0)</f>
        <v>Nacional</v>
      </c>
      <c r="M3684" s="51" t="s">
        <v>615</v>
      </c>
    </row>
    <row r="3685" spans="1:13" x14ac:dyDescent="0.25">
      <c r="A3685">
        <v>3228</v>
      </c>
      <c r="B3685" s="47" t="str">
        <f>VLOOKUP(Tabla6[[#This Row],['# Vuelo]],'Validacion reclamo de equipaje'!P:Q,2,0)</f>
        <v>MEXICO AEREO</v>
      </c>
      <c r="C3685" s="52">
        <v>0.6972222222222223</v>
      </c>
      <c r="D3685" s="52">
        <v>0.70694444444444438</v>
      </c>
      <c r="E3685" s="53">
        <f>'Reclamo de equipaje rediseñado'!$D3685-'Reclamo de equipaje rediseñado'!$C3685</f>
        <v>9.7222222222220767E-3</v>
      </c>
      <c r="F3685" s="52">
        <v>0.71111111111111114</v>
      </c>
      <c r="G3685" s="53">
        <f t="shared" si="57"/>
        <v>4.1666666666667629E-3</v>
      </c>
      <c r="H3685" s="54">
        <v>41809</v>
      </c>
      <c r="I3685" s="55" t="s">
        <v>536</v>
      </c>
      <c r="J3685" s="55" t="s">
        <v>535</v>
      </c>
      <c r="K3685" s="55">
        <f>VLOOKUP(J3685,'Validacion reclamo de equipaje'!L:M,2,0)</f>
        <v>50</v>
      </c>
      <c r="L3685" s="55" t="str">
        <f>VLOOKUP(I3685,'Validacion reclamo de equipaje'!H:I,2,0)</f>
        <v>Nacional</v>
      </c>
      <c r="M3685" s="55" t="s">
        <v>615</v>
      </c>
    </row>
    <row r="3686" spans="1:13" x14ac:dyDescent="0.25">
      <c r="A3686">
        <v>3228</v>
      </c>
      <c r="B3686" s="47" t="str">
        <f>VLOOKUP(Tabla6[[#This Row],['# Vuelo]],'Validacion reclamo de equipaje'!P:Q,2,0)</f>
        <v>MEXICO AEREO</v>
      </c>
      <c r="C3686" s="48">
        <v>0.71388888888888891</v>
      </c>
      <c r="D3686" s="48">
        <v>0.72013888888888899</v>
      </c>
      <c r="E3686" s="49">
        <f>'Reclamo de equipaje rediseñado'!$D3686-'Reclamo de equipaje rediseñado'!$C3686</f>
        <v>6.2500000000000888E-3</v>
      </c>
      <c r="F3686" s="48">
        <v>0.72499999999999998</v>
      </c>
      <c r="G3686" s="49">
        <f t="shared" si="57"/>
        <v>4.8611111111109828E-3</v>
      </c>
      <c r="H3686" s="50">
        <v>41810</v>
      </c>
      <c r="I3686" s="51" t="s">
        <v>536</v>
      </c>
      <c r="J3686" s="51" t="s">
        <v>535</v>
      </c>
      <c r="K3686" s="51">
        <f>VLOOKUP(J3686,'Validacion reclamo de equipaje'!L:M,2,0)</f>
        <v>50</v>
      </c>
      <c r="L3686" s="51" t="str">
        <f>VLOOKUP(I3686,'Validacion reclamo de equipaje'!H:I,2,0)</f>
        <v>Nacional</v>
      </c>
      <c r="M3686" s="51" t="s">
        <v>615</v>
      </c>
    </row>
    <row r="3687" spans="1:13" x14ac:dyDescent="0.25">
      <c r="A3687">
        <v>3228</v>
      </c>
      <c r="B3687" s="47" t="str">
        <f>VLOOKUP(Tabla6[[#This Row],['# Vuelo]],'Validacion reclamo de equipaje'!P:Q,2,0)</f>
        <v>MEXICO AEREO</v>
      </c>
      <c r="C3687" s="52">
        <v>0.70208333333333339</v>
      </c>
      <c r="D3687" s="52">
        <v>0.70277777777777783</v>
      </c>
      <c r="E3687" s="53">
        <f>'Reclamo de equipaje rediseñado'!$D3687-'Reclamo de equipaje rediseñado'!$C3687</f>
        <v>6.9444444444444198E-4</v>
      </c>
      <c r="F3687" s="52">
        <v>0.70486111111111116</v>
      </c>
      <c r="G3687" s="53">
        <f t="shared" si="57"/>
        <v>2.0833333333333259E-3</v>
      </c>
      <c r="H3687" s="54">
        <v>41811</v>
      </c>
      <c r="I3687" s="55" t="s">
        <v>536</v>
      </c>
      <c r="J3687" s="55" t="s">
        <v>535</v>
      </c>
      <c r="K3687" s="55">
        <f>VLOOKUP(J3687,'Validacion reclamo de equipaje'!L:M,2,0)</f>
        <v>50</v>
      </c>
      <c r="L3687" s="55" t="str">
        <f>VLOOKUP(I3687,'Validacion reclamo de equipaje'!H:I,2,0)</f>
        <v>Nacional</v>
      </c>
      <c r="M3687" s="55" t="s">
        <v>615</v>
      </c>
    </row>
    <row r="3688" spans="1:13" x14ac:dyDescent="0.25">
      <c r="A3688">
        <v>3228</v>
      </c>
      <c r="B3688" s="47" t="str">
        <f>VLOOKUP(Tabla6[[#This Row],['# Vuelo]],'Validacion reclamo de equipaje'!P:Q,2,0)</f>
        <v>MEXICO AEREO</v>
      </c>
      <c r="C3688" s="48">
        <v>0.74097222222222225</v>
      </c>
      <c r="D3688" s="48">
        <v>0.74305555555555547</v>
      </c>
      <c r="E3688" s="49">
        <f>'Reclamo de equipaje rediseñado'!$D3688-'Reclamo de equipaje rediseñado'!$C3688</f>
        <v>2.0833333333332149E-3</v>
      </c>
      <c r="F3688" s="48">
        <v>0.75277777777777777</v>
      </c>
      <c r="G3688" s="49">
        <f t="shared" si="57"/>
        <v>9.7222222222222987E-3</v>
      </c>
      <c r="H3688" s="50">
        <v>41813</v>
      </c>
      <c r="I3688" s="51" t="s">
        <v>536</v>
      </c>
      <c r="J3688" s="51" t="s">
        <v>535</v>
      </c>
      <c r="K3688" s="51">
        <f>VLOOKUP(J3688,'Validacion reclamo de equipaje'!L:M,2,0)</f>
        <v>50</v>
      </c>
      <c r="L3688" s="51" t="str">
        <f>VLOOKUP(I3688,'Validacion reclamo de equipaje'!H:I,2,0)</f>
        <v>Nacional</v>
      </c>
      <c r="M3688" s="51" t="s">
        <v>615</v>
      </c>
    </row>
    <row r="3689" spans="1:13" x14ac:dyDescent="0.25">
      <c r="A3689">
        <v>3228</v>
      </c>
      <c r="B3689" s="47" t="str">
        <f>VLOOKUP(Tabla6[[#This Row],['# Vuelo]],'Validacion reclamo de equipaje'!P:Q,2,0)</f>
        <v>MEXICO AEREO</v>
      </c>
      <c r="C3689" s="52">
        <v>0.70694444444444438</v>
      </c>
      <c r="D3689" s="52">
        <v>0.71666666666666667</v>
      </c>
      <c r="E3689" s="53">
        <f>'Reclamo de equipaje rediseñado'!$D3689-'Reclamo de equipaje rediseñado'!$C3689</f>
        <v>9.7222222222222987E-3</v>
      </c>
      <c r="F3689" s="52">
        <v>0.72083333333333333</v>
      </c>
      <c r="G3689" s="53">
        <f t="shared" si="57"/>
        <v>4.1666666666666519E-3</v>
      </c>
      <c r="H3689" s="54">
        <v>41812</v>
      </c>
      <c r="I3689" s="55" t="s">
        <v>536</v>
      </c>
      <c r="J3689" s="55" t="s">
        <v>535</v>
      </c>
      <c r="K3689" s="55">
        <f>VLOOKUP(J3689,'Validacion reclamo de equipaje'!L:M,2,0)</f>
        <v>50</v>
      </c>
      <c r="L3689" s="55" t="str">
        <f>VLOOKUP(I3689,'Validacion reclamo de equipaje'!H:I,2,0)</f>
        <v>Nacional</v>
      </c>
      <c r="M3689" s="55" t="s">
        <v>615</v>
      </c>
    </row>
    <row r="3690" spans="1:13" x14ac:dyDescent="0.25">
      <c r="A3690">
        <v>3102</v>
      </c>
      <c r="B3690" s="47" t="str">
        <f>VLOOKUP(Tabla6[[#This Row],['# Vuelo]],'Validacion reclamo de equipaje'!P:Q,2,0)</f>
        <v>MEXICO AEREO</v>
      </c>
      <c r="C3690" s="48">
        <v>0.71111111111111114</v>
      </c>
      <c r="D3690" s="48">
        <v>0.71944444444444444</v>
      </c>
      <c r="E3690" s="49">
        <f>'Reclamo de equipaje rediseñado'!$D3690-'Reclamo de equipaje rediseñado'!$C3690</f>
        <v>8.3333333333333037E-3</v>
      </c>
      <c r="F3690" s="48">
        <v>0.72777777777777775</v>
      </c>
      <c r="G3690" s="49">
        <f t="shared" si="57"/>
        <v>8.3333333333333037E-3</v>
      </c>
      <c r="H3690" s="50">
        <v>41801</v>
      </c>
      <c r="I3690" s="51" t="s">
        <v>536</v>
      </c>
      <c r="J3690" s="51" t="s">
        <v>535</v>
      </c>
      <c r="K3690" s="51">
        <f>VLOOKUP(J3690,'Validacion reclamo de equipaje'!L:M,2,0)</f>
        <v>50</v>
      </c>
      <c r="L3690" s="51" t="str">
        <f>VLOOKUP(I3690,'Validacion reclamo de equipaje'!H:I,2,0)</f>
        <v>Nacional</v>
      </c>
      <c r="M3690" s="51" t="s">
        <v>615</v>
      </c>
    </row>
    <row r="3691" spans="1:13" x14ac:dyDescent="0.25">
      <c r="A3691">
        <v>3102</v>
      </c>
      <c r="B3691" s="47" t="str">
        <f>VLOOKUP(Tabla6[[#This Row],['# Vuelo]],'Validacion reclamo de equipaje'!P:Q,2,0)</f>
        <v>MEXICO AEREO</v>
      </c>
      <c r="C3691" s="52">
        <v>0.83194444444444438</v>
      </c>
      <c r="D3691" s="52">
        <v>0.84305555555555556</v>
      </c>
      <c r="E3691" s="53">
        <f>'Reclamo de equipaje rediseñado'!$D3691-'Reclamo de equipaje rediseñado'!$C3691</f>
        <v>1.1111111111111183E-2</v>
      </c>
      <c r="F3691" s="52">
        <v>0.85625000000000007</v>
      </c>
      <c r="G3691" s="53">
        <f t="shared" si="57"/>
        <v>1.3194444444444509E-2</v>
      </c>
      <c r="H3691" s="54">
        <v>41802</v>
      </c>
      <c r="I3691" s="55" t="s">
        <v>536</v>
      </c>
      <c r="J3691" s="55" t="s">
        <v>535</v>
      </c>
      <c r="K3691" s="55">
        <f>VLOOKUP(J3691,'Validacion reclamo de equipaje'!L:M,2,0)</f>
        <v>50</v>
      </c>
      <c r="L3691" s="55" t="str">
        <f>VLOOKUP(I3691,'Validacion reclamo de equipaje'!H:I,2,0)</f>
        <v>Nacional</v>
      </c>
      <c r="M3691" s="55" t="s">
        <v>615</v>
      </c>
    </row>
    <row r="3692" spans="1:13" x14ac:dyDescent="0.25">
      <c r="A3692">
        <v>3102</v>
      </c>
      <c r="B3692" s="47" t="str">
        <f>VLOOKUP(Tabla6[[#This Row],['# Vuelo]],'Validacion reclamo de equipaje'!P:Q,2,0)</f>
        <v>MEXICO AEREO</v>
      </c>
      <c r="C3692" s="48">
        <v>0.375</v>
      </c>
      <c r="D3692" s="48">
        <v>0.37777777777777777</v>
      </c>
      <c r="E3692" s="49">
        <f>'Reclamo de equipaje rediseñado'!$D3692-'Reclamo de equipaje rediseñado'!$C3692</f>
        <v>2.7777777777777679E-3</v>
      </c>
      <c r="F3692" s="48">
        <v>0.37916666666666665</v>
      </c>
      <c r="G3692" s="49">
        <f t="shared" si="57"/>
        <v>1.388888888888884E-3</v>
      </c>
      <c r="H3692" s="50">
        <v>41799</v>
      </c>
      <c r="I3692" s="51" t="s">
        <v>536</v>
      </c>
      <c r="J3692" s="51" t="s">
        <v>535</v>
      </c>
      <c r="K3692" s="51">
        <f>VLOOKUP(J3692,'Validacion reclamo de equipaje'!L:M,2,0)</f>
        <v>50</v>
      </c>
      <c r="L3692" s="51" t="str">
        <f>VLOOKUP(I3692,'Validacion reclamo de equipaje'!H:I,2,0)</f>
        <v>Nacional</v>
      </c>
      <c r="M3692" s="51" t="s">
        <v>615</v>
      </c>
    </row>
    <row r="3693" spans="1:13" x14ac:dyDescent="0.25">
      <c r="A3693">
        <v>3100</v>
      </c>
      <c r="B3693" s="47" t="str">
        <f>VLOOKUP(Tabla6[[#This Row],['# Vuelo]],'Validacion reclamo de equipaje'!P:Q,2,0)</f>
        <v>MEXICO AEREO</v>
      </c>
      <c r="C3693" s="52">
        <v>0.99305555555555547</v>
      </c>
      <c r="D3693" s="52">
        <v>0.99861111111111101</v>
      </c>
      <c r="E3693" s="53">
        <f>'Reclamo de equipaje rediseñado'!$D3693-'Reclamo de equipaje rediseñado'!$C3693</f>
        <v>5.5555555555555358E-3</v>
      </c>
      <c r="F3693" s="52">
        <v>1</v>
      </c>
      <c r="G3693" s="53">
        <f t="shared" si="57"/>
        <v>1.388888888888995E-3</v>
      </c>
      <c r="H3693" s="54">
        <v>41796</v>
      </c>
      <c r="I3693" s="55" t="s">
        <v>536</v>
      </c>
      <c r="J3693" s="55" t="s">
        <v>535</v>
      </c>
      <c r="K3693" s="55">
        <f>VLOOKUP(J3693,'Validacion reclamo de equipaje'!L:M,2,0)</f>
        <v>50</v>
      </c>
      <c r="L3693" s="55" t="str">
        <f>VLOOKUP(I3693,'Validacion reclamo de equipaje'!H:I,2,0)</f>
        <v>Nacional</v>
      </c>
      <c r="M3693" s="55" t="s">
        <v>615</v>
      </c>
    </row>
    <row r="3694" spans="1:13" x14ac:dyDescent="0.25">
      <c r="A3694">
        <v>2825</v>
      </c>
      <c r="B3694" s="47" t="str">
        <f>VLOOKUP(Tabla6[[#This Row],['# Vuelo]],'Validacion reclamo de equipaje'!P:Q,2,0)</f>
        <v>MEXICO AEREO</v>
      </c>
      <c r="C3694" s="48">
        <v>0.74583333333333324</v>
      </c>
      <c r="D3694" s="48">
        <v>0.7583333333333333</v>
      </c>
      <c r="E3694" s="49">
        <f>'Reclamo de equipaje rediseñado'!$D3694-'Reclamo de equipaje rediseñado'!$C3694</f>
        <v>1.2500000000000067E-2</v>
      </c>
      <c r="F3694" s="48">
        <v>0.76041666666666663</v>
      </c>
      <c r="G3694" s="49">
        <f t="shared" si="57"/>
        <v>2.0833333333333259E-3</v>
      </c>
      <c r="H3694" s="50">
        <v>41808</v>
      </c>
      <c r="I3694" s="51" t="s">
        <v>543</v>
      </c>
      <c r="J3694" s="51" t="s">
        <v>535</v>
      </c>
      <c r="K3694" s="51">
        <f>VLOOKUP(J3694,'Validacion reclamo de equipaje'!L:M,2,0)</f>
        <v>50</v>
      </c>
      <c r="L3694" s="51" t="str">
        <f>VLOOKUP(I3694,'Validacion reclamo de equipaje'!H:I,2,0)</f>
        <v>Nacional</v>
      </c>
      <c r="M3694" s="51" t="s">
        <v>615</v>
      </c>
    </row>
    <row r="3695" spans="1:13" x14ac:dyDescent="0.25">
      <c r="A3695">
        <v>2825</v>
      </c>
      <c r="B3695" s="47" t="str">
        <f>VLOOKUP(Tabla6[[#This Row],['# Vuelo]],'Validacion reclamo de equipaje'!P:Q,2,0)</f>
        <v>MEXICO AEREO</v>
      </c>
      <c r="C3695" s="52">
        <v>0.76250000000000007</v>
      </c>
      <c r="D3695" s="52">
        <v>0.76527777777777783</v>
      </c>
      <c r="E3695" s="53">
        <f>'Reclamo de equipaje rediseñado'!$D3695-'Reclamo de equipaje rediseñado'!$C3695</f>
        <v>2.7777777777777679E-3</v>
      </c>
      <c r="F3695" s="52">
        <v>0.77083333333333337</v>
      </c>
      <c r="G3695" s="53">
        <f t="shared" si="57"/>
        <v>5.5555555555555358E-3</v>
      </c>
      <c r="H3695" s="54">
        <v>41799</v>
      </c>
      <c r="I3695" s="55" t="s">
        <v>543</v>
      </c>
      <c r="J3695" s="55" t="s">
        <v>535</v>
      </c>
      <c r="K3695" s="55">
        <f>VLOOKUP(J3695,'Validacion reclamo de equipaje'!L:M,2,0)</f>
        <v>50</v>
      </c>
      <c r="L3695" s="55" t="str">
        <f>VLOOKUP(I3695,'Validacion reclamo de equipaje'!H:I,2,0)</f>
        <v>Nacional</v>
      </c>
      <c r="M3695" s="55" t="s">
        <v>615</v>
      </c>
    </row>
    <row r="3696" spans="1:13" x14ac:dyDescent="0.25">
      <c r="A3696">
        <v>2825</v>
      </c>
      <c r="B3696" s="47" t="str">
        <f>VLOOKUP(Tabla6[[#This Row],['# Vuelo]],'Validacion reclamo de equipaje'!P:Q,2,0)</f>
        <v>MEXICO AEREO</v>
      </c>
      <c r="C3696" s="48">
        <v>0.73125000000000007</v>
      </c>
      <c r="D3696" s="48">
        <v>0.73541666666666661</v>
      </c>
      <c r="E3696" s="49">
        <f>'Reclamo de equipaje rediseñado'!$D3696-'Reclamo de equipaje rediseñado'!$C3696</f>
        <v>4.1666666666665408E-3</v>
      </c>
      <c r="F3696" s="48">
        <v>0.7402777777777777</v>
      </c>
      <c r="G3696" s="49">
        <f t="shared" si="57"/>
        <v>4.8611111111110938E-3</v>
      </c>
      <c r="H3696" s="50">
        <v>41801</v>
      </c>
      <c r="I3696" s="51" t="s">
        <v>543</v>
      </c>
      <c r="J3696" s="51" t="s">
        <v>535</v>
      </c>
      <c r="K3696" s="51">
        <f>VLOOKUP(J3696,'Validacion reclamo de equipaje'!L:M,2,0)</f>
        <v>50</v>
      </c>
      <c r="L3696" s="51" t="str">
        <f>VLOOKUP(I3696,'Validacion reclamo de equipaje'!H:I,2,0)</f>
        <v>Nacional</v>
      </c>
      <c r="M3696" s="51" t="s">
        <v>615</v>
      </c>
    </row>
    <row r="3697" spans="1:13" x14ac:dyDescent="0.25">
      <c r="A3697">
        <v>2825</v>
      </c>
      <c r="B3697" s="47" t="str">
        <f>VLOOKUP(Tabla6[[#This Row],['# Vuelo]],'Validacion reclamo de equipaje'!P:Q,2,0)</f>
        <v>MEXICO AEREO</v>
      </c>
      <c r="C3697" s="52">
        <v>0.43055555555555558</v>
      </c>
      <c r="D3697" s="52">
        <v>0.4375</v>
      </c>
      <c r="E3697" s="53">
        <f>'Reclamo de equipaje rediseñado'!$D3697-'Reclamo de equipaje rediseñado'!$C3697</f>
        <v>6.9444444444444198E-3</v>
      </c>
      <c r="F3697" s="52">
        <v>0.44097222222222227</v>
      </c>
      <c r="G3697" s="53">
        <f t="shared" si="57"/>
        <v>3.4722222222222654E-3</v>
      </c>
      <c r="H3697" s="54">
        <v>41801</v>
      </c>
      <c r="I3697" s="55" t="s">
        <v>543</v>
      </c>
      <c r="J3697" s="55" t="s">
        <v>535</v>
      </c>
      <c r="K3697" s="55">
        <f>VLOOKUP(J3697,'Validacion reclamo de equipaje'!L:M,2,0)</f>
        <v>50</v>
      </c>
      <c r="L3697" s="55" t="str">
        <f>VLOOKUP(I3697,'Validacion reclamo de equipaje'!H:I,2,0)</f>
        <v>Nacional</v>
      </c>
      <c r="M3697" s="55" t="s">
        <v>615</v>
      </c>
    </row>
    <row r="3698" spans="1:13" x14ac:dyDescent="0.25">
      <c r="A3698">
        <v>2825</v>
      </c>
      <c r="B3698" s="47" t="str">
        <f>VLOOKUP(Tabla6[[#This Row],['# Vuelo]],'Validacion reclamo de equipaje'!P:Q,2,0)</f>
        <v>MEXICO AEREO</v>
      </c>
      <c r="C3698" s="48">
        <v>0.24652777777777779</v>
      </c>
      <c r="D3698" s="48">
        <v>0.25694444444444448</v>
      </c>
      <c r="E3698" s="49">
        <f>'Reclamo de equipaje rediseñado'!$D3698-'Reclamo de equipaje rediseñado'!$C3698</f>
        <v>1.0416666666666685E-2</v>
      </c>
      <c r="F3698" s="48">
        <v>0.28125</v>
      </c>
      <c r="G3698" s="49">
        <f t="shared" si="57"/>
        <v>2.4305555555555525E-2</v>
      </c>
      <c r="H3698" s="50">
        <v>41802</v>
      </c>
      <c r="I3698" s="51" t="s">
        <v>543</v>
      </c>
      <c r="J3698" s="51" t="s">
        <v>535</v>
      </c>
      <c r="K3698" s="51">
        <f>VLOOKUP(J3698,'Validacion reclamo de equipaje'!L:M,2,0)</f>
        <v>50</v>
      </c>
      <c r="L3698" s="51" t="str">
        <f>VLOOKUP(I3698,'Validacion reclamo de equipaje'!H:I,2,0)</f>
        <v>Nacional</v>
      </c>
      <c r="M3698" s="51" t="s">
        <v>615</v>
      </c>
    </row>
    <row r="3699" spans="1:13" x14ac:dyDescent="0.25">
      <c r="A3699">
        <v>2825</v>
      </c>
      <c r="B3699" s="47" t="str">
        <f>VLOOKUP(Tabla6[[#This Row],['# Vuelo]],'Validacion reclamo de equipaje'!P:Q,2,0)</f>
        <v>MEXICO AEREO</v>
      </c>
      <c r="C3699" s="52">
        <v>0.54305555555555551</v>
      </c>
      <c r="D3699" s="52">
        <v>0.54722222222222217</v>
      </c>
      <c r="E3699" s="53">
        <f>'Reclamo de equipaje rediseñado'!$D3699-'Reclamo de equipaje rediseñado'!$C3699</f>
        <v>4.1666666666666519E-3</v>
      </c>
      <c r="F3699" s="52">
        <v>0.55208333333333337</v>
      </c>
      <c r="G3699" s="53">
        <f t="shared" si="57"/>
        <v>4.8611111111112049E-3</v>
      </c>
      <c r="H3699" s="54">
        <v>41803</v>
      </c>
      <c r="I3699" s="55" t="s">
        <v>543</v>
      </c>
      <c r="J3699" s="55" t="s">
        <v>535</v>
      </c>
      <c r="K3699" s="55">
        <f>VLOOKUP(J3699,'Validacion reclamo de equipaje'!L:M,2,0)</f>
        <v>50</v>
      </c>
      <c r="L3699" s="55" t="str">
        <f>VLOOKUP(I3699,'Validacion reclamo de equipaje'!H:I,2,0)</f>
        <v>Nacional</v>
      </c>
      <c r="M3699" s="55" t="s">
        <v>615</v>
      </c>
    </row>
    <row r="3700" spans="1:13" x14ac:dyDescent="0.25">
      <c r="A3700">
        <v>2825</v>
      </c>
      <c r="B3700" s="47" t="str">
        <f>VLOOKUP(Tabla6[[#This Row],['# Vuelo]],'Validacion reclamo de equipaje'!P:Q,2,0)</f>
        <v>MEXICO AEREO</v>
      </c>
      <c r="C3700" s="48">
        <v>0.54791666666666672</v>
      </c>
      <c r="D3700" s="48">
        <v>0.55486111111111114</v>
      </c>
      <c r="E3700" s="49">
        <f>'Reclamo de equipaje rediseñado'!$D3700-'Reclamo de equipaje rediseñado'!$C3700</f>
        <v>6.9444444444444198E-3</v>
      </c>
      <c r="F3700" s="48">
        <v>0.5625</v>
      </c>
      <c r="G3700" s="49">
        <f t="shared" si="57"/>
        <v>7.6388888888888618E-3</v>
      </c>
      <c r="H3700" s="50">
        <v>41805</v>
      </c>
      <c r="I3700" s="51" t="s">
        <v>543</v>
      </c>
      <c r="J3700" s="51" t="s">
        <v>535</v>
      </c>
      <c r="K3700" s="51">
        <f>VLOOKUP(J3700,'Validacion reclamo de equipaje'!L:M,2,0)</f>
        <v>50</v>
      </c>
      <c r="L3700" s="51" t="str">
        <f>VLOOKUP(I3700,'Validacion reclamo de equipaje'!H:I,2,0)</f>
        <v>Nacional</v>
      </c>
      <c r="M3700" s="51" t="s">
        <v>615</v>
      </c>
    </row>
    <row r="3701" spans="1:13" x14ac:dyDescent="0.25">
      <c r="A3701">
        <v>2825</v>
      </c>
      <c r="B3701" s="47" t="str">
        <f>VLOOKUP(Tabla6[[#This Row],['# Vuelo]],'Validacion reclamo de equipaje'!P:Q,2,0)</f>
        <v>MEXICO AEREO</v>
      </c>
      <c r="C3701" s="52">
        <v>0.24166666666666667</v>
      </c>
      <c r="D3701" s="52">
        <v>0.24861111111111112</v>
      </c>
      <c r="E3701" s="53">
        <f>'Reclamo de equipaje rediseñado'!$D3701-'Reclamo de equipaje rediseñado'!$C3701</f>
        <v>6.9444444444444475E-3</v>
      </c>
      <c r="F3701" s="52">
        <v>0.26319444444444445</v>
      </c>
      <c r="G3701" s="53">
        <f t="shared" si="57"/>
        <v>1.4583333333333337E-2</v>
      </c>
      <c r="H3701" s="54">
        <v>41806</v>
      </c>
      <c r="I3701" s="55" t="s">
        <v>543</v>
      </c>
      <c r="J3701" s="55" t="s">
        <v>535</v>
      </c>
      <c r="K3701" s="55">
        <f>VLOOKUP(J3701,'Validacion reclamo de equipaje'!L:M,2,0)</f>
        <v>50</v>
      </c>
      <c r="L3701" s="55" t="str">
        <f>VLOOKUP(I3701,'Validacion reclamo de equipaje'!H:I,2,0)</f>
        <v>Nacional</v>
      </c>
      <c r="M3701" s="55" t="s">
        <v>615</v>
      </c>
    </row>
    <row r="3702" spans="1:13" x14ac:dyDescent="0.25">
      <c r="A3702">
        <v>2825</v>
      </c>
      <c r="B3702" s="47" t="str">
        <f>VLOOKUP(Tabla6[[#This Row],['# Vuelo]],'Validacion reclamo de equipaje'!P:Q,2,0)</f>
        <v>MEXICO AEREO</v>
      </c>
      <c r="C3702" s="48">
        <v>0.75277777777777777</v>
      </c>
      <c r="D3702" s="48">
        <v>0.76388888888888884</v>
      </c>
      <c r="E3702" s="49">
        <f>'Reclamo de equipaje rediseñado'!$D3702-'Reclamo de equipaje rediseñado'!$C3702</f>
        <v>1.1111111111111072E-2</v>
      </c>
      <c r="F3702" s="48">
        <v>0.7729166666666667</v>
      </c>
      <c r="G3702" s="49">
        <f t="shared" si="57"/>
        <v>9.0277777777778567E-3</v>
      </c>
      <c r="H3702" s="50">
        <v>41807</v>
      </c>
      <c r="I3702" s="51" t="s">
        <v>543</v>
      </c>
      <c r="J3702" s="51" t="s">
        <v>535</v>
      </c>
      <c r="K3702" s="51">
        <f>VLOOKUP(J3702,'Validacion reclamo de equipaje'!L:M,2,0)</f>
        <v>50</v>
      </c>
      <c r="L3702" s="51" t="str">
        <f>VLOOKUP(I3702,'Validacion reclamo de equipaje'!H:I,2,0)</f>
        <v>Nacional</v>
      </c>
      <c r="M3702" s="51" t="s">
        <v>615</v>
      </c>
    </row>
    <row r="3703" spans="1:13" x14ac:dyDescent="0.25">
      <c r="A3703">
        <v>2825</v>
      </c>
      <c r="B3703" s="47" t="str">
        <f>VLOOKUP(Tabla6[[#This Row],['# Vuelo]],'Validacion reclamo de equipaje'!P:Q,2,0)</f>
        <v>MEXICO AEREO</v>
      </c>
      <c r="C3703" s="52">
        <v>0.77083333333333337</v>
      </c>
      <c r="D3703" s="52">
        <v>0.77500000000000002</v>
      </c>
      <c r="E3703" s="53">
        <f>'Reclamo de equipaje rediseñado'!$D3703-'Reclamo de equipaje rediseñado'!$C3703</f>
        <v>4.1666666666666519E-3</v>
      </c>
      <c r="F3703" s="52">
        <v>0.78125</v>
      </c>
      <c r="G3703" s="53">
        <f t="shared" si="57"/>
        <v>6.2499999999999778E-3</v>
      </c>
      <c r="H3703" s="54">
        <v>41809</v>
      </c>
      <c r="I3703" s="55" t="s">
        <v>543</v>
      </c>
      <c r="J3703" s="55" t="s">
        <v>535</v>
      </c>
      <c r="K3703" s="55">
        <f>VLOOKUP(J3703,'Validacion reclamo de equipaje'!L:M,2,0)</f>
        <v>50</v>
      </c>
      <c r="L3703" s="55" t="str">
        <f>VLOOKUP(I3703,'Validacion reclamo de equipaje'!H:I,2,0)</f>
        <v>Nacional</v>
      </c>
      <c r="M3703" s="55" t="s">
        <v>615</v>
      </c>
    </row>
    <row r="3704" spans="1:13" x14ac:dyDescent="0.25">
      <c r="A3704">
        <v>2825</v>
      </c>
      <c r="B3704" s="47" t="str">
        <f>VLOOKUP(Tabla6[[#This Row],['# Vuelo]],'Validacion reclamo de equipaje'!P:Q,2,0)</f>
        <v>MEXICO AEREO</v>
      </c>
      <c r="C3704" s="48">
        <v>0.78819444444444453</v>
      </c>
      <c r="D3704" s="48">
        <v>0.79513888888888884</v>
      </c>
      <c r="E3704" s="49">
        <f>'Reclamo de equipaje rediseñado'!$D3704-'Reclamo de equipaje rediseñado'!$C3704</f>
        <v>6.9444444444443088E-3</v>
      </c>
      <c r="F3704" s="48">
        <v>0.79861111111111116</v>
      </c>
      <c r="G3704" s="49">
        <f t="shared" si="57"/>
        <v>3.4722222222223209E-3</v>
      </c>
      <c r="H3704" s="50">
        <v>41810</v>
      </c>
      <c r="I3704" s="51" t="s">
        <v>543</v>
      </c>
      <c r="J3704" s="51" t="s">
        <v>535</v>
      </c>
      <c r="K3704" s="51">
        <f>VLOOKUP(J3704,'Validacion reclamo de equipaje'!L:M,2,0)</f>
        <v>50</v>
      </c>
      <c r="L3704" s="51" t="str">
        <f>VLOOKUP(I3704,'Validacion reclamo de equipaje'!H:I,2,0)</f>
        <v>Nacional</v>
      </c>
      <c r="M3704" s="51" t="s">
        <v>615</v>
      </c>
    </row>
    <row r="3705" spans="1:13" x14ac:dyDescent="0.25">
      <c r="A3705">
        <v>2825</v>
      </c>
      <c r="B3705" s="47" t="str">
        <f>VLOOKUP(Tabla6[[#This Row],['# Vuelo]],'Validacion reclamo de equipaje'!P:Q,2,0)</f>
        <v>MEXICO AEREO</v>
      </c>
      <c r="C3705" s="52">
        <v>0.74652777777777779</v>
      </c>
      <c r="D3705" s="52">
        <v>0.75486111111111109</v>
      </c>
      <c r="E3705" s="53">
        <f>'Reclamo de equipaje rediseñado'!$D3705-'Reclamo de equipaje rediseñado'!$C3705</f>
        <v>8.3333333333333037E-3</v>
      </c>
      <c r="F3705" s="52">
        <v>0.7597222222222223</v>
      </c>
      <c r="G3705" s="53">
        <f t="shared" si="57"/>
        <v>4.8611111111112049E-3</v>
      </c>
      <c r="H3705" s="54">
        <v>41813</v>
      </c>
      <c r="I3705" s="55" t="s">
        <v>543</v>
      </c>
      <c r="J3705" s="55" t="s">
        <v>535</v>
      </c>
      <c r="K3705" s="55">
        <f>VLOOKUP(J3705,'Validacion reclamo de equipaje'!L:M,2,0)</f>
        <v>50</v>
      </c>
      <c r="L3705" s="55" t="str">
        <f>VLOOKUP(I3705,'Validacion reclamo de equipaje'!H:I,2,0)</f>
        <v>Nacional</v>
      </c>
      <c r="M3705" s="55" t="s">
        <v>615</v>
      </c>
    </row>
    <row r="3706" spans="1:13" x14ac:dyDescent="0.25">
      <c r="A3706">
        <v>2820</v>
      </c>
      <c r="B3706" s="47" t="str">
        <f>VLOOKUP(Tabla6[[#This Row],['# Vuelo]],'Validacion reclamo de equipaje'!P:Q,2,0)</f>
        <v>MEXICO AEREO</v>
      </c>
      <c r="C3706" s="48">
        <v>0.98958333333333337</v>
      </c>
      <c r="D3706" s="48">
        <v>1.0069444444444444</v>
      </c>
      <c r="E3706" s="49">
        <f>'Reclamo de equipaje rediseñado'!$D3706-'Reclamo de equipaje rediseñado'!$C3706</f>
        <v>1.7361111111111049E-2</v>
      </c>
      <c r="F3706" s="48">
        <v>1.0104166666666667</v>
      </c>
      <c r="G3706" s="49">
        <f t="shared" si="57"/>
        <v>3.4722222222223209E-3</v>
      </c>
      <c r="H3706" s="50">
        <v>41799</v>
      </c>
      <c r="I3706" s="51" t="s">
        <v>544</v>
      </c>
      <c r="J3706" s="51" t="s">
        <v>535</v>
      </c>
      <c r="K3706" s="51">
        <f>VLOOKUP(J3706,'Validacion reclamo de equipaje'!L:M,2,0)</f>
        <v>50</v>
      </c>
      <c r="L3706" s="51" t="str">
        <f>VLOOKUP(I3706,'Validacion reclamo de equipaje'!H:I,2,0)</f>
        <v>Nacional</v>
      </c>
      <c r="M3706" s="51" t="s">
        <v>615</v>
      </c>
    </row>
    <row r="3707" spans="1:13" x14ac:dyDescent="0.25">
      <c r="A3707">
        <v>2820</v>
      </c>
      <c r="B3707" s="47" t="str">
        <f>VLOOKUP(Tabla6[[#This Row],['# Vuelo]],'Validacion reclamo de equipaje'!P:Q,2,0)</f>
        <v>MEXICO AEREO</v>
      </c>
      <c r="C3707" s="52">
        <v>0.77569444444444446</v>
      </c>
      <c r="D3707" s="52">
        <v>0.78402777777777777</v>
      </c>
      <c r="E3707" s="53">
        <f>'Reclamo de equipaje rediseñado'!$D3707-'Reclamo de equipaje rediseñado'!$C3707</f>
        <v>8.3333333333333037E-3</v>
      </c>
      <c r="F3707" s="52">
        <v>0.79305555555555562</v>
      </c>
      <c r="G3707" s="53">
        <f t="shared" si="57"/>
        <v>9.0277777777778567E-3</v>
      </c>
      <c r="H3707" s="54">
        <v>41805</v>
      </c>
      <c r="I3707" s="55" t="s">
        <v>544</v>
      </c>
      <c r="J3707" s="55" t="s">
        <v>535</v>
      </c>
      <c r="K3707" s="55">
        <f>VLOOKUP(J3707,'Validacion reclamo de equipaje'!L:M,2,0)</f>
        <v>50</v>
      </c>
      <c r="L3707" s="55" t="str">
        <f>VLOOKUP(I3707,'Validacion reclamo de equipaje'!H:I,2,0)</f>
        <v>Nacional</v>
      </c>
      <c r="M3707" s="55" t="s">
        <v>615</v>
      </c>
    </row>
    <row r="3708" spans="1:13" x14ac:dyDescent="0.25">
      <c r="A3708">
        <v>2820</v>
      </c>
      <c r="B3708" s="47" t="str">
        <f>VLOOKUP(Tabla6[[#This Row],['# Vuelo]],'Validacion reclamo de equipaje'!P:Q,2,0)</f>
        <v>MEXICO AEREO</v>
      </c>
      <c r="C3708" s="48">
        <v>0.94791666666666663</v>
      </c>
      <c r="D3708" s="48">
        <v>0.9590277777777777</v>
      </c>
      <c r="E3708" s="49">
        <f>'Reclamo de equipaje rediseñado'!$D3708-'Reclamo de equipaje rediseñado'!$C3708</f>
        <v>1.1111111111111072E-2</v>
      </c>
      <c r="F3708" s="48">
        <v>0.97152777777777777</v>
      </c>
      <c r="G3708" s="49">
        <f t="shared" si="57"/>
        <v>1.2500000000000067E-2</v>
      </c>
      <c r="H3708" s="50">
        <v>41806</v>
      </c>
      <c r="I3708" s="51" t="s">
        <v>544</v>
      </c>
      <c r="J3708" s="51" t="s">
        <v>535</v>
      </c>
      <c r="K3708" s="51">
        <f>VLOOKUP(J3708,'Validacion reclamo de equipaje'!L:M,2,0)</f>
        <v>50</v>
      </c>
      <c r="L3708" s="51" t="str">
        <f>VLOOKUP(I3708,'Validacion reclamo de equipaje'!H:I,2,0)</f>
        <v>Nacional</v>
      </c>
      <c r="M3708" s="51" t="s">
        <v>615</v>
      </c>
    </row>
    <row r="3709" spans="1:13" x14ac:dyDescent="0.25">
      <c r="A3709">
        <v>2820</v>
      </c>
      <c r="B3709" s="47" t="str">
        <f>VLOOKUP(Tabla6[[#This Row],['# Vuelo]],'Validacion reclamo de equipaje'!P:Q,2,0)</f>
        <v>MEXICO AEREO</v>
      </c>
      <c r="C3709" s="52">
        <v>0.80208333333333337</v>
      </c>
      <c r="D3709" s="52">
        <v>0.81458333333333333</v>
      </c>
      <c r="E3709" s="53">
        <f>'Reclamo de equipaje rediseñado'!$D3709-'Reclamo de equipaje rediseñado'!$C3709</f>
        <v>1.2499999999999956E-2</v>
      </c>
      <c r="F3709" s="52">
        <v>0.81805555555555554</v>
      </c>
      <c r="G3709" s="53">
        <f t="shared" si="57"/>
        <v>3.4722222222222099E-3</v>
      </c>
      <c r="H3709" s="54">
        <v>41811</v>
      </c>
      <c r="I3709" s="55" t="s">
        <v>544</v>
      </c>
      <c r="J3709" s="55" t="s">
        <v>535</v>
      </c>
      <c r="K3709" s="55">
        <f>VLOOKUP(J3709,'Validacion reclamo de equipaje'!L:M,2,0)</f>
        <v>50</v>
      </c>
      <c r="L3709" s="55" t="str">
        <f>VLOOKUP(I3709,'Validacion reclamo de equipaje'!H:I,2,0)</f>
        <v>Nacional</v>
      </c>
      <c r="M3709" s="55" t="s">
        <v>615</v>
      </c>
    </row>
    <row r="3710" spans="1:13" x14ac:dyDescent="0.25">
      <c r="A3710">
        <v>2820</v>
      </c>
      <c r="B3710" s="47" t="str">
        <f>VLOOKUP(Tabla6[[#This Row],['# Vuelo]],'Validacion reclamo de equipaje'!P:Q,2,0)</f>
        <v>MEXICO AEREO</v>
      </c>
      <c r="C3710" s="48">
        <v>0.83333333333333337</v>
      </c>
      <c r="D3710" s="48">
        <v>0.84027777777777779</v>
      </c>
      <c r="E3710" s="49">
        <f>'Reclamo de equipaje rediseñado'!$D3710-'Reclamo de equipaje rediseñado'!$C3710</f>
        <v>6.9444444444444198E-3</v>
      </c>
      <c r="F3710" s="48">
        <v>0.84861111111111109</v>
      </c>
      <c r="G3710" s="49">
        <f t="shared" si="57"/>
        <v>8.3333333333333037E-3</v>
      </c>
      <c r="H3710" s="50">
        <v>41813</v>
      </c>
      <c r="I3710" s="51" t="s">
        <v>544</v>
      </c>
      <c r="J3710" s="51" t="s">
        <v>535</v>
      </c>
      <c r="K3710" s="51">
        <f>VLOOKUP(J3710,'Validacion reclamo de equipaje'!L:M,2,0)</f>
        <v>50</v>
      </c>
      <c r="L3710" s="51" t="str">
        <f>VLOOKUP(I3710,'Validacion reclamo de equipaje'!H:I,2,0)</f>
        <v>Nacional</v>
      </c>
      <c r="M3710" s="51" t="s">
        <v>615</v>
      </c>
    </row>
    <row r="3711" spans="1:13" x14ac:dyDescent="0.25">
      <c r="A3711" t="s">
        <v>546</v>
      </c>
      <c r="B3711" s="47" t="str">
        <f>VLOOKUP(Tabla6[[#This Row],['# Vuelo]],'Validacion reclamo de equipaje'!P:Q,2,0)</f>
        <v>MEXICO AEREO</v>
      </c>
      <c r="C3711" s="52">
        <v>0.96388888888888891</v>
      </c>
      <c r="D3711" s="52">
        <v>0.97013888888888899</v>
      </c>
      <c r="E3711" s="53">
        <f>'Reclamo de equipaje rediseñado'!$D3711-'Reclamo de equipaje rediseñado'!$C3711</f>
        <v>6.2500000000000888E-3</v>
      </c>
      <c r="F3711" s="52">
        <v>0.97152777777777777</v>
      </c>
      <c r="G3711" s="53">
        <f t="shared" si="57"/>
        <v>1.3888888888887729E-3</v>
      </c>
      <c r="H3711" s="54">
        <v>41791</v>
      </c>
      <c r="I3711" s="55" t="s">
        <v>541</v>
      </c>
      <c r="J3711" s="55" t="s">
        <v>535</v>
      </c>
      <c r="K3711" s="55">
        <f>VLOOKUP(J3711,'Validacion reclamo de equipaje'!L:M,2,0)</f>
        <v>50</v>
      </c>
      <c r="L3711" s="55" t="str">
        <f>VLOOKUP(I3711,'Validacion reclamo de equipaje'!H:I,2,0)</f>
        <v>Nacional</v>
      </c>
      <c r="M3711" s="55" t="s">
        <v>615</v>
      </c>
    </row>
    <row r="3712" spans="1:13" x14ac:dyDescent="0.25">
      <c r="A3712" t="s">
        <v>546</v>
      </c>
      <c r="B3712" s="47" t="str">
        <f>VLOOKUP(Tabla6[[#This Row],['# Vuelo]],'Validacion reclamo de equipaje'!P:Q,2,0)</f>
        <v>MEXICO AEREO</v>
      </c>
      <c r="C3712" s="48">
        <v>0.95624999999999993</v>
      </c>
      <c r="D3712" s="48">
        <v>0.96250000000000002</v>
      </c>
      <c r="E3712" s="49">
        <f>'Reclamo de equipaje rediseñado'!$D3712-'Reclamo de equipaje rediseñado'!$C3712</f>
        <v>6.2500000000000888E-3</v>
      </c>
      <c r="F3712" s="48">
        <v>0.96388888888888891</v>
      </c>
      <c r="G3712" s="49">
        <f t="shared" si="57"/>
        <v>1.388888888888884E-3</v>
      </c>
      <c r="H3712" s="50">
        <v>41792</v>
      </c>
      <c r="I3712" s="51" t="s">
        <v>541</v>
      </c>
      <c r="J3712" s="51" t="s">
        <v>535</v>
      </c>
      <c r="K3712" s="51">
        <f>VLOOKUP(J3712,'Validacion reclamo de equipaje'!L:M,2,0)</f>
        <v>50</v>
      </c>
      <c r="L3712" s="51" t="str">
        <f>VLOOKUP(I3712,'Validacion reclamo de equipaje'!H:I,2,0)</f>
        <v>Nacional</v>
      </c>
      <c r="M3712" s="51" t="s">
        <v>615</v>
      </c>
    </row>
    <row r="3713" spans="1:13" x14ac:dyDescent="0.25">
      <c r="A3713" t="s">
        <v>546</v>
      </c>
      <c r="B3713" s="47" t="str">
        <f>VLOOKUP(Tabla6[[#This Row],['# Vuelo]],'Validacion reclamo de equipaje'!P:Q,2,0)</f>
        <v>MEXICO AEREO</v>
      </c>
      <c r="C3713" s="52">
        <v>0.95763888888888893</v>
      </c>
      <c r="D3713" s="52">
        <v>0.96875</v>
      </c>
      <c r="E3713" s="53">
        <f>'Reclamo de equipaje rediseñado'!$D3713-'Reclamo de equipaje rediseñado'!$C3713</f>
        <v>1.1111111111111072E-2</v>
      </c>
      <c r="F3713" s="52">
        <v>0.97152777777777777</v>
      </c>
      <c r="G3713" s="53">
        <f t="shared" si="57"/>
        <v>2.7777777777777679E-3</v>
      </c>
      <c r="H3713" s="54">
        <v>41793</v>
      </c>
      <c r="I3713" s="55" t="s">
        <v>541</v>
      </c>
      <c r="J3713" s="55" t="s">
        <v>535</v>
      </c>
      <c r="K3713" s="55">
        <f>VLOOKUP(J3713,'Validacion reclamo de equipaje'!L:M,2,0)</f>
        <v>50</v>
      </c>
      <c r="L3713" s="55" t="str">
        <f>VLOOKUP(I3713,'Validacion reclamo de equipaje'!H:I,2,0)</f>
        <v>Nacional</v>
      </c>
      <c r="M3713" s="55" t="s">
        <v>615</v>
      </c>
    </row>
    <row r="3714" spans="1:13" x14ac:dyDescent="0.25">
      <c r="A3714" t="s">
        <v>546</v>
      </c>
      <c r="B3714" s="47" t="str">
        <f>VLOOKUP(Tabla6[[#This Row],['# Vuelo]],'Validacion reclamo de equipaje'!P:Q,2,0)</f>
        <v>MEXICO AEREO</v>
      </c>
      <c r="C3714" s="48">
        <v>0.95138888888888884</v>
      </c>
      <c r="D3714" s="48">
        <v>0.96666666666666667</v>
      </c>
      <c r="E3714" s="49">
        <f>'Reclamo de equipaje rediseñado'!$D3714-'Reclamo de equipaje rediseñado'!$C3714</f>
        <v>1.5277777777777835E-2</v>
      </c>
      <c r="F3714" s="48">
        <v>0.96875</v>
      </c>
      <c r="G3714" s="49">
        <f t="shared" si="57"/>
        <v>2.0833333333333259E-3</v>
      </c>
      <c r="H3714" s="50">
        <v>41794</v>
      </c>
      <c r="I3714" s="51" t="s">
        <v>541</v>
      </c>
      <c r="J3714" s="51" t="s">
        <v>535</v>
      </c>
      <c r="K3714" s="51">
        <f>VLOOKUP(J3714,'Validacion reclamo de equipaje'!L:M,2,0)</f>
        <v>50</v>
      </c>
      <c r="L3714" s="51" t="str">
        <f>VLOOKUP(I3714,'Validacion reclamo de equipaje'!H:I,2,0)</f>
        <v>Nacional</v>
      </c>
      <c r="M3714" s="51" t="s">
        <v>615</v>
      </c>
    </row>
    <row r="3715" spans="1:13" x14ac:dyDescent="0.25">
      <c r="A3715" t="s">
        <v>546</v>
      </c>
      <c r="B3715" s="47" t="str">
        <f>VLOOKUP(Tabla6[[#This Row],['# Vuelo]],'Validacion reclamo de equipaje'!P:Q,2,0)</f>
        <v>MEXICO AEREO</v>
      </c>
      <c r="C3715" s="52">
        <v>0.96875</v>
      </c>
      <c r="D3715" s="52">
        <v>0.98541666666666661</v>
      </c>
      <c r="E3715" s="53">
        <f>'Reclamo de equipaje rediseñado'!$D3715-'Reclamo de equipaje rediseñado'!$C3715</f>
        <v>1.6666666666666607E-2</v>
      </c>
      <c r="F3715" s="52">
        <v>0.9916666666666667</v>
      </c>
      <c r="G3715" s="53">
        <f t="shared" ref="G3715:G3778" si="58">F3715-D3715</f>
        <v>6.2500000000000888E-3</v>
      </c>
      <c r="H3715" s="54">
        <v>41795</v>
      </c>
      <c r="I3715" s="55" t="s">
        <v>541</v>
      </c>
      <c r="J3715" s="55" t="s">
        <v>535</v>
      </c>
      <c r="K3715" s="55">
        <f>VLOOKUP(J3715,'Validacion reclamo de equipaje'!L:M,2,0)</f>
        <v>50</v>
      </c>
      <c r="L3715" s="55" t="str">
        <f>VLOOKUP(I3715,'Validacion reclamo de equipaje'!H:I,2,0)</f>
        <v>Nacional</v>
      </c>
      <c r="M3715" s="55" t="s">
        <v>615</v>
      </c>
    </row>
    <row r="3716" spans="1:13" x14ac:dyDescent="0.25">
      <c r="A3716" t="s">
        <v>546</v>
      </c>
      <c r="B3716" s="47" t="str">
        <f>VLOOKUP(Tabla6[[#This Row],['# Vuelo]],'Validacion reclamo de equipaje'!P:Q,2,0)</f>
        <v>MEXICO AEREO</v>
      </c>
      <c r="C3716" s="48">
        <v>0.96388888888888891</v>
      </c>
      <c r="D3716" s="48">
        <v>0.9770833333333333</v>
      </c>
      <c r="E3716" s="49">
        <f>'Reclamo de equipaje rediseñado'!$D3716-'Reclamo de equipaje rediseñado'!$C3716</f>
        <v>1.3194444444444398E-2</v>
      </c>
      <c r="F3716" s="48">
        <v>0.97916666666666663</v>
      </c>
      <c r="G3716" s="49">
        <f t="shared" si="58"/>
        <v>2.0833333333333259E-3</v>
      </c>
      <c r="H3716" s="50">
        <v>41798</v>
      </c>
      <c r="I3716" s="51" t="s">
        <v>541</v>
      </c>
      <c r="J3716" s="51" t="s">
        <v>535</v>
      </c>
      <c r="K3716" s="51">
        <f>VLOOKUP(J3716,'Validacion reclamo de equipaje'!L:M,2,0)</f>
        <v>50</v>
      </c>
      <c r="L3716" s="51" t="str">
        <f>VLOOKUP(I3716,'Validacion reclamo de equipaje'!H:I,2,0)</f>
        <v>Nacional</v>
      </c>
      <c r="M3716" s="51" t="s">
        <v>615</v>
      </c>
    </row>
    <row r="3717" spans="1:13" x14ac:dyDescent="0.25">
      <c r="A3717">
        <v>2622</v>
      </c>
      <c r="B3717" s="47" t="str">
        <f>VLOOKUP(Tabla6[[#This Row],['# Vuelo]],'Validacion reclamo de equipaje'!P:Q,2,0)</f>
        <v>MEXICO AEREO</v>
      </c>
      <c r="C3717" s="52">
        <v>0.76180555555555562</v>
      </c>
      <c r="D3717" s="52">
        <v>0.7680555555555556</v>
      </c>
      <c r="E3717" s="53">
        <f>'Reclamo de equipaje rediseñado'!$D3717-'Reclamo de equipaje rediseñado'!$C3717</f>
        <v>6.2499999999999778E-3</v>
      </c>
      <c r="F3717" s="52">
        <v>0.77083333333333337</v>
      </c>
      <c r="G3717" s="53">
        <f t="shared" si="58"/>
        <v>2.7777777777777679E-3</v>
      </c>
      <c r="H3717" s="54">
        <v>41792</v>
      </c>
      <c r="I3717" s="55" t="s">
        <v>541</v>
      </c>
      <c r="J3717" s="55" t="s">
        <v>535</v>
      </c>
      <c r="K3717" s="55">
        <f>VLOOKUP(J3717,'Validacion reclamo de equipaje'!L:M,2,0)</f>
        <v>50</v>
      </c>
      <c r="L3717" s="55" t="str">
        <f>VLOOKUP(I3717,'Validacion reclamo de equipaje'!H:I,2,0)</f>
        <v>Nacional</v>
      </c>
      <c r="M3717" s="55" t="s">
        <v>615</v>
      </c>
    </row>
    <row r="3718" spans="1:13" x14ac:dyDescent="0.25">
      <c r="A3718">
        <v>2622</v>
      </c>
      <c r="B3718" s="47" t="str">
        <f>VLOOKUP(Tabla6[[#This Row],['# Vuelo]],'Validacion reclamo de equipaje'!P:Q,2,0)</f>
        <v>MEXICO AEREO</v>
      </c>
      <c r="C3718" s="48">
        <v>0.75416666666666676</v>
      </c>
      <c r="D3718" s="48">
        <v>0.76111111111111107</v>
      </c>
      <c r="E3718" s="49">
        <f>'Reclamo de equipaje rediseñado'!$D3718-'Reclamo de equipaje rediseñado'!$C3718</f>
        <v>6.9444444444443088E-3</v>
      </c>
      <c r="F3718" s="48">
        <v>0.76458333333333339</v>
      </c>
      <c r="G3718" s="49">
        <f t="shared" si="58"/>
        <v>3.4722222222223209E-3</v>
      </c>
      <c r="H3718" s="50">
        <v>41794</v>
      </c>
      <c r="I3718" s="51" t="s">
        <v>541</v>
      </c>
      <c r="J3718" s="51" t="s">
        <v>535</v>
      </c>
      <c r="K3718" s="51">
        <f>VLOOKUP(J3718,'Validacion reclamo de equipaje'!L:M,2,0)</f>
        <v>50</v>
      </c>
      <c r="L3718" s="51" t="str">
        <f>VLOOKUP(I3718,'Validacion reclamo de equipaje'!H:I,2,0)</f>
        <v>Nacional</v>
      </c>
      <c r="M3718" s="51" t="s">
        <v>615</v>
      </c>
    </row>
    <row r="3719" spans="1:13" x14ac:dyDescent="0.25">
      <c r="A3719">
        <v>2622</v>
      </c>
      <c r="B3719" s="47" t="str">
        <f>VLOOKUP(Tabla6[[#This Row],['# Vuelo]],'Validacion reclamo de equipaje'!P:Q,2,0)</f>
        <v>MEXICO AEREO</v>
      </c>
      <c r="C3719" s="52">
        <v>0.75902777777777775</v>
      </c>
      <c r="D3719" s="52">
        <v>0.76527777777777783</v>
      </c>
      <c r="E3719" s="53">
        <f>'Reclamo de equipaje rediseñado'!$D3719-'Reclamo de equipaje rediseñado'!$C3719</f>
        <v>6.2500000000000888E-3</v>
      </c>
      <c r="F3719" s="52">
        <v>0.7680555555555556</v>
      </c>
      <c r="G3719" s="53">
        <f t="shared" si="58"/>
        <v>2.7777777777777679E-3</v>
      </c>
      <c r="H3719" s="54">
        <v>41795</v>
      </c>
      <c r="I3719" s="55" t="s">
        <v>541</v>
      </c>
      <c r="J3719" s="55" t="s">
        <v>535</v>
      </c>
      <c r="K3719" s="55">
        <f>VLOOKUP(J3719,'Validacion reclamo de equipaje'!L:M,2,0)</f>
        <v>50</v>
      </c>
      <c r="L3719" s="55" t="str">
        <f>VLOOKUP(I3719,'Validacion reclamo de equipaje'!H:I,2,0)</f>
        <v>Nacional</v>
      </c>
      <c r="M3719" s="55" t="s">
        <v>615</v>
      </c>
    </row>
    <row r="3720" spans="1:13" x14ac:dyDescent="0.25">
      <c r="A3720">
        <v>2622</v>
      </c>
      <c r="B3720" s="47" t="str">
        <f>VLOOKUP(Tabla6[[#This Row],['# Vuelo]],'Validacion reclamo de equipaje'!P:Q,2,0)</f>
        <v>MEXICO AEREO</v>
      </c>
      <c r="C3720" s="48">
        <v>0.76666666666666661</v>
      </c>
      <c r="D3720" s="48">
        <v>0.77222222222222225</v>
      </c>
      <c r="E3720" s="49">
        <f>'Reclamo de equipaje rediseñado'!$D3720-'Reclamo de equipaje rediseñado'!$C3720</f>
        <v>5.5555555555556468E-3</v>
      </c>
      <c r="F3720" s="48">
        <v>0.77430555555555547</v>
      </c>
      <c r="G3720" s="49">
        <f t="shared" si="58"/>
        <v>2.0833333333332149E-3</v>
      </c>
      <c r="H3720" s="50">
        <v>41796</v>
      </c>
      <c r="I3720" s="51" t="s">
        <v>541</v>
      </c>
      <c r="J3720" s="51" t="s">
        <v>535</v>
      </c>
      <c r="K3720" s="51">
        <f>VLOOKUP(J3720,'Validacion reclamo de equipaje'!L:M,2,0)</f>
        <v>50</v>
      </c>
      <c r="L3720" s="51" t="str">
        <f>VLOOKUP(I3720,'Validacion reclamo de equipaje'!H:I,2,0)</f>
        <v>Nacional</v>
      </c>
      <c r="M3720" s="51" t="s">
        <v>615</v>
      </c>
    </row>
    <row r="3721" spans="1:13" x14ac:dyDescent="0.25">
      <c r="A3721">
        <v>2622</v>
      </c>
      <c r="B3721" s="47" t="str">
        <f>VLOOKUP(Tabla6[[#This Row],['# Vuelo]],'Validacion reclamo de equipaje'!P:Q,2,0)</f>
        <v>MEXICO AEREO</v>
      </c>
      <c r="C3721" s="52">
        <v>0.7680555555555556</v>
      </c>
      <c r="D3721" s="52">
        <v>0.77361111111111114</v>
      </c>
      <c r="E3721" s="53">
        <f>'Reclamo de equipaje rediseñado'!$D3721-'Reclamo de equipaje rediseñado'!$C3721</f>
        <v>5.5555555555555358E-3</v>
      </c>
      <c r="F3721" s="52">
        <v>0.77777777777777779</v>
      </c>
      <c r="G3721" s="53">
        <f t="shared" si="58"/>
        <v>4.1666666666666519E-3</v>
      </c>
      <c r="H3721" s="54">
        <v>41798</v>
      </c>
      <c r="I3721" s="55" t="s">
        <v>541</v>
      </c>
      <c r="J3721" s="55" t="s">
        <v>535</v>
      </c>
      <c r="K3721" s="55">
        <f>VLOOKUP(J3721,'Validacion reclamo de equipaje'!L:M,2,0)</f>
        <v>50</v>
      </c>
      <c r="L3721" s="55" t="str">
        <f>VLOOKUP(I3721,'Validacion reclamo de equipaje'!H:I,2,0)</f>
        <v>Nacional</v>
      </c>
      <c r="M3721" s="55" t="s">
        <v>615</v>
      </c>
    </row>
    <row r="3722" spans="1:13" x14ac:dyDescent="0.25">
      <c r="A3722">
        <v>2622</v>
      </c>
      <c r="B3722" s="47" t="str">
        <f>VLOOKUP(Tabla6[[#This Row],['# Vuelo]],'Validacion reclamo de equipaje'!P:Q,2,0)</f>
        <v>MEXICO AEREO</v>
      </c>
      <c r="C3722" s="48">
        <v>0.48055555555555557</v>
      </c>
      <c r="D3722" s="48">
        <v>0.48749999999999999</v>
      </c>
      <c r="E3722" s="49">
        <f>'Reclamo de equipaje rediseñado'!$D3722-'Reclamo de equipaje rediseñado'!$C3722</f>
        <v>6.9444444444444198E-3</v>
      </c>
      <c r="F3722" s="48">
        <v>0.49722222222222223</v>
      </c>
      <c r="G3722" s="49">
        <f t="shared" si="58"/>
        <v>9.7222222222222432E-3</v>
      </c>
      <c r="H3722" s="50">
        <v>41801</v>
      </c>
      <c r="I3722" s="51" t="s">
        <v>541</v>
      </c>
      <c r="J3722" s="51" t="s">
        <v>535</v>
      </c>
      <c r="K3722" s="51">
        <f>VLOOKUP(J3722,'Validacion reclamo de equipaje'!L:M,2,0)</f>
        <v>50</v>
      </c>
      <c r="L3722" s="51" t="str">
        <f>VLOOKUP(I3722,'Validacion reclamo de equipaje'!H:I,2,0)</f>
        <v>Nacional</v>
      </c>
      <c r="M3722" s="51" t="s">
        <v>615</v>
      </c>
    </row>
    <row r="3723" spans="1:13" x14ac:dyDescent="0.25">
      <c r="A3723">
        <v>2622</v>
      </c>
      <c r="B3723" s="47" t="str">
        <f>VLOOKUP(Tabla6[[#This Row],['# Vuelo]],'Validacion reclamo de equipaje'!P:Q,2,0)</f>
        <v>MEXICO AEREO</v>
      </c>
      <c r="C3723" s="52">
        <v>0.54513888888888895</v>
      </c>
      <c r="D3723" s="52">
        <v>0.5493055555555556</v>
      </c>
      <c r="E3723" s="53">
        <f>'Reclamo de equipaje rediseñado'!$D3723-'Reclamo de equipaje rediseñado'!$C3723</f>
        <v>4.1666666666666519E-3</v>
      </c>
      <c r="F3723" s="52">
        <v>0.55555555555555558</v>
      </c>
      <c r="G3723" s="53">
        <f t="shared" si="58"/>
        <v>6.2499999999999778E-3</v>
      </c>
      <c r="H3723" s="54">
        <v>41801</v>
      </c>
      <c r="I3723" s="55" t="s">
        <v>541</v>
      </c>
      <c r="J3723" s="55" t="s">
        <v>535</v>
      </c>
      <c r="K3723" s="55">
        <f>VLOOKUP(J3723,'Validacion reclamo de equipaje'!L:M,2,0)</f>
        <v>50</v>
      </c>
      <c r="L3723" s="55" t="str">
        <f>VLOOKUP(I3723,'Validacion reclamo de equipaje'!H:I,2,0)</f>
        <v>Nacional</v>
      </c>
      <c r="M3723" s="55" t="s">
        <v>615</v>
      </c>
    </row>
    <row r="3724" spans="1:13" x14ac:dyDescent="0.25">
      <c r="A3724">
        <v>2622</v>
      </c>
      <c r="B3724" s="47" t="str">
        <f>VLOOKUP(Tabla6[[#This Row],['# Vuelo]],'Validacion reclamo de equipaje'!P:Q,2,0)</f>
        <v>MEXICO AEREO</v>
      </c>
      <c r="C3724" s="48">
        <v>0.66388888888888886</v>
      </c>
      <c r="D3724" s="48">
        <v>0.6694444444444444</v>
      </c>
      <c r="E3724" s="49">
        <f>'Reclamo de equipaje rediseñado'!$D3724-'Reclamo de equipaje rediseñado'!$C3724</f>
        <v>5.5555555555555358E-3</v>
      </c>
      <c r="F3724" s="48">
        <v>0.68680555555555556</v>
      </c>
      <c r="G3724" s="49">
        <f t="shared" si="58"/>
        <v>1.736111111111116E-2</v>
      </c>
      <c r="H3724" s="50">
        <v>41802</v>
      </c>
      <c r="I3724" s="51" t="s">
        <v>541</v>
      </c>
      <c r="J3724" s="51" t="s">
        <v>535</v>
      </c>
      <c r="K3724" s="51">
        <f>VLOOKUP(J3724,'Validacion reclamo de equipaje'!L:M,2,0)</f>
        <v>50</v>
      </c>
      <c r="L3724" s="51" t="str">
        <f>VLOOKUP(I3724,'Validacion reclamo de equipaje'!H:I,2,0)</f>
        <v>Nacional</v>
      </c>
      <c r="M3724" s="51" t="s">
        <v>615</v>
      </c>
    </row>
    <row r="3725" spans="1:13" x14ac:dyDescent="0.25">
      <c r="A3725">
        <v>2622</v>
      </c>
      <c r="B3725" s="47" t="str">
        <f>VLOOKUP(Tabla6[[#This Row],['# Vuelo]],'Validacion reclamo de equipaje'!P:Q,2,0)</f>
        <v>MEXICO AEREO</v>
      </c>
      <c r="C3725" s="52">
        <v>0.90972222222222221</v>
      </c>
      <c r="D3725" s="52">
        <v>0.91666666666666663</v>
      </c>
      <c r="E3725" s="53">
        <f>'Reclamo de equipaje rediseñado'!$D3725-'Reclamo de equipaje rediseñado'!$C3725</f>
        <v>6.9444444444444198E-3</v>
      </c>
      <c r="F3725" s="52">
        <v>0.91875000000000007</v>
      </c>
      <c r="G3725" s="53">
        <f t="shared" si="58"/>
        <v>2.083333333333437E-3</v>
      </c>
      <c r="H3725" s="54">
        <v>41803</v>
      </c>
      <c r="I3725" s="55" t="s">
        <v>541</v>
      </c>
      <c r="J3725" s="55" t="s">
        <v>535</v>
      </c>
      <c r="K3725" s="55">
        <f>VLOOKUP(J3725,'Validacion reclamo de equipaje'!L:M,2,0)</f>
        <v>50</v>
      </c>
      <c r="L3725" s="55" t="str">
        <f>VLOOKUP(I3725,'Validacion reclamo de equipaje'!H:I,2,0)</f>
        <v>Nacional</v>
      </c>
      <c r="M3725" s="55" t="s">
        <v>615</v>
      </c>
    </row>
    <row r="3726" spans="1:13" x14ac:dyDescent="0.25">
      <c r="A3726">
        <v>2622</v>
      </c>
      <c r="B3726" s="47" t="str">
        <f>VLOOKUP(Tabla6[[#This Row],['# Vuelo]],'Validacion reclamo de equipaje'!P:Q,2,0)</f>
        <v>MEXICO AEREO</v>
      </c>
      <c r="C3726" s="48">
        <v>0.83750000000000002</v>
      </c>
      <c r="D3726" s="48">
        <v>0.84375</v>
      </c>
      <c r="E3726" s="49">
        <f>'Reclamo de equipaje rediseñado'!$D3726-'Reclamo de equipaje rediseñado'!$C3726</f>
        <v>6.2499999999999778E-3</v>
      </c>
      <c r="F3726" s="48">
        <v>0.85069444444444453</v>
      </c>
      <c r="G3726" s="49">
        <f t="shared" si="58"/>
        <v>6.9444444444445308E-3</v>
      </c>
      <c r="H3726" s="50">
        <v>41804</v>
      </c>
      <c r="I3726" s="51" t="s">
        <v>541</v>
      </c>
      <c r="J3726" s="51" t="s">
        <v>535</v>
      </c>
      <c r="K3726" s="51">
        <f>VLOOKUP(J3726,'Validacion reclamo de equipaje'!L:M,2,0)</f>
        <v>50</v>
      </c>
      <c r="L3726" s="51" t="str">
        <f>VLOOKUP(I3726,'Validacion reclamo de equipaje'!H:I,2,0)</f>
        <v>Nacional</v>
      </c>
      <c r="M3726" s="51" t="s">
        <v>615</v>
      </c>
    </row>
    <row r="3727" spans="1:13" x14ac:dyDescent="0.25">
      <c r="A3727">
        <v>2622</v>
      </c>
      <c r="B3727" s="47" t="str">
        <f>VLOOKUP(Tabla6[[#This Row],['# Vuelo]],'Validacion reclamo de equipaje'!P:Q,2,0)</f>
        <v>MEXICO AEREO</v>
      </c>
      <c r="C3727" s="52">
        <v>0.42638888888888887</v>
      </c>
      <c r="D3727" s="52">
        <v>0.43333333333333335</v>
      </c>
      <c r="E3727" s="53">
        <f>'Reclamo de equipaje rediseñado'!$D3727-'Reclamo de equipaje rediseñado'!$C3727</f>
        <v>6.9444444444444753E-3</v>
      </c>
      <c r="F3727" s="52">
        <v>0.43888888888888888</v>
      </c>
      <c r="G3727" s="53">
        <f t="shared" si="58"/>
        <v>5.5555555555555358E-3</v>
      </c>
      <c r="H3727" s="54">
        <v>41805</v>
      </c>
      <c r="I3727" s="55" t="s">
        <v>541</v>
      </c>
      <c r="J3727" s="55" t="s">
        <v>535</v>
      </c>
      <c r="K3727" s="55">
        <f>VLOOKUP(J3727,'Validacion reclamo de equipaje'!L:M,2,0)</f>
        <v>50</v>
      </c>
      <c r="L3727" s="55" t="str">
        <f>VLOOKUP(I3727,'Validacion reclamo de equipaje'!H:I,2,0)</f>
        <v>Nacional</v>
      </c>
      <c r="M3727" s="55" t="s">
        <v>615</v>
      </c>
    </row>
    <row r="3728" spans="1:13" x14ac:dyDescent="0.25">
      <c r="A3728">
        <v>2622</v>
      </c>
      <c r="B3728" s="47" t="str">
        <f>VLOOKUP(Tabla6[[#This Row],['# Vuelo]],'Validacion reclamo de equipaje'!P:Q,2,0)</f>
        <v>MEXICO AEREO</v>
      </c>
      <c r="C3728" s="48">
        <v>0.78194444444444444</v>
      </c>
      <c r="D3728" s="48">
        <v>0.79305555555555562</v>
      </c>
      <c r="E3728" s="49">
        <f>'Reclamo de equipaje rediseñado'!$D3728-'Reclamo de equipaje rediseñado'!$C3728</f>
        <v>1.1111111111111183E-2</v>
      </c>
      <c r="F3728" s="48">
        <v>0.80486111111111114</v>
      </c>
      <c r="G3728" s="49">
        <f t="shared" si="58"/>
        <v>1.1805555555555514E-2</v>
      </c>
      <c r="H3728" s="50">
        <v>41806</v>
      </c>
      <c r="I3728" s="51" t="s">
        <v>541</v>
      </c>
      <c r="J3728" s="51" t="s">
        <v>535</v>
      </c>
      <c r="K3728" s="51">
        <f>VLOOKUP(J3728,'Validacion reclamo de equipaje'!L:M,2,0)</f>
        <v>50</v>
      </c>
      <c r="L3728" s="51" t="str">
        <f>VLOOKUP(I3728,'Validacion reclamo de equipaje'!H:I,2,0)</f>
        <v>Nacional</v>
      </c>
      <c r="M3728" s="51" t="s">
        <v>615</v>
      </c>
    </row>
    <row r="3729" spans="1:13" x14ac:dyDescent="0.25">
      <c r="A3729">
        <v>2622</v>
      </c>
      <c r="B3729" s="47" t="str">
        <f>VLOOKUP(Tabla6[[#This Row],['# Vuelo]],'Validacion reclamo de equipaje'!P:Q,2,0)</f>
        <v>MEXICO AEREO</v>
      </c>
      <c r="C3729" s="52">
        <v>0.26458333333333334</v>
      </c>
      <c r="D3729" s="52">
        <v>0.27430555555555552</v>
      </c>
      <c r="E3729" s="53">
        <f>'Reclamo de equipaje rediseñado'!$D3729-'Reclamo de equipaje rediseñado'!$C3729</f>
        <v>9.7222222222221877E-3</v>
      </c>
      <c r="F3729" s="52">
        <v>0.27916666666666667</v>
      </c>
      <c r="G3729" s="53">
        <f t="shared" si="58"/>
        <v>4.8611111111111494E-3</v>
      </c>
      <c r="H3729" s="54">
        <v>41807</v>
      </c>
      <c r="I3729" s="55" t="s">
        <v>541</v>
      </c>
      <c r="J3729" s="55" t="s">
        <v>535</v>
      </c>
      <c r="K3729" s="55">
        <f>VLOOKUP(J3729,'Validacion reclamo de equipaje'!L:M,2,0)</f>
        <v>50</v>
      </c>
      <c r="L3729" s="55" t="str">
        <f>VLOOKUP(I3729,'Validacion reclamo de equipaje'!H:I,2,0)</f>
        <v>Nacional</v>
      </c>
      <c r="M3729" s="55" t="s">
        <v>615</v>
      </c>
    </row>
    <row r="3730" spans="1:13" x14ac:dyDescent="0.25">
      <c r="A3730">
        <v>2622</v>
      </c>
      <c r="B3730" s="47" t="str">
        <f>VLOOKUP(Tabla6[[#This Row],['# Vuelo]],'Validacion reclamo de equipaje'!P:Q,2,0)</f>
        <v>MEXICO AEREO</v>
      </c>
      <c r="C3730" s="48">
        <v>0.42152777777777778</v>
      </c>
      <c r="D3730" s="48">
        <v>0.43333333333333335</v>
      </c>
      <c r="E3730" s="49">
        <f>'Reclamo de equipaje rediseñado'!$D3730-'Reclamo de equipaje rediseñado'!$C3730</f>
        <v>1.1805555555555569E-2</v>
      </c>
      <c r="F3730" s="48">
        <v>0.4375</v>
      </c>
      <c r="G3730" s="49">
        <f t="shared" si="58"/>
        <v>4.1666666666666519E-3</v>
      </c>
      <c r="H3730" s="50">
        <v>41808</v>
      </c>
      <c r="I3730" s="51" t="s">
        <v>541</v>
      </c>
      <c r="J3730" s="51" t="s">
        <v>535</v>
      </c>
      <c r="K3730" s="51">
        <f>VLOOKUP(J3730,'Validacion reclamo de equipaje'!L:M,2,0)</f>
        <v>50</v>
      </c>
      <c r="L3730" s="51" t="str">
        <f>VLOOKUP(I3730,'Validacion reclamo de equipaje'!H:I,2,0)</f>
        <v>Nacional</v>
      </c>
      <c r="M3730" s="51" t="s">
        <v>615</v>
      </c>
    </row>
    <row r="3731" spans="1:13" x14ac:dyDescent="0.25">
      <c r="A3731">
        <v>2622</v>
      </c>
      <c r="B3731" s="47" t="str">
        <f>VLOOKUP(Tabla6[[#This Row],['# Vuelo]],'Validacion reclamo de equipaje'!P:Q,2,0)</f>
        <v>MEXICO AEREO</v>
      </c>
      <c r="C3731" s="52">
        <v>0.42291666666666666</v>
      </c>
      <c r="D3731" s="52">
        <v>0.4291666666666667</v>
      </c>
      <c r="E3731" s="53">
        <f>'Reclamo de equipaje rediseñado'!$D3731-'Reclamo de equipaje rediseñado'!$C3731</f>
        <v>6.2500000000000333E-3</v>
      </c>
      <c r="F3731" s="52">
        <v>0.43611111111111112</v>
      </c>
      <c r="G3731" s="53">
        <f t="shared" si="58"/>
        <v>6.9444444444444198E-3</v>
      </c>
      <c r="H3731" s="54">
        <v>41809</v>
      </c>
      <c r="I3731" s="55" t="s">
        <v>541</v>
      </c>
      <c r="J3731" s="55" t="s">
        <v>535</v>
      </c>
      <c r="K3731" s="55">
        <f>VLOOKUP(J3731,'Validacion reclamo de equipaje'!L:M,2,0)</f>
        <v>50</v>
      </c>
      <c r="L3731" s="55" t="str">
        <f>VLOOKUP(I3731,'Validacion reclamo de equipaje'!H:I,2,0)</f>
        <v>Nacional</v>
      </c>
      <c r="M3731" s="55" t="s">
        <v>615</v>
      </c>
    </row>
    <row r="3732" spans="1:13" x14ac:dyDescent="0.25">
      <c r="A3732">
        <v>2622</v>
      </c>
      <c r="B3732" s="47" t="str">
        <f>VLOOKUP(Tabla6[[#This Row],['# Vuelo]],'Validacion reclamo de equipaje'!P:Q,2,0)</f>
        <v>MEXICO AEREO</v>
      </c>
      <c r="C3732" s="48">
        <v>0.4236111111111111</v>
      </c>
      <c r="D3732" s="48">
        <v>0.42708333333333331</v>
      </c>
      <c r="E3732" s="49">
        <f>'Reclamo de equipaje rediseñado'!$D3732-'Reclamo de equipaje rediseñado'!$C3732</f>
        <v>3.4722222222222099E-3</v>
      </c>
      <c r="F3732" s="48">
        <v>0.43194444444444446</v>
      </c>
      <c r="G3732" s="49">
        <f t="shared" si="58"/>
        <v>4.8611111111111494E-3</v>
      </c>
      <c r="H3732" s="50">
        <v>41810</v>
      </c>
      <c r="I3732" s="51" t="s">
        <v>541</v>
      </c>
      <c r="J3732" s="51" t="s">
        <v>535</v>
      </c>
      <c r="K3732" s="51">
        <f>VLOOKUP(J3732,'Validacion reclamo de equipaje'!L:M,2,0)</f>
        <v>50</v>
      </c>
      <c r="L3732" s="51" t="str">
        <f>VLOOKUP(I3732,'Validacion reclamo de equipaje'!H:I,2,0)</f>
        <v>Nacional</v>
      </c>
      <c r="M3732" s="51" t="s">
        <v>615</v>
      </c>
    </row>
    <row r="3733" spans="1:13" x14ac:dyDescent="0.25">
      <c r="A3733">
        <v>2622</v>
      </c>
      <c r="B3733" s="47" t="str">
        <f>VLOOKUP(Tabla6[[#This Row],['# Vuelo]],'Validacion reclamo de equipaje'!P:Q,2,0)</f>
        <v>MEXICO AEREO</v>
      </c>
      <c r="C3733" s="52">
        <v>0.42777777777777781</v>
      </c>
      <c r="D3733" s="52">
        <v>0.43472222222222223</v>
      </c>
      <c r="E3733" s="53">
        <f>'Reclamo de equipaje rediseñado'!$D3733-'Reclamo de equipaje rediseñado'!$C3733</f>
        <v>6.9444444444444198E-3</v>
      </c>
      <c r="F3733" s="52">
        <v>0.44166666666666665</v>
      </c>
      <c r="G3733" s="53">
        <f t="shared" si="58"/>
        <v>6.9444444444444198E-3</v>
      </c>
      <c r="H3733" s="54">
        <v>41811</v>
      </c>
      <c r="I3733" s="55" t="s">
        <v>541</v>
      </c>
      <c r="J3733" s="55" t="s">
        <v>535</v>
      </c>
      <c r="K3733" s="55">
        <f>VLOOKUP(J3733,'Validacion reclamo de equipaje'!L:M,2,0)</f>
        <v>50</v>
      </c>
      <c r="L3733" s="55" t="str">
        <f>VLOOKUP(I3733,'Validacion reclamo de equipaje'!H:I,2,0)</f>
        <v>Nacional</v>
      </c>
      <c r="M3733" s="55" t="s">
        <v>615</v>
      </c>
    </row>
    <row r="3734" spans="1:13" x14ac:dyDescent="0.25">
      <c r="A3734">
        <v>2622</v>
      </c>
      <c r="B3734" s="47" t="str">
        <f>VLOOKUP(Tabla6[[#This Row],['# Vuelo]],'Validacion reclamo de equipaje'!P:Q,2,0)</f>
        <v>MEXICO AEREO</v>
      </c>
      <c r="C3734" s="48">
        <v>0.43055555555555558</v>
      </c>
      <c r="D3734" s="48">
        <v>0.43611111111111112</v>
      </c>
      <c r="E3734" s="49">
        <f>'Reclamo de equipaje rediseñado'!$D3734-'Reclamo de equipaje rediseñado'!$C3734</f>
        <v>5.5555555555555358E-3</v>
      </c>
      <c r="F3734" s="48">
        <v>0.44027777777777777</v>
      </c>
      <c r="G3734" s="49">
        <f t="shared" si="58"/>
        <v>4.1666666666666519E-3</v>
      </c>
      <c r="H3734" s="50">
        <v>41813</v>
      </c>
      <c r="I3734" s="51" t="s">
        <v>541</v>
      </c>
      <c r="J3734" s="51" t="s">
        <v>535</v>
      </c>
      <c r="K3734" s="51">
        <f>VLOOKUP(J3734,'Validacion reclamo de equipaje'!L:M,2,0)</f>
        <v>50</v>
      </c>
      <c r="L3734" s="51" t="str">
        <f>VLOOKUP(I3734,'Validacion reclamo de equipaje'!H:I,2,0)</f>
        <v>Nacional</v>
      </c>
      <c r="M3734" s="51" t="s">
        <v>615</v>
      </c>
    </row>
    <row r="3735" spans="1:13" x14ac:dyDescent="0.25">
      <c r="A3735">
        <v>2622</v>
      </c>
      <c r="B3735" s="47" t="str">
        <f>VLOOKUP(Tabla6[[#This Row],['# Vuelo]],'Validacion reclamo de equipaje'!P:Q,2,0)</f>
        <v>MEXICO AEREO</v>
      </c>
      <c r="C3735" s="52">
        <v>0.4236111111111111</v>
      </c>
      <c r="D3735" s="52">
        <v>0.42708333333333331</v>
      </c>
      <c r="E3735" s="53">
        <f>'Reclamo de equipaje rediseñado'!$D3735-'Reclamo de equipaje rediseñado'!$C3735</f>
        <v>3.4722222222222099E-3</v>
      </c>
      <c r="F3735" s="52">
        <v>0.43194444444444446</v>
      </c>
      <c r="G3735" s="53">
        <f t="shared" si="58"/>
        <v>4.8611111111111494E-3</v>
      </c>
      <c r="H3735" s="54">
        <v>41812</v>
      </c>
      <c r="I3735" s="55" t="s">
        <v>541</v>
      </c>
      <c r="J3735" s="55" t="s">
        <v>535</v>
      </c>
      <c r="K3735" s="55">
        <f>VLOOKUP(J3735,'Validacion reclamo de equipaje'!L:M,2,0)</f>
        <v>50</v>
      </c>
      <c r="L3735" s="55" t="str">
        <f>VLOOKUP(I3735,'Validacion reclamo de equipaje'!H:I,2,0)</f>
        <v>Nacional</v>
      </c>
      <c r="M3735" s="55" t="s">
        <v>615</v>
      </c>
    </row>
    <row r="3736" spans="1:13" x14ac:dyDescent="0.25">
      <c r="A3736">
        <v>2621</v>
      </c>
      <c r="B3736" s="47" t="str">
        <f>VLOOKUP(Tabla6[[#This Row],['# Vuelo]],'Validacion reclamo de equipaje'!P:Q,2,0)</f>
        <v>MEXICO AEREO</v>
      </c>
      <c r="C3736" s="48">
        <v>0.39374999999999999</v>
      </c>
      <c r="D3736" s="48">
        <v>0.3979166666666667</v>
      </c>
      <c r="E3736" s="49">
        <f>'Reclamo de equipaje rediseñado'!$D3736-'Reclamo de equipaje rediseñado'!$C3736</f>
        <v>4.1666666666667074E-3</v>
      </c>
      <c r="F3736" s="48">
        <v>0.40069444444444446</v>
      </c>
      <c r="G3736" s="49">
        <f t="shared" si="58"/>
        <v>2.7777777777777679E-3</v>
      </c>
      <c r="H3736" s="50">
        <v>41792</v>
      </c>
      <c r="I3736" s="51" t="s">
        <v>541</v>
      </c>
      <c r="J3736" s="51" t="s">
        <v>535</v>
      </c>
      <c r="K3736" s="51">
        <f>VLOOKUP(J3736,'Validacion reclamo de equipaje'!L:M,2,0)</f>
        <v>50</v>
      </c>
      <c r="L3736" s="51" t="str">
        <f>VLOOKUP(I3736,'Validacion reclamo de equipaje'!H:I,2,0)</f>
        <v>Nacional</v>
      </c>
      <c r="M3736" s="51" t="s">
        <v>615</v>
      </c>
    </row>
    <row r="3737" spans="1:13" x14ac:dyDescent="0.25">
      <c r="A3737">
        <v>2621</v>
      </c>
      <c r="B3737" s="47" t="str">
        <f>VLOOKUP(Tabla6[[#This Row],['# Vuelo]],'Validacion reclamo de equipaje'!P:Q,2,0)</f>
        <v>MEXICO AEREO</v>
      </c>
      <c r="C3737" s="52">
        <v>0.41388888888888892</v>
      </c>
      <c r="D3737" s="52">
        <v>0.41666666666666669</v>
      </c>
      <c r="E3737" s="53">
        <f>'Reclamo de equipaje rediseñado'!$D3737-'Reclamo de equipaje rediseñado'!$C3737</f>
        <v>2.7777777777777679E-3</v>
      </c>
      <c r="F3737" s="52">
        <v>0.42152777777777778</v>
      </c>
      <c r="G3737" s="53">
        <f t="shared" si="58"/>
        <v>4.8611111111110938E-3</v>
      </c>
      <c r="H3737" s="54">
        <v>41793</v>
      </c>
      <c r="I3737" s="55" t="s">
        <v>541</v>
      </c>
      <c r="J3737" s="55" t="s">
        <v>535</v>
      </c>
      <c r="K3737" s="55">
        <f>VLOOKUP(J3737,'Validacion reclamo de equipaje'!L:M,2,0)</f>
        <v>50</v>
      </c>
      <c r="L3737" s="55" t="str">
        <f>VLOOKUP(I3737,'Validacion reclamo de equipaje'!H:I,2,0)</f>
        <v>Nacional</v>
      </c>
      <c r="M3737" s="55" t="s">
        <v>615</v>
      </c>
    </row>
    <row r="3738" spans="1:13" x14ac:dyDescent="0.25">
      <c r="A3738">
        <v>2621</v>
      </c>
      <c r="B3738" s="47" t="str">
        <f>VLOOKUP(Tabla6[[#This Row],['# Vuelo]],'Validacion reclamo de equipaje'!P:Q,2,0)</f>
        <v>MEXICO AEREO</v>
      </c>
      <c r="C3738" s="48">
        <v>0.3972222222222222</v>
      </c>
      <c r="D3738" s="48">
        <v>0.40069444444444446</v>
      </c>
      <c r="E3738" s="49">
        <f>'Reclamo de equipaje rediseñado'!$D3738-'Reclamo de equipaje rediseñado'!$C3738</f>
        <v>3.4722222222222654E-3</v>
      </c>
      <c r="F3738" s="48">
        <v>0.40625</v>
      </c>
      <c r="G3738" s="49">
        <f t="shared" si="58"/>
        <v>5.5555555555555358E-3</v>
      </c>
      <c r="H3738" s="50">
        <v>41794</v>
      </c>
      <c r="I3738" s="51" t="s">
        <v>541</v>
      </c>
      <c r="J3738" s="51" t="s">
        <v>535</v>
      </c>
      <c r="K3738" s="51">
        <f>VLOOKUP(J3738,'Validacion reclamo de equipaje'!L:M,2,0)</f>
        <v>50</v>
      </c>
      <c r="L3738" s="51" t="str">
        <f>VLOOKUP(I3738,'Validacion reclamo de equipaje'!H:I,2,0)</f>
        <v>Nacional</v>
      </c>
      <c r="M3738" s="51" t="s">
        <v>615</v>
      </c>
    </row>
    <row r="3739" spans="1:13" x14ac:dyDescent="0.25">
      <c r="A3739">
        <v>2621</v>
      </c>
      <c r="B3739" s="47" t="str">
        <f>VLOOKUP(Tabla6[[#This Row],['# Vuelo]],'Validacion reclamo de equipaje'!P:Q,2,0)</f>
        <v>MEXICO AEREO</v>
      </c>
      <c r="C3739" s="52">
        <v>0.39583333333333331</v>
      </c>
      <c r="D3739" s="52">
        <v>0.40069444444444446</v>
      </c>
      <c r="E3739" s="53">
        <f>'Reclamo de equipaje rediseñado'!$D3739-'Reclamo de equipaje rediseñado'!$C3739</f>
        <v>4.8611111111111494E-3</v>
      </c>
      <c r="F3739" s="52">
        <v>0.40347222222222223</v>
      </c>
      <c r="G3739" s="53">
        <f t="shared" si="58"/>
        <v>2.7777777777777679E-3</v>
      </c>
      <c r="H3739" s="54">
        <v>41795</v>
      </c>
      <c r="I3739" s="55" t="s">
        <v>541</v>
      </c>
      <c r="J3739" s="55" t="s">
        <v>535</v>
      </c>
      <c r="K3739" s="55">
        <f>VLOOKUP(J3739,'Validacion reclamo de equipaje'!L:M,2,0)</f>
        <v>50</v>
      </c>
      <c r="L3739" s="55" t="str">
        <f>VLOOKUP(I3739,'Validacion reclamo de equipaje'!H:I,2,0)</f>
        <v>Nacional</v>
      </c>
      <c r="M3739" s="55" t="s">
        <v>615</v>
      </c>
    </row>
    <row r="3740" spans="1:13" x14ac:dyDescent="0.25">
      <c r="A3740">
        <v>2621</v>
      </c>
      <c r="B3740" s="47" t="str">
        <f>VLOOKUP(Tabla6[[#This Row],['# Vuelo]],'Validacion reclamo de equipaje'!P:Q,2,0)</f>
        <v>MEXICO AEREO</v>
      </c>
      <c r="C3740" s="48">
        <v>0.40208333333333335</v>
      </c>
      <c r="D3740" s="48">
        <v>0.40486111111111112</v>
      </c>
      <c r="E3740" s="49">
        <f>'Reclamo de equipaje rediseñado'!$D3740-'Reclamo de equipaje rediseñado'!$C3740</f>
        <v>2.7777777777777679E-3</v>
      </c>
      <c r="F3740" s="48">
        <v>0.40972222222222227</v>
      </c>
      <c r="G3740" s="49">
        <f t="shared" si="58"/>
        <v>4.8611111111111494E-3</v>
      </c>
      <c r="H3740" s="50">
        <v>41796</v>
      </c>
      <c r="I3740" s="51" t="s">
        <v>541</v>
      </c>
      <c r="J3740" s="51" t="s">
        <v>535</v>
      </c>
      <c r="K3740" s="51">
        <f>VLOOKUP(J3740,'Validacion reclamo de equipaje'!L:M,2,0)</f>
        <v>50</v>
      </c>
      <c r="L3740" s="51" t="str">
        <f>VLOOKUP(I3740,'Validacion reclamo de equipaje'!H:I,2,0)</f>
        <v>Nacional</v>
      </c>
      <c r="M3740" s="51" t="s">
        <v>615</v>
      </c>
    </row>
    <row r="3741" spans="1:13" x14ac:dyDescent="0.25">
      <c r="A3741">
        <v>2621</v>
      </c>
      <c r="B3741" s="47" t="str">
        <f>VLOOKUP(Tabla6[[#This Row],['# Vuelo]],'Validacion reclamo de equipaje'!P:Q,2,0)</f>
        <v>MEXICO AEREO</v>
      </c>
      <c r="C3741" s="52">
        <v>0.3979166666666667</v>
      </c>
      <c r="D3741" s="52">
        <v>0.40208333333333335</v>
      </c>
      <c r="E3741" s="53">
        <f>'Reclamo de equipaje rediseñado'!$D3741-'Reclamo de equipaje rediseñado'!$C3741</f>
        <v>4.1666666666666519E-3</v>
      </c>
      <c r="F3741" s="52">
        <v>0.40347222222222223</v>
      </c>
      <c r="G3741" s="53">
        <f t="shared" si="58"/>
        <v>1.388888888888884E-3</v>
      </c>
      <c r="H3741" s="54">
        <v>41797</v>
      </c>
      <c r="I3741" s="55" t="s">
        <v>541</v>
      </c>
      <c r="J3741" s="55" t="s">
        <v>535</v>
      </c>
      <c r="K3741" s="55">
        <f>VLOOKUP(J3741,'Validacion reclamo de equipaje'!L:M,2,0)</f>
        <v>50</v>
      </c>
      <c r="L3741" s="55" t="str">
        <f>VLOOKUP(I3741,'Validacion reclamo de equipaje'!H:I,2,0)</f>
        <v>Nacional</v>
      </c>
      <c r="M3741" s="55" t="s">
        <v>615</v>
      </c>
    </row>
    <row r="3742" spans="1:13" x14ac:dyDescent="0.25">
      <c r="A3742">
        <v>2469</v>
      </c>
      <c r="B3742" s="47" t="str">
        <f>VLOOKUP(Tabla6[[#This Row],['# Vuelo]],'Validacion reclamo de equipaje'!P:Q,2,0)</f>
        <v>MEXICO AEREO</v>
      </c>
      <c r="C3742" s="48">
        <v>0.97986111111111107</v>
      </c>
      <c r="D3742" s="48">
        <v>0.98888888888888893</v>
      </c>
      <c r="E3742" s="49">
        <f>'Reclamo de equipaje rediseñado'!$D3742-'Reclamo de equipaje rediseñado'!$C3742</f>
        <v>9.0277777777778567E-3</v>
      </c>
      <c r="F3742" s="48">
        <v>0.9902777777777777</v>
      </c>
      <c r="G3742" s="49">
        <f t="shared" si="58"/>
        <v>1.3888888888887729E-3</v>
      </c>
      <c r="H3742" s="50">
        <v>41791</v>
      </c>
      <c r="I3742" s="51" t="s">
        <v>545</v>
      </c>
      <c r="J3742" s="51" t="s">
        <v>535</v>
      </c>
      <c r="K3742" s="51">
        <f>VLOOKUP(J3742,'Validacion reclamo de equipaje'!L:M,2,0)</f>
        <v>50</v>
      </c>
      <c r="L3742" s="51" t="str">
        <f>VLOOKUP(I3742,'Validacion reclamo de equipaje'!H:I,2,0)</f>
        <v>Nacional</v>
      </c>
      <c r="M3742" s="51" t="s">
        <v>615</v>
      </c>
    </row>
    <row r="3743" spans="1:13" x14ac:dyDescent="0.25">
      <c r="A3743">
        <v>2469</v>
      </c>
      <c r="B3743" s="47" t="str">
        <f>VLOOKUP(Tabla6[[#This Row],['# Vuelo]],'Validacion reclamo de equipaje'!P:Q,2,0)</f>
        <v>MEXICO AEREO</v>
      </c>
      <c r="C3743" s="52">
        <v>0.96736111111111101</v>
      </c>
      <c r="D3743" s="52">
        <v>0.97222222222222221</v>
      </c>
      <c r="E3743" s="53">
        <f>'Reclamo de equipaje rediseñado'!$D3743-'Reclamo de equipaje rediseñado'!$C3743</f>
        <v>4.8611111111112049E-3</v>
      </c>
      <c r="F3743" s="52">
        <v>0.97916666666666663</v>
      </c>
      <c r="G3743" s="53">
        <f t="shared" si="58"/>
        <v>6.9444444444444198E-3</v>
      </c>
      <c r="H3743" s="54">
        <v>41792</v>
      </c>
      <c r="I3743" s="55" t="s">
        <v>545</v>
      </c>
      <c r="J3743" s="55" t="s">
        <v>535</v>
      </c>
      <c r="K3743" s="55">
        <f>VLOOKUP(J3743,'Validacion reclamo de equipaje'!L:M,2,0)</f>
        <v>50</v>
      </c>
      <c r="L3743" s="55" t="str">
        <f>VLOOKUP(I3743,'Validacion reclamo de equipaje'!H:I,2,0)</f>
        <v>Nacional</v>
      </c>
      <c r="M3743" s="55" t="s">
        <v>615</v>
      </c>
    </row>
    <row r="3744" spans="1:13" x14ac:dyDescent="0.25">
      <c r="A3744">
        <v>2469</v>
      </c>
      <c r="B3744" s="47" t="str">
        <f>VLOOKUP(Tabla6[[#This Row],['# Vuelo]],'Validacion reclamo de equipaje'!P:Q,2,0)</f>
        <v>MEXICO AEREO</v>
      </c>
      <c r="C3744" s="48">
        <v>0.97152777777777777</v>
      </c>
      <c r="D3744" s="48">
        <v>0.98263888888888884</v>
      </c>
      <c r="E3744" s="49">
        <f>'Reclamo de equipaje rediseñado'!$D3744-'Reclamo de equipaje rediseñado'!$C3744</f>
        <v>1.1111111111111072E-2</v>
      </c>
      <c r="F3744" s="48">
        <v>0.98819444444444438</v>
      </c>
      <c r="G3744" s="49">
        <f t="shared" si="58"/>
        <v>5.5555555555555358E-3</v>
      </c>
      <c r="H3744" s="50">
        <v>41793</v>
      </c>
      <c r="I3744" s="51" t="s">
        <v>545</v>
      </c>
      <c r="J3744" s="51" t="s">
        <v>535</v>
      </c>
      <c r="K3744" s="51">
        <f>VLOOKUP(J3744,'Validacion reclamo de equipaje'!L:M,2,0)</f>
        <v>50</v>
      </c>
      <c r="L3744" s="51" t="str">
        <f>VLOOKUP(I3744,'Validacion reclamo de equipaje'!H:I,2,0)</f>
        <v>Nacional</v>
      </c>
      <c r="M3744" s="51" t="s">
        <v>615</v>
      </c>
    </row>
    <row r="3745" spans="1:13" x14ac:dyDescent="0.25">
      <c r="A3745">
        <v>2469</v>
      </c>
      <c r="B3745" s="47" t="str">
        <f>VLOOKUP(Tabla6[[#This Row],['# Vuelo]],'Validacion reclamo de equipaje'!P:Q,2,0)</f>
        <v>MEXICO AEREO</v>
      </c>
      <c r="C3745" s="52">
        <v>0.97152777777777777</v>
      </c>
      <c r="D3745" s="52">
        <v>0.97569444444444453</v>
      </c>
      <c r="E3745" s="53">
        <f>'Reclamo de equipaje rediseñado'!$D3745-'Reclamo de equipaje rediseñado'!$C3745</f>
        <v>4.1666666666667629E-3</v>
      </c>
      <c r="F3745" s="52">
        <v>0.97638888888888886</v>
      </c>
      <c r="G3745" s="53">
        <f t="shared" si="58"/>
        <v>6.9444444444433095E-4</v>
      </c>
      <c r="H3745" s="54">
        <v>41794</v>
      </c>
      <c r="I3745" s="55" t="s">
        <v>545</v>
      </c>
      <c r="J3745" s="55" t="s">
        <v>535</v>
      </c>
      <c r="K3745" s="55">
        <f>VLOOKUP(J3745,'Validacion reclamo de equipaje'!L:M,2,0)</f>
        <v>50</v>
      </c>
      <c r="L3745" s="55" t="str">
        <f>VLOOKUP(I3745,'Validacion reclamo de equipaje'!H:I,2,0)</f>
        <v>Nacional</v>
      </c>
      <c r="M3745" s="55" t="s">
        <v>615</v>
      </c>
    </row>
    <row r="3746" spans="1:13" x14ac:dyDescent="0.25">
      <c r="A3746">
        <v>2469</v>
      </c>
      <c r="B3746" s="47" t="str">
        <f>VLOOKUP(Tabla6[[#This Row],['# Vuelo]],'Validacion reclamo de equipaje'!P:Q,2,0)</f>
        <v>MEXICO AEREO</v>
      </c>
      <c r="C3746" s="48">
        <v>0.97083333333333333</v>
      </c>
      <c r="D3746" s="48">
        <v>0.98055555555555562</v>
      </c>
      <c r="E3746" s="49">
        <f>'Reclamo de equipaje rediseñado'!$D3746-'Reclamo de equipaje rediseñado'!$C3746</f>
        <v>9.7222222222222987E-3</v>
      </c>
      <c r="F3746" s="48">
        <v>0.9902777777777777</v>
      </c>
      <c r="G3746" s="49">
        <f t="shared" si="58"/>
        <v>9.7222222222220767E-3</v>
      </c>
      <c r="H3746" s="50">
        <v>41795</v>
      </c>
      <c r="I3746" s="51" t="s">
        <v>545</v>
      </c>
      <c r="J3746" s="51" t="s">
        <v>535</v>
      </c>
      <c r="K3746" s="51">
        <f>VLOOKUP(J3746,'Validacion reclamo de equipaje'!L:M,2,0)</f>
        <v>50</v>
      </c>
      <c r="L3746" s="51" t="str">
        <f>VLOOKUP(I3746,'Validacion reclamo de equipaje'!H:I,2,0)</f>
        <v>Nacional</v>
      </c>
      <c r="M3746" s="51" t="s">
        <v>615</v>
      </c>
    </row>
    <row r="3747" spans="1:13" x14ac:dyDescent="0.25">
      <c r="A3747">
        <v>2469</v>
      </c>
      <c r="B3747" s="47" t="str">
        <f>VLOOKUP(Tabla6[[#This Row],['# Vuelo]],'Validacion reclamo de equipaje'!P:Q,2,0)</f>
        <v>MEXICO AEREO</v>
      </c>
      <c r="C3747" s="52">
        <v>0.9916666666666667</v>
      </c>
      <c r="D3747" s="52">
        <v>0.99305555555555547</v>
      </c>
      <c r="E3747" s="53">
        <f>'Reclamo de equipaje rediseñado'!$D3747-'Reclamo de equipaje rediseñado'!$C3747</f>
        <v>1.3888888888887729E-3</v>
      </c>
      <c r="F3747" s="52">
        <v>0.99652777777777779</v>
      </c>
      <c r="G3747" s="53">
        <f t="shared" si="58"/>
        <v>3.4722222222223209E-3</v>
      </c>
      <c r="H3747" s="54">
        <v>41796</v>
      </c>
      <c r="I3747" s="55" t="s">
        <v>545</v>
      </c>
      <c r="J3747" s="55" t="s">
        <v>535</v>
      </c>
      <c r="K3747" s="55">
        <f>VLOOKUP(J3747,'Validacion reclamo de equipaje'!L:M,2,0)</f>
        <v>50</v>
      </c>
      <c r="L3747" s="55" t="str">
        <f>VLOOKUP(I3747,'Validacion reclamo de equipaje'!H:I,2,0)</f>
        <v>Nacional</v>
      </c>
      <c r="M3747" s="55" t="s">
        <v>615</v>
      </c>
    </row>
    <row r="3748" spans="1:13" x14ac:dyDescent="0.25">
      <c r="A3748">
        <v>2469</v>
      </c>
      <c r="B3748" s="47" t="str">
        <f>VLOOKUP(Tabla6[[#This Row],['# Vuelo]],'Validacion reclamo de equipaje'!P:Q,2,0)</f>
        <v>MEXICO AEREO</v>
      </c>
      <c r="C3748" s="48">
        <v>1.0291666666666666</v>
      </c>
      <c r="D3748" s="48">
        <v>1.0368055555555555</v>
      </c>
      <c r="E3748" s="49">
        <f>'Reclamo de equipaje rediseñado'!$D3748-'Reclamo de equipaje rediseñado'!$C3748</f>
        <v>7.6388888888889728E-3</v>
      </c>
      <c r="F3748" s="48">
        <v>1.0409722222222222</v>
      </c>
      <c r="G3748" s="49">
        <f t="shared" si="58"/>
        <v>4.1666666666666519E-3</v>
      </c>
      <c r="H3748" s="50">
        <v>41798</v>
      </c>
      <c r="I3748" s="51" t="s">
        <v>545</v>
      </c>
      <c r="J3748" s="51" t="s">
        <v>535</v>
      </c>
      <c r="K3748" s="51">
        <f>VLOOKUP(J3748,'Validacion reclamo de equipaje'!L:M,2,0)</f>
        <v>50</v>
      </c>
      <c r="L3748" s="51" t="str">
        <f>VLOOKUP(I3748,'Validacion reclamo de equipaje'!H:I,2,0)</f>
        <v>Nacional</v>
      </c>
      <c r="M3748" s="51" t="s">
        <v>615</v>
      </c>
    </row>
    <row r="3749" spans="1:13" x14ac:dyDescent="0.25">
      <c r="A3749">
        <v>2469</v>
      </c>
      <c r="B3749" s="47" t="str">
        <f>VLOOKUP(Tabla6[[#This Row],['# Vuelo]],'Validacion reclamo de equipaje'!P:Q,2,0)</f>
        <v>MEXICO AEREO</v>
      </c>
      <c r="C3749" s="52">
        <v>0.96180555555555547</v>
      </c>
      <c r="D3749" s="52">
        <v>0.97222222222222221</v>
      </c>
      <c r="E3749" s="53">
        <f>'Reclamo de equipaje rediseñado'!$D3749-'Reclamo de equipaje rediseñado'!$C3749</f>
        <v>1.0416666666666741E-2</v>
      </c>
      <c r="F3749" s="52">
        <v>0.97499999999999998</v>
      </c>
      <c r="G3749" s="53">
        <f t="shared" si="58"/>
        <v>2.7777777777777679E-3</v>
      </c>
      <c r="H3749" s="54">
        <v>41799</v>
      </c>
      <c r="I3749" s="55" t="s">
        <v>545</v>
      </c>
      <c r="J3749" s="55" t="s">
        <v>535</v>
      </c>
      <c r="K3749" s="55">
        <f>VLOOKUP(J3749,'Validacion reclamo de equipaje'!L:M,2,0)</f>
        <v>50</v>
      </c>
      <c r="L3749" s="55" t="str">
        <f>VLOOKUP(I3749,'Validacion reclamo de equipaje'!H:I,2,0)</f>
        <v>Nacional</v>
      </c>
      <c r="M3749" s="55" t="s">
        <v>615</v>
      </c>
    </row>
    <row r="3750" spans="1:13" x14ac:dyDescent="0.25">
      <c r="A3750">
        <v>2469</v>
      </c>
      <c r="B3750" s="47" t="str">
        <f>VLOOKUP(Tabla6[[#This Row],['# Vuelo]],'Validacion reclamo de equipaje'!P:Q,2,0)</f>
        <v>MEXICO AEREO</v>
      </c>
      <c r="C3750" s="48">
        <v>0.48819444444444443</v>
      </c>
      <c r="D3750" s="48">
        <v>0.49791666666666662</v>
      </c>
      <c r="E3750" s="49">
        <f>'Reclamo de equipaje rediseñado'!$D3750-'Reclamo de equipaje rediseñado'!$C3750</f>
        <v>9.7222222222221877E-3</v>
      </c>
      <c r="F3750" s="48">
        <v>0.50555555555555554</v>
      </c>
      <c r="G3750" s="49">
        <f t="shared" si="58"/>
        <v>7.6388888888889173E-3</v>
      </c>
      <c r="H3750" s="50">
        <v>41800</v>
      </c>
      <c r="I3750" s="51" t="s">
        <v>545</v>
      </c>
      <c r="J3750" s="51" t="s">
        <v>535</v>
      </c>
      <c r="K3750" s="51">
        <f>VLOOKUP(J3750,'Validacion reclamo de equipaje'!L:M,2,0)</f>
        <v>50</v>
      </c>
      <c r="L3750" s="51" t="str">
        <f>VLOOKUP(I3750,'Validacion reclamo de equipaje'!H:I,2,0)</f>
        <v>Nacional</v>
      </c>
      <c r="M3750" s="51" t="s">
        <v>615</v>
      </c>
    </row>
    <row r="3751" spans="1:13" x14ac:dyDescent="0.25">
      <c r="A3751">
        <v>2469</v>
      </c>
      <c r="B3751" s="47" t="str">
        <f>VLOOKUP(Tabla6[[#This Row],['# Vuelo]],'Validacion reclamo de equipaje'!P:Q,2,0)</f>
        <v>MEXICO AEREO</v>
      </c>
      <c r="C3751" s="52">
        <v>0.51527777777777783</v>
      </c>
      <c r="D3751" s="52">
        <v>0.52777777777777779</v>
      </c>
      <c r="E3751" s="53">
        <f>'Reclamo de equipaje rediseñado'!$D3751-'Reclamo de equipaje rediseñado'!$C3751</f>
        <v>1.2499999999999956E-2</v>
      </c>
      <c r="F3751" s="52">
        <v>0.53333333333333333</v>
      </c>
      <c r="G3751" s="53">
        <f t="shared" si="58"/>
        <v>5.5555555555555358E-3</v>
      </c>
      <c r="H3751" s="54">
        <v>41801</v>
      </c>
      <c r="I3751" s="55" t="s">
        <v>545</v>
      </c>
      <c r="J3751" s="55" t="s">
        <v>535</v>
      </c>
      <c r="K3751" s="55">
        <f>VLOOKUP(J3751,'Validacion reclamo de equipaje'!L:M,2,0)</f>
        <v>50</v>
      </c>
      <c r="L3751" s="55" t="str">
        <f>VLOOKUP(I3751,'Validacion reclamo de equipaje'!H:I,2,0)</f>
        <v>Nacional</v>
      </c>
      <c r="M3751" s="55" t="s">
        <v>615</v>
      </c>
    </row>
    <row r="3752" spans="1:13" x14ac:dyDescent="0.25">
      <c r="A3752">
        <v>2469</v>
      </c>
      <c r="B3752" s="47" t="str">
        <f>VLOOKUP(Tabla6[[#This Row],['# Vuelo]],'Validacion reclamo de equipaje'!P:Q,2,0)</f>
        <v>MEXICO AEREO</v>
      </c>
      <c r="C3752" s="48">
        <v>0.57222222222222219</v>
      </c>
      <c r="D3752" s="48">
        <v>0.5805555555555556</v>
      </c>
      <c r="E3752" s="49">
        <f>'Reclamo de equipaje rediseñado'!$D3752-'Reclamo de equipaje rediseñado'!$C3752</f>
        <v>8.3333333333334147E-3</v>
      </c>
      <c r="F3752" s="48">
        <v>0.59722222222222221</v>
      </c>
      <c r="G3752" s="49">
        <f t="shared" si="58"/>
        <v>1.6666666666666607E-2</v>
      </c>
      <c r="H3752" s="50">
        <v>41802</v>
      </c>
      <c r="I3752" s="51" t="s">
        <v>545</v>
      </c>
      <c r="J3752" s="51" t="s">
        <v>535</v>
      </c>
      <c r="K3752" s="51">
        <f>VLOOKUP(J3752,'Validacion reclamo de equipaje'!L:M,2,0)</f>
        <v>50</v>
      </c>
      <c r="L3752" s="51" t="str">
        <f>VLOOKUP(I3752,'Validacion reclamo de equipaje'!H:I,2,0)</f>
        <v>Nacional</v>
      </c>
      <c r="M3752" s="51" t="s">
        <v>615</v>
      </c>
    </row>
    <row r="3753" spans="1:13" x14ac:dyDescent="0.25">
      <c r="A3753">
        <v>2469</v>
      </c>
      <c r="B3753" s="47" t="str">
        <f>VLOOKUP(Tabla6[[#This Row],['# Vuelo]],'Validacion reclamo de equipaje'!P:Q,2,0)</f>
        <v>MEXICO AEREO</v>
      </c>
      <c r="C3753" s="52">
        <v>0.87847222222222221</v>
      </c>
      <c r="D3753" s="52">
        <v>0.8833333333333333</v>
      </c>
      <c r="E3753" s="53">
        <f>'Reclamo de equipaje rediseñado'!$D3753-'Reclamo de equipaje rediseñado'!$C3753</f>
        <v>4.8611111111110938E-3</v>
      </c>
      <c r="F3753" s="52">
        <v>0.88611111111111107</v>
      </c>
      <c r="G3753" s="53">
        <f t="shared" si="58"/>
        <v>2.7777777777777679E-3</v>
      </c>
      <c r="H3753" s="54">
        <v>41803</v>
      </c>
      <c r="I3753" s="55" t="s">
        <v>545</v>
      </c>
      <c r="J3753" s="55" t="s">
        <v>535</v>
      </c>
      <c r="K3753" s="55">
        <f>VLOOKUP(J3753,'Validacion reclamo de equipaje'!L:M,2,0)</f>
        <v>50</v>
      </c>
      <c r="L3753" s="55" t="str">
        <f>VLOOKUP(I3753,'Validacion reclamo de equipaje'!H:I,2,0)</f>
        <v>Nacional</v>
      </c>
      <c r="M3753" s="55" t="s">
        <v>615</v>
      </c>
    </row>
    <row r="3754" spans="1:13" x14ac:dyDescent="0.25">
      <c r="A3754">
        <v>2469</v>
      </c>
      <c r="B3754" s="47" t="str">
        <f>VLOOKUP(Tabla6[[#This Row],['# Vuelo]],'Validacion reclamo de equipaje'!P:Q,2,0)</f>
        <v>MEXICO AEREO</v>
      </c>
      <c r="C3754" s="48">
        <v>0.78472222222222221</v>
      </c>
      <c r="D3754" s="48">
        <v>0.78819444444444453</v>
      </c>
      <c r="E3754" s="49">
        <f>'Reclamo de equipaje rediseñado'!$D3754-'Reclamo de equipaje rediseñado'!$C3754</f>
        <v>3.4722222222223209E-3</v>
      </c>
      <c r="F3754" s="48">
        <v>0.78888888888888886</v>
      </c>
      <c r="G3754" s="49">
        <f t="shared" si="58"/>
        <v>6.9444444444433095E-4</v>
      </c>
      <c r="H3754" s="50">
        <v>41805</v>
      </c>
      <c r="I3754" s="51" t="s">
        <v>545</v>
      </c>
      <c r="J3754" s="51" t="s">
        <v>535</v>
      </c>
      <c r="K3754" s="51">
        <f>VLOOKUP(J3754,'Validacion reclamo de equipaje'!L:M,2,0)</f>
        <v>50</v>
      </c>
      <c r="L3754" s="51" t="str">
        <f>VLOOKUP(I3754,'Validacion reclamo de equipaje'!H:I,2,0)</f>
        <v>Nacional</v>
      </c>
      <c r="M3754" s="51" t="s">
        <v>615</v>
      </c>
    </row>
    <row r="3755" spans="1:13" x14ac:dyDescent="0.25">
      <c r="A3755">
        <v>2469</v>
      </c>
      <c r="B3755" s="47" t="str">
        <f>VLOOKUP(Tabla6[[#This Row],['# Vuelo]],'Validacion reclamo de equipaje'!P:Q,2,0)</f>
        <v>MEXICO AEREO</v>
      </c>
      <c r="C3755" s="52">
        <v>0.97222222222222221</v>
      </c>
      <c r="D3755" s="52">
        <v>0.98402777777777783</v>
      </c>
      <c r="E3755" s="53">
        <f>'Reclamo de equipaje rediseñado'!$D3755-'Reclamo de equipaje rediseñado'!$C3755</f>
        <v>1.1805555555555625E-2</v>
      </c>
      <c r="F3755" s="52">
        <v>0.98749999999999993</v>
      </c>
      <c r="G3755" s="53">
        <f t="shared" si="58"/>
        <v>3.4722222222220989E-3</v>
      </c>
      <c r="H3755" s="54">
        <v>41808</v>
      </c>
      <c r="I3755" s="55" t="s">
        <v>545</v>
      </c>
      <c r="J3755" s="55" t="s">
        <v>535</v>
      </c>
      <c r="K3755" s="55">
        <f>VLOOKUP(J3755,'Validacion reclamo de equipaje'!L:M,2,0)</f>
        <v>50</v>
      </c>
      <c r="L3755" s="55" t="str">
        <f>VLOOKUP(I3755,'Validacion reclamo de equipaje'!H:I,2,0)</f>
        <v>Nacional</v>
      </c>
      <c r="M3755" s="55" t="s">
        <v>615</v>
      </c>
    </row>
    <row r="3756" spans="1:13" x14ac:dyDescent="0.25">
      <c r="A3756">
        <v>2469</v>
      </c>
      <c r="B3756" s="47" t="str">
        <f>VLOOKUP(Tabla6[[#This Row],['# Vuelo]],'Validacion reclamo de equipaje'!P:Q,2,0)</f>
        <v>MEXICO AEREO</v>
      </c>
      <c r="C3756" s="48">
        <v>0.96597222222222223</v>
      </c>
      <c r="D3756" s="48">
        <v>0.9770833333333333</v>
      </c>
      <c r="E3756" s="49">
        <f>'Reclamo de equipaje rediseñado'!$D3756-'Reclamo de equipaje rediseñado'!$C3756</f>
        <v>1.1111111111111072E-2</v>
      </c>
      <c r="F3756" s="48">
        <v>0.98263888888888884</v>
      </c>
      <c r="G3756" s="49">
        <f t="shared" si="58"/>
        <v>5.5555555555555358E-3</v>
      </c>
      <c r="H3756" s="50">
        <v>41810</v>
      </c>
      <c r="I3756" s="51" t="s">
        <v>545</v>
      </c>
      <c r="J3756" s="51" t="s">
        <v>535</v>
      </c>
      <c r="K3756" s="51">
        <f>VLOOKUP(J3756,'Validacion reclamo de equipaje'!L:M,2,0)</f>
        <v>50</v>
      </c>
      <c r="L3756" s="51" t="str">
        <f>VLOOKUP(I3756,'Validacion reclamo de equipaje'!H:I,2,0)</f>
        <v>Nacional</v>
      </c>
      <c r="M3756" s="51" t="s">
        <v>615</v>
      </c>
    </row>
    <row r="3757" spans="1:13" x14ac:dyDescent="0.25">
      <c r="A3757">
        <v>2469</v>
      </c>
      <c r="B3757" s="47" t="str">
        <f>VLOOKUP(Tabla6[[#This Row],['# Vuelo]],'Validacion reclamo de equipaje'!P:Q,2,0)</f>
        <v>MEXICO AEREO</v>
      </c>
      <c r="C3757" s="52">
        <v>0.96319444444444446</v>
      </c>
      <c r="D3757" s="52">
        <v>0.97083333333333333</v>
      </c>
      <c r="E3757" s="53">
        <f>'Reclamo de equipaje rediseñado'!$D3757-'Reclamo de equipaje rediseñado'!$C3757</f>
        <v>7.6388888888888618E-3</v>
      </c>
      <c r="F3757" s="52">
        <v>0.97361111111111109</v>
      </c>
      <c r="G3757" s="53">
        <f t="shared" si="58"/>
        <v>2.7777777777777679E-3</v>
      </c>
      <c r="H3757" s="54">
        <v>41812</v>
      </c>
      <c r="I3757" s="55" t="s">
        <v>545</v>
      </c>
      <c r="J3757" s="55" t="s">
        <v>535</v>
      </c>
      <c r="K3757" s="55">
        <f>VLOOKUP(J3757,'Validacion reclamo de equipaje'!L:M,2,0)</f>
        <v>50</v>
      </c>
      <c r="L3757" s="55" t="str">
        <f>VLOOKUP(I3757,'Validacion reclamo de equipaje'!H:I,2,0)</f>
        <v>Nacional</v>
      </c>
      <c r="M3757" s="55" t="s">
        <v>615</v>
      </c>
    </row>
    <row r="3758" spans="1:13" x14ac:dyDescent="0.25">
      <c r="A3758">
        <v>2469</v>
      </c>
      <c r="B3758" s="47" t="str">
        <f>VLOOKUP(Tabla6[[#This Row],['# Vuelo]],'Validacion reclamo de equipaje'!P:Q,2,0)</f>
        <v>MEXICO AEREO</v>
      </c>
      <c r="C3758" s="48">
        <v>0.96875</v>
      </c>
      <c r="D3758" s="48">
        <v>0.97638888888888886</v>
      </c>
      <c r="E3758" s="49">
        <f>'Reclamo de equipaje rediseñado'!$D3758-'Reclamo de equipaje rediseñado'!$C3758</f>
        <v>7.6388888888888618E-3</v>
      </c>
      <c r="F3758" s="48">
        <v>0.98055555555555562</v>
      </c>
      <c r="G3758" s="49">
        <f t="shared" si="58"/>
        <v>4.1666666666667629E-3</v>
      </c>
      <c r="H3758" s="50">
        <v>41813</v>
      </c>
      <c r="I3758" s="51" t="s">
        <v>545</v>
      </c>
      <c r="J3758" s="51" t="s">
        <v>535</v>
      </c>
      <c r="K3758" s="51">
        <f>VLOOKUP(J3758,'Validacion reclamo de equipaje'!L:M,2,0)</f>
        <v>50</v>
      </c>
      <c r="L3758" s="51" t="str">
        <f>VLOOKUP(I3758,'Validacion reclamo de equipaje'!H:I,2,0)</f>
        <v>Nacional</v>
      </c>
      <c r="M3758" s="51" t="s">
        <v>615</v>
      </c>
    </row>
    <row r="3759" spans="1:13" x14ac:dyDescent="0.25">
      <c r="A3759">
        <v>2335</v>
      </c>
      <c r="B3759" s="47" t="str">
        <f>VLOOKUP(Tabla6[[#This Row],['# Vuelo]],'Validacion reclamo de equipaje'!P:Q,2,0)</f>
        <v>MEXICO AEREO</v>
      </c>
      <c r="C3759" s="52">
        <v>0.96111111111111114</v>
      </c>
      <c r="D3759" s="52">
        <v>0.97222222222222221</v>
      </c>
      <c r="E3759" s="53">
        <f>'Reclamo de equipaje rediseñado'!$D3759-'Reclamo de equipaje rediseñado'!$C3759</f>
        <v>1.1111111111111072E-2</v>
      </c>
      <c r="F3759" s="52">
        <v>0.97638888888888886</v>
      </c>
      <c r="G3759" s="53">
        <f t="shared" si="58"/>
        <v>4.1666666666666519E-3</v>
      </c>
      <c r="H3759" s="54">
        <v>41791</v>
      </c>
      <c r="I3759" s="55" t="s">
        <v>542</v>
      </c>
      <c r="J3759" s="55" t="s">
        <v>535</v>
      </c>
      <c r="K3759" s="55">
        <f>VLOOKUP(J3759,'Validacion reclamo de equipaje'!L:M,2,0)</f>
        <v>50</v>
      </c>
      <c r="L3759" s="55" t="str">
        <f>VLOOKUP(I3759,'Validacion reclamo de equipaje'!H:I,2,0)</f>
        <v>Nacional</v>
      </c>
      <c r="M3759" s="55" t="s">
        <v>615</v>
      </c>
    </row>
    <row r="3760" spans="1:13" x14ac:dyDescent="0.25">
      <c r="A3760">
        <v>2335</v>
      </c>
      <c r="B3760" s="47" t="str">
        <f>VLOOKUP(Tabla6[[#This Row],['# Vuelo]],'Validacion reclamo de equipaje'!P:Q,2,0)</f>
        <v>MEXICO AEREO</v>
      </c>
      <c r="C3760" s="48">
        <v>0.9604166666666667</v>
      </c>
      <c r="D3760" s="48">
        <v>0.97291666666666676</v>
      </c>
      <c r="E3760" s="49">
        <f>'Reclamo de equipaje rediseñado'!$D3760-'Reclamo de equipaje rediseñado'!$C3760</f>
        <v>1.2500000000000067E-2</v>
      </c>
      <c r="F3760" s="48">
        <v>0.97430555555555554</v>
      </c>
      <c r="G3760" s="49">
        <f t="shared" si="58"/>
        <v>1.3888888888887729E-3</v>
      </c>
      <c r="H3760" s="50">
        <v>41792</v>
      </c>
      <c r="I3760" s="51" t="s">
        <v>542</v>
      </c>
      <c r="J3760" s="51" t="s">
        <v>535</v>
      </c>
      <c r="K3760" s="51">
        <f>VLOOKUP(J3760,'Validacion reclamo de equipaje'!L:M,2,0)</f>
        <v>50</v>
      </c>
      <c r="L3760" s="51" t="str">
        <f>VLOOKUP(I3760,'Validacion reclamo de equipaje'!H:I,2,0)</f>
        <v>Nacional</v>
      </c>
      <c r="M3760" s="51" t="s">
        <v>615</v>
      </c>
    </row>
    <row r="3761" spans="1:13" x14ac:dyDescent="0.25">
      <c r="A3761">
        <v>2335</v>
      </c>
      <c r="B3761" s="47" t="str">
        <f>VLOOKUP(Tabla6[[#This Row],['# Vuelo]],'Validacion reclamo de equipaje'!P:Q,2,0)</f>
        <v>MEXICO AEREO</v>
      </c>
      <c r="C3761" s="52">
        <v>0.97499999999999998</v>
      </c>
      <c r="D3761" s="52">
        <v>0.9784722222222223</v>
      </c>
      <c r="E3761" s="53">
        <f>'Reclamo de equipaje rediseñado'!$D3761-'Reclamo de equipaje rediseñado'!$C3761</f>
        <v>3.4722222222223209E-3</v>
      </c>
      <c r="F3761" s="52">
        <v>0.98263888888888884</v>
      </c>
      <c r="G3761" s="53">
        <f t="shared" si="58"/>
        <v>4.1666666666665408E-3</v>
      </c>
      <c r="H3761" s="54">
        <v>41793</v>
      </c>
      <c r="I3761" s="55" t="s">
        <v>542</v>
      </c>
      <c r="J3761" s="55" t="s">
        <v>535</v>
      </c>
      <c r="K3761" s="55">
        <f>VLOOKUP(J3761,'Validacion reclamo de equipaje'!L:M,2,0)</f>
        <v>50</v>
      </c>
      <c r="L3761" s="55" t="str">
        <f>VLOOKUP(I3761,'Validacion reclamo de equipaje'!H:I,2,0)</f>
        <v>Nacional</v>
      </c>
      <c r="M3761" s="55" t="s">
        <v>615</v>
      </c>
    </row>
    <row r="3762" spans="1:13" x14ac:dyDescent="0.25">
      <c r="A3762">
        <v>2335</v>
      </c>
      <c r="B3762" s="47" t="str">
        <f>VLOOKUP(Tabla6[[#This Row],['# Vuelo]],'Validacion reclamo de equipaje'!P:Q,2,0)</f>
        <v>MEXICO AEREO</v>
      </c>
      <c r="C3762" s="48">
        <v>0.95763888888888893</v>
      </c>
      <c r="D3762" s="48">
        <v>0.96527777777777779</v>
      </c>
      <c r="E3762" s="49">
        <f>'Reclamo de equipaje rediseñado'!$D3762-'Reclamo de equipaje rediseñado'!$C3762</f>
        <v>7.6388888888888618E-3</v>
      </c>
      <c r="F3762" s="48">
        <v>0.98958333333333337</v>
      </c>
      <c r="G3762" s="49">
        <f t="shared" si="58"/>
        <v>2.430555555555558E-2</v>
      </c>
      <c r="H3762" s="50">
        <v>41793</v>
      </c>
      <c r="I3762" s="51" t="s">
        <v>542</v>
      </c>
      <c r="J3762" s="51" t="s">
        <v>535</v>
      </c>
      <c r="K3762" s="51">
        <f>VLOOKUP(J3762,'Validacion reclamo de equipaje'!L:M,2,0)</f>
        <v>50</v>
      </c>
      <c r="L3762" s="51" t="str">
        <f>VLOOKUP(I3762,'Validacion reclamo de equipaje'!H:I,2,0)</f>
        <v>Nacional</v>
      </c>
      <c r="M3762" s="51" t="s">
        <v>615</v>
      </c>
    </row>
    <row r="3763" spans="1:13" x14ac:dyDescent="0.25">
      <c r="A3763">
        <v>2335</v>
      </c>
      <c r="B3763" s="47" t="str">
        <f>VLOOKUP(Tabla6[[#This Row],['# Vuelo]],'Validacion reclamo de equipaje'!P:Q,2,0)</f>
        <v>MEXICO AEREO</v>
      </c>
      <c r="C3763" s="52">
        <v>0.96736111111111101</v>
      </c>
      <c r="D3763" s="52">
        <v>0.97013888888888899</v>
      </c>
      <c r="E3763" s="53">
        <f>'Reclamo de equipaje rediseñado'!$D3763-'Reclamo de equipaje rediseñado'!$C3763</f>
        <v>2.77777777777799E-3</v>
      </c>
      <c r="F3763" s="52">
        <v>0.97430555555555554</v>
      </c>
      <c r="G3763" s="53">
        <f t="shared" si="58"/>
        <v>4.1666666666665408E-3</v>
      </c>
      <c r="H3763" s="54">
        <v>41794</v>
      </c>
      <c r="I3763" s="55" t="s">
        <v>542</v>
      </c>
      <c r="J3763" s="55" t="s">
        <v>535</v>
      </c>
      <c r="K3763" s="55">
        <f>VLOOKUP(J3763,'Validacion reclamo de equipaje'!L:M,2,0)</f>
        <v>50</v>
      </c>
      <c r="L3763" s="55" t="str">
        <f>VLOOKUP(I3763,'Validacion reclamo de equipaje'!H:I,2,0)</f>
        <v>Nacional</v>
      </c>
      <c r="M3763" s="55" t="s">
        <v>615</v>
      </c>
    </row>
    <row r="3764" spans="1:13" x14ac:dyDescent="0.25">
      <c r="A3764">
        <v>2335</v>
      </c>
      <c r="B3764" s="47" t="str">
        <f>VLOOKUP(Tabla6[[#This Row],['# Vuelo]],'Validacion reclamo de equipaje'!P:Q,2,0)</f>
        <v>MEXICO AEREO</v>
      </c>
      <c r="C3764" s="48">
        <v>0.95972222222222225</v>
      </c>
      <c r="D3764" s="48">
        <v>0.96875</v>
      </c>
      <c r="E3764" s="49">
        <f>'Reclamo de equipaje rediseñado'!$D3764-'Reclamo de equipaje rediseñado'!$C3764</f>
        <v>9.0277777777777457E-3</v>
      </c>
      <c r="F3764" s="48">
        <v>0.97083333333333333</v>
      </c>
      <c r="G3764" s="49">
        <f t="shared" si="58"/>
        <v>2.0833333333333259E-3</v>
      </c>
      <c r="H3764" s="50">
        <v>41795</v>
      </c>
      <c r="I3764" s="51" t="s">
        <v>542</v>
      </c>
      <c r="J3764" s="51" t="s">
        <v>535</v>
      </c>
      <c r="K3764" s="51">
        <f>VLOOKUP(J3764,'Validacion reclamo de equipaje'!L:M,2,0)</f>
        <v>50</v>
      </c>
      <c r="L3764" s="51" t="str">
        <f>VLOOKUP(I3764,'Validacion reclamo de equipaje'!H:I,2,0)</f>
        <v>Nacional</v>
      </c>
      <c r="M3764" s="51" t="s">
        <v>615</v>
      </c>
    </row>
    <row r="3765" spans="1:13" x14ac:dyDescent="0.25">
      <c r="A3765">
        <v>2335</v>
      </c>
      <c r="B3765" s="47" t="str">
        <f>VLOOKUP(Tabla6[[#This Row],['# Vuelo]],'Validacion reclamo de equipaje'!P:Q,2,0)</f>
        <v>MEXICO AEREO</v>
      </c>
      <c r="C3765" s="52">
        <v>0.96666666666666667</v>
      </c>
      <c r="D3765" s="52">
        <v>0.97291666666666676</v>
      </c>
      <c r="E3765" s="53">
        <f>'Reclamo de equipaje rediseñado'!$D3765-'Reclamo de equipaje rediseñado'!$C3765</f>
        <v>6.2500000000000888E-3</v>
      </c>
      <c r="F3765" s="52">
        <v>0.9770833333333333</v>
      </c>
      <c r="G3765" s="53">
        <f t="shared" si="58"/>
        <v>4.1666666666665408E-3</v>
      </c>
      <c r="H3765" s="54">
        <v>41796</v>
      </c>
      <c r="I3765" s="55" t="s">
        <v>542</v>
      </c>
      <c r="J3765" s="55" t="s">
        <v>535</v>
      </c>
      <c r="K3765" s="55">
        <f>VLOOKUP(J3765,'Validacion reclamo de equipaje'!L:M,2,0)</f>
        <v>50</v>
      </c>
      <c r="L3765" s="55" t="str">
        <f>VLOOKUP(I3765,'Validacion reclamo de equipaje'!H:I,2,0)</f>
        <v>Nacional</v>
      </c>
      <c r="M3765" s="55" t="s">
        <v>615</v>
      </c>
    </row>
    <row r="3766" spans="1:13" x14ac:dyDescent="0.25">
      <c r="A3766">
        <v>2335</v>
      </c>
      <c r="B3766" s="47" t="str">
        <f>VLOOKUP(Tabla6[[#This Row],['# Vuelo]],'Validacion reclamo de equipaje'!P:Q,2,0)</f>
        <v>MEXICO AEREO</v>
      </c>
      <c r="C3766" s="48">
        <v>0.9590277777777777</v>
      </c>
      <c r="D3766" s="48">
        <v>0.97499999999999998</v>
      </c>
      <c r="E3766" s="49">
        <f>'Reclamo de equipaje rediseñado'!$D3766-'Reclamo de equipaje rediseñado'!$C3766</f>
        <v>1.5972222222222276E-2</v>
      </c>
      <c r="F3766" s="48">
        <v>0.9770833333333333</v>
      </c>
      <c r="G3766" s="49">
        <f t="shared" si="58"/>
        <v>2.0833333333333259E-3</v>
      </c>
      <c r="H3766" s="50">
        <v>41798</v>
      </c>
      <c r="I3766" s="51" t="s">
        <v>542</v>
      </c>
      <c r="J3766" s="51" t="s">
        <v>535</v>
      </c>
      <c r="K3766" s="51">
        <f>VLOOKUP(J3766,'Validacion reclamo de equipaje'!L:M,2,0)</f>
        <v>50</v>
      </c>
      <c r="L3766" s="51" t="str">
        <f>VLOOKUP(I3766,'Validacion reclamo de equipaje'!H:I,2,0)</f>
        <v>Nacional</v>
      </c>
      <c r="M3766" s="51" t="s">
        <v>615</v>
      </c>
    </row>
    <row r="3767" spans="1:13" x14ac:dyDescent="0.25">
      <c r="A3767">
        <v>2335</v>
      </c>
      <c r="B3767" s="47" t="str">
        <f>VLOOKUP(Tabla6[[#This Row],['# Vuelo]],'Validacion reclamo de equipaje'!P:Q,2,0)</f>
        <v>MEXICO AEREO</v>
      </c>
      <c r="C3767" s="52">
        <v>0.96944444444444444</v>
      </c>
      <c r="D3767" s="52">
        <v>0.97291666666666676</v>
      </c>
      <c r="E3767" s="53">
        <f>'Reclamo de equipaje rediseñado'!$D3767-'Reclamo de equipaje rediseñado'!$C3767</f>
        <v>3.4722222222223209E-3</v>
      </c>
      <c r="F3767" s="52">
        <v>0.97916666666666663</v>
      </c>
      <c r="G3767" s="53">
        <f t="shared" si="58"/>
        <v>6.2499999999998668E-3</v>
      </c>
      <c r="H3767" s="54">
        <v>41799</v>
      </c>
      <c r="I3767" s="55" t="s">
        <v>542</v>
      </c>
      <c r="J3767" s="55" t="s">
        <v>535</v>
      </c>
      <c r="K3767" s="55">
        <f>VLOOKUP(J3767,'Validacion reclamo de equipaje'!L:M,2,0)</f>
        <v>50</v>
      </c>
      <c r="L3767" s="55" t="str">
        <f>VLOOKUP(I3767,'Validacion reclamo de equipaje'!H:I,2,0)</f>
        <v>Nacional</v>
      </c>
      <c r="M3767" s="55" t="s">
        <v>615</v>
      </c>
    </row>
    <row r="3768" spans="1:13" x14ac:dyDescent="0.25">
      <c r="A3768">
        <v>2335</v>
      </c>
      <c r="B3768" s="47" t="str">
        <f>VLOOKUP(Tabla6[[#This Row],['# Vuelo]],'Validacion reclamo de equipaje'!P:Q,2,0)</f>
        <v>MEXICO AEREO</v>
      </c>
      <c r="C3768" s="48">
        <v>0.4777777777777778</v>
      </c>
      <c r="D3768" s="48">
        <v>0.48194444444444445</v>
      </c>
      <c r="E3768" s="49">
        <f>'Reclamo de equipaje rediseñado'!$D3768-'Reclamo de equipaje rediseñado'!$C3768</f>
        <v>4.1666666666666519E-3</v>
      </c>
      <c r="F3768" s="48">
        <v>0.49513888888888885</v>
      </c>
      <c r="G3768" s="49">
        <f t="shared" si="58"/>
        <v>1.3194444444444398E-2</v>
      </c>
      <c r="H3768" s="50">
        <v>41800</v>
      </c>
      <c r="I3768" s="51" t="s">
        <v>542</v>
      </c>
      <c r="J3768" s="51" t="s">
        <v>535</v>
      </c>
      <c r="K3768" s="51">
        <f>VLOOKUP(J3768,'Validacion reclamo de equipaje'!L:M,2,0)</f>
        <v>50</v>
      </c>
      <c r="L3768" s="51" t="str">
        <f>VLOOKUP(I3768,'Validacion reclamo de equipaje'!H:I,2,0)</f>
        <v>Nacional</v>
      </c>
      <c r="M3768" s="51" t="s">
        <v>615</v>
      </c>
    </row>
    <row r="3769" spans="1:13" x14ac:dyDescent="0.25">
      <c r="A3769">
        <v>2335</v>
      </c>
      <c r="B3769" s="47" t="str">
        <f>VLOOKUP(Tabla6[[#This Row],['# Vuelo]],'Validacion reclamo de equipaje'!P:Q,2,0)</f>
        <v>MEXICO AEREO</v>
      </c>
      <c r="C3769" s="52">
        <v>0.52083333333333337</v>
      </c>
      <c r="D3769" s="52">
        <v>0.52847222222222223</v>
      </c>
      <c r="E3769" s="53">
        <f>'Reclamo de equipaje rediseñado'!$D3769-'Reclamo de equipaje rediseñado'!$C3769</f>
        <v>7.6388888888888618E-3</v>
      </c>
      <c r="F3769" s="52">
        <v>0.53888888888888886</v>
      </c>
      <c r="G3769" s="53">
        <f t="shared" si="58"/>
        <v>1.041666666666663E-2</v>
      </c>
      <c r="H3769" s="54">
        <v>41801</v>
      </c>
      <c r="I3769" s="55" t="s">
        <v>542</v>
      </c>
      <c r="J3769" s="55" t="s">
        <v>535</v>
      </c>
      <c r="K3769" s="55">
        <f>VLOOKUP(J3769,'Validacion reclamo de equipaje'!L:M,2,0)</f>
        <v>50</v>
      </c>
      <c r="L3769" s="55" t="str">
        <f>VLOOKUP(I3769,'Validacion reclamo de equipaje'!H:I,2,0)</f>
        <v>Nacional</v>
      </c>
      <c r="M3769" s="55" t="s">
        <v>615</v>
      </c>
    </row>
    <row r="3770" spans="1:13" x14ac:dyDescent="0.25">
      <c r="A3770">
        <v>2335</v>
      </c>
      <c r="B3770" s="47" t="str">
        <f>VLOOKUP(Tabla6[[#This Row],['# Vuelo]],'Validacion reclamo de equipaje'!P:Q,2,0)</f>
        <v>MEXICO AEREO</v>
      </c>
      <c r="C3770" s="48">
        <v>0.57777777777777783</v>
      </c>
      <c r="D3770" s="48">
        <v>0.58194444444444449</v>
      </c>
      <c r="E3770" s="49">
        <f>'Reclamo de equipaje rediseñado'!$D3770-'Reclamo de equipaje rediseñado'!$C3770</f>
        <v>4.1666666666666519E-3</v>
      </c>
      <c r="F3770" s="48">
        <v>0.59375</v>
      </c>
      <c r="G3770" s="49">
        <f t="shared" si="58"/>
        <v>1.1805555555555514E-2</v>
      </c>
      <c r="H3770" s="50">
        <v>41802</v>
      </c>
      <c r="I3770" s="51" t="s">
        <v>542</v>
      </c>
      <c r="J3770" s="51" t="s">
        <v>535</v>
      </c>
      <c r="K3770" s="51">
        <f>VLOOKUP(J3770,'Validacion reclamo de equipaje'!L:M,2,0)</f>
        <v>50</v>
      </c>
      <c r="L3770" s="51" t="str">
        <f>VLOOKUP(I3770,'Validacion reclamo de equipaje'!H:I,2,0)</f>
        <v>Nacional</v>
      </c>
      <c r="M3770" s="51" t="s">
        <v>615</v>
      </c>
    </row>
    <row r="3771" spans="1:13" x14ac:dyDescent="0.25">
      <c r="A3771">
        <v>2335</v>
      </c>
      <c r="B3771" s="47" t="str">
        <f>VLOOKUP(Tabla6[[#This Row],['# Vuelo]],'Validacion reclamo de equipaje'!P:Q,2,0)</f>
        <v>MEXICO AEREO</v>
      </c>
      <c r="C3771" s="52">
        <v>0.45833333333333331</v>
      </c>
      <c r="D3771" s="52">
        <v>0.46111111111111108</v>
      </c>
      <c r="E3771" s="53">
        <f>'Reclamo de equipaje rediseñado'!$D3771-'Reclamo de equipaje rediseñado'!$C3771</f>
        <v>2.7777777777777679E-3</v>
      </c>
      <c r="F3771" s="52">
        <v>0.46319444444444446</v>
      </c>
      <c r="G3771" s="53">
        <f t="shared" si="58"/>
        <v>2.0833333333333814E-3</v>
      </c>
      <c r="H3771" s="54">
        <v>41803</v>
      </c>
      <c r="I3771" s="55" t="s">
        <v>542</v>
      </c>
      <c r="J3771" s="55" t="s">
        <v>535</v>
      </c>
      <c r="K3771" s="55">
        <f>VLOOKUP(J3771,'Validacion reclamo de equipaje'!L:M,2,0)</f>
        <v>50</v>
      </c>
      <c r="L3771" s="55" t="str">
        <f>VLOOKUP(I3771,'Validacion reclamo de equipaje'!H:I,2,0)</f>
        <v>Nacional</v>
      </c>
      <c r="M3771" s="55" t="s">
        <v>615</v>
      </c>
    </row>
    <row r="3772" spans="1:13" x14ac:dyDescent="0.25">
      <c r="A3772">
        <v>2335</v>
      </c>
      <c r="B3772" s="47" t="str">
        <f>VLOOKUP(Tabla6[[#This Row],['# Vuelo]],'Validacion reclamo de equipaje'!P:Q,2,0)</f>
        <v>MEXICO AEREO</v>
      </c>
      <c r="C3772" s="48">
        <v>0.78472222222222221</v>
      </c>
      <c r="D3772" s="48">
        <v>0.78819444444444453</v>
      </c>
      <c r="E3772" s="49">
        <f>'Reclamo de equipaje rediseñado'!$D3772-'Reclamo de equipaje rediseñado'!$C3772</f>
        <v>3.4722222222223209E-3</v>
      </c>
      <c r="F3772" s="48">
        <v>0.79166666666666663</v>
      </c>
      <c r="G3772" s="49">
        <f t="shared" si="58"/>
        <v>3.4722222222220989E-3</v>
      </c>
      <c r="H3772" s="50">
        <v>41805</v>
      </c>
      <c r="I3772" s="51" t="s">
        <v>542</v>
      </c>
      <c r="J3772" s="51" t="s">
        <v>535</v>
      </c>
      <c r="K3772" s="51">
        <f>VLOOKUP(J3772,'Validacion reclamo de equipaje'!L:M,2,0)</f>
        <v>50</v>
      </c>
      <c r="L3772" s="51" t="str">
        <f>VLOOKUP(I3772,'Validacion reclamo de equipaje'!H:I,2,0)</f>
        <v>Nacional</v>
      </c>
      <c r="M3772" s="51" t="s">
        <v>615</v>
      </c>
    </row>
    <row r="3773" spans="1:13" x14ac:dyDescent="0.25">
      <c r="A3773">
        <v>2335</v>
      </c>
      <c r="B3773" s="47" t="str">
        <f>VLOOKUP(Tabla6[[#This Row],['# Vuelo]],'Validacion reclamo de equipaje'!P:Q,2,0)</f>
        <v>MEXICO AEREO</v>
      </c>
      <c r="C3773" s="52">
        <v>0.65208333333333335</v>
      </c>
      <c r="D3773" s="52">
        <v>0.66319444444444442</v>
      </c>
      <c r="E3773" s="53">
        <f>'Reclamo de equipaje rediseñado'!$D3773-'Reclamo de equipaje rediseñado'!$C3773</f>
        <v>1.1111111111111072E-2</v>
      </c>
      <c r="F3773" s="52">
        <v>0.66597222222222219</v>
      </c>
      <c r="G3773" s="53">
        <f t="shared" si="58"/>
        <v>2.7777777777777679E-3</v>
      </c>
      <c r="H3773" s="54">
        <v>41807</v>
      </c>
      <c r="I3773" s="55" t="s">
        <v>542</v>
      </c>
      <c r="J3773" s="55" t="s">
        <v>535</v>
      </c>
      <c r="K3773" s="55">
        <f>VLOOKUP(J3773,'Validacion reclamo de equipaje'!L:M,2,0)</f>
        <v>50</v>
      </c>
      <c r="L3773" s="55" t="str">
        <f>VLOOKUP(I3773,'Validacion reclamo de equipaje'!H:I,2,0)</f>
        <v>Nacional</v>
      </c>
      <c r="M3773" s="55" t="s">
        <v>615</v>
      </c>
    </row>
    <row r="3774" spans="1:13" x14ac:dyDescent="0.25">
      <c r="A3774">
        <v>2335</v>
      </c>
      <c r="B3774" s="47" t="str">
        <f>VLOOKUP(Tabla6[[#This Row],['# Vuelo]],'Validacion reclamo de equipaje'!P:Q,2,0)</f>
        <v>MEXICO AEREO</v>
      </c>
      <c r="C3774" s="48">
        <v>0.88194444444444453</v>
      </c>
      <c r="D3774" s="48">
        <v>0.88541666666666663</v>
      </c>
      <c r="E3774" s="49">
        <f>'Reclamo de equipaje rediseñado'!$D3774-'Reclamo de equipaje rediseñado'!$C3774</f>
        <v>3.4722222222220989E-3</v>
      </c>
      <c r="F3774" s="48">
        <v>0.90972222222222221</v>
      </c>
      <c r="G3774" s="49">
        <f t="shared" si="58"/>
        <v>2.430555555555558E-2</v>
      </c>
      <c r="H3774" s="50">
        <v>41808</v>
      </c>
      <c r="I3774" s="51" t="s">
        <v>542</v>
      </c>
      <c r="J3774" s="51" t="s">
        <v>535</v>
      </c>
      <c r="K3774" s="51">
        <f>VLOOKUP(J3774,'Validacion reclamo de equipaje'!L:M,2,0)</f>
        <v>50</v>
      </c>
      <c r="L3774" s="51" t="str">
        <f>VLOOKUP(I3774,'Validacion reclamo de equipaje'!H:I,2,0)</f>
        <v>Nacional</v>
      </c>
      <c r="M3774" s="51" t="s">
        <v>615</v>
      </c>
    </row>
    <row r="3775" spans="1:13" x14ac:dyDescent="0.25">
      <c r="A3775">
        <v>2335</v>
      </c>
      <c r="B3775" s="47" t="str">
        <f>VLOOKUP(Tabla6[[#This Row],['# Vuelo]],'Validacion reclamo de equipaje'!P:Q,2,0)</f>
        <v>MEXICO AEREO</v>
      </c>
      <c r="C3775" s="52">
        <v>0.98472222222222217</v>
      </c>
      <c r="D3775" s="52">
        <v>0.99097222222222225</v>
      </c>
      <c r="E3775" s="53">
        <f>'Reclamo de equipaje rediseñado'!$D3775-'Reclamo de equipaje rediseñado'!$C3775</f>
        <v>6.2500000000000888E-3</v>
      </c>
      <c r="F3775" s="52">
        <v>0.99375000000000002</v>
      </c>
      <c r="G3775" s="53">
        <f t="shared" si="58"/>
        <v>2.7777777777777679E-3</v>
      </c>
      <c r="H3775" s="54">
        <v>41809</v>
      </c>
      <c r="I3775" s="55" t="s">
        <v>542</v>
      </c>
      <c r="J3775" s="55" t="s">
        <v>535</v>
      </c>
      <c r="K3775" s="55">
        <f>VLOOKUP(J3775,'Validacion reclamo de equipaje'!L:M,2,0)</f>
        <v>50</v>
      </c>
      <c r="L3775" s="55" t="str">
        <f>VLOOKUP(I3775,'Validacion reclamo de equipaje'!H:I,2,0)</f>
        <v>Nacional</v>
      </c>
      <c r="M3775" s="55" t="s">
        <v>615</v>
      </c>
    </row>
    <row r="3776" spans="1:13" x14ac:dyDescent="0.25">
      <c r="A3776">
        <v>2335</v>
      </c>
      <c r="B3776" s="47" t="str">
        <f>VLOOKUP(Tabla6[[#This Row],['# Vuelo]],'Validacion reclamo de equipaje'!P:Q,2,0)</f>
        <v>MEXICO AEREO</v>
      </c>
      <c r="C3776" s="48">
        <v>0.97291666666666676</v>
      </c>
      <c r="D3776" s="48">
        <v>0.9916666666666667</v>
      </c>
      <c r="E3776" s="49">
        <f>'Reclamo de equipaje rediseñado'!$D3776-'Reclamo de equipaje rediseñado'!$C3776</f>
        <v>1.8749999999999933E-2</v>
      </c>
      <c r="F3776" s="48">
        <v>0.99513888888888891</v>
      </c>
      <c r="G3776" s="49">
        <f t="shared" si="58"/>
        <v>3.4722222222222099E-3</v>
      </c>
      <c r="H3776" s="50">
        <v>41810</v>
      </c>
      <c r="I3776" s="51" t="s">
        <v>542</v>
      </c>
      <c r="J3776" s="51" t="s">
        <v>535</v>
      </c>
      <c r="K3776" s="51">
        <f>VLOOKUP(J3776,'Validacion reclamo de equipaje'!L:M,2,0)</f>
        <v>50</v>
      </c>
      <c r="L3776" s="51" t="str">
        <f>VLOOKUP(I3776,'Validacion reclamo de equipaje'!H:I,2,0)</f>
        <v>Nacional</v>
      </c>
      <c r="M3776" s="51" t="s">
        <v>615</v>
      </c>
    </row>
    <row r="3777" spans="1:13" x14ac:dyDescent="0.25">
      <c r="A3777">
        <v>2335</v>
      </c>
      <c r="B3777" s="47" t="str">
        <f>VLOOKUP(Tabla6[[#This Row],['# Vuelo]],'Validacion reclamo de equipaje'!P:Q,2,0)</f>
        <v>MEXICO AEREO</v>
      </c>
      <c r="C3777" s="52">
        <v>0.96597222222222223</v>
      </c>
      <c r="D3777" s="52">
        <v>0.97430555555555554</v>
      </c>
      <c r="E3777" s="53">
        <f>'Reclamo de equipaje rediseñado'!$D3777-'Reclamo de equipaje rediseñado'!$C3777</f>
        <v>8.3333333333333037E-3</v>
      </c>
      <c r="F3777" s="52">
        <v>0.97638888888888886</v>
      </c>
      <c r="G3777" s="53">
        <f t="shared" si="58"/>
        <v>2.0833333333333259E-3</v>
      </c>
      <c r="H3777" s="54">
        <v>41812</v>
      </c>
      <c r="I3777" s="55" t="s">
        <v>542</v>
      </c>
      <c r="J3777" s="55" t="s">
        <v>535</v>
      </c>
      <c r="K3777" s="55">
        <f>VLOOKUP(J3777,'Validacion reclamo de equipaje'!L:M,2,0)</f>
        <v>50</v>
      </c>
      <c r="L3777" s="55" t="str">
        <f>VLOOKUP(I3777,'Validacion reclamo de equipaje'!H:I,2,0)</f>
        <v>Nacional</v>
      </c>
      <c r="M3777" s="55" t="s">
        <v>615</v>
      </c>
    </row>
    <row r="3778" spans="1:13" x14ac:dyDescent="0.25">
      <c r="A3778">
        <v>2329</v>
      </c>
      <c r="B3778" s="47" t="str">
        <f>VLOOKUP(Tabla6[[#This Row],['# Vuelo]],'Validacion reclamo de equipaje'!P:Q,2,0)</f>
        <v>MEXICO AEREO</v>
      </c>
      <c r="C3778" s="48">
        <v>0.87569444444444444</v>
      </c>
      <c r="D3778" s="48">
        <v>0.88194444444444453</v>
      </c>
      <c r="E3778" s="49">
        <f>'Reclamo de equipaje rediseñado'!$D3778-'Reclamo de equipaje rediseñado'!$C3778</f>
        <v>6.2500000000000888E-3</v>
      </c>
      <c r="F3778" s="48">
        <v>0.8847222222222223</v>
      </c>
      <c r="G3778" s="49">
        <f t="shared" si="58"/>
        <v>2.7777777777777679E-3</v>
      </c>
      <c r="H3778" s="50">
        <v>41799</v>
      </c>
      <c r="I3778" s="51" t="s">
        <v>543</v>
      </c>
      <c r="J3778" s="51" t="s">
        <v>535</v>
      </c>
      <c r="K3778" s="51">
        <f>VLOOKUP(J3778,'Validacion reclamo de equipaje'!L:M,2,0)</f>
        <v>50</v>
      </c>
      <c r="L3778" s="51" t="str">
        <f>VLOOKUP(I3778,'Validacion reclamo de equipaje'!H:I,2,0)</f>
        <v>Nacional</v>
      </c>
      <c r="M3778" s="51" t="s">
        <v>615</v>
      </c>
    </row>
    <row r="3779" spans="1:13" x14ac:dyDescent="0.25">
      <c r="A3779">
        <v>2329</v>
      </c>
      <c r="B3779" s="47" t="str">
        <f>VLOOKUP(Tabla6[[#This Row],['# Vuelo]],'Validacion reclamo de equipaje'!P:Q,2,0)</f>
        <v>MEXICO AEREO</v>
      </c>
      <c r="C3779" s="52">
        <v>0.47500000000000003</v>
      </c>
      <c r="D3779" s="52">
        <v>0.4826388888888889</v>
      </c>
      <c r="E3779" s="53">
        <f>'Reclamo de equipaje rediseñado'!$D3779-'Reclamo de equipaje rediseñado'!$C3779</f>
        <v>7.6388888888888618E-3</v>
      </c>
      <c r="F3779" s="52">
        <v>0.49374999999999997</v>
      </c>
      <c r="G3779" s="53">
        <f t="shared" ref="G3779:G3842" si="59">F3779-D3779</f>
        <v>1.1111111111111072E-2</v>
      </c>
      <c r="H3779" s="54">
        <v>41800</v>
      </c>
      <c r="I3779" s="55" t="s">
        <v>543</v>
      </c>
      <c r="J3779" s="55" t="s">
        <v>535</v>
      </c>
      <c r="K3779" s="55">
        <f>VLOOKUP(J3779,'Validacion reclamo de equipaje'!L:M,2,0)</f>
        <v>50</v>
      </c>
      <c r="L3779" s="55" t="str">
        <f>VLOOKUP(I3779,'Validacion reclamo de equipaje'!H:I,2,0)</f>
        <v>Nacional</v>
      </c>
      <c r="M3779" s="55" t="s">
        <v>615</v>
      </c>
    </row>
    <row r="3780" spans="1:13" x14ac:dyDescent="0.25">
      <c r="A3780">
        <v>2329</v>
      </c>
      <c r="B3780" s="47" t="str">
        <f>VLOOKUP(Tabla6[[#This Row],['# Vuelo]],'Validacion reclamo de equipaje'!P:Q,2,0)</f>
        <v>MEXICO AEREO</v>
      </c>
      <c r="C3780" s="48">
        <v>0.53125</v>
      </c>
      <c r="D3780" s="48">
        <v>0.53680555555555554</v>
      </c>
      <c r="E3780" s="49">
        <f>'Reclamo de equipaje rediseñado'!$D3780-'Reclamo de equipaje rediseñado'!$C3780</f>
        <v>5.5555555555555358E-3</v>
      </c>
      <c r="F3780" s="48">
        <v>0.55208333333333337</v>
      </c>
      <c r="G3780" s="49">
        <f t="shared" si="59"/>
        <v>1.5277777777777835E-2</v>
      </c>
      <c r="H3780" s="50">
        <v>41801</v>
      </c>
      <c r="I3780" s="51" t="s">
        <v>543</v>
      </c>
      <c r="J3780" s="51" t="s">
        <v>535</v>
      </c>
      <c r="K3780" s="51">
        <f>VLOOKUP(J3780,'Validacion reclamo de equipaje'!L:M,2,0)</f>
        <v>50</v>
      </c>
      <c r="L3780" s="51" t="str">
        <f>VLOOKUP(I3780,'Validacion reclamo de equipaje'!H:I,2,0)</f>
        <v>Nacional</v>
      </c>
      <c r="M3780" s="51" t="s">
        <v>615</v>
      </c>
    </row>
    <row r="3781" spans="1:13" x14ac:dyDescent="0.25">
      <c r="A3781">
        <v>2329</v>
      </c>
      <c r="B3781" s="47" t="str">
        <f>VLOOKUP(Tabla6[[#This Row],['# Vuelo]],'Validacion reclamo de equipaje'!P:Q,2,0)</f>
        <v>MEXICO AEREO</v>
      </c>
      <c r="C3781" s="52">
        <v>0.5756944444444444</v>
      </c>
      <c r="D3781" s="52">
        <v>0.58194444444444449</v>
      </c>
      <c r="E3781" s="53">
        <f>'Reclamo de equipaje rediseñado'!$D3781-'Reclamo de equipaje rediseñado'!$C3781</f>
        <v>6.2500000000000888E-3</v>
      </c>
      <c r="F3781" s="52">
        <v>0.59375</v>
      </c>
      <c r="G3781" s="53">
        <f t="shared" si="59"/>
        <v>1.1805555555555514E-2</v>
      </c>
      <c r="H3781" s="54">
        <v>41802</v>
      </c>
      <c r="I3781" s="55" t="s">
        <v>543</v>
      </c>
      <c r="J3781" s="55" t="s">
        <v>535</v>
      </c>
      <c r="K3781" s="55">
        <f>VLOOKUP(J3781,'Validacion reclamo de equipaje'!L:M,2,0)</f>
        <v>50</v>
      </c>
      <c r="L3781" s="55" t="str">
        <f>VLOOKUP(I3781,'Validacion reclamo de equipaje'!H:I,2,0)</f>
        <v>Nacional</v>
      </c>
      <c r="M3781" s="55" t="s">
        <v>615</v>
      </c>
    </row>
    <row r="3782" spans="1:13" x14ac:dyDescent="0.25">
      <c r="A3782">
        <v>2329</v>
      </c>
      <c r="B3782" s="47" t="str">
        <f>VLOOKUP(Tabla6[[#This Row],['# Vuelo]],'Validacion reclamo de equipaje'!P:Q,2,0)</f>
        <v>MEXICO AEREO</v>
      </c>
      <c r="C3782" s="48">
        <v>0.63402777777777775</v>
      </c>
      <c r="D3782" s="48">
        <v>0.64236111111111105</v>
      </c>
      <c r="E3782" s="49">
        <f>'Reclamo de equipaje rediseñado'!$D3782-'Reclamo de equipaje rediseñado'!$C3782</f>
        <v>8.3333333333333037E-3</v>
      </c>
      <c r="F3782" s="48">
        <v>0.64583333333333337</v>
      </c>
      <c r="G3782" s="49">
        <f t="shared" si="59"/>
        <v>3.4722222222223209E-3</v>
      </c>
      <c r="H3782" s="50">
        <v>41804</v>
      </c>
      <c r="I3782" s="51" t="s">
        <v>543</v>
      </c>
      <c r="J3782" s="51" t="s">
        <v>535</v>
      </c>
      <c r="K3782" s="51">
        <f>VLOOKUP(J3782,'Validacion reclamo de equipaje'!L:M,2,0)</f>
        <v>50</v>
      </c>
      <c r="L3782" s="51" t="str">
        <f>VLOOKUP(I3782,'Validacion reclamo de equipaje'!H:I,2,0)</f>
        <v>Nacional</v>
      </c>
      <c r="M3782" s="51" t="s">
        <v>615</v>
      </c>
    </row>
    <row r="3783" spans="1:13" x14ac:dyDescent="0.25">
      <c r="A3783">
        <v>2329</v>
      </c>
      <c r="B3783" s="47" t="str">
        <f>VLOOKUP(Tabla6[[#This Row],['# Vuelo]],'Validacion reclamo de equipaje'!P:Q,2,0)</f>
        <v>MEXICO AEREO</v>
      </c>
      <c r="C3783" s="52">
        <v>0.77708333333333324</v>
      </c>
      <c r="D3783" s="52">
        <v>0.78749999999999998</v>
      </c>
      <c r="E3783" s="53">
        <f>'Reclamo de equipaje rediseñado'!$D3783-'Reclamo de equipaje rediseñado'!$C3783</f>
        <v>1.0416666666666741E-2</v>
      </c>
      <c r="F3783" s="52">
        <v>0.79236111111111107</v>
      </c>
      <c r="G3783" s="53">
        <f t="shared" si="59"/>
        <v>4.8611111111110938E-3</v>
      </c>
      <c r="H3783" s="54">
        <v>41805</v>
      </c>
      <c r="I3783" s="55" t="s">
        <v>543</v>
      </c>
      <c r="J3783" s="55" t="s">
        <v>535</v>
      </c>
      <c r="K3783" s="55">
        <f>VLOOKUP(J3783,'Validacion reclamo de equipaje'!L:M,2,0)</f>
        <v>50</v>
      </c>
      <c r="L3783" s="55" t="str">
        <f>VLOOKUP(I3783,'Validacion reclamo de equipaje'!H:I,2,0)</f>
        <v>Nacional</v>
      </c>
      <c r="M3783" s="55" t="s">
        <v>615</v>
      </c>
    </row>
    <row r="3784" spans="1:13" x14ac:dyDescent="0.25">
      <c r="A3784">
        <v>2329</v>
      </c>
      <c r="B3784" s="47" t="str">
        <f>VLOOKUP(Tabla6[[#This Row],['# Vuelo]],'Validacion reclamo de equipaje'!P:Q,2,0)</f>
        <v>MEXICO AEREO</v>
      </c>
      <c r="C3784" s="48">
        <v>0.92986111111111114</v>
      </c>
      <c r="D3784" s="48">
        <v>0.94444444444444453</v>
      </c>
      <c r="E3784" s="49">
        <f>'Reclamo de equipaje rediseñado'!$D3784-'Reclamo de equipaje rediseñado'!$C3784</f>
        <v>1.4583333333333393E-2</v>
      </c>
      <c r="F3784" s="48">
        <v>0.95833333333333337</v>
      </c>
      <c r="G3784" s="49">
        <f t="shared" si="59"/>
        <v>1.388888888888884E-2</v>
      </c>
      <c r="H3784" s="50">
        <v>41806</v>
      </c>
      <c r="I3784" s="51" t="s">
        <v>543</v>
      </c>
      <c r="J3784" s="51" t="s">
        <v>535</v>
      </c>
      <c r="K3784" s="51">
        <f>VLOOKUP(J3784,'Validacion reclamo de equipaje'!L:M,2,0)</f>
        <v>50</v>
      </c>
      <c r="L3784" s="51" t="str">
        <f>VLOOKUP(I3784,'Validacion reclamo de equipaje'!H:I,2,0)</f>
        <v>Nacional</v>
      </c>
      <c r="M3784" s="51" t="s">
        <v>615</v>
      </c>
    </row>
    <row r="3785" spans="1:13" x14ac:dyDescent="0.25">
      <c r="A3785">
        <v>2329</v>
      </c>
      <c r="B3785" s="47" t="str">
        <f>VLOOKUP(Tabla6[[#This Row],['# Vuelo]],'Validacion reclamo de equipaje'!P:Q,2,0)</f>
        <v>MEXICO AEREO</v>
      </c>
      <c r="C3785" s="52">
        <v>0.68472222222222223</v>
      </c>
      <c r="D3785" s="52">
        <v>0.6958333333333333</v>
      </c>
      <c r="E3785" s="53">
        <f>'Reclamo de equipaje rediseñado'!$D3785-'Reclamo de equipaje rediseñado'!$C3785</f>
        <v>1.1111111111111072E-2</v>
      </c>
      <c r="F3785" s="52">
        <v>0.70208333333333339</v>
      </c>
      <c r="G3785" s="53">
        <f t="shared" si="59"/>
        <v>6.2500000000000888E-3</v>
      </c>
      <c r="H3785" s="54">
        <v>41807</v>
      </c>
      <c r="I3785" s="55" t="s">
        <v>543</v>
      </c>
      <c r="J3785" s="55" t="s">
        <v>535</v>
      </c>
      <c r="K3785" s="55">
        <f>VLOOKUP(J3785,'Validacion reclamo de equipaje'!L:M,2,0)</f>
        <v>50</v>
      </c>
      <c r="L3785" s="55" t="str">
        <f>VLOOKUP(I3785,'Validacion reclamo de equipaje'!H:I,2,0)</f>
        <v>Nacional</v>
      </c>
      <c r="M3785" s="55" t="s">
        <v>615</v>
      </c>
    </row>
    <row r="3786" spans="1:13" x14ac:dyDescent="0.25">
      <c r="A3786">
        <v>2329</v>
      </c>
      <c r="B3786" s="47" t="str">
        <f>VLOOKUP(Tabla6[[#This Row],['# Vuelo]],'Validacion reclamo de equipaje'!P:Q,2,0)</f>
        <v>MEXICO AEREO</v>
      </c>
      <c r="C3786" s="48">
        <v>0.87847222222222221</v>
      </c>
      <c r="D3786" s="48">
        <v>0.8833333333333333</v>
      </c>
      <c r="E3786" s="49">
        <f>'Reclamo de equipaje rediseñado'!$D3786-'Reclamo de equipaje rediseñado'!$C3786</f>
        <v>4.8611111111110938E-3</v>
      </c>
      <c r="F3786" s="48">
        <v>0.89236111111111116</v>
      </c>
      <c r="G3786" s="49">
        <f t="shared" si="59"/>
        <v>9.0277777777778567E-3</v>
      </c>
      <c r="H3786" s="50">
        <v>41808</v>
      </c>
      <c r="I3786" s="51" t="s">
        <v>543</v>
      </c>
      <c r="J3786" s="51" t="s">
        <v>535</v>
      </c>
      <c r="K3786" s="51">
        <f>VLOOKUP(J3786,'Validacion reclamo de equipaje'!L:M,2,0)</f>
        <v>50</v>
      </c>
      <c r="L3786" s="51" t="str">
        <f>VLOOKUP(I3786,'Validacion reclamo de equipaje'!H:I,2,0)</f>
        <v>Nacional</v>
      </c>
      <c r="M3786" s="51" t="s">
        <v>615</v>
      </c>
    </row>
    <row r="3787" spans="1:13" x14ac:dyDescent="0.25">
      <c r="A3787">
        <v>2329</v>
      </c>
      <c r="B3787" s="47" t="str">
        <f>VLOOKUP(Tabla6[[#This Row],['# Vuelo]],'Validacion reclamo de equipaje'!P:Q,2,0)</f>
        <v>MEXICO AEREO</v>
      </c>
      <c r="C3787" s="52">
        <v>0.87847222222222221</v>
      </c>
      <c r="D3787" s="52">
        <v>0.88611111111111107</v>
      </c>
      <c r="E3787" s="53">
        <f>'Reclamo de equipaje rediseñado'!$D3787-'Reclamo de equipaje rediseñado'!$C3787</f>
        <v>7.6388888888888618E-3</v>
      </c>
      <c r="F3787" s="52">
        <v>0.89027777777777783</v>
      </c>
      <c r="G3787" s="53">
        <f t="shared" si="59"/>
        <v>4.1666666666667629E-3</v>
      </c>
      <c r="H3787" s="54">
        <v>41809</v>
      </c>
      <c r="I3787" s="55" t="s">
        <v>543</v>
      </c>
      <c r="J3787" s="55" t="s">
        <v>535</v>
      </c>
      <c r="K3787" s="55">
        <f>VLOOKUP(J3787,'Validacion reclamo de equipaje'!L:M,2,0)</f>
        <v>50</v>
      </c>
      <c r="L3787" s="55" t="str">
        <f>VLOOKUP(I3787,'Validacion reclamo de equipaje'!H:I,2,0)</f>
        <v>Nacional</v>
      </c>
      <c r="M3787" s="55" t="s">
        <v>615</v>
      </c>
    </row>
    <row r="3788" spans="1:13" x14ac:dyDescent="0.25">
      <c r="A3788">
        <v>2329</v>
      </c>
      <c r="B3788" s="47" t="str">
        <f>VLOOKUP(Tabla6[[#This Row],['# Vuelo]],'Validacion reclamo de equipaje'!P:Q,2,0)</f>
        <v>MEXICO AEREO</v>
      </c>
      <c r="C3788" s="48">
        <v>0.8881944444444444</v>
      </c>
      <c r="D3788" s="48">
        <v>0.89513888888888893</v>
      </c>
      <c r="E3788" s="49">
        <f>'Reclamo de equipaje rediseñado'!$D3788-'Reclamo de equipaje rediseñado'!$C3788</f>
        <v>6.9444444444445308E-3</v>
      </c>
      <c r="F3788" s="48">
        <v>0.90555555555555556</v>
      </c>
      <c r="G3788" s="49">
        <f t="shared" si="59"/>
        <v>1.041666666666663E-2</v>
      </c>
      <c r="H3788" s="50">
        <v>41811</v>
      </c>
      <c r="I3788" s="51" t="s">
        <v>543</v>
      </c>
      <c r="J3788" s="51" t="s">
        <v>535</v>
      </c>
      <c r="K3788" s="51">
        <f>VLOOKUP(J3788,'Validacion reclamo de equipaje'!L:M,2,0)</f>
        <v>50</v>
      </c>
      <c r="L3788" s="51" t="str">
        <f>VLOOKUP(I3788,'Validacion reclamo de equipaje'!H:I,2,0)</f>
        <v>Nacional</v>
      </c>
      <c r="M3788" s="51" t="s">
        <v>615</v>
      </c>
    </row>
    <row r="3789" spans="1:13" x14ac:dyDescent="0.25">
      <c r="A3789">
        <v>2329</v>
      </c>
      <c r="B3789" s="47" t="str">
        <f>VLOOKUP(Tabla6[[#This Row],['# Vuelo]],'Validacion reclamo de equipaje'!P:Q,2,0)</f>
        <v>MEXICO AEREO</v>
      </c>
      <c r="C3789" s="52">
        <v>0.87638888888888899</v>
      </c>
      <c r="D3789" s="52">
        <v>0.88263888888888886</v>
      </c>
      <c r="E3789" s="53">
        <f>'Reclamo de equipaje rediseñado'!$D3789-'Reclamo de equipaje rediseñado'!$C3789</f>
        <v>6.2499999999998668E-3</v>
      </c>
      <c r="F3789" s="52">
        <v>0.88541666666666663</v>
      </c>
      <c r="G3789" s="53">
        <f t="shared" si="59"/>
        <v>2.7777777777777679E-3</v>
      </c>
      <c r="H3789" s="54">
        <v>41812</v>
      </c>
      <c r="I3789" s="55" t="s">
        <v>543</v>
      </c>
      <c r="J3789" s="55" t="s">
        <v>535</v>
      </c>
      <c r="K3789" s="55">
        <f>VLOOKUP(J3789,'Validacion reclamo de equipaje'!L:M,2,0)</f>
        <v>50</v>
      </c>
      <c r="L3789" s="55" t="str">
        <f>VLOOKUP(I3789,'Validacion reclamo de equipaje'!H:I,2,0)</f>
        <v>Nacional</v>
      </c>
      <c r="M3789" s="55" t="s">
        <v>615</v>
      </c>
    </row>
    <row r="3790" spans="1:13" x14ac:dyDescent="0.25">
      <c r="A3790">
        <v>2329</v>
      </c>
      <c r="B3790" s="47" t="str">
        <f>VLOOKUP(Tabla6[[#This Row],['# Vuelo]],'Validacion reclamo de equipaje'!P:Q,2,0)</f>
        <v>MEXICO AEREO</v>
      </c>
      <c r="C3790" s="48">
        <v>0.89027777777777783</v>
      </c>
      <c r="D3790" s="48">
        <v>0.89583333333333337</v>
      </c>
      <c r="E3790" s="49">
        <f>'Reclamo de equipaje rediseñado'!$D3790-'Reclamo de equipaje rediseñado'!$C3790</f>
        <v>5.5555555555555358E-3</v>
      </c>
      <c r="F3790" s="48">
        <v>0.90208333333333324</v>
      </c>
      <c r="G3790" s="49">
        <f t="shared" si="59"/>
        <v>6.2499999999998668E-3</v>
      </c>
      <c r="H3790" s="50">
        <v>41813</v>
      </c>
      <c r="I3790" s="51" t="s">
        <v>543</v>
      </c>
      <c r="J3790" s="51" t="s">
        <v>535</v>
      </c>
      <c r="K3790" s="51">
        <f>VLOOKUP(J3790,'Validacion reclamo de equipaje'!L:M,2,0)</f>
        <v>50</v>
      </c>
      <c r="L3790" s="51" t="str">
        <f>VLOOKUP(I3790,'Validacion reclamo de equipaje'!H:I,2,0)</f>
        <v>Nacional</v>
      </c>
      <c r="M3790" s="51" t="s">
        <v>615</v>
      </c>
    </row>
    <row r="3791" spans="1:13" x14ac:dyDescent="0.25">
      <c r="A3791">
        <v>2320</v>
      </c>
      <c r="B3791" s="47" t="str">
        <f>VLOOKUP(Tabla6[[#This Row],['# Vuelo]],'Validacion reclamo de equipaje'!P:Q,2,0)</f>
        <v>MEXICO AEREO</v>
      </c>
      <c r="C3791" s="52">
        <v>0.49791666666666662</v>
      </c>
      <c r="D3791" s="52">
        <v>0.50624999999999998</v>
      </c>
      <c r="E3791" s="53">
        <f>'Reclamo de equipaje rediseñado'!$D3791-'Reclamo de equipaje rediseñado'!$C3791</f>
        <v>8.3333333333333592E-3</v>
      </c>
      <c r="F3791" s="52">
        <v>0.50972222222222219</v>
      </c>
      <c r="G3791" s="53">
        <f t="shared" si="59"/>
        <v>3.4722222222222099E-3</v>
      </c>
      <c r="H3791" s="54">
        <v>41791</v>
      </c>
      <c r="I3791" s="55" t="s">
        <v>544</v>
      </c>
      <c r="J3791" s="55" t="s">
        <v>535</v>
      </c>
      <c r="K3791" s="55">
        <f>VLOOKUP(J3791,'Validacion reclamo de equipaje'!L:M,2,0)</f>
        <v>50</v>
      </c>
      <c r="L3791" s="55" t="str">
        <f>VLOOKUP(I3791,'Validacion reclamo de equipaje'!H:I,2,0)</f>
        <v>Nacional</v>
      </c>
      <c r="M3791" s="55" t="s">
        <v>615</v>
      </c>
    </row>
    <row r="3792" spans="1:13" x14ac:dyDescent="0.25">
      <c r="A3792">
        <v>2320</v>
      </c>
      <c r="B3792" s="47" t="str">
        <f>VLOOKUP(Tabla6[[#This Row],['# Vuelo]],'Validacion reclamo de equipaje'!P:Q,2,0)</f>
        <v>MEXICO AEREO</v>
      </c>
      <c r="C3792" s="48">
        <v>0.5</v>
      </c>
      <c r="D3792" s="48">
        <v>0.50208333333333333</v>
      </c>
      <c r="E3792" s="49">
        <f>'Reclamo de equipaje rediseñado'!$D3792-'Reclamo de equipaje rediseñado'!$C3792</f>
        <v>2.0833333333333259E-3</v>
      </c>
      <c r="F3792" s="48">
        <v>0.50555555555555554</v>
      </c>
      <c r="G3792" s="49">
        <f t="shared" si="59"/>
        <v>3.4722222222222099E-3</v>
      </c>
      <c r="H3792" s="50">
        <v>41792</v>
      </c>
      <c r="I3792" s="51" t="s">
        <v>544</v>
      </c>
      <c r="J3792" s="51" t="s">
        <v>535</v>
      </c>
      <c r="K3792" s="51">
        <f>VLOOKUP(J3792,'Validacion reclamo de equipaje'!L:M,2,0)</f>
        <v>50</v>
      </c>
      <c r="L3792" s="51" t="str">
        <f>VLOOKUP(I3792,'Validacion reclamo de equipaje'!H:I,2,0)</f>
        <v>Nacional</v>
      </c>
      <c r="M3792" s="51" t="s">
        <v>615</v>
      </c>
    </row>
    <row r="3793" spans="1:13" x14ac:dyDescent="0.25">
      <c r="A3793">
        <v>2320</v>
      </c>
      <c r="B3793" s="47" t="str">
        <f>VLOOKUP(Tabla6[[#This Row],['# Vuelo]],'Validacion reclamo de equipaje'!P:Q,2,0)</f>
        <v>MEXICO AEREO</v>
      </c>
      <c r="C3793" s="52">
        <v>0.51041666666666663</v>
      </c>
      <c r="D3793" s="52">
        <v>0.51527777777777783</v>
      </c>
      <c r="E3793" s="53">
        <f>'Reclamo de equipaje rediseñado'!$D3793-'Reclamo de equipaje rediseñado'!$C3793</f>
        <v>4.8611111111112049E-3</v>
      </c>
      <c r="F3793" s="52">
        <v>0.52083333333333337</v>
      </c>
      <c r="G3793" s="53">
        <f t="shared" si="59"/>
        <v>5.5555555555555358E-3</v>
      </c>
      <c r="H3793" s="54">
        <v>41793</v>
      </c>
      <c r="I3793" s="55" t="s">
        <v>544</v>
      </c>
      <c r="J3793" s="55" t="s">
        <v>535</v>
      </c>
      <c r="K3793" s="55">
        <f>VLOOKUP(J3793,'Validacion reclamo de equipaje'!L:M,2,0)</f>
        <v>50</v>
      </c>
      <c r="L3793" s="55" t="str">
        <f>VLOOKUP(I3793,'Validacion reclamo de equipaje'!H:I,2,0)</f>
        <v>Nacional</v>
      </c>
      <c r="M3793" s="55" t="s">
        <v>615</v>
      </c>
    </row>
    <row r="3794" spans="1:13" x14ac:dyDescent="0.25">
      <c r="A3794">
        <v>2320</v>
      </c>
      <c r="B3794" s="47" t="str">
        <f>VLOOKUP(Tabla6[[#This Row],['# Vuelo]],'Validacion reclamo de equipaje'!P:Q,2,0)</f>
        <v>MEXICO AEREO</v>
      </c>
      <c r="C3794" s="48">
        <v>0.5</v>
      </c>
      <c r="D3794" s="48">
        <v>0.50416666666666665</v>
      </c>
      <c r="E3794" s="49">
        <f>'Reclamo de equipaje rediseñado'!$D3794-'Reclamo de equipaje rediseñado'!$C3794</f>
        <v>4.1666666666666519E-3</v>
      </c>
      <c r="F3794" s="48">
        <v>0.50555555555555554</v>
      </c>
      <c r="G3794" s="49">
        <f t="shared" si="59"/>
        <v>1.388888888888884E-3</v>
      </c>
      <c r="H3794" s="50">
        <v>41794</v>
      </c>
      <c r="I3794" s="51" t="s">
        <v>544</v>
      </c>
      <c r="J3794" s="51" t="s">
        <v>535</v>
      </c>
      <c r="K3794" s="51">
        <f>VLOOKUP(J3794,'Validacion reclamo de equipaje'!L:M,2,0)</f>
        <v>50</v>
      </c>
      <c r="L3794" s="51" t="str">
        <f>VLOOKUP(I3794,'Validacion reclamo de equipaje'!H:I,2,0)</f>
        <v>Nacional</v>
      </c>
      <c r="M3794" s="51" t="s">
        <v>615</v>
      </c>
    </row>
    <row r="3795" spans="1:13" x14ac:dyDescent="0.25">
      <c r="A3795">
        <v>2320</v>
      </c>
      <c r="B3795" s="47" t="str">
        <f>VLOOKUP(Tabla6[[#This Row],['# Vuelo]],'Validacion reclamo de equipaje'!P:Q,2,0)</f>
        <v>MEXICO AEREO</v>
      </c>
      <c r="C3795" s="52">
        <v>0.50069444444444444</v>
      </c>
      <c r="D3795" s="52">
        <v>0.50277777777777777</v>
      </c>
      <c r="E3795" s="53">
        <f>'Reclamo de equipaje rediseñado'!$D3795-'Reclamo de equipaje rediseñado'!$C3795</f>
        <v>2.0833333333333259E-3</v>
      </c>
      <c r="F3795" s="52">
        <v>0.50416666666666665</v>
      </c>
      <c r="G3795" s="53">
        <f t="shared" si="59"/>
        <v>1.388888888888884E-3</v>
      </c>
      <c r="H3795" s="54">
        <v>41795</v>
      </c>
      <c r="I3795" s="55" t="s">
        <v>544</v>
      </c>
      <c r="J3795" s="55" t="s">
        <v>535</v>
      </c>
      <c r="K3795" s="55">
        <f>VLOOKUP(J3795,'Validacion reclamo de equipaje'!L:M,2,0)</f>
        <v>50</v>
      </c>
      <c r="L3795" s="55" t="str">
        <f>VLOOKUP(I3795,'Validacion reclamo de equipaje'!H:I,2,0)</f>
        <v>Nacional</v>
      </c>
      <c r="M3795" s="55" t="s">
        <v>615</v>
      </c>
    </row>
    <row r="3796" spans="1:13" x14ac:dyDescent="0.25">
      <c r="A3796">
        <v>2320</v>
      </c>
      <c r="B3796" s="47" t="str">
        <f>VLOOKUP(Tabla6[[#This Row],['# Vuelo]],'Validacion reclamo de equipaje'!P:Q,2,0)</f>
        <v>MEXICO AEREO</v>
      </c>
      <c r="C3796" s="48">
        <v>0.4993055555555555</v>
      </c>
      <c r="D3796" s="48">
        <v>0.50902777777777775</v>
      </c>
      <c r="E3796" s="49">
        <f>'Reclamo de equipaje rediseñado'!$D3796-'Reclamo de equipaje rediseñado'!$C3796</f>
        <v>9.7222222222222432E-3</v>
      </c>
      <c r="F3796" s="48">
        <v>0.51250000000000007</v>
      </c>
      <c r="G3796" s="49">
        <f t="shared" si="59"/>
        <v>3.4722222222223209E-3</v>
      </c>
      <c r="H3796" s="50">
        <v>41796</v>
      </c>
      <c r="I3796" s="51" t="s">
        <v>544</v>
      </c>
      <c r="J3796" s="51" t="s">
        <v>535</v>
      </c>
      <c r="K3796" s="51">
        <f>VLOOKUP(J3796,'Validacion reclamo de equipaje'!L:M,2,0)</f>
        <v>50</v>
      </c>
      <c r="L3796" s="51" t="str">
        <f>VLOOKUP(I3796,'Validacion reclamo de equipaje'!H:I,2,0)</f>
        <v>Nacional</v>
      </c>
      <c r="M3796" s="51" t="s">
        <v>615</v>
      </c>
    </row>
    <row r="3797" spans="1:13" x14ac:dyDescent="0.25">
      <c r="A3797">
        <v>2320</v>
      </c>
      <c r="B3797" s="47" t="str">
        <f>VLOOKUP(Tabla6[[#This Row],['# Vuelo]],'Validacion reclamo de equipaje'!P:Q,2,0)</f>
        <v>MEXICO AEREO</v>
      </c>
      <c r="C3797" s="52">
        <v>0.50069444444444444</v>
      </c>
      <c r="D3797" s="52">
        <v>0.50555555555555554</v>
      </c>
      <c r="E3797" s="53">
        <f>'Reclamo de equipaje rediseñado'!$D3797-'Reclamo de equipaje rediseñado'!$C3797</f>
        <v>4.8611111111110938E-3</v>
      </c>
      <c r="F3797" s="52">
        <v>0.50624999999999998</v>
      </c>
      <c r="G3797" s="53">
        <f t="shared" si="59"/>
        <v>6.9444444444444198E-4</v>
      </c>
      <c r="H3797" s="54">
        <v>41797</v>
      </c>
      <c r="I3797" s="55" t="s">
        <v>544</v>
      </c>
      <c r="J3797" s="55" t="s">
        <v>535</v>
      </c>
      <c r="K3797" s="55">
        <f>VLOOKUP(J3797,'Validacion reclamo de equipaje'!L:M,2,0)</f>
        <v>50</v>
      </c>
      <c r="L3797" s="55" t="str">
        <f>VLOOKUP(I3797,'Validacion reclamo de equipaje'!H:I,2,0)</f>
        <v>Nacional</v>
      </c>
      <c r="M3797" s="55" t="s">
        <v>615</v>
      </c>
    </row>
    <row r="3798" spans="1:13" x14ac:dyDescent="0.25">
      <c r="A3798">
        <v>2320</v>
      </c>
      <c r="B3798" s="47" t="str">
        <f>VLOOKUP(Tabla6[[#This Row],['# Vuelo]],'Validacion reclamo de equipaje'!P:Q,2,0)</f>
        <v>MEXICO AEREO</v>
      </c>
      <c r="C3798" s="48">
        <v>0.4993055555555555</v>
      </c>
      <c r="D3798" s="48">
        <v>0.50763888888888886</v>
      </c>
      <c r="E3798" s="49">
        <f>'Reclamo de equipaje rediseñado'!$D3798-'Reclamo de equipaje rediseñado'!$C3798</f>
        <v>8.3333333333333592E-3</v>
      </c>
      <c r="F3798" s="48">
        <v>0.52013888888888882</v>
      </c>
      <c r="G3798" s="49">
        <f t="shared" si="59"/>
        <v>1.2499999999999956E-2</v>
      </c>
      <c r="H3798" s="50">
        <v>41798</v>
      </c>
      <c r="I3798" s="51" t="s">
        <v>544</v>
      </c>
      <c r="J3798" s="51" t="s">
        <v>535</v>
      </c>
      <c r="K3798" s="51">
        <f>VLOOKUP(J3798,'Validacion reclamo de equipaje'!L:M,2,0)</f>
        <v>50</v>
      </c>
      <c r="L3798" s="51" t="str">
        <f>VLOOKUP(I3798,'Validacion reclamo de equipaje'!H:I,2,0)</f>
        <v>Nacional</v>
      </c>
      <c r="M3798" s="51" t="s">
        <v>615</v>
      </c>
    </row>
    <row r="3799" spans="1:13" x14ac:dyDescent="0.25">
      <c r="A3799">
        <v>2320</v>
      </c>
      <c r="B3799" s="47" t="str">
        <f>VLOOKUP(Tabla6[[#This Row],['# Vuelo]],'Validacion reclamo de equipaje'!P:Q,2,0)</f>
        <v>MEXICO AEREO</v>
      </c>
      <c r="C3799" s="52">
        <v>0.53125</v>
      </c>
      <c r="D3799" s="52">
        <v>0.53333333333333333</v>
      </c>
      <c r="E3799" s="53">
        <f>'Reclamo de equipaje rediseñado'!$D3799-'Reclamo de equipaje rediseñado'!$C3799</f>
        <v>2.0833333333333259E-3</v>
      </c>
      <c r="F3799" s="52">
        <v>0.53819444444444442</v>
      </c>
      <c r="G3799" s="53">
        <f t="shared" si="59"/>
        <v>4.8611111111110938E-3</v>
      </c>
      <c r="H3799" s="54">
        <v>41799</v>
      </c>
      <c r="I3799" s="55" t="s">
        <v>544</v>
      </c>
      <c r="J3799" s="55" t="s">
        <v>535</v>
      </c>
      <c r="K3799" s="55">
        <f>VLOOKUP(J3799,'Validacion reclamo de equipaje'!L:M,2,0)</f>
        <v>50</v>
      </c>
      <c r="L3799" s="55" t="str">
        <f>VLOOKUP(I3799,'Validacion reclamo de equipaje'!H:I,2,0)</f>
        <v>Nacional</v>
      </c>
      <c r="M3799" s="55" t="s">
        <v>615</v>
      </c>
    </row>
    <row r="3800" spans="1:13" x14ac:dyDescent="0.25">
      <c r="A3800">
        <v>2320</v>
      </c>
      <c r="B3800" s="47" t="str">
        <f>VLOOKUP(Tabla6[[#This Row],['# Vuelo]],'Validacion reclamo de equipaje'!P:Q,2,0)</f>
        <v>MEXICO AEREO</v>
      </c>
      <c r="C3800" s="48">
        <v>0.68263888888888891</v>
      </c>
      <c r="D3800" s="48">
        <v>0.69305555555555554</v>
      </c>
      <c r="E3800" s="49">
        <f>'Reclamo de equipaje rediseñado'!$D3800-'Reclamo de equipaje rediseñado'!$C3800</f>
        <v>1.041666666666663E-2</v>
      </c>
      <c r="F3800" s="48">
        <v>0.70763888888888893</v>
      </c>
      <c r="G3800" s="49">
        <f t="shared" si="59"/>
        <v>1.4583333333333393E-2</v>
      </c>
      <c r="H3800" s="50">
        <v>41801</v>
      </c>
      <c r="I3800" s="51" t="s">
        <v>544</v>
      </c>
      <c r="J3800" s="51" t="s">
        <v>535</v>
      </c>
      <c r="K3800" s="51">
        <f>VLOOKUP(J3800,'Validacion reclamo de equipaje'!L:M,2,0)</f>
        <v>50</v>
      </c>
      <c r="L3800" s="51" t="str">
        <f>VLOOKUP(I3800,'Validacion reclamo de equipaje'!H:I,2,0)</f>
        <v>Nacional</v>
      </c>
      <c r="M3800" s="51" t="s">
        <v>615</v>
      </c>
    </row>
    <row r="3801" spans="1:13" x14ac:dyDescent="0.25">
      <c r="A3801">
        <v>2320</v>
      </c>
      <c r="B3801" s="47" t="str">
        <f>VLOOKUP(Tabla6[[#This Row],['# Vuelo]],'Validacion reclamo de equipaje'!P:Q,2,0)</f>
        <v>MEXICO AEREO</v>
      </c>
      <c r="C3801" s="52">
        <v>0.43541666666666662</v>
      </c>
      <c r="D3801" s="52">
        <v>0.43958333333333338</v>
      </c>
      <c r="E3801" s="53">
        <f>'Reclamo de equipaje rediseñado'!$D3801-'Reclamo de equipaje rediseñado'!$C3801</f>
        <v>4.1666666666667629E-3</v>
      </c>
      <c r="F3801" s="52">
        <v>0.44444444444444442</v>
      </c>
      <c r="G3801" s="53">
        <f t="shared" si="59"/>
        <v>4.8611111111110383E-3</v>
      </c>
      <c r="H3801" s="54">
        <v>41801</v>
      </c>
      <c r="I3801" s="55" t="s">
        <v>544</v>
      </c>
      <c r="J3801" s="55" t="s">
        <v>535</v>
      </c>
      <c r="K3801" s="55">
        <f>VLOOKUP(J3801,'Validacion reclamo de equipaje'!L:M,2,0)</f>
        <v>50</v>
      </c>
      <c r="L3801" s="55" t="str">
        <f>VLOOKUP(I3801,'Validacion reclamo de equipaje'!H:I,2,0)</f>
        <v>Nacional</v>
      </c>
      <c r="M3801" s="55" t="s">
        <v>615</v>
      </c>
    </row>
    <row r="3802" spans="1:13" x14ac:dyDescent="0.25">
      <c r="A3802">
        <v>2320</v>
      </c>
      <c r="B3802" s="47" t="str">
        <f>VLOOKUP(Tabla6[[#This Row],['# Vuelo]],'Validacion reclamo de equipaje'!P:Q,2,0)</f>
        <v>MEXICO AEREO</v>
      </c>
      <c r="C3802" s="48">
        <v>0.90902777777777777</v>
      </c>
      <c r="D3802" s="48">
        <v>0.91249999999999998</v>
      </c>
      <c r="E3802" s="49">
        <f>'Reclamo de equipaje rediseñado'!$D3802-'Reclamo de equipaje rediseñado'!$C3802</f>
        <v>3.4722222222222099E-3</v>
      </c>
      <c r="F3802" s="48">
        <v>0.91805555555555562</v>
      </c>
      <c r="G3802" s="49">
        <f t="shared" si="59"/>
        <v>5.5555555555556468E-3</v>
      </c>
      <c r="H3802" s="50">
        <v>41803</v>
      </c>
      <c r="I3802" s="51" t="s">
        <v>544</v>
      </c>
      <c r="J3802" s="51" t="s">
        <v>535</v>
      </c>
      <c r="K3802" s="51">
        <f>VLOOKUP(J3802,'Validacion reclamo de equipaje'!L:M,2,0)</f>
        <v>50</v>
      </c>
      <c r="L3802" s="51" t="str">
        <f>VLOOKUP(I3802,'Validacion reclamo de equipaje'!H:I,2,0)</f>
        <v>Nacional</v>
      </c>
      <c r="M3802" s="51" t="s">
        <v>615</v>
      </c>
    </row>
    <row r="3803" spans="1:13" x14ac:dyDescent="0.25">
      <c r="A3803">
        <v>2320</v>
      </c>
      <c r="B3803" s="47" t="str">
        <f>VLOOKUP(Tabla6[[#This Row],['# Vuelo]],'Validacion reclamo de equipaje'!P:Q,2,0)</f>
        <v>MEXICO AEREO</v>
      </c>
      <c r="C3803" s="52">
        <v>0.4152777777777778</v>
      </c>
      <c r="D3803" s="52">
        <v>0.42291666666666666</v>
      </c>
      <c r="E3803" s="53">
        <f>'Reclamo de equipaje rediseñado'!$D3803-'Reclamo de equipaje rediseñado'!$C3803</f>
        <v>7.6388888888888618E-3</v>
      </c>
      <c r="F3803" s="52">
        <v>0.42499999999999999</v>
      </c>
      <c r="G3803" s="53">
        <f t="shared" si="59"/>
        <v>2.0833333333333259E-3</v>
      </c>
      <c r="H3803" s="54">
        <v>41804</v>
      </c>
      <c r="I3803" s="55" t="s">
        <v>544</v>
      </c>
      <c r="J3803" s="55" t="s">
        <v>535</v>
      </c>
      <c r="K3803" s="55">
        <f>VLOOKUP(J3803,'Validacion reclamo de equipaje'!L:M,2,0)</f>
        <v>50</v>
      </c>
      <c r="L3803" s="55" t="str">
        <f>VLOOKUP(I3803,'Validacion reclamo de equipaje'!H:I,2,0)</f>
        <v>Nacional</v>
      </c>
      <c r="M3803" s="55" t="s">
        <v>615</v>
      </c>
    </row>
    <row r="3804" spans="1:13" x14ac:dyDescent="0.25">
      <c r="A3804">
        <v>2320</v>
      </c>
      <c r="B3804" s="47" t="str">
        <f>VLOOKUP(Tabla6[[#This Row],['# Vuelo]],'Validacion reclamo de equipaje'!P:Q,2,0)</f>
        <v>MEXICO AEREO</v>
      </c>
      <c r="C3804" s="48">
        <v>0.4291666666666667</v>
      </c>
      <c r="D3804" s="48">
        <v>0.43541666666666662</v>
      </c>
      <c r="E3804" s="49">
        <f>'Reclamo de equipaje rediseñado'!$D3804-'Reclamo de equipaje rediseñado'!$C3804</f>
        <v>6.2499999999999223E-3</v>
      </c>
      <c r="F3804" s="48">
        <v>0.44375000000000003</v>
      </c>
      <c r="G3804" s="49">
        <f t="shared" si="59"/>
        <v>8.3333333333334147E-3</v>
      </c>
      <c r="H3804" s="50">
        <v>41805</v>
      </c>
      <c r="I3804" s="51" t="s">
        <v>544</v>
      </c>
      <c r="J3804" s="51" t="s">
        <v>535</v>
      </c>
      <c r="K3804" s="51">
        <f>VLOOKUP(J3804,'Validacion reclamo de equipaje'!L:M,2,0)</f>
        <v>50</v>
      </c>
      <c r="L3804" s="51" t="str">
        <f>VLOOKUP(I3804,'Validacion reclamo de equipaje'!H:I,2,0)</f>
        <v>Nacional</v>
      </c>
      <c r="M3804" s="51" t="s">
        <v>615</v>
      </c>
    </row>
    <row r="3805" spans="1:13" x14ac:dyDescent="0.25">
      <c r="A3805">
        <v>2320</v>
      </c>
      <c r="B3805" s="47" t="str">
        <f>VLOOKUP(Tabla6[[#This Row],['# Vuelo]],'Validacion reclamo de equipaje'!P:Q,2,0)</f>
        <v>MEXICO AEREO</v>
      </c>
      <c r="C3805" s="52">
        <v>0.8534722222222223</v>
      </c>
      <c r="D3805" s="52">
        <v>0.86388888888888893</v>
      </c>
      <c r="E3805" s="53">
        <f>'Reclamo de equipaje rediseñado'!$D3805-'Reclamo de equipaje rediseñado'!$C3805</f>
        <v>1.041666666666663E-2</v>
      </c>
      <c r="F3805" s="52">
        <v>0.88263888888888886</v>
      </c>
      <c r="G3805" s="53">
        <f t="shared" si="59"/>
        <v>1.8749999999999933E-2</v>
      </c>
      <c r="H3805" s="54">
        <v>41806</v>
      </c>
      <c r="I3805" s="55" t="s">
        <v>544</v>
      </c>
      <c r="J3805" s="55" t="s">
        <v>535</v>
      </c>
      <c r="K3805" s="55">
        <f>VLOOKUP(J3805,'Validacion reclamo de equipaje'!L:M,2,0)</f>
        <v>50</v>
      </c>
      <c r="L3805" s="55" t="str">
        <f>VLOOKUP(I3805,'Validacion reclamo de equipaje'!H:I,2,0)</f>
        <v>Nacional</v>
      </c>
      <c r="M3805" s="55" t="s">
        <v>615</v>
      </c>
    </row>
    <row r="3806" spans="1:13" x14ac:dyDescent="0.25">
      <c r="A3806">
        <v>2320</v>
      </c>
      <c r="B3806" s="47" t="str">
        <f>VLOOKUP(Tabla6[[#This Row],['# Vuelo]],'Validacion reclamo de equipaje'!P:Q,2,0)</f>
        <v>MEXICO AEREO</v>
      </c>
      <c r="C3806" s="48">
        <v>0.27013888888888887</v>
      </c>
      <c r="D3806" s="48">
        <v>0.28263888888888888</v>
      </c>
      <c r="E3806" s="49">
        <f>'Reclamo de equipaje rediseñado'!$D3806-'Reclamo de equipaje rediseñado'!$C3806</f>
        <v>1.2500000000000011E-2</v>
      </c>
      <c r="F3806" s="48">
        <v>0.3</v>
      </c>
      <c r="G3806" s="49">
        <f t="shared" si="59"/>
        <v>1.7361111111111105E-2</v>
      </c>
      <c r="H3806" s="50">
        <v>41807</v>
      </c>
      <c r="I3806" s="51" t="s">
        <v>544</v>
      </c>
      <c r="J3806" s="51" t="s">
        <v>535</v>
      </c>
      <c r="K3806" s="51">
        <f>VLOOKUP(J3806,'Validacion reclamo de equipaje'!L:M,2,0)</f>
        <v>50</v>
      </c>
      <c r="L3806" s="51" t="str">
        <f>VLOOKUP(I3806,'Validacion reclamo de equipaje'!H:I,2,0)</f>
        <v>Nacional</v>
      </c>
      <c r="M3806" s="51" t="s">
        <v>615</v>
      </c>
    </row>
    <row r="3807" spans="1:13" x14ac:dyDescent="0.25">
      <c r="A3807">
        <v>2320</v>
      </c>
      <c r="B3807" s="47" t="str">
        <f>VLOOKUP(Tabla6[[#This Row],['# Vuelo]],'Validacion reclamo de equipaje'!P:Q,2,0)</f>
        <v>MEXICO AEREO</v>
      </c>
      <c r="C3807" s="52">
        <v>0.52847222222222223</v>
      </c>
      <c r="D3807" s="52">
        <v>0.53819444444444442</v>
      </c>
      <c r="E3807" s="53">
        <f>'Reclamo de equipaje rediseñado'!$D3807-'Reclamo de equipaje rediseñado'!$C3807</f>
        <v>9.7222222222221877E-3</v>
      </c>
      <c r="F3807" s="52">
        <v>0.54097222222222219</v>
      </c>
      <c r="G3807" s="53">
        <f t="shared" si="59"/>
        <v>2.7777777777777679E-3</v>
      </c>
      <c r="H3807" s="54">
        <v>41808</v>
      </c>
      <c r="I3807" s="55" t="s">
        <v>544</v>
      </c>
      <c r="J3807" s="55" t="s">
        <v>535</v>
      </c>
      <c r="K3807" s="55">
        <f>VLOOKUP(J3807,'Validacion reclamo de equipaje'!L:M,2,0)</f>
        <v>50</v>
      </c>
      <c r="L3807" s="55" t="str">
        <f>VLOOKUP(I3807,'Validacion reclamo de equipaje'!H:I,2,0)</f>
        <v>Nacional</v>
      </c>
      <c r="M3807" s="55" t="s">
        <v>615</v>
      </c>
    </row>
    <row r="3808" spans="1:13" x14ac:dyDescent="0.25">
      <c r="A3808">
        <v>2320</v>
      </c>
      <c r="B3808" s="47" t="str">
        <f>VLOOKUP(Tabla6[[#This Row],['# Vuelo]],'Validacion reclamo de equipaje'!P:Q,2,0)</f>
        <v>MEXICO AEREO</v>
      </c>
      <c r="C3808" s="48">
        <v>0.52916666666666667</v>
      </c>
      <c r="D3808" s="48">
        <v>0.53402777777777777</v>
      </c>
      <c r="E3808" s="49">
        <f>'Reclamo de equipaje rediseñado'!$D3808-'Reclamo de equipaje rediseñado'!$C3808</f>
        <v>4.8611111111110938E-3</v>
      </c>
      <c r="F3808" s="48">
        <v>0.5395833333333333</v>
      </c>
      <c r="G3808" s="49">
        <f t="shared" si="59"/>
        <v>5.5555555555555358E-3</v>
      </c>
      <c r="H3808" s="50">
        <v>41809</v>
      </c>
      <c r="I3808" s="51" t="s">
        <v>544</v>
      </c>
      <c r="J3808" s="51" t="s">
        <v>535</v>
      </c>
      <c r="K3808" s="51">
        <f>VLOOKUP(J3808,'Validacion reclamo de equipaje'!L:M,2,0)</f>
        <v>50</v>
      </c>
      <c r="L3808" s="51" t="str">
        <f>VLOOKUP(I3808,'Validacion reclamo de equipaje'!H:I,2,0)</f>
        <v>Nacional</v>
      </c>
      <c r="M3808" s="51" t="s">
        <v>615</v>
      </c>
    </row>
    <row r="3809" spans="1:13" x14ac:dyDescent="0.25">
      <c r="A3809">
        <v>2320</v>
      </c>
      <c r="B3809" s="47" t="str">
        <f>VLOOKUP(Tabla6[[#This Row],['# Vuelo]],'Validacion reclamo de equipaje'!P:Q,2,0)</f>
        <v>MEXICO AEREO</v>
      </c>
      <c r="C3809" s="52">
        <v>0.52430555555555558</v>
      </c>
      <c r="D3809" s="52">
        <v>0.52916666666666667</v>
      </c>
      <c r="E3809" s="53">
        <f>'Reclamo de equipaje rediseñado'!$D3809-'Reclamo de equipaje rediseñado'!$C3809</f>
        <v>4.8611111111110938E-3</v>
      </c>
      <c r="F3809" s="52">
        <v>0.53472222222222221</v>
      </c>
      <c r="G3809" s="53">
        <f t="shared" si="59"/>
        <v>5.5555555555555358E-3</v>
      </c>
      <c r="H3809" s="54">
        <v>41810</v>
      </c>
      <c r="I3809" s="55" t="s">
        <v>544</v>
      </c>
      <c r="J3809" s="55" t="s">
        <v>535</v>
      </c>
      <c r="K3809" s="55">
        <f>VLOOKUP(J3809,'Validacion reclamo de equipaje'!L:M,2,0)</f>
        <v>50</v>
      </c>
      <c r="L3809" s="55" t="str">
        <f>VLOOKUP(I3809,'Validacion reclamo de equipaje'!H:I,2,0)</f>
        <v>Nacional</v>
      </c>
      <c r="M3809" s="55" t="s">
        <v>615</v>
      </c>
    </row>
    <row r="3810" spans="1:13" x14ac:dyDescent="0.25">
      <c r="A3810">
        <v>2320</v>
      </c>
      <c r="B3810" s="47" t="str">
        <f>VLOOKUP(Tabla6[[#This Row],['# Vuelo]],'Validacion reclamo de equipaje'!P:Q,2,0)</f>
        <v>MEXICO AEREO</v>
      </c>
      <c r="C3810" s="48">
        <v>0.5229166666666667</v>
      </c>
      <c r="D3810" s="48">
        <v>0.52777777777777779</v>
      </c>
      <c r="E3810" s="49">
        <f>'Reclamo de equipaje rediseñado'!$D3810-'Reclamo de equipaje rediseñado'!$C3810</f>
        <v>4.8611111111110938E-3</v>
      </c>
      <c r="F3810" s="48">
        <v>0.53055555555555556</v>
      </c>
      <c r="G3810" s="49">
        <f t="shared" si="59"/>
        <v>2.7777777777777679E-3</v>
      </c>
      <c r="H3810" s="50">
        <v>41811</v>
      </c>
      <c r="I3810" s="51" t="s">
        <v>544</v>
      </c>
      <c r="J3810" s="51" t="s">
        <v>535</v>
      </c>
      <c r="K3810" s="51">
        <f>VLOOKUP(J3810,'Validacion reclamo de equipaje'!L:M,2,0)</f>
        <v>50</v>
      </c>
      <c r="L3810" s="51" t="str">
        <f>VLOOKUP(I3810,'Validacion reclamo de equipaje'!H:I,2,0)</f>
        <v>Nacional</v>
      </c>
      <c r="M3810" s="51" t="s">
        <v>615</v>
      </c>
    </row>
    <row r="3811" spans="1:13" x14ac:dyDescent="0.25">
      <c r="A3811">
        <v>2320</v>
      </c>
      <c r="B3811" s="47" t="str">
        <f>VLOOKUP(Tabla6[[#This Row],['# Vuelo]],'Validacion reclamo de equipaje'!P:Q,2,0)</f>
        <v>MEXICO AEREO</v>
      </c>
      <c r="C3811" s="52">
        <v>0.54097222222222219</v>
      </c>
      <c r="D3811" s="52">
        <v>0.5444444444444444</v>
      </c>
      <c r="E3811" s="53">
        <f>'Reclamo de equipaje rediseñado'!$D3811-'Reclamo de equipaje rediseñado'!$C3811</f>
        <v>3.4722222222222099E-3</v>
      </c>
      <c r="F3811" s="52">
        <v>0.54999999999999993</v>
      </c>
      <c r="G3811" s="53">
        <f t="shared" si="59"/>
        <v>5.5555555555555358E-3</v>
      </c>
      <c r="H3811" s="54">
        <v>41813</v>
      </c>
      <c r="I3811" s="55" t="s">
        <v>544</v>
      </c>
      <c r="J3811" s="55" t="s">
        <v>535</v>
      </c>
      <c r="K3811" s="55">
        <f>VLOOKUP(J3811,'Validacion reclamo de equipaje'!L:M,2,0)</f>
        <v>50</v>
      </c>
      <c r="L3811" s="55" t="str">
        <f>VLOOKUP(I3811,'Validacion reclamo de equipaje'!H:I,2,0)</f>
        <v>Nacional</v>
      </c>
      <c r="M3811" s="55" t="s">
        <v>615</v>
      </c>
    </row>
    <row r="3812" spans="1:13" x14ac:dyDescent="0.25">
      <c r="A3812">
        <v>2320</v>
      </c>
      <c r="B3812" s="47" t="str">
        <f>VLOOKUP(Tabla6[[#This Row],['# Vuelo]],'Validacion reclamo de equipaje'!P:Q,2,0)</f>
        <v>MEXICO AEREO</v>
      </c>
      <c r="C3812" s="48">
        <v>0.53194444444444444</v>
      </c>
      <c r="D3812" s="48">
        <v>0.53680555555555554</v>
      </c>
      <c r="E3812" s="49">
        <f>'Reclamo de equipaje rediseñado'!$D3812-'Reclamo de equipaje rediseñado'!$C3812</f>
        <v>4.8611111111110938E-3</v>
      </c>
      <c r="F3812" s="48">
        <v>0.53819444444444442</v>
      </c>
      <c r="G3812" s="49">
        <f t="shared" si="59"/>
        <v>1.388888888888884E-3</v>
      </c>
      <c r="H3812" s="50">
        <v>41812</v>
      </c>
      <c r="I3812" s="51" t="s">
        <v>544</v>
      </c>
      <c r="J3812" s="51" t="s">
        <v>535</v>
      </c>
      <c r="K3812" s="51">
        <f>VLOOKUP(J3812,'Validacion reclamo de equipaje'!L:M,2,0)</f>
        <v>50</v>
      </c>
      <c r="L3812" s="51" t="str">
        <f>VLOOKUP(I3812,'Validacion reclamo de equipaje'!H:I,2,0)</f>
        <v>Nacional</v>
      </c>
      <c r="M3812" s="51" t="s">
        <v>615</v>
      </c>
    </row>
    <row r="3813" spans="1:13" x14ac:dyDescent="0.25">
      <c r="A3813">
        <v>52</v>
      </c>
      <c r="B3813" s="47" t="str">
        <f>VLOOKUP(Tabla6[[#This Row],['# Vuelo]],'Validacion reclamo de equipaje'!P:Q,2,0)</f>
        <v>MEXICO AEREO</v>
      </c>
      <c r="C3813" s="52">
        <v>0.69652777777777775</v>
      </c>
      <c r="D3813" s="52">
        <v>0.70486111111111116</v>
      </c>
      <c r="E3813" s="53">
        <f>'Reclamo de equipaje rediseñado'!$D3813-'Reclamo de equipaje rediseñado'!$C3813</f>
        <v>8.3333333333334147E-3</v>
      </c>
      <c r="F3813" s="52">
        <v>0.70833333333333337</v>
      </c>
      <c r="G3813" s="53">
        <f t="shared" si="59"/>
        <v>3.4722222222222099E-3</v>
      </c>
      <c r="H3813" s="54">
        <v>41791</v>
      </c>
      <c r="I3813" s="55" t="s">
        <v>545</v>
      </c>
      <c r="J3813" s="55">
        <v>733</v>
      </c>
      <c r="K3813" s="55">
        <f>VLOOKUP(J3813,'Validacion reclamo de equipaje'!L:M,2,0)</f>
        <v>169</v>
      </c>
      <c r="L3813" s="55" t="str">
        <f>VLOOKUP(I3813,'Validacion reclamo de equipaje'!H:I,2,0)</f>
        <v>Nacional</v>
      </c>
      <c r="M3813" s="55" t="s">
        <v>615</v>
      </c>
    </row>
    <row r="3814" spans="1:13" x14ac:dyDescent="0.25">
      <c r="A3814">
        <v>52</v>
      </c>
      <c r="B3814" s="47" t="str">
        <f>VLOOKUP(Tabla6[[#This Row],['# Vuelo]],'Validacion reclamo de equipaje'!P:Q,2,0)</f>
        <v>MEXICO AEREO</v>
      </c>
      <c r="C3814" s="48">
        <v>0.69444444444444453</v>
      </c>
      <c r="D3814" s="48">
        <v>0.70000000000000007</v>
      </c>
      <c r="E3814" s="49">
        <f>'Reclamo de equipaje rediseñado'!$D3814-'Reclamo de equipaje rediseñado'!$C3814</f>
        <v>5.5555555555555358E-3</v>
      </c>
      <c r="F3814" s="48">
        <v>0.70624999999999993</v>
      </c>
      <c r="G3814" s="49">
        <f t="shared" si="59"/>
        <v>6.2499999999998668E-3</v>
      </c>
      <c r="H3814" s="50">
        <v>41792</v>
      </c>
      <c r="I3814" s="51" t="s">
        <v>545</v>
      </c>
      <c r="J3814" s="51">
        <v>733</v>
      </c>
      <c r="K3814" s="51">
        <f>VLOOKUP(J3814,'Validacion reclamo de equipaje'!L:M,2,0)</f>
        <v>169</v>
      </c>
      <c r="L3814" s="51" t="str">
        <f>VLOOKUP(I3814,'Validacion reclamo de equipaje'!H:I,2,0)</f>
        <v>Nacional</v>
      </c>
      <c r="M3814" s="51" t="s">
        <v>615</v>
      </c>
    </row>
    <row r="3815" spans="1:13" x14ac:dyDescent="0.25">
      <c r="A3815">
        <v>52</v>
      </c>
      <c r="B3815" s="47" t="str">
        <f>VLOOKUP(Tabla6[[#This Row],['# Vuelo]],'Validacion reclamo de equipaje'!P:Q,2,0)</f>
        <v>MEXICO AEREO</v>
      </c>
      <c r="C3815" s="52">
        <v>0.70138888888888884</v>
      </c>
      <c r="D3815" s="52">
        <v>0.70694444444444438</v>
      </c>
      <c r="E3815" s="53">
        <f>'Reclamo de equipaje rediseñado'!$D3815-'Reclamo de equipaje rediseñado'!$C3815</f>
        <v>5.5555555555555358E-3</v>
      </c>
      <c r="F3815" s="52">
        <v>0.71180555555555547</v>
      </c>
      <c r="G3815" s="53">
        <f t="shared" si="59"/>
        <v>4.8611111111110938E-3</v>
      </c>
      <c r="H3815" s="54">
        <v>41793</v>
      </c>
      <c r="I3815" s="55" t="s">
        <v>545</v>
      </c>
      <c r="J3815" s="55">
        <v>733</v>
      </c>
      <c r="K3815" s="55">
        <f>VLOOKUP(J3815,'Validacion reclamo de equipaje'!L:M,2,0)</f>
        <v>169</v>
      </c>
      <c r="L3815" s="55" t="str">
        <f>VLOOKUP(I3815,'Validacion reclamo de equipaje'!H:I,2,0)</f>
        <v>Nacional</v>
      </c>
      <c r="M3815" s="55" t="s">
        <v>615</v>
      </c>
    </row>
    <row r="3816" spans="1:13" x14ac:dyDescent="0.25">
      <c r="A3816">
        <v>52</v>
      </c>
      <c r="B3816" s="47" t="str">
        <f>VLOOKUP(Tabla6[[#This Row],['# Vuelo]],'Validacion reclamo de equipaje'!P:Q,2,0)</f>
        <v>MEXICO AEREO</v>
      </c>
      <c r="C3816" s="48">
        <v>0.70000000000000007</v>
      </c>
      <c r="D3816" s="48">
        <v>0.70347222222222217</v>
      </c>
      <c r="E3816" s="49">
        <f>'Reclamo de equipaje rediseñado'!$D3816-'Reclamo de equipaje rediseñado'!$C3816</f>
        <v>3.4722222222220989E-3</v>
      </c>
      <c r="F3816" s="48">
        <v>0.7090277777777777</v>
      </c>
      <c r="G3816" s="49">
        <f t="shared" si="59"/>
        <v>5.5555555555555358E-3</v>
      </c>
      <c r="H3816" s="50">
        <v>41794</v>
      </c>
      <c r="I3816" s="51" t="s">
        <v>545</v>
      </c>
      <c r="J3816" s="51">
        <v>733</v>
      </c>
      <c r="K3816" s="51">
        <f>VLOOKUP(J3816,'Validacion reclamo de equipaje'!L:M,2,0)</f>
        <v>169</v>
      </c>
      <c r="L3816" s="51" t="str">
        <f>VLOOKUP(I3816,'Validacion reclamo de equipaje'!H:I,2,0)</f>
        <v>Nacional</v>
      </c>
      <c r="M3816" s="51" t="s">
        <v>615</v>
      </c>
    </row>
    <row r="3817" spans="1:13" x14ac:dyDescent="0.25">
      <c r="A3817">
        <v>52</v>
      </c>
      <c r="B3817" s="47" t="str">
        <f>VLOOKUP(Tabla6[[#This Row],['# Vuelo]],'Validacion reclamo de equipaje'!P:Q,2,0)</f>
        <v>MEXICO AEREO</v>
      </c>
      <c r="C3817" s="52">
        <v>0.7090277777777777</v>
      </c>
      <c r="D3817" s="52">
        <v>0.71527777777777779</v>
      </c>
      <c r="E3817" s="53">
        <f>'Reclamo de equipaje rediseñado'!$D3817-'Reclamo de equipaje rediseñado'!$C3817</f>
        <v>6.2500000000000888E-3</v>
      </c>
      <c r="F3817" s="52">
        <v>0.72083333333333333</v>
      </c>
      <c r="G3817" s="53">
        <f t="shared" si="59"/>
        <v>5.5555555555555358E-3</v>
      </c>
      <c r="H3817" s="54">
        <v>41795</v>
      </c>
      <c r="I3817" s="55" t="s">
        <v>545</v>
      </c>
      <c r="J3817" s="55">
        <v>733</v>
      </c>
      <c r="K3817" s="55">
        <f>VLOOKUP(J3817,'Validacion reclamo de equipaje'!L:M,2,0)</f>
        <v>169</v>
      </c>
      <c r="L3817" s="55" t="str">
        <f>VLOOKUP(I3817,'Validacion reclamo de equipaje'!H:I,2,0)</f>
        <v>Nacional</v>
      </c>
      <c r="M3817" s="55" t="s">
        <v>615</v>
      </c>
    </row>
    <row r="3818" spans="1:13" x14ac:dyDescent="0.25">
      <c r="A3818">
        <v>52</v>
      </c>
      <c r="B3818" s="47" t="str">
        <f>VLOOKUP(Tabla6[[#This Row],['# Vuelo]],'Validacion reclamo de equipaje'!P:Q,2,0)</f>
        <v>MEXICO AEREO</v>
      </c>
      <c r="C3818" s="48">
        <v>0.69861111111111107</v>
      </c>
      <c r="D3818" s="48">
        <v>0.70277777777777783</v>
      </c>
      <c r="E3818" s="49">
        <f>'Reclamo de equipaje rediseñado'!$D3818-'Reclamo de equipaje rediseñado'!$C3818</f>
        <v>4.1666666666667629E-3</v>
      </c>
      <c r="F3818" s="48">
        <v>0.7055555555555556</v>
      </c>
      <c r="G3818" s="49">
        <f t="shared" si="59"/>
        <v>2.7777777777777679E-3</v>
      </c>
      <c r="H3818" s="50">
        <v>41796</v>
      </c>
      <c r="I3818" s="51" t="s">
        <v>545</v>
      </c>
      <c r="J3818" s="51">
        <v>733</v>
      </c>
      <c r="K3818" s="51">
        <f>VLOOKUP(J3818,'Validacion reclamo de equipaje'!L:M,2,0)</f>
        <v>169</v>
      </c>
      <c r="L3818" s="51" t="str">
        <f>VLOOKUP(I3818,'Validacion reclamo de equipaje'!H:I,2,0)</f>
        <v>Nacional</v>
      </c>
      <c r="M3818" s="51" t="s">
        <v>615</v>
      </c>
    </row>
    <row r="3819" spans="1:13" x14ac:dyDescent="0.25">
      <c r="A3819">
        <v>52</v>
      </c>
      <c r="B3819" s="47" t="str">
        <f>VLOOKUP(Tabla6[[#This Row],['# Vuelo]],'Validacion reclamo de equipaje'!P:Q,2,0)</f>
        <v>MEXICO AEREO</v>
      </c>
      <c r="C3819" s="52">
        <v>0.70138888888888884</v>
      </c>
      <c r="D3819" s="52">
        <v>0.70833333333333337</v>
      </c>
      <c r="E3819" s="53">
        <f>'Reclamo de equipaje rediseñado'!$D3819-'Reclamo de equipaje rediseñado'!$C3819</f>
        <v>6.9444444444445308E-3</v>
      </c>
      <c r="F3819" s="52">
        <v>0.71388888888888891</v>
      </c>
      <c r="G3819" s="53">
        <f t="shared" si="59"/>
        <v>5.5555555555555358E-3</v>
      </c>
      <c r="H3819" s="54">
        <v>41797</v>
      </c>
      <c r="I3819" s="55" t="s">
        <v>545</v>
      </c>
      <c r="J3819" s="55">
        <v>733</v>
      </c>
      <c r="K3819" s="55">
        <f>VLOOKUP(J3819,'Validacion reclamo de equipaje'!L:M,2,0)</f>
        <v>169</v>
      </c>
      <c r="L3819" s="55" t="str">
        <f>VLOOKUP(I3819,'Validacion reclamo de equipaje'!H:I,2,0)</f>
        <v>Nacional</v>
      </c>
      <c r="M3819" s="55" t="s">
        <v>615</v>
      </c>
    </row>
    <row r="3820" spans="1:13" x14ac:dyDescent="0.25">
      <c r="A3820">
        <v>52</v>
      </c>
      <c r="B3820" s="47" t="str">
        <f>VLOOKUP(Tabla6[[#This Row],['# Vuelo]],'Validacion reclamo de equipaje'!P:Q,2,0)</f>
        <v>MEXICO AEREO</v>
      </c>
      <c r="C3820" s="48">
        <v>0.75416666666666676</v>
      </c>
      <c r="D3820" s="48">
        <v>0.7583333333333333</v>
      </c>
      <c r="E3820" s="49">
        <f>'Reclamo de equipaje rediseñado'!$D3820-'Reclamo de equipaje rediseñado'!$C3820</f>
        <v>4.1666666666665408E-3</v>
      </c>
      <c r="F3820" s="48">
        <v>0.76527777777777783</v>
      </c>
      <c r="G3820" s="49">
        <f t="shared" si="59"/>
        <v>6.9444444444445308E-3</v>
      </c>
      <c r="H3820" s="50">
        <v>41798</v>
      </c>
      <c r="I3820" s="51" t="s">
        <v>545</v>
      </c>
      <c r="J3820" s="51">
        <v>733</v>
      </c>
      <c r="K3820" s="51">
        <f>VLOOKUP(J3820,'Validacion reclamo de equipaje'!L:M,2,0)</f>
        <v>169</v>
      </c>
      <c r="L3820" s="51" t="str">
        <f>VLOOKUP(I3820,'Validacion reclamo de equipaje'!H:I,2,0)</f>
        <v>Nacional</v>
      </c>
      <c r="M3820" s="51" t="s">
        <v>615</v>
      </c>
    </row>
    <row r="3821" spans="1:13" x14ac:dyDescent="0.25">
      <c r="A3821">
        <v>2277</v>
      </c>
      <c r="B3821" s="47" t="str">
        <f>VLOOKUP(Tabla6[[#This Row],['# Vuelo]],'Validacion reclamo de equipaje'!P:Q,2,0)</f>
        <v>MEXICO AEREO</v>
      </c>
      <c r="C3821" s="52">
        <v>0.9458333333333333</v>
      </c>
      <c r="D3821" s="52">
        <v>0.95277777777777783</v>
      </c>
      <c r="E3821" s="53">
        <f>'Reclamo de equipaje rediseñado'!$D3821-'Reclamo de equipaje rediseñado'!$C3821</f>
        <v>6.9444444444445308E-3</v>
      </c>
      <c r="F3821" s="52">
        <v>0.9555555555555556</v>
      </c>
      <c r="G3821" s="53">
        <f t="shared" si="59"/>
        <v>2.7777777777777679E-3</v>
      </c>
      <c r="H3821" s="54">
        <v>41791</v>
      </c>
      <c r="I3821" s="55" t="s">
        <v>542</v>
      </c>
      <c r="J3821" s="55" t="s">
        <v>535</v>
      </c>
      <c r="K3821" s="55">
        <f>VLOOKUP(J3821,'Validacion reclamo de equipaje'!L:M,2,0)</f>
        <v>50</v>
      </c>
      <c r="L3821" s="55" t="str">
        <f>VLOOKUP(I3821,'Validacion reclamo de equipaje'!H:I,2,0)</f>
        <v>Nacional</v>
      </c>
      <c r="M3821" s="55" t="s">
        <v>615</v>
      </c>
    </row>
    <row r="3822" spans="1:13" x14ac:dyDescent="0.25">
      <c r="A3822">
        <v>2277</v>
      </c>
      <c r="B3822" s="47" t="str">
        <f>VLOOKUP(Tabla6[[#This Row],['# Vuelo]],'Validacion reclamo de equipaje'!P:Q,2,0)</f>
        <v>MEXICO AEREO</v>
      </c>
      <c r="C3822" s="48">
        <v>0.94791666666666663</v>
      </c>
      <c r="D3822" s="48">
        <v>0.95138888888888884</v>
      </c>
      <c r="E3822" s="49">
        <f>'Reclamo de equipaje rediseñado'!$D3822-'Reclamo de equipaje rediseñado'!$C3822</f>
        <v>3.4722222222222099E-3</v>
      </c>
      <c r="F3822" s="48">
        <v>0.95763888888888893</v>
      </c>
      <c r="G3822" s="49">
        <f t="shared" si="59"/>
        <v>6.2500000000000888E-3</v>
      </c>
      <c r="H3822" s="50">
        <v>41792</v>
      </c>
      <c r="I3822" s="51" t="s">
        <v>542</v>
      </c>
      <c r="J3822" s="51" t="s">
        <v>535</v>
      </c>
      <c r="K3822" s="51">
        <f>VLOOKUP(J3822,'Validacion reclamo de equipaje'!L:M,2,0)</f>
        <v>50</v>
      </c>
      <c r="L3822" s="51" t="str">
        <f>VLOOKUP(I3822,'Validacion reclamo de equipaje'!H:I,2,0)</f>
        <v>Nacional</v>
      </c>
      <c r="M3822" s="51" t="s">
        <v>615</v>
      </c>
    </row>
    <row r="3823" spans="1:13" x14ac:dyDescent="0.25">
      <c r="A3823">
        <v>2277</v>
      </c>
      <c r="B3823" s="47" t="str">
        <f>VLOOKUP(Tabla6[[#This Row],['# Vuelo]],'Validacion reclamo de equipaje'!P:Q,2,0)</f>
        <v>MEXICO AEREO</v>
      </c>
      <c r="C3823" s="52">
        <v>0.94513888888888886</v>
      </c>
      <c r="D3823" s="52">
        <v>0.95763888888888893</v>
      </c>
      <c r="E3823" s="53">
        <f>'Reclamo de equipaje rediseñado'!$D3823-'Reclamo de equipaje rediseñado'!$C3823</f>
        <v>1.2500000000000067E-2</v>
      </c>
      <c r="F3823" s="52">
        <v>0.96180555555555547</v>
      </c>
      <c r="G3823" s="53">
        <f t="shared" si="59"/>
        <v>4.1666666666665408E-3</v>
      </c>
      <c r="H3823" s="54">
        <v>41793</v>
      </c>
      <c r="I3823" s="55" t="s">
        <v>542</v>
      </c>
      <c r="J3823" s="55" t="s">
        <v>535</v>
      </c>
      <c r="K3823" s="55">
        <f>VLOOKUP(J3823,'Validacion reclamo de equipaje'!L:M,2,0)</f>
        <v>50</v>
      </c>
      <c r="L3823" s="55" t="str">
        <f>VLOOKUP(I3823,'Validacion reclamo de equipaje'!H:I,2,0)</f>
        <v>Nacional</v>
      </c>
      <c r="M3823" s="55" t="s">
        <v>615</v>
      </c>
    </row>
    <row r="3824" spans="1:13" x14ac:dyDescent="0.25">
      <c r="A3824">
        <v>2277</v>
      </c>
      <c r="B3824" s="47" t="str">
        <f>VLOOKUP(Tabla6[[#This Row],['# Vuelo]],'Validacion reclamo de equipaje'!P:Q,2,0)</f>
        <v>MEXICO AEREO</v>
      </c>
      <c r="C3824" s="48">
        <v>0.95138888888888884</v>
      </c>
      <c r="D3824" s="48">
        <v>0.9604166666666667</v>
      </c>
      <c r="E3824" s="49">
        <f>'Reclamo de equipaje rediseñado'!$D3824-'Reclamo de equipaje rediseñado'!$C3824</f>
        <v>9.0277777777778567E-3</v>
      </c>
      <c r="F3824" s="48">
        <v>0.96875</v>
      </c>
      <c r="G3824" s="49">
        <f t="shared" si="59"/>
        <v>8.3333333333333037E-3</v>
      </c>
      <c r="H3824" s="50">
        <v>41794</v>
      </c>
      <c r="I3824" s="51" t="s">
        <v>542</v>
      </c>
      <c r="J3824" s="51" t="s">
        <v>535</v>
      </c>
      <c r="K3824" s="51">
        <f>VLOOKUP(J3824,'Validacion reclamo de equipaje'!L:M,2,0)</f>
        <v>50</v>
      </c>
      <c r="L3824" s="51" t="str">
        <f>VLOOKUP(I3824,'Validacion reclamo de equipaje'!H:I,2,0)</f>
        <v>Nacional</v>
      </c>
      <c r="M3824" s="51" t="s">
        <v>615</v>
      </c>
    </row>
    <row r="3825" spans="1:13" x14ac:dyDescent="0.25">
      <c r="A3825">
        <v>2277</v>
      </c>
      <c r="B3825" s="47" t="str">
        <f>VLOOKUP(Tabla6[[#This Row],['# Vuelo]],'Validacion reclamo de equipaje'!P:Q,2,0)</f>
        <v>MEXICO AEREO</v>
      </c>
      <c r="C3825" s="52">
        <v>0.94513888888888886</v>
      </c>
      <c r="D3825" s="52">
        <v>0.95277777777777783</v>
      </c>
      <c r="E3825" s="53">
        <f>'Reclamo de equipaje rediseñado'!$D3825-'Reclamo de equipaje rediseñado'!$C3825</f>
        <v>7.6388888888889728E-3</v>
      </c>
      <c r="F3825" s="52">
        <v>0.95624999999999993</v>
      </c>
      <c r="G3825" s="53">
        <f t="shared" si="59"/>
        <v>3.4722222222220989E-3</v>
      </c>
      <c r="H3825" s="54">
        <v>41795</v>
      </c>
      <c r="I3825" s="55" t="s">
        <v>542</v>
      </c>
      <c r="J3825" s="55" t="s">
        <v>535</v>
      </c>
      <c r="K3825" s="55">
        <f>VLOOKUP(J3825,'Validacion reclamo de equipaje'!L:M,2,0)</f>
        <v>50</v>
      </c>
      <c r="L3825" s="55" t="str">
        <f>VLOOKUP(I3825,'Validacion reclamo de equipaje'!H:I,2,0)</f>
        <v>Nacional</v>
      </c>
      <c r="M3825" s="55" t="s">
        <v>615</v>
      </c>
    </row>
    <row r="3826" spans="1:13" x14ac:dyDescent="0.25">
      <c r="A3826">
        <v>2277</v>
      </c>
      <c r="B3826" s="47" t="str">
        <f>VLOOKUP(Tabla6[[#This Row],['# Vuelo]],'Validacion reclamo de equipaje'!P:Q,2,0)</f>
        <v>MEXICO AEREO</v>
      </c>
      <c r="C3826" s="48">
        <v>0.94444444444444453</v>
      </c>
      <c r="D3826" s="48">
        <v>0.9506944444444444</v>
      </c>
      <c r="E3826" s="49">
        <f>'Reclamo de equipaje rediseñado'!$D3826-'Reclamo de equipaje rediseñado'!$C3826</f>
        <v>6.2499999999998668E-3</v>
      </c>
      <c r="F3826" s="48">
        <v>0.95486111111111116</v>
      </c>
      <c r="G3826" s="49">
        <f t="shared" si="59"/>
        <v>4.1666666666667629E-3</v>
      </c>
      <c r="H3826" s="50">
        <v>41796</v>
      </c>
      <c r="I3826" s="51" t="s">
        <v>542</v>
      </c>
      <c r="J3826" s="51" t="s">
        <v>535</v>
      </c>
      <c r="K3826" s="51">
        <f>VLOOKUP(J3826,'Validacion reclamo de equipaje'!L:M,2,0)</f>
        <v>50</v>
      </c>
      <c r="L3826" s="51" t="str">
        <f>VLOOKUP(I3826,'Validacion reclamo de equipaje'!H:I,2,0)</f>
        <v>Nacional</v>
      </c>
      <c r="M3826" s="51" t="s">
        <v>615</v>
      </c>
    </row>
    <row r="3827" spans="1:13" x14ac:dyDescent="0.25">
      <c r="A3827">
        <v>2277</v>
      </c>
      <c r="B3827" s="47" t="str">
        <f>VLOOKUP(Tabla6[[#This Row],['# Vuelo]],'Validacion reclamo de equipaje'!P:Q,2,0)</f>
        <v>MEXICO AEREO</v>
      </c>
      <c r="C3827" s="52">
        <v>0.95138888888888884</v>
      </c>
      <c r="D3827" s="52">
        <v>0.95833333333333337</v>
      </c>
      <c r="E3827" s="53">
        <f>'Reclamo de equipaje rediseñado'!$D3827-'Reclamo de equipaje rediseñado'!$C3827</f>
        <v>6.9444444444445308E-3</v>
      </c>
      <c r="F3827" s="52">
        <v>0.96250000000000002</v>
      </c>
      <c r="G3827" s="53">
        <f t="shared" si="59"/>
        <v>4.1666666666666519E-3</v>
      </c>
      <c r="H3827" s="54">
        <v>41797</v>
      </c>
      <c r="I3827" s="55" t="s">
        <v>542</v>
      </c>
      <c r="J3827" s="55" t="s">
        <v>535</v>
      </c>
      <c r="K3827" s="55">
        <f>VLOOKUP(J3827,'Validacion reclamo de equipaje'!L:M,2,0)</f>
        <v>50</v>
      </c>
      <c r="L3827" s="55" t="str">
        <f>VLOOKUP(I3827,'Validacion reclamo de equipaje'!H:I,2,0)</f>
        <v>Nacional</v>
      </c>
      <c r="M3827" s="55" t="s">
        <v>615</v>
      </c>
    </row>
    <row r="3828" spans="1:13" x14ac:dyDescent="0.25">
      <c r="A3828">
        <v>2277</v>
      </c>
      <c r="B3828" s="47" t="str">
        <f>VLOOKUP(Tabla6[[#This Row],['# Vuelo]],'Validacion reclamo de equipaje'!P:Q,2,0)</f>
        <v>MEXICO AEREO</v>
      </c>
      <c r="C3828" s="48">
        <v>0.93680555555555556</v>
      </c>
      <c r="D3828" s="48">
        <v>0.94930555555555562</v>
      </c>
      <c r="E3828" s="49">
        <f>'Reclamo de equipaje rediseñado'!$D3828-'Reclamo de equipaje rediseñado'!$C3828</f>
        <v>1.2500000000000067E-2</v>
      </c>
      <c r="F3828" s="48">
        <v>0.95138888888888884</v>
      </c>
      <c r="G3828" s="49">
        <f t="shared" si="59"/>
        <v>2.0833333333332149E-3</v>
      </c>
      <c r="H3828" s="50">
        <v>41798</v>
      </c>
      <c r="I3828" s="51" t="s">
        <v>542</v>
      </c>
      <c r="J3828" s="51" t="s">
        <v>535</v>
      </c>
      <c r="K3828" s="51">
        <f>VLOOKUP(J3828,'Validacion reclamo de equipaje'!L:M,2,0)</f>
        <v>50</v>
      </c>
      <c r="L3828" s="51" t="str">
        <f>VLOOKUP(I3828,'Validacion reclamo de equipaje'!H:I,2,0)</f>
        <v>Nacional</v>
      </c>
      <c r="M3828" s="51" t="s">
        <v>615</v>
      </c>
    </row>
    <row r="3829" spans="1:13" x14ac:dyDescent="0.25">
      <c r="A3829">
        <v>2277</v>
      </c>
      <c r="B3829" s="47" t="str">
        <f>VLOOKUP(Tabla6[[#This Row],['# Vuelo]],'Validacion reclamo de equipaje'!P:Q,2,0)</f>
        <v>MEXICO AEREO</v>
      </c>
      <c r="C3829" s="52">
        <v>0.95416666666666661</v>
      </c>
      <c r="D3829" s="52">
        <v>0.96388888888888891</v>
      </c>
      <c r="E3829" s="53">
        <f>'Reclamo de equipaje rediseñado'!$D3829-'Reclamo de equipaje rediseñado'!$C3829</f>
        <v>9.7222222222222987E-3</v>
      </c>
      <c r="F3829" s="52">
        <v>0.96875</v>
      </c>
      <c r="G3829" s="53">
        <f t="shared" si="59"/>
        <v>4.8611111111110938E-3</v>
      </c>
      <c r="H3829" s="54">
        <v>41799</v>
      </c>
      <c r="I3829" s="55" t="s">
        <v>542</v>
      </c>
      <c r="J3829" s="55" t="s">
        <v>535</v>
      </c>
      <c r="K3829" s="55">
        <f>VLOOKUP(J3829,'Validacion reclamo de equipaje'!L:M,2,0)</f>
        <v>50</v>
      </c>
      <c r="L3829" s="55" t="str">
        <f>VLOOKUP(I3829,'Validacion reclamo de equipaje'!H:I,2,0)</f>
        <v>Nacional</v>
      </c>
      <c r="M3829" s="55" t="s">
        <v>615</v>
      </c>
    </row>
    <row r="3830" spans="1:13" x14ac:dyDescent="0.25">
      <c r="A3830">
        <v>2277</v>
      </c>
      <c r="B3830" s="47" t="str">
        <f>VLOOKUP(Tabla6[[#This Row],['# Vuelo]],'Validacion reclamo de equipaje'!P:Q,2,0)</f>
        <v>MEXICO AEREO</v>
      </c>
      <c r="C3830" s="48">
        <v>0.47361111111111115</v>
      </c>
      <c r="D3830" s="48">
        <v>0.4770833333333333</v>
      </c>
      <c r="E3830" s="49">
        <f>'Reclamo de equipaje rediseñado'!$D3830-'Reclamo de equipaje rediseñado'!$C3830</f>
        <v>3.4722222222221544E-3</v>
      </c>
      <c r="F3830" s="48">
        <v>0.48541666666666666</v>
      </c>
      <c r="G3830" s="49">
        <f t="shared" si="59"/>
        <v>8.3333333333333592E-3</v>
      </c>
      <c r="H3830" s="50">
        <v>41800</v>
      </c>
      <c r="I3830" s="51" t="s">
        <v>542</v>
      </c>
      <c r="J3830" s="51" t="s">
        <v>535</v>
      </c>
      <c r="K3830" s="51">
        <f>VLOOKUP(J3830,'Validacion reclamo de equipaje'!L:M,2,0)</f>
        <v>50</v>
      </c>
      <c r="L3830" s="51" t="str">
        <f>VLOOKUP(I3830,'Validacion reclamo de equipaje'!H:I,2,0)</f>
        <v>Nacional</v>
      </c>
      <c r="M3830" s="51" t="s">
        <v>615</v>
      </c>
    </row>
    <row r="3831" spans="1:13" x14ac:dyDescent="0.25">
      <c r="A3831">
        <v>2277</v>
      </c>
      <c r="B3831" s="47" t="str">
        <f>VLOOKUP(Tabla6[[#This Row],['# Vuelo]],'Validacion reclamo de equipaje'!P:Q,2,0)</f>
        <v>MEXICO AEREO</v>
      </c>
      <c r="C3831" s="52">
        <v>0.52013888888888882</v>
      </c>
      <c r="D3831" s="52">
        <v>0.52638888888888891</v>
      </c>
      <c r="E3831" s="53">
        <f>'Reclamo de equipaje rediseñado'!$D3831-'Reclamo de equipaje rediseñado'!$C3831</f>
        <v>6.2500000000000888E-3</v>
      </c>
      <c r="F3831" s="52">
        <v>0.53819444444444442</v>
      </c>
      <c r="G3831" s="53">
        <f t="shared" si="59"/>
        <v>1.1805555555555514E-2</v>
      </c>
      <c r="H3831" s="54">
        <v>41801</v>
      </c>
      <c r="I3831" s="55" t="s">
        <v>542</v>
      </c>
      <c r="J3831" s="55" t="s">
        <v>535</v>
      </c>
      <c r="K3831" s="55">
        <f>VLOOKUP(J3831,'Validacion reclamo de equipaje'!L:M,2,0)</f>
        <v>50</v>
      </c>
      <c r="L3831" s="55" t="str">
        <f>VLOOKUP(I3831,'Validacion reclamo de equipaje'!H:I,2,0)</f>
        <v>Nacional</v>
      </c>
      <c r="M3831" s="55" t="s">
        <v>615</v>
      </c>
    </row>
    <row r="3832" spans="1:13" x14ac:dyDescent="0.25">
      <c r="A3832">
        <v>2277</v>
      </c>
      <c r="B3832" s="47" t="str">
        <f>VLOOKUP(Tabla6[[#This Row],['# Vuelo]],'Validacion reclamo de equipaje'!P:Q,2,0)</f>
        <v>MEXICO AEREO</v>
      </c>
      <c r="C3832" s="48">
        <v>7.4999999999999997E-2</v>
      </c>
      <c r="D3832" s="48">
        <v>8.2638888888888887E-2</v>
      </c>
      <c r="E3832" s="49">
        <f>'Reclamo de equipaje rediseñado'!$D3832-'Reclamo de equipaje rediseñado'!$C3832</f>
        <v>7.6388888888888895E-3</v>
      </c>
      <c r="F3832" s="48">
        <v>9.5833333333333326E-2</v>
      </c>
      <c r="G3832" s="49">
        <f t="shared" si="59"/>
        <v>1.3194444444444439E-2</v>
      </c>
      <c r="H3832" s="50">
        <v>41802</v>
      </c>
      <c r="I3832" s="51" t="s">
        <v>542</v>
      </c>
      <c r="J3832" s="51" t="s">
        <v>535</v>
      </c>
      <c r="K3832" s="51">
        <f>VLOOKUP(J3832,'Validacion reclamo de equipaje'!L:M,2,0)</f>
        <v>50</v>
      </c>
      <c r="L3832" s="51" t="str">
        <f>VLOOKUP(I3832,'Validacion reclamo de equipaje'!H:I,2,0)</f>
        <v>Nacional</v>
      </c>
      <c r="M3832" s="51" t="s">
        <v>615</v>
      </c>
    </row>
    <row r="3833" spans="1:13" x14ac:dyDescent="0.25">
      <c r="A3833">
        <v>2277</v>
      </c>
      <c r="B3833" s="47" t="str">
        <f>VLOOKUP(Tabla6[[#This Row],['# Vuelo]],'Validacion reclamo de equipaje'!P:Q,2,0)</f>
        <v>MEXICO AEREO</v>
      </c>
      <c r="C3833" s="52">
        <v>0.85416666666666663</v>
      </c>
      <c r="D3833" s="52">
        <v>0.85902777777777783</v>
      </c>
      <c r="E3833" s="53">
        <f>'Reclamo de equipaje rediseñado'!$D3833-'Reclamo de equipaje rediseñado'!$C3833</f>
        <v>4.8611111111112049E-3</v>
      </c>
      <c r="F3833" s="52">
        <v>0.8618055555555556</v>
      </c>
      <c r="G3833" s="53">
        <f t="shared" si="59"/>
        <v>2.7777777777777679E-3</v>
      </c>
      <c r="H3833" s="54">
        <v>41803</v>
      </c>
      <c r="I3833" s="55" t="s">
        <v>542</v>
      </c>
      <c r="J3833" s="55" t="s">
        <v>535</v>
      </c>
      <c r="K3833" s="55">
        <f>VLOOKUP(J3833,'Validacion reclamo de equipaje'!L:M,2,0)</f>
        <v>50</v>
      </c>
      <c r="L3833" s="55" t="str">
        <f>VLOOKUP(I3833,'Validacion reclamo de equipaje'!H:I,2,0)</f>
        <v>Nacional</v>
      </c>
      <c r="M3833" s="55" t="s">
        <v>615</v>
      </c>
    </row>
    <row r="3834" spans="1:13" x14ac:dyDescent="0.25">
      <c r="A3834">
        <v>2277</v>
      </c>
      <c r="B3834" s="47" t="str">
        <f>VLOOKUP(Tabla6[[#This Row],['# Vuelo]],'Validacion reclamo de equipaje'!P:Q,2,0)</f>
        <v>MEXICO AEREO</v>
      </c>
      <c r="C3834" s="48">
        <v>0.87847222222222221</v>
      </c>
      <c r="D3834" s="48">
        <v>0.8881944444444444</v>
      </c>
      <c r="E3834" s="49">
        <f>'Reclamo de equipaje rediseñado'!$D3834-'Reclamo de equipaje rediseñado'!$C3834</f>
        <v>9.7222222222221877E-3</v>
      </c>
      <c r="F3834" s="48">
        <v>0.8979166666666667</v>
      </c>
      <c r="G3834" s="49">
        <f t="shared" si="59"/>
        <v>9.7222222222222987E-3</v>
      </c>
      <c r="H3834" s="50">
        <v>41804</v>
      </c>
      <c r="I3834" s="51" t="s">
        <v>542</v>
      </c>
      <c r="J3834" s="51" t="s">
        <v>535</v>
      </c>
      <c r="K3834" s="51">
        <f>VLOOKUP(J3834,'Validacion reclamo de equipaje'!L:M,2,0)</f>
        <v>50</v>
      </c>
      <c r="L3834" s="51" t="str">
        <f>VLOOKUP(I3834,'Validacion reclamo de equipaje'!H:I,2,0)</f>
        <v>Nacional</v>
      </c>
      <c r="M3834" s="51" t="s">
        <v>615</v>
      </c>
    </row>
    <row r="3835" spans="1:13" x14ac:dyDescent="0.25">
      <c r="A3835">
        <v>2277</v>
      </c>
      <c r="B3835" s="47" t="str">
        <f>VLOOKUP(Tabla6[[#This Row],['# Vuelo]],'Validacion reclamo de equipaje'!P:Q,2,0)</f>
        <v>MEXICO AEREO</v>
      </c>
      <c r="C3835" s="52">
        <v>0.90555555555555556</v>
      </c>
      <c r="D3835" s="52">
        <v>0.91319444444444453</v>
      </c>
      <c r="E3835" s="53">
        <f>'Reclamo de equipaje rediseñado'!$D3835-'Reclamo de equipaje rediseñado'!$C3835</f>
        <v>7.6388888888889728E-3</v>
      </c>
      <c r="F3835" s="52">
        <v>0.93055555555555547</v>
      </c>
      <c r="G3835" s="53">
        <f t="shared" si="59"/>
        <v>1.7361111111110938E-2</v>
      </c>
      <c r="H3835" s="54">
        <v>41806</v>
      </c>
      <c r="I3835" s="55" t="s">
        <v>542</v>
      </c>
      <c r="J3835" s="55" t="s">
        <v>535</v>
      </c>
      <c r="K3835" s="55">
        <f>VLOOKUP(J3835,'Validacion reclamo de equipaje'!L:M,2,0)</f>
        <v>50</v>
      </c>
      <c r="L3835" s="55" t="str">
        <f>VLOOKUP(I3835,'Validacion reclamo de equipaje'!H:I,2,0)</f>
        <v>Nacional</v>
      </c>
      <c r="M3835" s="55" t="s">
        <v>615</v>
      </c>
    </row>
    <row r="3836" spans="1:13" x14ac:dyDescent="0.25">
      <c r="A3836">
        <v>2277</v>
      </c>
      <c r="B3836" s="47" t="str">
        <f>VLOOKUP(Tabla6[[#This Row],['# Vuelo]],'Validacion reclamo de equipaje'!P:Q,2,0)</f>
        <v>MEXICO AEREO</v>
      </c>
      <c r="C3836" s="48">
        <v>0.67499999999999993</v>
      </c>
      <c r="D3836" s="48">
        <v>0.68263888888888891</v>
      </c>
      <c r="E3836" s="49">
        <f>'Reclamo de equipaje rediseñado'!$D3836-'Reclamo de equipaje rediseñado'!$C3836</f>
        <v>7.6388888888889728E-3</v>
      </c>
      <c r="F3836" s="48">
        <v>0.69513888888888886</v>
      </c>
      <c r="G3836" s="49">
        <f t="shared" si="59"/>
        <v>1.2499999999999956E-2</v>
      </c>
      <c r="H3836" s="50">
        <v>41807</v>
      </c>
      <c r="I3836" s="51" t="s">
        <v>542</v>
      </c>
      <c r="J3836" s="51" t="s">
        <v>535</v>
      </c>
      <c r="K3836" s="51">
        <f>VLOOKUP(J3836,'Validacion reclamo de equipaje'!L:M,2,0)</f>
        <v>50</v>
      </c>
      <c r="L3836" s="51" t="str">
        <f>VLOOKUP(I3836,'Validacion reclamo de equipaje'!H:I,2,0)</f>
        <v>Nacional</v>
      </c>
      <c r="M3836" s="51" t="s">
        <v>615</v>
      </c>
    </row>
    <row r="3837" spans="1:13" x14ac:dyDescent="0.25">
      <c r="A3837">
        <v>2277</v>
      </c>
      <c r="B3837" s="47" t="str">
        <f>VLOOKUP(Tabla6[[#This Row],['# Vuelo]],'Validacion reclamo de equipaje'!P:Q,2,0)</f>
        <v>MEXICO AEREO</v>
      </c>
      <c r="C3837" s="52">
        <v>0.95763888888888893</v>
      </c>
      <c r="D3837" s="52">
        <v>0.96319444444444446</v>
      </c>
      <c r="E3837" s="53">
        <f>'Reclamo de equipaje rediseñado'!$D3837-'Reclamo de equipaje rediseñado'!$C3837</f>
        <v>5.5555555555555358E-3</v>
      </c>
      <c r="F3837" s="52">
        <v>0.96666666666666667</v>
      </c>
      <c r="G3837" s="53">
        <f t="shared" si="59"/>
        <v>3.4722222222222099E-3</v>
      </c>
      <c r="H3837" s="54">
        <v>41808</v>
      </c>
      <c r="I3837" s="55" t="s">
        <v>542</v>
      </c>
      <c r="J3837" s="55" t="s">
        <v>535</v>
      </c>
      <c r="K3837" s="55">
        <f>VLOOKUP(J3837,'Validacion reclamo de equipaje'!L:M,2,0)</f>
        <v>50</v>
      </c>
      <c r="L3837" s="55" t="str">
        <f>VLOOKUP(I3837,'Validacion reclamo de equipaje'!H:I,2,0)</f>
        <v>Nacional</v>
      </c>
      <c r="M3837" s="55" t="s">
        <v>615</v>
      </c>
    </row>
    <row r="3838" spans="1:13" x14ac:dyDescent="0.25">
      <c r="A3838">
        <v>2277</v>
      </c>
      <c r="B3838" s="47" t="str">
        <f>VLOOKUP(Tabla6[[#This Row],['# Vuelo]],'Validacion reclamo de equipaje'!P:Q,2,0)</f>
        <v>MEXICO AEREO</v>
      </c>
      <c r="C3838" s="48">
        <v>0.95000000000000007</v>
      </c>
      <c r="D3838" s="48">
        <v>0.96111111111111114</v>
      </c>
      <c r="E3838" s="49">
        <f>'Reclamo de equipaje rediseñado'!$D3838-'Reclamo de equipaje rediseñado'!$C3838</f>
        <v>1.1111111111111072E-2</v>
      </c>
      <c r="F3838" s="48">
        <v>0.96319444444444446</v>
      </c>
      <c r="G3838" s="49">
        <f t="shared" si="59"/>
        <v>2.0833333333333259E-3</v>
      </c>
      <c r="H3838" s="50">
        <v>41809</v>
      </c>
      <c r="I3838" s="51" t="s">
        <v>542</v>
      </c>
      <c r="J3838" s="51" t="s">
        <v>535</v>
      </c>
      <c r="K3838" s="51">
        <f>VLOOKUP(J3838,'Validacion reclamo de equipaje'!L:M,2,0)</f>
        <v>50</v>
      </c>
      <c r="L3838" s="51" t="str">
        <f>VLOOKUP(I3838,'Validacion reclamo de equipaje'!H:I,2,0)</f>
        <v>Nacional</v>
      </c>
      <c r="M3838" s="51" t="s">
        <v>615</v>
      </c>
    </row>
    <row r="3839" spans="1:13" x14ac:dyDescent="0.25">
      <c r="A3839">
        <v>2277</v>
      </c>
      <c r="B3839" s="47" t="str">
        <f>VLOOKUP(Tabla6[[#This Row],['# Vuelo]],'Validacion reclamo de equipaje'!P:Q,2,0)</f>
        <v>MEXICO AEREO</v>
      </c>
      <c r="C3839" s="52">
        <v>0.95000000000000007</v>
      </c>
      <c r="D3839" s="52">
        <v>0.95972222222222225</v>
      </c>
      <c r="E3839" s="53">
        <f>'Reclamo de equipaje rediseñado'!$D3839-'Reclamo de equipaje rediseñado'!$C3839</f>
        <v>9.7222222222221877E-3</v>
      </c>
      <c r="F3839" s="52">
        <v>0.96250000000000002</v>
      </c>
      <c r="G3839" s="53">
        <f t="shared" si="59"/>
        <v>2.7777777777777679E-3</v>
      </c>
      <c r="H3839" s="54">
        <v>41810</v>
      </c>
      <c r="I3839" s="55" t="s">
        <v>542</v>
      </c>
      <c r="J3839" s="55" t="s">
        <v>535</v>
      </c>
      <c r="K3839" s="55">
        <f>VLOOKUP(J3839,'Validacion reclamo de equipaje'!L:M,2,0)</f>
        <v>50</v>
      </c>
      <c r="L3839" s="55" t="str">
        <f>VLOOKUP(I3839,'Validacion reclamo de equipaje'!H:I,2,0)</f>
        <v>Nacional</v>
      </c>
      <c r="M3839" s="55" t="s">
        <v>615</v>
      </c>
    </row>
    <row r="3840" spans="1:13" x14ac:dyDescent="0.25">
      <c r="A3840">
        <v>2277</v>
      </c>
      <c r="B3840" s="47" t="str">
        <f>VLOOKUP(Tabla6[[#This Row],['# Vuelo]],'Validacion reclamo de equipaje'!P:Q,2,0)</f>
        <v>MEXICO AEREO</v>
      </c>
      <c r="C3840" s="48">
        <v>0.94097222222222221</v>
      </c>
      <c r="D3840" s="48">
        <v>0.98611111111111116</v>
      </c>
      <c r="E3840" s="49">
        <f>'Reclamo de equipaje rediseñado'!$D3840-'Reclamo de equipaje rediseñado'!$C3840</f>
        <v>4.5138888888888951E-2</v>
      </c>
      <c r="F3840" s="48">
        <v>0.98958333333333337</v>
      </c>
      <c r="G3840" s="49">
        <f t="shared" si="59"/>
        <v>3.4722222222222099E-3</v>
      </c>
      <c r="H3840" s="50">
        <v>41811</v>
      </c>
      <c r="I3840" s="51" t="s">
        <v>542</v>
      </c>
      <c r="J3840" s="51" t="s">
        <v>535</v>
      </c>
      <c r="K3840" s="51">
        <f>VLOOKUP(J3840,'Validacion reclamo de equipaje'!L:M,2,0)</f>
        <v>50</v>
      </c>
      <c r="L3840" s="51" t="str">
        <f>VLOOKUP(I3840,'Validacion reclamo de equipaje'!H:I,2,0)</f>
        <v>Nacional</v>
      </c>
      <c r="M3840" s="51" t="s">
        <v>615</v>
      </c>
    </row>
    <row r="3841" spans="1:13" x14ac:dyDescent="0.25">
      <c r="A3841">
        <v>2277</v>
      </c>
      <c r="B3841" s="47" t="str">
        <f>VLOOKUP(Tabla6[[#This Row],['# Vuelo]],'Validacion reclamo de equipaje'!P:Q,2,0)</f>
        <v>MEXICO AEREO</v>
      </c>
      <c r="C3841" s="52">
        <v>0.95347222222222217</v>
      </c>
      <c r="D3841" s="52">
        <v>0.95972222222222225</v>
      </c>
      <c r="E3841" s="53">
        <f>'Reclamo de equipaje rediseñado'!$D3841-'Reclamo de equipaje rediseñado'!$C3841</f>
        <v>6.2500000000000888E-3</v>
      </c>
      <c r="F3841" s="52">
        <v>0.96388888888888891</v>
      </c>
      <c r="G3841" s="53">
        <f t="shared" si="59"/>
        <v>4.1666666666666519E-3</v>
      </c>
      <c r="H3841" s="54">
        <v>41812</v>
      </c>
      <c r="I3841" s="55" t="s">
        <v>542</v>
      </c>
      <c r="J3841" s="55" t="s">
        <v>535</v>
      </c>
      <c r="K3841" s="55">
        <f>VLOOKUP(J3841,'Validacion reclamo de equipaje'!L:M,2,0)</f>
        <v>50</v>
      </c>
      <c r="L3841" s="55" t="str">
        <f>VLOOKUP(I3841,'Validacion reclamo de equipaje'!H:I,2,0)</f>
        <v>Nacional</v>
      </c>
      <c r="M3841" s="55" t="s">
        <v>615</v>
      </c>
    </row>
    <row r="3842" spans="1:13" x14ac:dyDescent="0.25">
      <c r="A3842">
        <v>2277</v>
      </c>
      <c r="B3842" s="47" t="str">
        <f>VLOOKUP(Tabla6[[#This Row],['# Vuelo]],'Validacion reclamo de equipaje'!P:Q,2,0)</f>
        <v>MEXICO AEREO</v>
      </c>
      <c r="C3842" s="48">
        <v>0.94930555555555562</v>
      </c>
      <c r="D3842" s="48">
        <v>0.95833333333333337</v>
      </c>
      <c r="E3842" s="49">
        <f>'Reclamo de equipaje rediseñado'!$D3842-'Reclamo de equipaje rediseñado'!$C3842</f>
        <v>9.0277777777777457E-3</v>
      </c>
      <c r="F3842" s="48">
        <v>0.96458333333333324</v>
      </c>
      <c r="G3842" s="49">
        <f t="shared" si="59"/>
        <v>6.2499999999998668E-3</v>
      </c>
      <c r="H3842" s="50">
        <v>41813</v>
      </c>
      <c r="I3842" s="51" t="s">
        <v>542</v>
      </c>
      <c r="J3842" s="51" t="s">
        <v>535</v>
      </c>
      <c r="K3842" s="51">
        <f>VLOOKUP(J3842,'Validacion reclamo de equipaje'!L:M,2,0)</f>
        <v>50</v>
      </c>
      <c r="L3842" s="51" t="str">
        <f>VLOOKUP(I3842,'Validacion reclamo de equipaje'!H:I,2,0)</f>
        <v>Nacional</v>
      </c>
      <c r="M3842" s="51" t="s">
        <v>615</v>
      </c>
    </row>
    <row r="3843" spans="1:13" x14ac:dyDescent="0.25">
      <c r="A3843">
        <v>2277</v>
      </c>
      <c r="B3843" s="47" t="str">
        <f>VLOOKUP(Tabla6[[#This Row],['# Vuelo]],'Validacion reclamo de equipaje'!P:Q,2,0)</f>
        <v>MEXICO AEREO</v>
      </c>
      <c r="C3843" s="52">
        <v>0.78263888888888899</v>
      </c>
      <c r="D3843" s="52">
        <v>0.7895833333333333</v>
      </c>
      <c r="E3843" s="53">
        <f>'Reclamo de equipaje rediseñado'!$D3843-'Reclamo de equipaje rediseñado'!$C3843</f>
        <v>6.9444444444443088E-3</v>
      </c>
      <c r="F3843" s="52">
        <v>0.79513888888888884</v>
      </c>
      <c r="G3843" s="53">
        <f t="shared" ref="G3843:G3906" si="60">F3843-D3843</f>
        <v>5.5555555555555358E-3</v>
      </c>
      <c r="H3843" s="54">
        <v>41805</v>
      </c>
      <c r="I3843" s="55" t="s">
        <v>542</v>
      </c>
      <c r="J3843" s="55" t="s">
        <v>535</v>
      </c>
      <c r="K3843" s="55">
        <f>VLOOKUP(J3843,'Validacion reclamo de equipaje'!L:M,2,0)</f>
        <v>50</v>
      </c>
      <c r="L3843" s="55" t="str">
        <f>VLOOKUP(I3843,'Validacion reclamo de equipaje'!H:I,2,0)</f>
        <v>Nacional</v>
      </c>
      <c r="M3843" s="55" t="s">
        <v>615</v>
      </c>
    </row>
    <row r="3844" spans="1:13" x14ac:dyDescent="0.25">
      <c r="A3844">
        <v>2277</v>
      </c>
      <c r="B3844" s="47" t="str">
        <f>VLOOKUP(Tabla6[[#This Row],['# Vuelo]],'Validacion reclamo de equipaje'!P:Q,2,0)</f>
        <v>MEXICO AEREO</v>
      </c>
      <c r="C3844" s="48">
        <v>0.57222222222222219</v>
      </c>
      <c r="D3844" s="48">
        <v>0.57916666666666672</v>
      </c>
      <c r="E3844" s="49">
        <f>'Reclamo de equipaje rediseñado'!$D3844-'Reclamo de equipaje rediseñado'!$C3844</f>
        <v>6.9444444444445308E-3</v>
      </c>
      <c r="F3844" s="48">
        <v>0.58680555555555558</v>
      </c>
      <c r="G3844" s="49">
        <f t="shared" si="60"/>
        <v>7.6388888888888618E-3</v>
      </c>
      <c r="H3844" s="50">
        <v>41802</v>
      </c>
      <c r="I3844" s="51" t="s">
        <v>542</v>
      </c>
      <c r="J3844" s="51" t="s">
        <v>535</v>
      </c>
      <c r="K3844" s="51">
        <f>VLOOKUP(J3844,'Validacion reclamo de equipaje'!L:M,2,0)</f>
        <v>50</v>
      </c>
      <c r="L3844" s="51" t="str">
        <f>VLOOKUP(I3844,'Validacion reclamo de equipaje'!H:I,2,0)</f>
        <v>Nacional</v>
      </c>
      <c r="M3844" s="51" t="s">
        <v>615</v>
      </c>
    </row>
    <row r="3845" spans="1:13" x14ac:dyDescent="0.25">
      <c r="A3845">
        <v>2193</v>
      </c>
      <c r="B3845" s="47" t="str">
        <f>VLOOKUP(Tabla6[[#This Row],['# Vuelo]],'Validacion reclamo de equipaje'!P:Q,2,0)</f>
        <v>MEXICO AEREO</v>
      </c>
      <c r="C3845" s="52">
        <v>0.92847222222222225</v>
      </c>
      <c r="D3845" s="52">
        <v>0.94236111111111109</v>
      </c>
      <c r="E3845" s="53">
        <f>'Reclamo de equipaje rediseñado'!$D3845-'Reclamo de equipaje rediseñado'!$C3845</f>
        <v>1.388888888888884E-2</v>
      </c>
      <c r="F3845" s="52">
        <v>0.94374999999999998</v>
      </c>
      <c r="G3845" s="53">
        <f t="shared" si="60"/>
        <v>1.388888888888884E-3</v>
      </c>
      <c r="H3845" s="54">
        <v>41791</v>
      </c>
      <c r="I3845" s="55" t="s">
        <v>549</v>
      </c>
      <c r="J3845" s="55" t="s">
        <v>535</v>
      </c>
      <c r="K3845" s="55">
        <f>VLOOKUP(J3845,'Validacion reclamo de equipaje'!L:M,2,0)</f>
        <v>50</v>
      </c>
      <c r="L3845" s="55" t="str">
        <f>VLOOKUP(I3845,'Validacion reclamo de equipaje'!H:I,2,0)</f>
        <v>Nacional</v>
      </c>
      <c r="M3845" s="55" t="s">
        <v>615</v>
      </c>
    </row>
    <row r="3846" spans="1:13" x14ac:dyDescent="0.25">
      <c r="A3846">
        <v>2193</v>
      </c>
      <c r="B3846" s="47" t="str">
        <f>VLOOKUP(Tabla6[[#This Row],['# Vuelo]],'Validacion reclamo de equipaje'!P:Q,2,0)</f>
        <v>MEXICO AEREO</v>
      </c>
      <c r="C3846" s="48">
        <v>0.97986111111111107</v>
      </c>
      <c r="D3846" s="48">
        <v>0.9819444444444444</v>
      </c>
      <c r="E3846" s="49">
        <f>'Reclamo de equipaje rediseñado'!$D3846-'Reclamo de equipaje rediseñado'!$C3846</f>
        <v>2.0833333333333259E-3</v>
      </c>
      <c r="F3846" s="48">
        <v>0.98958333333333337</v>
      </c>
      <c r="G3846" s="49">
        <f t="shared" si="60"/>
        <v>7.6388888888889728E-3</v>
      </c>
      <c r="H3846" s="50">
        <v>41792</v>
      </c>
      <c r="I3846" s="51" t="s">
        <v>549</v>
      </c>
      <c r="J3846" s="51" t="s">
        <v>535</v>
      </c>
      <c r="K3846" s="51">
        <f>VLOOKUP(J3846,'Validacion reclamo de equipaje'!L:M,2,0)</f>
        <v>50</v>
      </c>
      <c r="L3846" s="51" t="str">
        <f>VLOOKUP(I3846,'Validacion reclamo de equipaje'!H:I,2,0)</f>
        <v>Nacional</v>
      </c>
      <c r="M3846" s="51" t="s">
        <v>615</v>
      </c>
    </row>
    <row r="3847" spans="1:13" x14ac:dyDescent="0.25">
      <c r="A3847">
        <v>2193</v>
      </c>
      <c r="B3847" s="47" t="str">
        <f>VLOOKUP(Tabla6[[#This Row],['# Vuelo]],'Validacion reclamo de equipaje'!P:Q,2,0)</f>
        <v>MEXICO AEREO</v>
      </c>
      <c r="C3847" s="52">
        <v>0.91805555555555562</v>
      </c>
      <c r="D3847" s="52">
        <v>0.92361111111111116</v>
      </c>
      <c r="E3847" s="53">
        <f>'Reclamo de equipaje rediseñado'!$D3847-'Reclamo de equipaje rediseñado'!$C3847</f>
        <v>5.5555555555555358E-3</v>
      </c>
      <c r="F3847" s="52">
        <v>0.92847222222222225</v>
      </c>
      <c r="G3847" s="53">
        <f t="shared" si="60"/>
        <v>4.8611111111110938E-3</v>
      </c>
      <c r="H3847" s="54">
        <v>41793</v>
      </c>
      <c r="I3847" s="55" t="s">
        <v>549</v>
      </c>
      <c r="J3847" s="55" t="s">
        <v>535</v>
      </c>
      <c r="K3847" s="55">
        <f>VLOOKUP(J3847,'Validacion reclamo de equipaje'!L:M,2,0)</f>
        <v>50</v>
      </c>
      <c r="L3847" s="55" t="str">
        <f>VLOOKUP(I3847,'Validacion reclamo de equipaje'!H:I,2,0)</f>
        <v>Nacional</v>
      </c>
      <c r="M3847" s="55" t="s">
        <v>615</v>
      </c>
    </row>
    <row r="3848" spans="1:13" x14ac:dyDescent="0.25">
      <c r="A3848">
        <v>2193</v>
      </c>
      <c r="B3848" s="47" t="str">
        <f>VLOOKUP(Tabla6[[#This Row],['# Vuelo]],'Validacion reclamo de equipaje'!P:Q,2,0)</f>
        <v>MEXICO AEREO</v>
      </c>
      <c r="C3848" s="48">
        <v>0.95138888888888884</v>
      </c>
      <c r="D3848" s="48">
        <v>0.95833333333333337</v>
      </c>
      <c r="E3848" s="49">
        <f>'Reclamo de equipaje rediseñado'!$D3848-'Reclamo de equipaje rediseñado'!$C3848</f>
        <v>6.9444444444445308E-3</v>
      </c>
      <c r="F3848" s="48">
        <v>0.96180555555555547</v>
      </c>
      <c r="G3848" s="49">
        <f t="shared" si="60"/>
        <v>3.4722222222220989E-3</v>
      </c>
      <c r="H3848" s="50">
        <v>41794</v>
      </c>
      <c r="I3848" s="51" t="s">
        <v>549</v>
      </c>
      <c r="J3848" s="51" t="s">
        <v>535</v>
      </c>
      <c r="K3848" s="51">
        <f>VLOOKUP(J3848,'Validacion reclamo de equipaje'!L:M,2,0)</f>
        <v>50</v>
      </c>
      <c r="L3848" s="51" t="str">
        <f>VLOOKUP(I3848,'Validacion reclamo de equipaje'!H:I,2,0)</f>
        <v>Nacional</v>
      </c>
      <c r="M3848" s="51" t="s">
        <v>615</v>
      </c>
    </row>
    <row r="3849" spans="1:13" x14ac:dyDescent="0.25">
      <c r="A3849">
        <v>2193</v>
      </c>
      <c r="B3849" s="47" t="str">
        <f>VLOOKUP(Tabla6[[#This Row],['# Vuelo]],'Validacion reclamo de equipaje'!P:Q,2,0)</f>
        <v>MEXICO AEREO</v>
      </c>
      <c r="C3849" s="52">
        <v>0.93402777777777779</v>
      </c>
      <c r="D3849" s="52">
        <v>0.94444444444444453</v>
      </c>
      <c r="E3849" s="53">
        <f>'Reclamo de equipaje rediseñado'!$D3849-'Reclamo de equipaje rediseñado'!$C3849</f>
        <v>1.0416666666666741E-2</v>
      </c>
      <c r="F3849" s="52">
        <v>0.9472222222222223</v>
      </c>
      <c r="G3849" s="53">
        <f t="shared" si="60"/>
        <v>2.7777777777777679E-3</v>
      </c>
      <c r="H3849" s="54">
        <v>41795</v>
      </c>
      <c r="I3849" s="55" t="s">
        <v>549</v>
      </c>
      <c r="J3849" s="55" t="s">
        <v>535</v>
      </c>
      <c r="K3849" s="55">
        <f>VLOOKUP(J3849,'Validacion reclamo de equipaje'!L:M,2,0)</f>
        <v>50</v>
      </c>
      <c r="L3849" s="55" t="str">
        <f>VLOOKUP(I3849,'Validacion reclamo de equipaje'!H:I,2,0)</f>
        <v>Nacional</v>
      </c>
      <c r="M3849" s="55" t="s">
        <v>615</v>
      </c>
    </row>
    <row r="3850" spans="1:13" x14ac:dyDescent="0.25">
      <c r="A3850">
        <v>2193</v>
      </c>
      <c r="B3850" s="47" t="str">
        <f>VLOOKUP(Tabla6[[#This Row],['# Vuelo]],'Validacion reclamo de equipaje'!P:Q,2,0)</f>
        <v>MEXICO AEREO</v>
      </c>
      <c r="C3850" s="48">
        <v>0.95624999999999993</v>
      </c>
      <c r="D3850" s="48">
        <v>0.96597222222222223</v>
      </c>
      <c r="E3850" s="49">
        <f>'Reclamo de equipaje rediseñado'!$D3850-'Reclamo de equipaje rediseñado'!$C3850</f>
        <v>9.7222222222222987E-3</v>
      </c>
      <c r="F3850" s="48">
        <v>0.97083333333333333</v>
      </c>
      <c r="G3850" s="49">
        <f t="shared" si="60"/>
        <v>4.8611111111110938E-3</v>
      </c>
      <c r="H3850" s="50">
        <v>41796</v>
      </c>
      <c r="I3850" s="51" t="s">
        <v>549</v>
      </c>
      <c r="J3850" s="51" t="s">
        <v>535</v>
      </c>
      <c r="K3850" s="51">
        <f>VLOOKUP(J3850,'Validacion reclamo de equipaje'!L:M,2,0)</f>
        <v>50</v>
      </c>
      <c r="L3850" s="51" t="str">
        <f>VLOOKUP(I3850,'Validacion reclamo de equipaje'!H:I,2,0)</f>
        <v>Nacional</v>
      </c>
      <c r="M3850" s="51" t="s">
        <v>615</v>
      </c>
    </row>
    <row r="3851" spans="1:13" x14ac:dyDescent="0.25">
      <c r="A3851">
        <v>2193</v>
      </c>
      <c r="B3851" s="47" t="str">
        <f>VLOOKUP(Tabla6[[#This Row],['# Vuelo]],'Validacion reclamo de equipaje'!P:Q,2,0)</f>
        <v>MEXICO AEREO</v>
      </c>
      <c r="C3851" s="52">
        <v>0.93125000000000002</v>
      </c>
      <c r="D3851" s="52">
        <v>0.94027777777777777</v>
      </c>
      <c r="E3851" s="53">
        <f>'Reclamo de equipaje rediseñado'!$D3851-'Reclamo de equipaje rediseñado'!$C3851</f>
        <v>9.0277777777777457E-3</v>
      </c>
      <c r="F3851" s="52">
        <v>0.94166666666666676</v>
      </c>
      <c r="G3851" s="53">
        <f t="shared" si="60"/>
        <v>1.388888888888995E-3</v>
      </c>
      <c r="H3851" s="54">
        <v>41797</v>
      </c>
      <c r="I3851" s="55" t="s">
        <v>549</v>
      </c>
      <c r="J3851" s="55" t="s">
        <v>535</v>
      </c>
      <c r="K3851" s="55">
        <f>VLOOKUP(J3851,'Validacion reclamo de equipaje'!L:M,2,0)</f>
        <v>50</v>
      </c>
      <c r="L3851" s="55" t="str">
        <f>VLOOKUP(I3851,'Validacion reclamo de equipaje'!H:I,2,0)</f>
        <v>Nacional</v>
      </c>
      <c r="M3851" s="55" t="s">
        <v>615</v>
      </c>
    </row>
    <row r="3852" spans="1:13" x14ac:dyDescent="0.25">
      <c r="A3852">
        <v>2193</v>
      </c>
      <c r="B3852" s="47" t="str">
        <f>VLOOKUP(Tabla6[[#This Row],['# Vuelo]],'Validacion reclamo de equipaje'!P:Q,2,0)</f>
        <v>MEXICO AEREO</v>
      </c>
      <c r="C3852" s="48">
        <v>0.96319444444444446</v>
      </c>
      <c r="D3852" s="48">
        <v>0.97569444444444453</v>
      </c>
      <c r="E3852" s="49">
        <f>'Reclamo de equipaje rediseñado'!$D3852-'Reclamo de equipaje rediseñado'!$C3852</f>
        <v>1.2500000000000067E-2</v>
      </c>
      <c r="F3852" s="48">
        <v>0.9770833333333333</v>
      </c>
      <c r="G3852" s="49">
        <f t="shared" si="60"/>
        <v>1.3888888888887729E-3</v>
      </c>
      <c r="H3852" s="50">
        <v>41798</v>
      </c>
      <c r="I3852" s="51" t="s">
        <v>549</v>
      </c>
      <c r="J3852" s="51" t="s">
        <v>535</v>
      </c>
      <c r="K3852" s="51">
        <f>VLOOKUP(J3852,'Validacion reclamo de equipaje'!L:M,2,0)</f>
        <v>50</v>
      </c>
      <c r="L3852" s="51" t="str">
        <f>VLOOKUP(I3852,'Validacion reclamo de equipaje'!H:I,2,0)</f>
        <v>Nacional</v>
      </c>
      <c r="M3852" s="51" t="s">
        <v>615</v>
      </c>
    </row>
    <row r="3853" spans="1:13" x14ac:dyDescent="0.25">
      <c r="A3853">
        <v>2193</v>
      </c>
      <c r="B3853" s="47" t="str">
        <f>VLOOKUP(Tabla6[[#This Row],['# Vuelo]],'Validacion reclamo de equipaje'!P:Q,2,0)</f>
        <v>MEXICO AEREO</v>
      </c>
      <c r="C3853" s="52">
        <v>0.90347222222222223</v>
      </c>
      <c r="D3853" s="52">
        <v>0.90902777777777777</v>
      </c>
      <c r="E3853" s="53">
        <f>'Reclamo de equipaje rediseñado'!$D3853-'Reclamo de equipaje rediseñado'!$C3853</f>
        <v>5.5555555555555358E-3</v>
      </c>
      <c r="F3853" s="52">
        <v>0.91319444444444453</v>
      </c>
      <c r="G3853" s="53">
        <f t="shared" si="60"/>
        <v>4.1666666666667629E-3</v>
      </c>
      <c r="H3853" s="54">
        <v>41799</v>
      </c>
      <c r="I3853" s="55" t="s">
        <v>549</v>
      </c>
      <c r="J3853" s="55" t="s">
        <v>535</v>
      </c>
      <c r="K3853" s="55">
        <f>VLOOKUP(J3853,'Validacion reclamo de equipaje'!L:M,2,0)</f>
        <v>50</v>
      </c>
      <c r="L3853" s="55" t="str">
        <f>VLOOKUP(I3853,'Validacion reclamo de equipaje'!H:I,2,0)</f>
        <v>Nacional</v>
      </c>
      <c r="M3853" s="55" t="s">
        <v>615</v>
      </c>
    </row>
    <row r="3854" spans="1:13" x14ac:dyDescent="0.25">
      <c r="A3854">
        <v>2193</v>
      </c>
      <c r="B3854" s="47" t="str">
        <f>VLOOKUP(Tabla6[[#This Row],['# Vuelo]],'Validacion reclamo de equipaje'!P:Q,2,0)</f>
        <v>MEXICO AEREO</v>
      </c>
      <c r="C3854" s="48">
        <v>0.39583333333333331</v>
      </c>
      <c r="D3854" s="48">
        <v>0.39652777777777781</v>
      </c>
      <c r="E3854" s="49">
        <f>'Reclamo de equipaje rediseñado'!$D3854-'Reclamo de equipaje rediseñado'!$C3854</f>
        <v>6.9444444444449749E-4</v>
      </c>
      <c r="F3854" s="48">
        <v>0.40416666666666662</v>
      </c>
      <c r="G3854" s="49">
        <f t="shared" si="60"/>
        <v>7.6388888888888062E-3</v>
      </c>
      <c r="H3854" s="50">
        <v>41800</v>
      </c>
      <c r="I3854" s="51" t="s">
        <v>549</v>
      </c>
      <c r="J3854" s="51" t="s">
        <v>535</v>
      </c>
      <c r="K3854" s="51">
        <f>VLOOKUP(J3854,'Validacion reclamo de equipaje'!L:M,2,0)</f>
        <v>50</v>
      </c>
      <c r="L3854" s="51" t="str">
        <f>VLOOKUP(I3854,'Validacion reclamo de equipaje'!H:I,2,0)</f>
        <v>Nacional</v>
      </c>
      <c r="M3854" s="51" t="s">
        <v>615</v>
      </c>
    </row>
    <row r="3855" spans="1:13" x14ac:dyDescent="0.25">
      <c r="A3855">
        <v>2193</v>
      </c>
      <c r="B3855" s="47" t="str">
        <f>VLOOKUP(Tabla6[[#This Row],['# Vuelo]],'Validacion reclamo de equipaje'!P:Q,2,0)</f>
        <v>MEXICO AEREO</v>
      </c>
      <c r="C3855" s="52">
        <v>0.52013888888888882</v>
      </c>
      <c r="D3855" s="52">
        <v>0.52638888888888891</v>
      </c>
      <c r="E3855" s="53">
        <f>'Reclamo de equipaje rediseñado'!$D3855-'Reclamo de equipaje rediseñado'!$C3855</f>
        <v>6.2500000000000888E-3</v>
      </c>
      <c r="F3855" s="52">
        <v>0.53611111111111109</v>
      </c>
      <c r="G3855" s="53">
        <f t="shared" si="60"/>
        <v>9.7222222222221877E-3</v>
      </c>
      <c r="H3855" s="54">
        <v>41801</v>
      </c>
      <c r="I3855" s="55" t="s">
        <v>549</v>
      </c>
      <c r="J3855" s="55" t="s">
        <v>535</v>
      </c>
      <c r="K3855" s="55">
        <f>VLOOKUP(J3855,'Validacion reclamo de equipaje'!L:M,2,0)</f>
        <v>50</v>
      </c>
      <c r="L3855" s="55" t="str">
        <f>VLOOKUP(I3855,'Validacion reclamo de equipaje'!H:I,2,0)</f>
        <v>Nacional</v>
      </c>
      <c r="M3855" s="55" t="s">
        <v>615</v>
      </c>
    </row>
    <row r="3856" spans="1:13" x14ac:dyDescent="0.25">
      <c r="A3856">
        <v>2193</v>
      </c>
      <c r="B3856" s="47" t="str">
        <f>VLOOKUP(Tabla6[[#This Row],['# Vuelo]],'Validacion reclamo de equipaje'!P:Q,2,0)</f>
        <v>MEXICO AEREO</v>
      </c>
      <c r="C3856" s="48">
        <v>0.57361111111111118</v>
      </c>
      <c r="D3856" s="48">
        <v>0.58194444444444449</v>
      </c>
      <c r="E3856" s="49">
        <f>'Reclamo de equipaje rediseñado'!$D3856-'Reclamo de equipaje rediseñado'!$C3856</f>
        <v>8.3333333333333037E-3</v>
      </c>
      <c r="F3856" s="48">
        <v>0.59166666666666667</v>
      </c>
      <c r="G3856" s="49">
        <f t="shared" si="60"/>
        <v>9.7222222222221877E-3</v>
      </c>
      <c r="H3856" s="50">
        <v>41802</v>
      </c>
      <c r="I3856" s="51" t="s">
        <v>549</v>
      </c>
      <c r="J3856" s="51" t="s">
        <v>535</v>
      </c>
      <c r="K3856" s="51">
        <f>VLOOKUP(J3856,'Validacion reclamo de equipaje'!L:M,2,0)</f>
        <v>50</v>
      </c>
      <c r="L3856" s="51" t="str">
        <f>VLOOKUP(I3856,'Validacion reclamo de equipaje'!H:I,2,0)</f>
        <v>Nacional</v>
      </c>
      <c r="M3856" s="51" t="s">
        <v>615</v>
      </c>
    </row>
    <row r="3857" spans="1:13" x14ac:dyDescent="0.25">
      <c r="A3857">
        <v>2193</v>
      </c>
      <c r="B3857" s="47" t="str">
        <f>VLOOKUP(Tabla6[[#This Row],['# Vuelo]],'Validacion reclamo de equipaje'!P:Q,2,0)</f>
        <v>MEXICO AEREO</v>
      </c>
      <c r="C3857" s="52">
        <v>0.8666666666666667</v>
      </c>
      <c r="D3857" s="52">
        <v>0.875</v>
      </c>
      <c r="E3857" s="53">
        <f>'Reclamo de equipaje rediseñado'!$D3857-'Reclamo de equipaje rediseñado'!$C3857</f>
        <v>8.3333333333333037E-3</v>
      </c>
      <c r="F3857" s="52">
        <v>0.87708333333333333</v>
      </c>
      <c r="G3857" s="53">
        <f t="shared" si="60"/>
        <v>2.0833333333333259E-3</v>
      </c>
      <c r="H3857" s="54">
        <v>41803</v>
      </c>
      <c r="I3857" s="55" t="s">
        <v>549</v>
      </c>
      <c r="J3857" s="55" t="s">
        <v>535</v>
      </c>
      <c r="K3857" s="55">
        <f>VLOOKUP(J3857,'Validacion reclamo de equipaje'!L:M,2,0)</f>
        <v>50</v>
      </c>
      <c r="L3857" s="55" t="str">
        <f>VLOOKUP(I3857,'Validacion reclamo de equipaje'!H:I,2,0)</f>
        <v>Nacional</v>
      </c>
      <c r="M3857" s="55" t="s">
        <v>615</v>
      </c>
    </row>
    <row r="3858" spans="1:13" x14ac:dyDescent="0.25">
      <c r="A3858">
        <v>2193</v>
      </c>
      <c r="B3858" s="47" t="str">
        <f>VLOOKUP(Tabla6[[#This Row],['# Vuelo]],'Validacion reclamo de equipaje'!P:Q,2,0)</f>
        <v>MEXICO AEREO</v>
      </c>
      <c r="C3858" s="48">
        <v>0.71180555555555547</v>
      </c>
      <c r="D3858" s="48">
        <v>0.72152777777777777</v>
      </c>
      <c r="E3858" s="49">
        <f>'Reclamo de equipaje rediseñado'!$D3858-'Reclamo de equipaje rediseñado'!$C3858</f>
        <v>9.7222222222222987E-3</v>
      </c>
      <c r="F3858" s="48">
        <v>0.72569444444444453</v>
      </c>
      <c r="G3858" s="49">
        <f t="shared" si="60"/>
        <v>4.1666666666667629E-3</v>
      </c>
      <c r="H3858" s="50">
        <v>41804</v>
      </c>
      <c r="I3858" s="51" t="s">
        <v>549</v>
      </c>
      <c r="J3858" s="51" t="s">
        <v>535</v>
      </c>
      <c r="K3858" s="51">
        <f>VLOOKUP(J3858,'Validacion reclamo de equipaje'!L:M,2,0)</f>
        <v>50</v>
      </c>
      <c r="L3858" s="51" t="str">
        <f>VLOOKUP(I3858,'Validacion reclamo de equipaje'!H:I,2,0)</f>
        <v>Nacional</v>
      </c>
      <c r="M3858" s="51" t="s">
        <v>615</v>
      </c>
    </row>
    <row r="3859" spans="1:13" x14ac:dyDescent="0.25">
      <c r="A3859">
        <v>2193</v>
      </c>
      <c r="B3859" s="47" t="str">
        <f>VLOOKUP(Tabla6[[#This Row],['# Vuelo]],'Validacion reclamo de equipaje'!P:Q,2,0)</f>
        <v>MEXICO AEREO</v>
      </c>
      <c r="C3859" s="52">
        <v>0.78680555555555554</v>
      </c>
      <c r="D3859" s="52">
        <v>0.79375000000000007</v>
      </c>
      <c r="E3859" s="53">
        <f>'Reclamo de equipaje rediseñado'!$D3859-'Reclamo de equipaje rediseñado'!$C3859</f>
        <v>6.9444444444445308E-3</v>
      </c>
      <c r="F3859" s="52">
        <v>0.79583333333333339</v>
      </c>
      <c r="G3859" s="53">
        <f t="shared" si="60"/>
        <v>2.0833333333333259E-3</v>
      </c>
      <c r="H3859" s="54">
        <v>41805</v>
      </c>
      <c r="I3859" s="55" t="s">
        <v>549</v>
      </c>
      <c r="J3859" s="55" t="s">
        <v>535</v>
      </c>
      <c r="K3859" s="55">
        <f>VLOOKUP(J3859,'Validacion reclamo de equipaje'!L:M,2,0)</f>
        <v>50</v>
      </c>
      <c r="L3859" s="55" t="str">
        <f>VLOOKUP(I3859,'Validacion reclamo de equipaje'!H:I,2,0)</f>
        <v>Nacional</v>
      </c>
      <c r="M3859" s="55" t="s">
        <v>615</v>
      </c>
    </row>
    <row r="3860" spans="1:13" x14ac:dyDescent="0.25">
      <c r="A3860">
        <v>2193</v>
      </c>
      <c r="B3860" s="47" t="str">
        <f>VLOOKUP(Tabla6[[#This Row],['# Vuelo]],'Validacion reclamo de equipaje'!P:Q,2,0)</f>
        <v>MEXICO AEREO</v>
      </c>
      <c r="C3860" s="48">
        <v>0.89444444444444438</v>
      </c>
      <c r="D3860" s="48">
        <v>0.9159722222222223</v>
      </c>
      <c r="E3860" s="49">
        <f>'Reclamo de equipaje rediseñado'!$D3860-'Reclamo de equipaje rediseñado'!$C3860</f>
        <v>2.1527777777777923E-2</v>
      </c>
      <c r="F3860" s="48">
        <v>0.92361111111111116</v>
      </c>
      <c r="G3860" s="49">
        <f t="shared" si="60"/>
        <v>7.6388888888888618E-3</v>
      </c>
      <c r="H3860" s="50">
        <v>41806</v>
      </c>
      <c r="I3860" s="51" t="s">
        <v>549</v>
      </c>
      <c r="J3860" s="51" t="s">
        <v>535</v>
      </c>
      <c r="K3860" s="51">
        <f>VLOOKUP(J3860,'Validacion reclamo de equipaje'!L:M,2,0)</f>
        <v>50</v>
      </c>
      <c r="L3860" s="51" t="str">
        <f>VLOOKUP(I3860,'Validacion reclamo de equipaje'!H:I,2,0)</f>
        <v>Nacional</v>
      </c>
      <c r="M3860" s="51" t="s">
        <v>615</v>
      </c>
    </row>
    <row r="3861" spans="1:13" x14ac:dyDescent="0.25">
      <c r="A3861">
        <v>2193</v>
      </c>
      <c r="B3861" s="47" t="str">
        <f>VLOOKUP(Tabla6[[#This Row],['# Vuelo]],'Validacion reclamo de equipaje'!P:Q,2,0)</f>
        <v>MEXICO AEREO</v>
      </c>
      <c r="C3861" s="52">
        <v>0.70416666666666661</v>
      </c>
      <c r="D3861" s="52">
        <v>0.72083333333333333</v>
      </c>
      <c r="E3861" s="53">
        <f>'Reclamo de equipaje rediseñado'!$D3861-'Reclamo de equipaje rediseñado'!$C3861</f>
        <v>1.6666666666666718E-2</v>
      </c>
      <c r="F3861" s="52">
        <v>0.73125000000000007</v>
      </c>
      <c r="G3861" s="53">
        <f t="shared" si="60"/>
        <v>1.0416666666666741E-2</v>
      </c>
      <c r="H3861" s="54">
        <v>41807</v>
      </c>
      <c r="I3861" s="55" t="s">
        <v>549</v>
      </c>
      <c r="J3861" s="55" t="s">
        <v>535</v>
      </c>
      <c r="K3861" s="55">
        <f>VLOOKUP(J3861,'Validacion reclamo de equipaje'!L:M,2,0)</f>
        <v>50</v>
      </c>
      <c r="L3861" s="55" t="str">
        <f>VLOOKUP(I3861,'Validacion reclamo de equipaje'!H:I,2,0)</f>
        <v>Nacional</v>
      </c>
      <c r="M3861" s="55" t="s">
        <v>615</v>
      </c>
    </row>
    <row r="3862" spans="1:13" x14ac:dyDescent="0.25">
      <c r="A3862">
        <v>2193</v>
      </c>
      <c r="B3862" s="47" t="str">
        <f>VLOOKUP(Tabla6[[#This Row],['# Vuelo]],'Validacion reclamo de equipaje'!P:Q,2,0)</f>
        <v>MEXICO AEREO</v>
      </c>
      <c r="C3862" s="48">
        <v>0.8965277777777777</v>
      </c>
      <c r="D3862" s="48">
        <v>0.90416666666666667</v>
      </c>
      <c r="E3862" s="49">
        <f>'Reclamo de equipaje rediseñado'!$D3862-'Reclamo de equipaje rediseñado'!$C3862</f>
        <v>7.6388888888889728E-3</v>
      </c>
      <c r="F3862" s="48">
        <v>0.90763888888888899</v>
      </c>
      <c r="G3862" s="49">
        <f t="shared" si="60"/>
        <v>3.4722222222223209E-3</v>
      </c>
      <c r="H3862" s="50">
        <v>41808</v>
      </c>
      <c r="I3862" s="51" t="s">
        <v>549</v>
      </c>
      <c r="J3862" s="51" t="s">
        <v>535</v>
      </c>
      <c r="K3862" s="51">
        <f>VLOOKUP(J3862,'Validacion reclamo de equipaje'!L:M,2,0)</f>
        <v>50</v>
      </c>
      <c r="L3862" s="51" t="str">
        <f>VLOOKUP(I3862,'Validacion reclamo de equipaje'!H:I,2,0)</f>
        <v>Nacional</v>
      </c>
      <c r="M3862" s="51" t="s">
        <v>615</v>
      </c>
    </row>
    <row r="3863" spans="1:13" x14ac:dyDescent="0.25">
      <c r="A3863">
        <v>2193</v>
      </c>
      <c r="B3863" s="47" t="str">
        <f>VLOOKUP(Tabla6[[#This Row],['# Vuelo]],'Validacion reclamo de equipaje'!P:Q,2,0)</f>
        <v>MEXICO AEREO</v>
      </c>
      <c r="C3863" s="52">
        <v>0.89722222222222225</v>
      </c>
      <c r="D3863" s="52">
        <v>0.90833333333333333</v>
      </c>
      <c r="E3863" s="53">
        <f>'Reclamo de equipaje rediseñado'!$D3863-'Reclamo de equipaje rediseñado'!$C3863</f>
        <v>1.1111111111111072E-2</v>
      </c>
      <c r="F3863" s="52">
        <v>0.90972222222222221</v>
      </c>
      <c r="G3863" s="53">
        <f t="shared" si="60"/>
        <v>1.388888888888884E-3</v>
      </c>
      <c r="H3863" s="54">
        <v>41809</v>
      </c>
      <c r="I3863" s="55" t="s">
        <v>549</v>
      </c>
      <c r="J3863" s="55" t="s">
        <v>535</v>
      </c>
      <c r="K3863" s="55">
        <f>VLOOKUP(J3863,'Validacion reclamo de equipaje'!L:M,2,0)</f>
        <v>50</v>
      </c>
      <c r="L3863" s="55" t="str">
        <f>VLOOKUP(I3863,'Validacion reclamo de equipaje'!H:I,2,0)</f>
        <v>Nacional</v>
      </c>
      <c r="M3863" s="55" t="s">
        <v>615</v>
      </c>
    </row>
    <row r="3864" spans="1:13" x14ac:dyDescent="0.25">
      <c r="A3864">
        <v>2193</v>
      </c>
      <c r="B3864" s="47" t="str">
        <f>VLOOKUP(Tabla6[[#This Row],['# Vuelo]],'Validacion reclamo de equipaje'!P:Q,2,0)</f>
        <v>MEXICO AEREO</v>
      </c>
      <c r="C3864" s="48">
        <v>0.8930555555555556</v>
      </c>
      <c r="D3864" s="48">
        <v>0.90625</v>
      </c>
      <c r="E3864" s="49">
        <f>'Reclamo de equipaje rediseñado'!$D3864-'Reclamo de equipaje rediseñado'!$C3864</f>
        <v>1.3194444444444398E-2</v>
      </c>
      <c r="F3864" s="48">
        <v>0.90833333333333333</v>
      </c>
      <c r="G3864" s="49">
        <f t="shared" si="60"/>
        <v>2.0833333333333259E-3</v>
      </c>
      <c r="H3864" s="50">
        <v>41810</v>
      </c>
      <c r="I3864" s="51" t="s">
        <v>549</v>
      </c>
      <c r="J3864" s="51" t="s">
        <v>535</v>
      </c>
      <c r="K3864" s="51">
        <f>VLOOKUP(J3864,'Validacion reclamo de equipaje'!L:M,2,0)</f>
        <v>50</v>
      </c>
      <c r="L3864" s="51" t="str">
        <f>VLOOKUP(I3864,'Validacion reclamo de equipaje'!H:I,2,0)</f>
        <v>Nacional</v>
      </c>
      <c r="M3864" s="51" t="s">
        <v>615</v>
      </c>
    </row>
    <row r="3865" spans="1:13" x14ac:dyDescent="0.25">
      <c r="A3865">
        <v>2193</v>
      </c>
      <c r="B3865" s="47" t="str">
        <f>VLOOKUP(Tabla6[[#This Row],['# Vuelo]],'Validacion reclamo de equipaje'!P:Q,2,0)</f>
        <v>MEXICO AEREO</v>
      </c>
      <c r="C3865" s="52">
        <v>0.89444444444444438</v>
      </c>
      <c r="D3865" s="52">
        <v>0.90277777777777779</v>
      </c>
      <c r="E3865" s="53">
        <f>'Reclamo de equipaje rediseñado'!$D3865-'Reclamo de equipaje rediseñado'!$C3865</f>
        <v>8.3333333333334147E-3</v>
      </c>
      <c r="F3865" s="52">
        <v>0.90625</v>
      </c>
      <c r="G3865" s="53">
        <f t="shared" si="60"/>
        <v>3.4722222222222099E-3</v>
      </c>
      <c r="H3865" s="54">
        <v>41811</v>
      </c>
      <c r="I3865" s="55" t="s">
        <v>549</v>
      </c>
      <c r="J3865" s="55" t="s">
        <v>535</v>
      </c>
      <c r="K3865" s="55">
        <f>VLOOKUP(J3865,'Validacion reclamo de equipaje'!L:M,2,0)</f>
        <v>50</v>
      </c>
      <c r="L3865" s="55" t="str">
        <f>VLOOKUP(I3865,'Validacion reclamo de equipaje'!H:I,2,0)</f>
        <v>Nacional</v>
      </c>
      <c r="M3865" s="55" t="s">
        <v>615</v>
      </c>
    </row>
    <row r="3866" spans="1:13" x14ac:dyDescent="0.25">
      <c r="A3866">
        <v>2193</v>
      </c>
      <c r="B3866" s="47" t="str">
        <f>VLOOKUP(Tabla6[[#This Row],['# Vuelo]],'Validacion reclamo de equipaje'!P:Q,2,0)</f>
        <v>MEXICO AEREO</v>
      </c>
      <c r="C3866" s="48">
        <v>0.8930555555555556</v>
      </c>
      <c r="D3866" s="48">
        <v>0.9</v>
      </c>
      <c r="E3866" s="49">
        <f>'Reclamo de equipaje rediseñado'!$D3866-'Reclamo de equipaje rediseñado'!$C3866</f>
        <v>6.9444444444444198E-3</v>
      </c>
      <c r="F3866" s="48">
        <v>0.90277777777777779</v>
      </c>
      <c r="G3866" s="49">
        <f t="shared" si="60"/>
        <v>2.7777777777777679E-3</v>
      </c>
      <c r="H3866" s="50">
        <v>41812</v>
      </c>
      <c r="I3866" s="51" t="s">
        <v>549</v>
      </c>
      <c r="J3866" s="51" t="s">
        <v>535</v>
      </c>
      <c r="K3866" s="51">
        <f>VLOOKUP(J3866,'Validacion reclamo de equipaje'!L:M,2,0)</f>
        <v>50</v>
      </c>
      <c r="L3866" s="51" t="str">
        <f>VLOOKUP(I3866,'Validacion reclamo de equipaje'!H:I,2,0)</f>
        <v>Nacional</v>
      </c>
      <c r="M3866" s="51" t="s">
        <v>615</v>
      </c>
    </row>
    <row r="3867" spans="1:13" x14ac:dyDescent="0.25">
      <c r="A3867">
        <v>2193</v>
      </c>
      <c r="B3867" s="47" t="str">
        <f>VLOOKUP(Tabla6[[#This Row],['# Vuelo]],'Validacion reclamo de equipaje'!P:Q,2,0)</f>
        <v>MEXICO AEREO</v>
      </c>
      <c r="C3867" s="52">
        <v>0.90694444444444444</v>
      </c>
      <c r="D3867" s="52">
        <v>0.90972222222222221</v>
      </c>
      <c r="E3867" s="53">
        <f>'Reclamo de equipaje rediseñado'!$D3867-'Reclamo de equipaje rediseñado'!$C3867</f>
        <v>2.7777777777777679E-3</v>
      </c>
      <c r="F3867" s="52">
        <v>0.92083333333333339</v>
      </c>
      <c r="G3867" s="53">
        <f t="shared" si="60"/>
        <v>1.1111111111111183E-2</v>
      </c>
      <c r="H3867" s="54">
        <v>41813</v>
      </c>
      <c r="I3867" s="55" t="s">
        <v>549</v>
      </c>
      <c r="J3867" s="55" t="s">
        <v>535</v>
      </c>
      <c r="K3867" s="55">
        <f>VLOOKUP(J3867,'Validacion reclamo de equipaje'!L:M,2,0)</f>
        <v>50</v>
      </c>
      <c r="L3867" s="55" t="str">
        <f>VLOOKUP(I3867,'Validacion reclamo de equipaje'!H:I,2,0)</f>
        <v>Nacional</v>
      </c>
      <c r="M3867" s="55" t="s">
        <v>615</v>
      </c>
    </row>
    <row r="3868" spans="1:13" x14ac:dyDescent="0.25">
      <c r="A3868">
        <v>2185</v>
      </c>
      <c r="B3868" s="47" t="str">
        <f>VLOOKUP(Tabla6[[#This Row],['# Vuelo]],'Validacion reclamo de equipaje'!P:Q,2,0)</f>
        <v>MEXICO AEREO</v>
      </c>
      <c r="C3868" s="48">
        <v>0.8979166666666667</v>
      </c>
      <c r="D3868" s="48">
        <v>0.90208333333333324</v>
      </c>
      <c r="E3868" s="49">
        <f>'Reclamo de equipaje rediseñado'!$D3868-'Reclamo de equipaje rediseñado'!$C3868</f>
        <v>4.1666666666665408E-3</v>
      </c>
      <c r="F3868" s="48">
        <v>0.90486111111111101</v>
      </c>
      <c r="G3868" s="49">
        <f t="shared" si="60"/>
        <v>2.7777777777777679E-3</v>
      </c>
      <c r="H3868" s="50">
        <v>41791</v>
      </c>
      <c r="I3868" s="51" t="s">
        <v>542</v>
      </c>
      <c r="J3868" s="51" t="s">
        <v>535</v>
      </c>
      <c r="K3868" s="51">
        <f>VLOOKUP(J3868,'Validacion reclamo de equipaje'!L:M,2,0)</f>
        <v>50</v>
      </c>
      <c r="L3868" s="51" t="str">
        <f>VLOOKUP(I3868,'Validacion reclamo de equipaje'!H:I,2,0)</f>
        <v>Nacional</v>
      </c>
      <c r="M3868" s="51" t="s">
        <v>615</v>
      </c>
    </row>
    <row r="3869" spans="1:13" x14ac:dyDescent="0.25">
      <c r="A3869">
        <v>2185</v>
      </c>
      <c r="B3869" s="47" t="str">
        <f>VLOOKUP(Tabla6[[#This Row],['# Vuelo]],'Validacion reclamo de equipaje'!P:Q,2,0)</f>
        <v>MEXICO AEREO</v>
      </c>
      <c r="C3869" s="52">
        <v>0.89930555555555547</v>
      </c>
      <c r="D3869" s="52">
        <v>0.90555555555555556</v>
      </c>
      <c r="E3869" s="53">
        <f>'Reclamo de equipaje rediseñado'!$D3869-'Reclamo de equipaje rediseñado'!$C3869</f>
        <v>6.2500000000000888E-3</v>
      </c>
      <c r="F3869" s="52">
        <v>0.91041666666666676</v>
      </c>
      <c r="G3869" s="53">
        <f t="shared" si="60"/>
        <v>4.8611111111112049E-3</v>
      </c>
      <c r="H3869" s="54">
        <v>41792</v>
      </c>
      <c r="I3869" s="55" t="s">
        <v>542</v>
      </c>
      <c r="J3869" s="55" t="s">
        <v>535</v>
      </c>
      <c r="K3869" s="55">
        <f>VLOOKUP(J3869,'Validacion reclamo de equipaje'!L:M,2,0)</f>
        <v>50</v>
      </c>
      <c r="L3869" s="55" t="str">
        <f>VLOOKUP(I3869,'Validacion reclamo de equipaje'!H:I,2,0)</f>
        <v>Nacional</v>
      </c>
      <c r="M3869" s="55" t="s">
        <v>615</v>
      </c>
    </row>
    <row r="3870" spans="1:13" x14ac:dyDescent="0.25">
      <c r="A3870">
        <v>2185</v>
      </c>
      <c r="B3870" s="47" t="str">
        <f>VLOOKUP(Tabla6[[#This Row],['# Vuelo]],'Validacion reclamo de equipaje'!P:Q,2,0)</f>
        <v>MEXICO AEREO</v>
      </c>
      <c r="C3870" s="48">
        <v>0.90486111111111101</v>
      </c>
      <c r="D3870" s="48">
        <v>0.91319444444444453</v>
      </c>
      <c r="E3870" s="49">
        <f>'Reclamo de equipaje rediseñado'!$D3870-'Reclamo de equipaje rediseñado'!$C3870</f>
        <v>8.3333333333335258E-3</v>
      </c>
      <c r="F3870" s="48">
        <v>0.9159722222222223</v>
      </c>
      <c r="G3870" s="49">
        <f t="shared" si="60"/>
        <v>2.7777777777777679E-3</v>
      </c>
      <c r="H3870" s="50">
        <v>41793</v>
      </c>
      <c r="I3870" s="51" t="s">
        <v>542</v>
      </c>
      <c r="J3870" s="51" t="s">
        <v>535</v>
      </c>
      <c r="K3870" s="51">
        <f>VLOOKUP(J3870,'Validacion reclamo de equipaje'!L:M,2,0)</f>
        <v>50</v>
      </c>
      <c r="L3870" s="51" t="str">
        <f>VLOOKUP(I3870,'Validacion reclamo de equipaje'!H:I,2,0)</f>
        <v>Nacional</v>
      </c>
      <c r="M3870" s="51" t="s">
        <v>615</v>
      </c>
    </row>
    <row r="3871" spans="1:13" x14ac:dyDescent="0.25">
      <c r="A3871">
        <v>2185</v>
      </c>
      <c r="B3871" s="47" t="str">
        <f>VLOOKUP(Tabla6[[#This Row],['# Vuelo]],'Validacion reclamo de equipaje'!P:Q,2,0)</f>
        <v>MEXICO AEREO</v>
      </c>
      <c r="C3871" s="52">
        <v>0.90138888888888891</v>
      </c>
      <c r="D3871" s="52">
        <v>0.90833333333333333</v>
      </c>
      <c r="E3871" s="53">
        <f>'Reclamo de equipaje rediseñado'!$D3871-'Reclamo de equipaje rediseñado'!$C3871</f>
        <v>6.9444444444444198E-3</v>
      </c>
      <c r="F3871" s="52">
        <v>0.91319444444444453</v>
      </c>
      <c r="G3871" s="53">
        <f t="shared" si="60"/>
        <v>4.8611111111112049E-3</v>
      </c>
      <c r="H3871" s="54">
        <v>41794</v>
      </c>
      <c r="I3871" s="55" t="s">
        <v>542</v>
      </c>
      <c r="J3871" s="55" t="s">
        <v>535</v>
      </c>
      <c r="K3871" s="55">
        <f>VLOOKUP(J3871,'Validacion reclamo de equipaje'!L:M,2,0)</f>
        <v>50</v>
      </c>
      <c r="L3871" s="55" t="str">
        <f>VLOOKUP(I3871,'Validacion reclamo de equipaje'!H:I,2,0)</f>
        <v>Nacional</v>
      </c>
      <c r="M3871" s="55" t="s">
        <v>615</v>
      </c>
    </row>
    <row r="3872" spans="1:13" x14ac:dyDescent="0.25">
      <c r="A3872">
        <v>2185</v>
      </c>
      <c r="B3872" s="47" t="str">
        <f>VLOOKUP(Tabla6[[#This Row],['# Vuelo]],'Validacion reclamo de equipaje'!P:Q,2,0)</f>
        <v>MEXICO AEREO</v>
      </c>
      <c r="C3872" s="48">
        <v>0.89722222222222225</v>
      </c>
      <c r="D3872" s="48">
        <v>0.91111111111111109</v>
      </c>
      <c r="E3872" s="49">
        <f>'Reclamo de equipaje rediseñado'!$D3872-'Reclamo de equipaje rediseñado'!$C3872</f>
        <v>1.388888888888884E-2</v>
      </c>
      <c r="F3872" s="48">
        <v>0.9145833333333333</v>
      </c>
      <c r="G3872" s="49">
        <f t="shared" si="60"/>
        <v>3.4722222222222099E-3</v>
      </c>
      <c r="H3872" s="50">
        <v>41795</v>
      </c>
      <c r="I3872" s="51" t="s">
        <v>542</v>
      </c>
      <c r="J3872" s="51" t="s">
        <v>535</v>
      </c>
      <c r="K3872" s="51">
        <f>VLOOKUP(J3872,'Validacion reclamo de equipaje'!L:M,2,0)</f>
        <v>50</v>
      </c>
      <c r="L3872" s="51" t="str">
        <f>VLOOKUP(I3872,'Validacion reclamo de equipaje'!H:I,2,0)</f>
        <v>Nacional</v>
      </c>
      <c r="M3872" s="51" t="s">
        <v>615</v>
      </c>
    </row>
    <row r="3873" spans="1:13" x14ac:dyDescent="0.25">
      <c r="A3873">
        <v>2185</v>
      </c>
      <c r="B3873" s="47" t="str">
        <f>VLOOKUP(Tabla6[[#This Row],['# Vuelo]],'Validacion reclamo de equipaje'!P:Q,2,0)</f>
        <v>MEXICO AEREO</v>
      </c>
      <c r="C3873" s="52">
        <v>0.85902777777777783</v>
      </c>
      <c r="D3873" s="52">
        <v>0.90416666666666667</v>
      </c>
      <c r="E3873" s="53">
        <f>'Reclamo de equipaje rediseñado'!$D3873-'Reclamo de equipaje rediseñado'!$C3873</f>
        <v>4.513888888888884E-2</v>
      </c>
      <c r="F3873" s="52">
        <v>0.91041666666666676</v>
      </c>
      <c r="G3873" s="53">
        <f t="shared" si="60"/>
        <v>6.2500000000000888E-3</v>
      </c>
      <c r="H3873" s="54">
        <v>41796</v>
      </c>
      <c r="I3873" s="55" t="s">
        <v>542</v>
      </c>
      <c r="J3873" s="55" t="s">
        <v>535</v>
      </c>
      <c r="K3873" s="55">
        <f>VLOOKUP(J3873,'Validacion reclamo de equipaje'!L:M,2,0)</f>
        <v>50</v>
      </c>
      <c r="L3873" s="55" t="str">
        <f>VLOOKUP(I3873,'Validacion reclamo de equipaje'!H:I,2,0)</f>
        <v>Nacional</v>
      </c>
      <c r="M3873" s="55" t="s">
        <v>615</v>
      </c>
    </row>
    <row r="3874" spans="1:13" x14ac:dyDescent="0.25">
      <c r="A3874">
        <v>2185</v>
      </c>
      <c r="B3874" s="47" t="str">
        <f>VLOOKUP(Tabla6[[#This Row],['# Vuelo]],'Validacion reclamo de equipaje'!P:Q,2,0)</f>
        <v>MEXICO AEREO</v>
      </c>
      <c r="C3874" s="48">
        <v>0.90625</v>
      </c>
      <c r="D3874" s="48">
        <v>0.91180555555555554</v>
      </c>
      <c r="E3874" s="49">
        <f>'Reclamo de equipaje rediseñado'!$D3874-'Reclamo de equipaje rediseñado'!$C3874</f>
        <v>5.5555555555555358E-3</v>
      </c>
      <c r="F3874" s="48">
        <v>0.9145833333333333</v>
      </c>
      <c r="G3874" s="49">
        <f t="shared" si="60"/>
        <v>2.7777777777777679E-3</v>
      </c>
      <c r="H3874" s="50">
        <v>41797</v>
      </c>
      <c r="I3874" s="51" t="s">
        <v>542</v>
      </c>
      <c r="J3874" s="51" t="s">
        <v>535</v>
      </c>
      <c r="K3874" s="51">
        <f>VLOOKUP(J3874,'Validacion reclamo de equipaje'!L:M,2,0)</f>
        <v>50</v>
      </c>
      <c r="L3874" s="51" t="str">
        <f>VLOOKUP(I3874,'Validacion reclamo de equipaje'!H:I,2,0)</f>
        <v>Nacional</v>
      </c>
      <c r="M3874" s="51" t="s">
        <v>615</v>
      </c>
    </row>
    <row r="3875" spans="1:13" x14ac:dyDescent="0.25">
      <c r="A3875">
        <v>2185</v>
      </c>
      <c r="B3875" s="47" t="str">
        <f>VLOOKUP(Tabla6[[#This Row],['# Vuelo]],'Validacion reclamo de equipaje'!P:Q,2,0)</f>
        <v>MEXICO AEREO</v>
      </c>
      <c r="C3875" s="52">
        <v>0.90347222222222223</v>
      </c>
      <c r="D3875" s="52">
        <v>0.90694444444444444</v>
      </c>
      <c r="E3875" s="53">
        <f>'Reclamo de equipaje rediseñado'!$D3875-'Reclamo de equipaje rediseñado'!$C3875</f>
        <v>3.4722222222222099E-3</v>
      </c>
      <c r="F3875" s="52">
        <v>0.91041666666666676</v>
      </c>
      <c r="G3875" s="53">
        <f t="shared" si="60"/>
        <v>3.4722222222223209E-3</v>
      </c>
      <c r="H3875" s="54">
        <v>41798</v>
      </c>
      <c r="I3875" s="55" t="s">
        <v>542</v>
      </c>
      <c r="J3875" s="55" t="s">
        <v>535</v>
      </c>
      <c r="K3875" s="55">
        <f>VLOOKUP(J3875,'Validacion reclamo de equipaje'!L:M,2,0)</f>
        <v>50</v>
      </c>
      <c r="L3875" s="55" t="str">
        <f>VLOOKUP(I3875,'Validacion reclamo de equipaje'!H:I,2,0)</f>
        <v>Nacional</v>
      </c>
      <c r="M3875" s="55" t="s">
        <v>615</v>
      </c>
    </row>
    <row r="3876" spans="1:13" x14ac:dyDescent="0.25">
      <c r="A3876">
        <v>2185</v>
      </c>
      <c r="B3876" s="47" t="str">
        <f>VLOOKUP(Tabla6[[#This Row],['# Vuelo]],'Validacion reclamo de equipaje'!P:Q,2,0)</f>
        <v>MEXICO AEREO</v>
      </c>
      <c r="C3876" s="48">
        <v>0.90972222222222221</v>
      </c>
      <c r="D3876" s="48">
        <v>0.92013888888888884</v>
      </c>
      <c r="E3876" s="49">
        <f>'Reclamo de equipaje rediseñado'!$D3876-'Reclamo de equipaje rediseñado'!$C3876</f>
        <v>1.041666666666663E-2</v>
      </c>
      <c r="F3876" s="48">
        <v>0.92569444444444438</v>
      </c>
      <c r="G3876" s="49">
        <f t="shared" si="60"/>
        <v>5.5555555555555358E-3</v>
      </c>
      <c r="H3876" s="50">
        <v>41799</v>
      </c>
      <c r="I3876" s="51" t="s">
        <v>542</v>
      </c>
      <c r="J3876" s="51" t="s">
        <v>535</v>
      </c>
      <c r="K3876" s="51">
        <f>VLOOKUP(J3876,'Validacion reclamo de equipaje'!L:M,2,0)</f>
        <v>50</v>
      </c>
      <c r="L3876" s="51" t="str">
        <f>VLOOKUP(I3876,'Validacion reclamo de equipaje'!H:I,2,0)</f>
        <v>Nacional</v>
      </c>
      <c r="M3876" s="51" t="s">
        <v>615</v>
      </c>
    </row>
    <row r="3877" spans="1:13" x14ac:dyDescent="0.25">
      <c r="A3877">
        <v>2185</v>
      </c>
      <c r="B3877" s="47" t="str">
        <f>VLOOKUP(Tabla6[[#This Row],['# Vuelo]],'Validacion reclamo de equipaje'!P:Q,2,0)</f>
        <v>MEXICO AEREO</v>
      </c>
      <c r="C3877" s="52">
        <v>0.48402777777777778</v>
      </c>
      <c r="D3877" s="52">
        <v>0.48958333333333331</v>
      </c>
      <c r="E3877" s="53">
        <f>'Reclamo de equipaje rediseñado'!$D3877-'Reclamo de equipaje rediseñado'!$C3877</f>
        <v>5.5555555555555358E-3</v>
      </c>
      <c r="F3877" s="52">
        <v>0.49513888888888885</v>
      </c>
      <c r="G3877" s="53">
        <f t="shared" si="60"/>
        <v>5.5555555555555358E-3</v>
      </c>
      <c r="H3877" s="54">
        <v>41800</v>
      </c>
      <c r="I3877" s="55" t="s">
        <v>542</v>
      </c>
      <c r="J3877" s="55" t="s">
        <v>535</v>
      </c>
      <c r="K3877" s="55">
        <f>VLOOKUP(J3877,'Validacion reclamo de equipaje'!L:M,2,0)</f>
        <v>50</v>
      </c>
      <c r="L3877" s="55" t="str">
        <f>VLOOKUP(I3877,'Validacion reclamo de equipaje'!H:I,2,0)</f>
        <v>Nacional</v>
      </c>
      <c r="M3877" s="55" t="s">
        <v>615</v>
      </c>
    </row>
    <row r="3878" spans="1:13" x14ac:dyDescent="0.25">
      <c r="A3878">
        <v>2185</v>
      </c>
      <c r="B3878" s="47" t="str">
        <f>VLOOKUP(Tabla6[[#This Row],['# Vuelo]],'Validacion reclamo de equipaje'!P:Q,2,0)</f>
        <v>MEXICO AEREO</v>
      </c>
      <c r="C3878" s="48">
        <v>0.52708333333333335</v>
      </c>
      <c r="D3878" s="48">
        <v>0.53333333333333333</v>
      </c>
      <c r="E3878" s="49">
        <f>'Reclamo de equipaje rediseñado'!$D3878-'Reclamo de equipaje rediseñado'!$C3878</f>
        <v>6.2499999999999778E-3</v>
      </c>
      <c r="F3878" s="48">
        <v>0.54791666666666672</v>
      </c>
      <c r="G3878" s="49">
        <f t="shared" si="60"/>
        <v>1.4583333333333393E-2</v>
      </c>
      <c r="H3878" s="50">
        <v>41801</v>
      </c>
      <c r="I3878" s="51" t="s">
        <v>542</v>
      </c>
      <c r="J3878" s="51" t="s">
        <v>535</v>
      </c>
      <c r="K3878" s="51">
        <f>VLOOKUP(J3878,'Validacion reclamo de equipaje'!L:M,2,0)</f>
        <v>50</v>
      </c>
      <c r="L3878" s="51" t="str">
        <f>VLOOKUP(I3878,'Validacion reclamo de equipaje'!H:I,2,0)</f>
        <v>Nacional</v>
      </c>
      <c r="M3878" s="51" t="s">
        <v>615</v>
      </c>
    </row>
    <row r="3879" spans="1:13" x14ac:dyDescent="0.25">
      <c r="A3879">
        <v>2185</v>
      </c>
      <c r="B3879" s="47" t="str">
        <f>VLOOKUP(Tabla6[[#This Row],['# Vuelo]],'Validacion reclamo de equipaje'!P:Q,2,0)</f>
        <v>MEXICO AEREO</v>
      </c>
      <c r="C3879" s="52">
        <v>0.57777777777777783</v>
      </c>
      <c r="D3879" s="52">
        <v>0.5854166666666667</v>
      </c>
      <c r="E3879" s="53">
        <f>'Reclamo de equipaje rediseñado'!$D3879-'Reclamo de equipaje rediseñado'!$C3879</f>
        <v>7.6388888888888618E-3</v>
      </c>
      <c r="F3879" s="52">
        <v>0.59513888888888888</v>
      </c>
      <c r="G3879" s="53">
        <f t="shared" si="60"/>
        <v>9.7222222222221877E-3</v>
      </c>
      <c r="H3879" s="54">
        <v>41802</v>
      </c>
      <c r="I3879" s="55" t="s">
        <v>542</v>
      </c>
      <c r="J3879" s="55" t="s">
        <v>535</v>
      </c>
      <c r="K3879" s="55">
        <f>VLOOKUP(J3879,'Validacion reclamo de equipaje'!L:M,2,0)</f>
        <v>50</v>
      </c>
      <c r="L3879" s="55" t="str">
        <f>VLOOKUP(I3879,'Validacion reclamo de equipaje'!H:I,2,0)</f>
        <v>Nacional</v>
      </c>
      <c r="M3879" s="55" t="s">
        <v>615</v>
      </c>
    </row>
    <row r="3880" spans="1:13" x14ac:dyDescent="0.25">
      <c r="A3880">
        <v>2185</v>
      </c>
      <c r="B3880" s="47" t="str">
        <f>VLOOKUP(Tabla6[[#This Row],['# Vuelo]],'Validacion reclamo de equipaje'!P:Q,2,0)</f>
        <v>MEXICO AEREO</v>
      </c>
      <c r="C3880" s="48">
        <v>0.4548611111111111</v>
      </c>
      <c r="D3880" s="48">
        <v>0.45902777777777781</v>
      </c>
      <c r="E3880" s="49">
        <f>'Reclamo de equipaje rediseñado'!$D3880-'Reclamo de equipaje rediseñado'!$C3880</f>
        <v>4.1666666666667074E-3</v>
      </c>
      <c r="F3880" s="48">
        <v>0.46111111111111108</v>
      </c>
      <c r="G3880" s="49">
        <f t="shared" si="60"/>
        <v>2.0833333333332704E-3</v>
      </c>
      <c r="H3880" s="50">
        <v>41803</v>
      </c>
      <c r="I3880" s="51" t="s">
        <v>542</v>
      </c>
      <c r="J3880" s="51" t="s">
        <v>535</v>
      </c>
      <c r="K3880" s="51">
        <f>VLOOKUP(J3880,'Validacion reclamo de equipaje'!L:M,2,0)</f>
        <v>50</v>
      </c>
      <c r="L3880" s="51" t="str">
        <f>VLOOKUP(I3880,'Validacion reclamo de equipaje'!H:I,2,0)</f>
        <v>Nacional</v>
      </c>
      <c r="M3880" s="51" t="s">
        <v>615</v>
      </c>
    </row>
    <row r="3881" spans="1:13" x14ac:dyDescent="0.25">
      <c r="A3881">
        <v>2185</v>
      </c>
      <c r="B3881" s="47" t="str">
        <f>VLOOKUP(Tabla6[[#This Row],['# Vuelo]],'Validacion reclamo de equipaje'!P:Q,2,0)</f>
        <v>MEXICO AEREO</v>
      </c>
      <c r="C3881" s="52">
        <v>0.71666666666666667</v>
      </c>
      <c r="D3881" s="52">
        <v>0.72430555555555554</v>
      </c>
      <c r="E3881" s="53">
        <f>'Reclamo de equipaje rediseñado'!$D3881-'Reclamo de equipaje rediseñado'!$C3881</f>
        <v>7.6388888888888618E-3</v>
      </c>
      <c r="F3881" s="52">
        <v>0.72916666666666663</v>
      </c>
      <c r="G3881" s="53">
        <f t="shared" si="60"/>
        <v>4.8611111111110938E-3</v>
      </c>
      <c r="H3881" s="54">
        <v>41804</v>
      </c>
      <c r="I3881" s="55" t="s">
        <v>542</v>
      </c>
      <c r="J3881" s="55" t="s">
        <v>535</v>
      </c>
      <c r="K3881" s="55">
        <f>VLOOKUP(J3881,'Validacion reclamo de equipaje'!L:M,2,0)</f>
        <v>50</v>
      </c>
      <c r="L3881" s="55" t="str">
        <f>VLOOKUP(I3881,'Validacion reclamo de equipaje'!H:I,2,0)</f>
        <v>Nacional</v>
      </c>
      <c r="M3881" s="55" t="s">
        <v>615</v>
      </c>
    </row>
    <row r="3882" spans="1:13" x14ac:dyDescent="0.25">
      <c r="A3882">
        <v>2185</v>
      </c>
      <c r="B3882" s="47" t="str">
        <f>VLOOKUP(Tabla6[[#This Row],['# Vuelo]],'Validacion reclamo de equipaje'!P:Q,2,0)</f>
        <v>MEXICO AEREO</v>
      </c>
      <c r="C3882" s="48">
        <v>0.73611111111111116</v>
      </c>
      <c r="D3882" s="48">
        <v>0.74652777777777779</v>
      </c>
      <c r="E3882" s="49">
        <f>'Reclamo de equipaje rediseñado'!$D3882-'Reclamo de equipaje rediseñado'!$C3882</f>
        <v>1.041666666666663E-2</v>
      </c>
      <c r="F3882" s="48">
        <v>0.75</v>
      </c>
      <c r="G3882" s="49">
        <f t="shared" si="60"/>
        <v>3.4722222222222099E-3</v>
      </c>
      <c r="H3882" s="50">
        <v>41805</v>
      </c>
      <c r="I3882" s="51" t="s">
        <v>542</v>
      </c>
      <c r="J3882" s="51" t="s">
        <v>535</v>
      </c>
      <c r="K3882" s="51">
        <f>VLOOKUP(J3882,'Validacion reclamo de equipaje'!L:M,2,0)</f>
        <v>50</v>
      </c>
      <c r="L3882" s="51" t="str">
        <f>VLOOKUP(I3882,'Validacion reclamo de equipaje'!H:I,2,0)</f>
        <v>Nacional</v>
      </c>
      <c r="M3882" s="51" t="s">
        <v>615</v>
      </c>
    </row>
    <row r="3883" spans="1:13" x14ac:dyDescent="0.25">
      <c r="A3883">
        <v>2185</v>
      </c>
      <c r="B3883" s="47" t="str">
        <f>VLOOKUP(Tabla6[[#This Row],['# Vuelo]],'Validacion reclamo de equipaje'!P:Q,2,0)</f>
        <v>MEXICO AEREO</v>
      </c>
      <c r="C3883" s="52">
        <v>0.91111111111111109</v>
      </c>
      <c r="D3883" s="52">
        <v>0.92152777777777783</v>
      </c>
      <c r="E3883" s="53">
        <f>'Reclamo de equipaje rediseñado'!$D3883-'Reclamo de equipaje rediseñado'!$C3883</f>
        <v>1.0416666666666741E-2</v>
      </c>
      <c r="F3883" s="52">
        <v>0.93680555555555556</v>
      </c>
      <c r="G3883" s="53">
        <f t="shared" si="60"/>
        <v>1.5277777777777724E-2</v>
      </c>
      <c r="H3883" s="54">
        <v>41806</v>
      </c>
      <c r="I3883" s="55" t="s">
        <v>542</v>
      </c>
      <c r="J3883" s="55" t="s">
        <v>535</v>
      </c>
      <c r="K3883" s="55">
        <f>VLOOKUP(J3883,'Validacion reclamo de equipaje'!L:M,2,0)</f>
        <v>50</v>
      </c>
      <c r="L3883" s="55" t="str">
        <f>VLOOKUP(I3883,'Validacion reclamo de equipaje'!H:I,2,0)</f>
        <v>Nacional</v>
      </c>
      <c r="M3883" s="55" t="s">
        <v>615</v>
      </c>
    </row>
    <row r="3884" spans="1:13" x14ac:dyDescent="0.25">
      <c r="A3884">
        <v>2185</v>
      </c>
      <c r="B3884" s="47" t="str">
        <f>VLOOKUP(Tabla6[[#This Row],['# Vuelo]],'Validacion reclamo de equipaje'!P:Q,2,0)</f>
        <v>MEXICO AEREO</v>
      </c>
      <c r="C3884" s="48">
        <v>0.68611111111111101</v>
      </c>
      <c r="D3884" s="48">
        <v>0.6958333333333333</v>
      </c>
      <c r="E3884" s="49">
        <f>'Reclamo de equipaje rediseñado'!$D3884-'Reclamo de equipaje rediseñado'!$C3884</f>
        <v>9.7222222222222987E-3</v>
      </c>
      <c r="F3884" s="48">
        <v>0.71805555555555556</v>
      </c>
      <c r="G3884" s="49">
        <f t="shared" si="60"/>
        <v>2.2222222222222254E-2</v>
      </c>
      <c r="H3884" s="50">
        <v>41807</v>
      </c>
      <c r="I3884" s="51" t="s">
        <v>542</v>
      </c>
      <c r="J3884" s="51" t="s">
        <v>535</v>
      </c>
      <c r="K3884" s="51">
        <f>VLOOKUP(J3884,'Validacion reclamo de equipaje'!L:M,2,0)</f>
        <v>50</v>
      </c>
      <c r="L3884" s="51" t="str">
        <f>VLOOKUP(I3884,'Validacion reclamo de equipaje'!H:I,2,0)</f>
        <v>Nacional</v>
      </c>
      <c r="M3884" s="51" t="s">
        <v>615</v>
      </c>
    </row>
    <row r="3885" spans="1:13" x14ac:dyDescent="0.25">
      <c r="A3885">
        <v>2185</v>
      </c>
      <c r="B3885" s="47" t="str">
        <f>VLOOKUP(Tabla6[[#This Row],['# Vuelo]],'Validacion reclamo de equipaje'!P:Q,2,0)</f>
        <v>MEXICO AEREO</v>
      </c>
      <c r="C3885" s="52">
        <v>0.99930555555555556</v>
      </c>
      <c r="D3885" s="52">
        <v>1.0069444444444444</v>
      </c>
      <c r="E3885" s="53">
        <f>'Reclamo de equipaje rediseñado'!$D3885-'Reclamo de equipaje rediseñado'!$C3885</f>
        <v>7.6388888888888618E-3</v>
      </c>
      <c r="F3885" s="52">
        <v>1.0131944444444445</v>
      </c>
      <c r="G3885" s="53">
        <f t="shared" si="60"/>
        <v>6.2500000000000888E-3</v>
      </c>
      <c r="H3885" s="54">
        <v>41808</v>
      </c>
      <c r="I3885" s="55" t="s">
        <v>542</v>
      </c>
      <c r="J3885" s="55" t="s">
        <v>535</v>
      </c>
      <c r="K3885" s="55">
        <f>VLOOKUP(J3885,'Validacion reclamo de equipaje'!L:M,2,0)</f>
        <v>50</v>
      </c>
      <c r="L3885" s="55" t="str">
        <f>VLOOKUP(I3885,'Validacion reclamo de equipaje'!H:I,2,0)</f>
        <v>Nacional</v>
      </c>
      <c r="M3885" s="55" t="s">
        <v>615</v>
      </c>
    </row>
    <row r="3886" spans="1:13" x14ac:dyDescent="0.25">
      <c r="A3886">
        <v>2185</v>
      </c>
      <c r="B3886" s="47" t="str">
        <f>VLOOKUP(Tabla6[[#This Row],['# Vuelo]],'Validacion reclamo de equipaje'!P:Q,2,0)</f>
        <v>MEXICO AEREO</v>
      </c>
      <c r="C3886" s="48">
        <v>0.92222222222222217</v>
      </c>
      <c r="D3886" s="48">
        <v>0.92569444444444438</v>
      </c>
      <c r="E3886" s="49">
        <f>'Reclamo de equipaje rediseñado'!$D3886-'Reclamo de equipaje rediseñado'!$C3886</f>
        <v>3.4722222222222099E-3</v>
      </c>
      <c r="F3886" s="48">
        <v>0.95694444444444438</v>
      </c>
      <c r="G3886" s="49">
        <f t="shared" si="60"/>
        <v>3.125E-2</v>
      </c>
      <c r="H3886" s="50">
        <v>41809</v>
      </c>
      <c r="I3886" s="51" t="s">
        <v>542</v>
      </c>
      <c r="J3886" s="51" t="s">
        <v>535</v>
      </c>
      <c r="K3886" s="51">
        <f>VLOOKUP(J3886,'Validacion reclamo de equipaje'!L:M,2,0)</f>
        <v>50</v>
      </c>
      <c r="L3886" s="51" t="str">
        <f>VLOOKUP(I3886,'Validacion reclamo de equipaje'!H:I,2,0)</f>
        <v>Nacional</v>
      </c>
      <c r="M3886" s="51" t="s">
        <v>615</v>
      </c>
    </row>
    <row r="3887" spans="1:13" x14ac:dyDescent="0.25">
      <c r="A3887">
        <v>2185</v>
      </c>
      <c r="B3887" s="47" t="str">
        <f>VLOOKUP(Tabla6[[#This Row],['# Vuelo]],'Validacion reclamo de equipaje'!P:Q,2,0)</f>
        <v>MEXICO AEREO</v>
      </c>
      <c r="C3887" s="52">
        <v>0.91249999999999998</v>
      </c>
      <c r="D3887" s="52">
        <v>0.92222222222222217</v>
      </c>
      <c r="E3887" s="53">
        <f>'Reclamo de equipaje rediseñado'!$D3887-'Reclamo de equipaje rediseñado'!$C3887</f>
        <v>9.7222222222221877E-3</v>
      </c>
      <c r="F3887" s="52">
        <v>0.92499999999999993</v>
      </c>
      <c r="G3887" s="53">
        <f t="shared" si="60"/>
        <v>2.7777777777777679E-3</v>
      </c>
      <c r="H3887" s="54">
        <v>41810</v>
      </c>
      <c r="I3887" s="55" t="s">
        <v>542</v>
      </c>
      <c r="J3887" s="55" t="s">
        <v>535</v>
      </c>
      <c r="K3887" s="55">
        <f>VLOOKUP(J3887,'Validacion reclamo de equipaje'!L:M,2,0)</f>
        <v>50</v>
      </c>
      <c r="L3887" s="55" t="str">
        <f>VLOOKUP(I3887,'Validacion reclamo de equipaje'!H:I,2,0)</f>
        <v>Nacional</v>
      </c>
      <c r="M3887" s="55" t="s">
        <v>615</v>
      </c>
    </row>
    <row r="3888" spans="1:13" x14ac:dyDescent="0.25">
      <c r="A3888">
        <v>2185</v>
      </c>
      <c r="B3888" s="47" t="str">
        <f>VLOOKUP(Tabla6[[#This Row],['# Vuelo]],'Validacion reclamo de equipaje'!P:Q,2,0)</f>
        <v>MEXICO AEREO</v>
      </c>
      <c r="C3888" s="48">
        <v>0.90694444444444444</v>
      </c>
      <c r="D3888" s="48">
        <v>0.91111111111111109</v>
      </c>
      <c r="E3888" s="49">
        <f>'Reclamo de equipaje rediseñado'!$D3888-'Reclamo de equipaje rediseñado'!$C3888</f>
        <v>4.1666666666666519E-3</v>
      </c>
      <c r="F3888" s="48">
        <v>0.91666666666666663</v>
      </c>
      <c r="G3888" s="49">
        <f t="shared" si="60"/>
        <v>5.5555555555555358E-3</v>
      </c>
      <c r="H3888" s="50">
        <v>41811</v>
      </c>
      <c r="I3888" s="51" t="s">
        <v>542</v>
      </c>
      <c r="J3888" s="51" t="s">
        <v>535</v>
      </c>
      <c r="K3888" s="51">
        <f>VLOOKUP(J3888,'Validacion reclamo de equipaje'!L:M,2,0)</f>
        <v>50</v>
      </c>
      <c r="L3888" s="51" t="str">
        <f>VLOOKUP(I3888,'Validacion reclamo de equipaje'!H:I,2,0)</f>
        <v>Nacional</v>
      </c>
      <c r="M3888" s="51" t="s">
        <v>615</v>
      </c>
    </row>
    <row r="3889" spans="1:13" x14ac:dyDescent="0.25">
      <c r="A3889">
        <v>2185</v>
      </c>
      <c r="B3889" s="47" t="str">
        <f>VLOOKUP(Tabla6[[#This Row],['# Vuelo]],'Validacion reclamo de equipaje'!P:Q,2,0)</f>
        <v>MEXICO AEREO</v>
      </c>
      <c r="C3889" s="52">
        <v>0.91249999999999998</v>
      </c>
      <c r="D3889" s="52">
        <v>0.91875000000000007</v>
      </c>
      <c r="E3889" s="53">
        <f>'Reclamo de equipaje rediseñado'!$D3889-'Reclamo de equipaje rediseñado'!$C3889</f>
        <v>6.2500000000000888E-3</v>
      </c>
      <c r="F3889" s="52">
        <v>0.92291666666666661</v>
      </c>
      <c r="G3889" s="53">
        <f t="shared" si="60"/>
        <v>4.1666666666665408E-3</v>
      </c>
      <c r="H3889" s="54">
        <v>41812</v>
      </c>
      <c r="I3889" s="55" t="s">
        <v>542</v>
      </c>
      <c r="J3889" s="55" t="s">
        <v>535</v>
      </c>
      <c r="K3889" s="55">
        <f>VLOOKUP(J3889,'Validacion reclamo de equipaje'!L:M,2,0)</f>
        <v>50</v>
      </c>
      <c r="L3889" s="55" t="str">
        <f>VLOOKUP(I3889,'Validacion reclamo de equipaje'!H:I,2,0)</f>
        <v>Nacional</v>
      </c>
      <c r="M3889" s="55" t="s">
        <v>615</v>
      </c>
    </row>
    <row r="3890" spans="1:13" x14ac:dyDescent="0.25">
      <c r="A3890">
        <v>2185</v>
      </c>
      <c r="B3890" s="47" t="str">
        <f>VLOOKUP(Tabla6[[#This Row],['# Vuelo]],'Validacion reclamo de equipaje'!P:Q,2,0)</f>
        <v>MEXICO AEREO</v>
      </c>
      <c r="C3890" s="48">
        <v>0.90277777777777779</v>
      </c>
      <c r="D3890" s="48">
        <v>0.90972222222222221</v>
      </c>
      <c r="E3890" s="49">
        <f>'Reclamo de equipaje rediseñado'!$D3890-'Reclamo de equipaje rediseñado'!$C3890</f>
        <v>6.9444444444444198E-3</v>
      </c>
      <c r="F3890" s="48">
        <v>0.92083333333333339</v>
      </c>
      <c r="G3890" s="49">
        <f t="shared" si="60"/>
        <v>1.1111111111111183E-2</v>
      </c>
      <c r="H3890" s="50">
        <v>41813</v>
      </c>
      <c r="I3890" s="51" t="s">
        <v>542</v>
      </c>
      <c r="J3890" s="51" t="s">
        <v>535</v>
      </c>
      <c r="K3890" s="51">
        <f>VLOOKUP(J3890,'Validacion reclamo de equipaje'!L:M,2,0)</f>
        <v>50</v>
      </c>
      <c r="L3890" s="51" t="str">
        <f>VLOOKUP(I3890,'Validacion reclamo de equipaje'!H:I,2,0)</f>
        <v>Nacional</v>
      </c>
      <c r="M3890" s="51" t="s">
        <v>615</v>
      </c>
    </row>
    <row r="3891" spans="1:13" x14ac:dyDescent="0.25">
      <c r="A3891">
        <v>2184</v>
      </c>
      <c r="B3891" s="47" t="str">
        <f>VLOOKUP(Tabla6[[#This Row],['# Vuelo]],'Validacion reclamo de equipaje'!P:Q,2,0)</f>
        <v>MEXICO AEREO</v>
      </c>
      <c r="C3891" s="52">
        <v>0.37222222222222223</v>
      </c>
      <c r="D3891" s="52">
        <v>0.37638888888888888</v>
      </c>
      <c r="E3891" s="53">
        <f>'Reclamo de equipaje rediseñado'!$D3891-'Reclamo de equipaje rediseñado'!$C3891</f>
        <v>4.1666666666666519E-3</v>
      </c>
      <c r="F3891" s="52">
        <v>0.37986111111111115</v>
      </c>
      <c r="G3891" s="53">
        <f t="shared" si="60"/>
        <v>3.4722222222222654E-3</v>
      </c>
      <c r="H3891" s="54">
        <v>41792</v>
      </c>
      <c r="I3891" s="55" t="s">
        <v>543</v>
      </c>
      <c r="J3891" s="55" t="s">
        <v>535</v>
      </c>
      <c r="K3891" s="55">
        <f>VLOOKUP(J3891,'Validacion reclamo de equipaje'!L:M,2,0)</f>
        <v>50</v>
      </c>
      <c r="L3891" s="55" t="str">
        <f>VLOOKUP(I3891,'Validacion reclamo de equipaje'!H:I,2,0)</f>
        <v>Nacional</v>
      </c>
      <c r="M3891" s="55" t="s">
        <v>615</v>
      </c>
    </row>
    <row r="3892" spans="1:13" x14ac:dyDescent="0.25">
      <c r="A3892">
        <v>2184</v>
      </c>
      <c r="B3892" s="47" t="str">
        <f>VLOOKUP(Tabla6[[#This Row],['# Vuelo]],'Validacion reclamo de equipaje'!P:Q,2,0)</f>
        <v>MEXICO AEREO</v>
      </c>
      <c r="C3892" s="48">
        <v>0.36041666666666666</v>
      </c>
      <c r="D3892" s="48">
        <v>0.36527777777777781</v>
      </c>
      <c r="E3892" s="49">
        <f>'Reclamo de equipaje rediseñado'!$D3892-'Reclamo de equipaje rediseñado'!$C3892</f>
        <v>4.8611111111111494E-3</v>
      </c>
      <c r="F3892" s="48">
        <v>0.36805555555555558</v>
      </c>
      <c r="G3892" s="49">
        <f t="shared" si="60"/>
        <v>2.7777777777777679E-3</v>
      </c>
      <c r="H3892" s="50">
        <v>41793</v>
      </c>
      <c r="I3892" s="51" t="s">
        <v>543</v>
      </c>
      <c r="J3892" s="51" t="s">
        <v>535</v>
      </c>
      <c r="K3892" s="51">
        <f>VLOOKUP(J3892,'Validacion reclamo de equipaje'!L:M,2,0)</f>
        <v>50</v>
      </c>
      <c r="L3892" s="51" t="str">
        <f>VLOOKUP(I3892,'Validacion reclamo de equipaje'!H:I,2,0)</f>
        <v>Nacional</v>
      </c>
      <c r="M3892" s="51" t="s">
        <v>615</v>
      </c>
    </row>
    <row r="3893" spans="1:13" x14ac:dyDescent="0.25">
      <c r="A3893">
        <v>2184</v>
      </c>
      <c r="B3893" s="47" t="str">
        <f>VLOOKUP(Tabla6[[#This Row],['# Vuelo]],'Validacion reclamo de equipaje'!P:Q,2,0)</f>
        <v>MEXICO AEREO</v>
      </c>
      <c r="C3893" s="52">
        <v>0.3611111111111111</v>
      </c>
      <c r="D3893" s="52">
        <v>0.36458333333333331</v>
      </c>
      <c r="E3893" s="53">
        <f>'Reclamo de equipaje rediseñado'!$D3893-'Reclamo de equipaje rediseñado'!$C3893</f>
        <v>3.4722222222222099E-3</v>
      </c>
      <c r="F3893" s="52">
        <v>0.36944444444444446</v>
      </c>
      <c r="G3893" s="53">
        <f t="shared" si="60"/>
        <v>4.8611111111111494E-3</v>
      </c>
      <c r="H3893" s="54">
        <v>41794</v>
      </c>
      <c r="I3893" s="55" t="s">
        <v>543</v>
      </c>
      <c r="J3893" s="55" t="s">
        <v>535</v>
      </c>
      <c r="K3893" s="55">
        <f>VLOOKUP(J3893,'Validacion reclamo de equipaje'!L:M,2,0)</f>
        <v>50</v>
      </c>
      <c r="L3893" s="55" t="str">
        <f>VLOOKUP(I3893,'Validacion reclamo de equipaje'!H:I,2,0)</f>
        <v>Nacional</v>
      </c>
      <c r="M3893" s="55" t="s">
        <v>615</v>
      </c>
    </row>
    <row r="3894" spans="1:13" x14ac:dyDescent="0.25">
      <c r="A3894">
        <v>2184</v>
      </c>
      <c r="B3894" s="47" t="str">
        <f>VLOOKUP(Tabla6[[#This Row],['# Vuelo]],'Validacion reclamo de equipaje'!P:Q,2,0)</f>
        <v>MEXICO AEREO</v>
      </c>
      <c r="C3894" s="48">
        <v>0.36319444444444443</v>
      </c>
      <c r="D3894" s="48">
        <v>0.36805555555555558</v>
      </c>
      <c r="E3894" s="49">
        <f>'Reclamo de equipaje rediseñado'!$D3894-'Reclamo de equipaje rediseñado'!$C3894</f>
        <v>4.8611111111111494E-3</v>
      </c>
      <c r="F3894" s="48">
        <v>0.37291666666666662</v>
      </c>
      <c r="G3894" s="49">
        <f t="shared" si="60"/>
        <v>4.8611111111110383E-3</v>
      </c>
      <c r="H3894" s="50">
        <v>41795</v>
      </c>
      <c r="I3894" s="51" t="s">
        <v>543</v>
      </c>
      <c r="J3894" s="51" t="s">
        <v>535</v>
      </c>
      <c r="K3894" s="51">
        <f>VLOOKUP(J3894,'Validacion reclamo de equipaje'!L:M,2,0)</f>
        <v>50</v>
      </c>
      <c r="L3894" s="51" t="str">
        <f>VLOOKUP(I3894,'Validacion reclamo de equipaje'!H:I,2,0)</f>
        <v>Nacional</v>
      </c>
      <c r="M3894" s="51" t="s">
        <v>615</v>
      </c>
    </row>
    <row r="3895" spans="1:13" x14ac:dyDescent="0.25">
      <c r="A3895">
        <v>2184</v>
      </c>
      <c r="B3895" s="47" t="str">
        <f>VLOOKUP(Tabla6[[#This Row],['# Vuelo]],'Validacion reclamo de equipaje'!P:Q,2,0)</f>
        <v>MEXICO AEREO</v>
      </c>
      <c r="C3895" s="52">
        <v>0.35486111111111113</v>
      </c>
      <c r="D3895" s="52">
        <v>0.3611111111111111</v>
      </c>
      <c r="E3895" s="53">
        <f>'Reclamo de equipaje rediseñado'!$D3895-'Reclamo de equipaje rediseñado'!$C3895</f>
        <v>6.2499999999999778E-3</v>
      </c>
      <c r="F3895" s="52">
        <v>0.36736111111111108</v>
      </c>
      <c r="G3895" s="53">
        <f t="shared" si="60"/>
        <v>6.2499999999999778E-3</v>
      </c>
      <c r="H3895" s="54">
        <v>41796</v>
      </c>
      <c r="I3895" s="55" t="s">
        <v>543</v>
      </c>
      <c r="J3895" s="55" t="s">
        <v>535</v>
      </c>
      <c r="K3895" s="55">
        <f>VLOOKUP(J3895,'Validacion reclamo de equipaje'!L:M,2,0)</f>
        <v>50</v>
      </c>
      <c r="L3895" s="55" t="str">
        <f>VLOOKUP(I3895,'Validacion reclamo de equipaje'!H:I,2,0)</f>
        <v>Nacional</v>
      </c>
      <c r="M3895" s="55" t="s">
        <v>615</v>
      </c>
    </row>
    <row r="3896" spans="1:13" x14ac:dyDescent="0.25">
      <c r="A3896">
        <v>2184</v>
      </c>
      <c r="B3896" s="47" t="str">
        <f>VLOOKUP(Tabla6[[#This Row],['# Vuelo]],'Validacion reclamo de equipaje'!P:Q,2,0)</f>
        <v>MEXICO AEREO</v>
      </c>
      <c r="C3896" s="48">
        <v>0.94444444444444453</v>
      </c>
      <c r="D3896" s="48">
        <v>0.94791666666666663</v>
      </c>
      <c r="E3896" s="49">
        <f>'Reclamo de equipaje rediseñado'!$D3896-'Reclamo de equipaje rediseñado'!$C3896</f>
        <v>3.4722222222220989E-3</v>
      </c>
      <c r="F3896" s="48">
        <v>0.9590277777777777</v>
      </c>
      <c r="G3896" s="49">
        <f t="shared" si="60"/>
        <v>1.1111111111111072E-2</v>
      </c>
      <c r="H3896" s="50">
        <v>41801</v>
      </c>
      <c r="I3896" s="51" t="s">
        <v>543</v>
      </c>
      <c r="J3896" s="51" t="s">
        <v>535</v>
      </c>
      <c r="K3896" s="51">
        <f>VLOOKUP(J3896,'Validacion reclamo de equipaje'!L:M,2,0)</f>
        <v>50</v>
      </c>
      <c r="L3896" s="51" t="str">
        <f>VLOOKUP(I3896,'Validacion reclamo de equipaje'!H:I,2,0)</f>
        <v>Nacional</v>
      </c>
      <c r="M3896" s="51" t="s">
        <v>615</v>
      </c>
    </row>
    <row r="3897" spans="1:13" x14ac:dyDescent="0.25">
      <c r="A3897">
        <v>2184</v>
      </c>
      <c r="B3897" s="47" t="str">
        <f>VLOOKUP(Tabla6[[#This Row],['# Vuelo]],'Validacion reclamo de equipaje'!P:Q,2,0)</f>
        <v>MEXICO AEREO</v>
      </c>
      <c r="C3897" s="52">
        <v>0.96180555555555547</v>
      </c>
      <c r="D3897" s="52">
        <v>0.97083333333333333</v>
      </c>
      <c r="E3897" s="53">
        <f>'Reclamo de equipaje rediseñado'!$D3897-'Reclamo de equipaje rediseñado'!$C3897</f>
        <v>9.0277777777778567E-3</v>
      </c>
      <c r="F3897" s="52">
        <v>0.97222222222222221</v>
      </c>
      <c r="G3897" s="53">
        <f t="shared" si="60"/>
        <v>1.388888888888884E-3</v>
      </c>
      <c r="H3897" s="54">
        <v>41801</v>
      </c>
      <c r="I3897" s="55" t="s">
        <v>543</v>
      </c>
      <c r="J3897" s="55" t="s">
        <v>535</v>
      </c>
      <c r="K3897" s="55">
        <f>VLOOKUP(J3897,'Validacion reclamo de equipaje'!L:M,2,0)</f>
        <v>50</v>
      </c>
      <c r="L3897" s="55" t="str">
        <f>VLOOKUP(I3897,'Validacion reclamo de equipaje'!H:I,2,0)</f>
        <v>Nacional</v>
      </c>
      <c r="M3897" s="55" t="s">
        <v>615</v>
      </c>
    </row>
    <row r="3898" spans="1:13" x14ac:dyDescent="0.25">
      <c r="A3898">
        <v>2184</v>
      </c>
      <c r="B3898" s="47" t="str">
        <f>VLOOKUP(Tabla6[[#This Row],['# Vuelo]],'Validacion reclamo de equipaje'!P:Q,2,0)</f>
        <v>MEXICO AEREO</v>
      </c>
      <c r="C3898" s="48">
        <v>0.25069444444444444</v>
      </c>
      <c r="D3898" s="48">
        <v>0.25555555555555559</v>
      </c>
      <c r="E3898" s="49">
        <f>'Reclamo de equipaje rediseñado'!$D3898-'Reclamo de equipaje rediseñado'!$C3898</f>
        <v>4.8611111111111494E-3</v>
      </c>
      <c r="F3898" s="48">
        <v>0.26250000000000001</v>
      </c>
      <c r="G3898" s="49">
        <f t="shared" si="60"/>
        <v>6.9444444444444198E-3</v>
      </c>
      <c r="H3898" s="50">
        <v>41802</v>
      </c>
      <c r="I3898" s="51" t="s">
        <v>543</v>
      </c>
      <c r="J3898" s="51" t="s">
        <v>535</v>
      </c>
      <c r="K3898" s="51">
        <f>VLOOKUP(J3898,'Validacion reclamo de equipaje'!L:M,2,0)</f>
        <v>50</v>
      </c>
      <c r="L3898" s="51" t="str">
        <f>VLOOKUP(I3898,'Validacion reclamo de equipaje'!H:I,2,0)</f>
        <v>Nacional</v>
      </c>
      <c r="M3898" s="51" t="s">
        <v>615</v>
      </c>
    </row>
    <row r="3899" spans="1:13" x14ac:dyDescent="0.25">
      <c r="A3899">
        <v>2184</v>
      </c>
      <c r="B3899" s="47" t="str">
        <f>VLOOKUP(Tabla6[[#This Row],['# Vuelo]],'Validacion reclamo de equipaje'!P:Q,2,0)</f>
        <v>MEXICO AEREO</v>
      </c>
      <c r="C3899" s="52">
        <v>0.68472222222222223</v>
      </c>
      <c r="D3899" s="52">
        <v>0.70347222222222217</v>
      </c>
      <c r="E3899" s="53">
        <f>'Reclamo de equipaje rediseñado'!$D3899-'Reclamo de equipaje rediseñado'!$C3899</f>
        <v>1.8749999999999933E-2</v>
      </c>
      <c r="F3899" s="52">
        <v>0.70833333333333337</v>
      </c>
      <c r="G3899" s="53">
        <f t="shared" si="60"/>
        <v>4.8611111111112049E-3</v>
      </c>
      <c r="H3899" s="54">
        <v>41803</v>
      </c>
      <c r="I3899" s="55" t="s">
        <v>543</v>
      </c>
      <c r="J3899" s="55" t="s">
        <v>535</v>
      </c>
      <c r="K3899" s="55">
        <f>VLOOKUP(J3899,'Validacion reclamo de equipaje'!L:M,2,0)</f>
        <v>50</v>
      </c>
      <c r="L3899" s="55" t="str">
        <f>VLOOKUP(I3899,'Validacion reclamo de equipaje'!H:I,2,0)</f>
        <v>Nacional</v>
      </c>
      <c r="M3899" s="55" t="s">
        <v>615</v>
      </c>
    </row>
    <row r="3900" spans="1:13" x14ac:dyDescent="0.25">
      <c r="A3900">
        <v>2184</v>
      </c>
      <c r="B3900" s="47" t="str">
        <f>VLOOKUP(Tabla6[[#This Row],['# Vuelo]],'Validacion reclamo de equipaje'!P:Q,2,0)</f>
        <v>MEXICO AEREO</v>
      </c>
      <c r="C3900" s="48">
        <v>0.83819444444444446</v>
      </c>
      <c r="D3900" s="48">
        <v>0.84652777777777777</v>
      </c>
      <c r="E3900" s="49">
        <f>'Reclamo de equipaje rediseñado'!$D3900-'Reclamo de equipaje rediseñado'!$C3900</f>
        <v>8.3333333333333037E-3</v>
      </c>
      <c r="F3900" s="48">
        <v>0.85625000000000007</v>
      </c>
      <c r="G3900" s="49">
        <f t="shared" si="60"/>
        <v>9.7222222222222987E-3</v>
      </c>
      <c r="H3900" s="50">
        <v>41804</v>
      </c>
      <c r="I3900" s="51" t="s">
        <v>543</v>
      </c>
      <c r="J3900" s="51" t="s">
        <v>535</v>
      </c>
      <c r="K3900" s="51">
        <f>VLOOKUP(J3900,'Validacion reclamo de equipaje'!L:M,2,0)</f>
        <v>50</v>
      </c>
      <c r="L3900" s="51" t="str">
        <f>VLOOKUP(I3900,'Validacion reclamo de equipaje'!H:I,2,0)</f>
        <v>Nacional</v>
      </c>
      <c r="M3900" s="51" t="s">
        <v>615</v>
      </c>
    </row>
    <row r="3901" spans="1:13" x14ac:dyDescent="0.25">
      <c r="A3901">
        <v>2184</v>
      </c>
      <c r="B3901" s="47" t="str">
        <f>VLOOKUP(Tabla6[[#This Row],['# Vuelo]],'Validacion reclamo de equipaje'!P:Q,2,0)</f>
        <v>MEXICO AEREO</v>
      </c>
      <c r="C3901" s="52">
        <v>0.82777777777777783</v>
      </c>
      <c r="D3901" s="52">
        <v>0.83888888888888891</v>
      </c>
      <c r="E3901" s="53">
        <f>'Reclamo de equipaje rediseñado'!$D3901-'Reclamo de equipaje rediseñado'!$C3901</f>
        <v>1.1111111111111072E-2</v>
      </c>
      <c r="F3901" s="52">
        <v>0.84930555555555554</v>
      </c>
      <c r="G3901" s="53">
        <f t="shared" si="60"/>
        <v>1.041666666666663E-2</v>
      </c>
      <c r="H3901" s="54">
        <v>41806</v>
      </c>
      <c r="I3901" s="55" t="s">
        <v>543</v>
      </c>
      <c r="J3901" s="55" t="s">
        <v>535</v>
      </c>
      <c r="K3901" s="55">
        <f>VLOOKUP(J3901,'Validacion reclamo de equipaje'!L:M,2,0)</f>
        <v>50</v>
      </c>
      <c r="L3901" s="55" t="str">
        <f>VLOOKUP(I3901,'Validacion reclamo de equipaje'!H:I,2,0)</f>
        <v>Nacional</v>
      </c>
      <c r="M3901" s="55" t="s">
        <v>615</v>
      </c>
    </row>
    <row r="3902" spans="1:13" x14ac:dyDescent="0.25">
      <c r="A3902">
        <v>2184</v>
      </c>
      <c r="B3902" s="47" t="str">
        <f>VLOOKUP(Tabla6[[#This Row],['# Vuelo]],'Validacion reclamo de equipaje'!P:Q,2,0)</f>
        <v>MEXICO AEREO</v>
      </c>
      <c r="C3902" s="48">
        <v>0.90972222222222221</v>
      </c>
      <c r="D3902" s="48">
        <v>0.92222222222222217</v>
      </c>
      <c r="E3902" s="49">
        <f>'Reclamo de equipaje rediseñado'!$D3902-'Reclamo de equipaje rediseñado'!$C3902</f>
        <v>1.2499999999999956E-2</v>
      </c>
      <c r="F3902" s="48">
        <v>0.93541666666666667</v>
      </c>
      <c r="G3902" s="49">
        <f t="shared" si="60"/>
        <v>1.3194444444444509E-2</v>
      </c>
      <c r="H3902" s="50">
        <v>41807</v>
      </c>
      <c r="I3902" s="51" t="s">
        <v>543</v>
      </c>
      <c r="J3902" s="51" t="s">
        <v>535</v>
      </c>
      <c r="K3902" s="51">
        <f>VLOOKUP(J3902,'Validacion reclamo de equipaje'!L:M,2,0)</f>
        <v>50</v>
      </c>
      <c r="L3902" s="51" t="str">
        <f>VLOOKUP(I3902,'Validacion reclamo de equipaje'!H:I,2,0)</f>
        <v>Nacional</v>
      </c>
      <c r="M3902" s="51" t="s">
        <v>615</v>
      </c>
    </row>
    <row r="3903" spans="1:13" x14ac:dyDescent="0.25">
      <c r="A3903">
        <v>2184</v>
      </c>
      <c r="B3903" s="47" t="str">
        <f>VLOOKUP(Tabla6[[#This Row],['# Vuelo]],'Validacion reclamo de equipaje'!P:Q,2,0)</f>
        <v>MEXICO AEREO</v>
      </c>
      <c r="C3903" s="52">
        <v>0.36805555555555558</v>
      </c>
      <c r="D3903" s="52">
        <v>0.3756944444444445</v>
      </c>
      <c r="E3903" s="53">
        <f>'Reclamo de equipaje rediseñado'!$D3903-'Reclamo de equipaje rediseñado'!$C3903</f>
        <v>7.6388888888889173E-3</v>
      </c>
      <c r="F3903" s="52">
        <v>0.38194444444444442</v>
      </c>
      <c r="G3903" s="53">
        <f t="shared" si="60"/>
        <v>6.2499999999999223E-3</v>
      </c>
      <c r="H3903" s="54">
        <v>41808</v>
      </c>
      <c r="I3903" s="55" t="s">
        <v>543</v>
      </c>
      <c r="J3903" s="55" t="s">
        <v>535</v>
      </c>
      <c r="K3903" s="55">
        <f>VLOOKUP(J3903,'Validacion reclamo de equipaje'!L:M,2,0)</f>
        <v>50</v>
      </c>
      <c r="L3903" s="55" t="str">
        <f>VLOOKUP(I3903,'Validacion reclamo de equipaje'!H:I,2,0)</f>
        <v>Nacional</v>
      </c>
      <c r="M3903" s="55" t="s">
        <v>615</v>
      </c>
    </row>
    <row r="3904" spans="1:13" x14ac:dyDescent="0.25">
      <c r="A3904">
        <v>2184</v>
      </c>
      <c r="B3904" s="47" t="str">
        <f>VLOOKUP(Tabla6[[#This Row],['# Vuelo]],'Validacion reclamo de equipaje'!P:Q,2,0)</f>
        <v>MEXICO AEREO</v>
      </c>
      <c r="C3904" s="48">
        <v>0.37361111111111112</v>
      </c>
      <c r="D3904" s="48">
        <v>0.37916666666666665</v>
      </c>
      <c r="E3904" s="49">
        <f>'Reclamo de equipaje rediseñado'!$D3904-'Reclamo de equipaje rediseñado'!$C3904</f>
        <v>5.5555555555555358E-3</v>
      </c>
      <c r="F3904" s="48">
        <v>0.38750000000000001</v>
      </c>
      <c r="G3904" s="49">
        <f t="shared" si="60"/>
        <v>8.3333333333333592E-3</v>
      </c>
      <c r="H3904" s="50">
        <v>41809</v>
      </c>
      <c r="I3904" s="51" t="s">
        <v>543</v>
      </c>
      <c r="J3904" s="51" t="s">
        <v>535</v>
      </c>
      <c r="K3904" s="51">
        <f>VLOOKUP(J3904,'Validacion reclamo de equipaje'!L:M,2,0)</f>
        <v>50</v>
      </c>
      <c r="L3904" s="51" t="str">
        <f>VLOOKUP(I3904,'Validacion reclamo de equipaje'!H:I,2,0)</f>
        <v>Nacional</v>
      </c>
      <c r="M3904" s="51" t="s">
        <v>615</v>
      </c>
    </row>
    <row r="3905" spans="1:13" x14ac:dyDescent="0.25">
      <c r="A3905">
        <v>2184</v>
      </c>
      <c r="B3905" s="47" t="str">
        <f>VLOOKUP(Tabla6[[#This Row],['# Vuelo]],'Validacion reclamo de equipaje'!P:Q,2,0)</f>
        <v>MEXICO AEREO</v>
      </c>
      <c r="C3905" s="52">
        <v>0.37708333333333338</v>
      </c>
      <c r="D3905" s="52">
        <v>0.37986111111111115</v>
      </c>
      <c r="E3905" s="53">
        <f>'Reclamo de equipaje rediseñado'!$D3905-'Reclamo de equipaje rediseñado'!$C3905</f>
        <v>2.7777777777777679E-3</v>
      </c>
      <c r="F3905" s="52">
        <v>0.41180555555555554</v>
      </c>
      <c r="G3905" s="53">
        <f t="shared" si="60"/>
        <v>3.1944444444444386E-2</v>
      </c>
      <c r="H3905" s="54">
        <v>41810</v>
      </c>
      <c r="I3905" s="55" t="s">
        <v>543</v>
      </c>
      <c r="J3905" s="55" t="s">
        <v>535</v>
      </c>
      <c r="K3905" s="55">
        <f>VLOOKUP(J3905,'Validacion reclamo de equipaje'!L:M,2,0)</f>
        <v>50</v>
      </c>
      <c r="L3905" s="55" t="str">
        <f>VLOOKUP(I3905,'Validacion reclamo de equipaje'!H:I,2,0)</f>
        <v>Nacional</v>
      </c>
      <c r="M3905" s="55" t="s">
        <v>615</v>
      </c>
    </row>
    <row r="3906" spans="1:13" x14ac:dyDescent="0.25">
      <c r="A3906">
        <v>2184</v>
      </c>
      <c r="B3906" s="47" t="str">
        <f>VLOOKUP(Tabla6[[#This Row],['# Vuelo]],'Validacion reclamo de equipaje'!P:Q,2,0)</f>
        <v>MEXICO AEREO</v>
      </c>
      <c r="C3906" s="48">
        <v>0.3756944444444445</v>
      </c>
      <c r="D3906" s="48">
        <v>0.37986111111111115</v>
      </c>
      <c r="E3906" s="49">
        <f>'Reclamo de equipaje rediseñado'!$D3906-'Reclamo de equipaje rediseñado'!$C3906</f>
        <v>4.1666666666666519E-3</v>
      </c>
      <c r="F3906" s="48">
        <v>0.3833333333333333</v>
      </c>
      <c r="G3906" s="49">
        <f t="shared" si="60"/>
        <v>3.4722222222221544E-3</v>
      </c>
      <c r="H3906" s="50">
        <v>41811</v>
      </c>
      <c r="I3906" s="51" t="s">
        <v>543</v>
      </c>
      <c r="J3906" s="51" t="s">
        <v>535</v>
      </c>
      <c r="K3906" s="51">
        <f>VLOOKUP(J3906,'Validacion reclamo de equipaje'!L:M,2,0)</f>
        <v>50</v>
      </c>
      <c r="L3906" s="51" t="str">
        <f>VLOOKUP(I3906,'Validacion reclamo de equipaje'!H:I,2,0)</f>
        <v>Nacional</v>
      </c>
      <c r="M3906" s="51" t="s">
        <v>615</v>
      </c>
    </row>
    <row r="3907" spans="1:13" x14ac:dyDescent="0.25">
      <c r="A3907">
        <v>2184</v>
      </c>
      <c r="B3907" s="47" t="str">
        <f>VLOOKUP(Tabla6[[#This Row],['# Vuelo]],'Validacion reclamo de equipaje'!P:Q,2,0)</f>
        <v>MEXICO AEREO</v>
      </c>
      <c r="C3907" s="52">
        <v>0.33680555555555558</v>
      </c>
      <c r="D3907" s="52">
        <v>0.36944444444444446</v>
      </c>
      <c r="E3907" s="53">
        <f>'Reclamo de equipaje rediseñado'!$D3907-'Reclamo de equipaje rediseñado'!$C3907</f>
        <v>3.2638888888888884E-2</v>
      </c>
      <c r="F3907" s="52">
        <v>0.37291666666666662</v>
      </c>
      <c r="G3907" s="53">
        <f t="shared" ref="G3907:G3970" si="61">F3907-D3907</f>
        <v>3.4722222222221544E-3</v>
      </c>
      <c r="H3907" s="54">
        <v>41813</v>
      </c>
      <c r="I3907" s="55" t="s">
        <v>543</v>
      </c>
      <c r="J3907" s="55" t="s">
        <v>535</v>
      </c>
      <c r="K3907" s="55">
        <f>VLOOKUP(J3907,'Validacion reclamo de equipaje'!L:M,2,0)</f>
        <v>50</v>
      </c>
      <c r="L3907" s="55" t="str">
        <f>VLOOKUP(I3907,'Validacion reclamo de equipaje'!H:I,2,0)</f>
        <v>Nacional</v>
      </c>
      <c r="M3907" s="55" t="s">
        <v>615</v>
      </c>
    </row>
    <row r="3908" spans="1:13" x14ac:dyDescent="0.25">
      <c r="A3908">
        <v>2127</v>
      </c>
      <c r="B3908" s="47" t="str">
        <f>VLOOKUP(Tabla6[[#This Row],['# Vuelo]],'Validacion reclamo de equipaje'!P:Q,2,0)</f>
        <v>MEXICO AEREO</v>
      </c>
      <c r="C3908" s="48">
        <v>0.9194444444444444</v>
      </c>
      <c r="D3908" s="48">
        <v>0.92847222222222225</v>
      </c>
      <c r="E3908" s="49">
        <f>'Reclamo de equipaje rediseñado'!$D3908-'Reclamo de equipaje rediseñado'!$C3908</f>
        <v>9.0277777777778567E-3</v>
      </c>
      <c r="F3908" s="48">
        <v>0.93055555555555547</v>
      </c>
      <c r="G3908" s="49">
        <f t="shared" si="61"/>
        <v>2.0833333333332149E-3</v>
      </c>
      <c r="H3908" s="50">
        <v>41791</v>
      </c>
      <c r="I3908" s="51" t="s">
        <v>550</v>
      </c>
      <c r="J3908" s="51" t="s">
        <v>535</v>
      </c>
      <c r="K3908" s="51">
        <f>VLOOKUP(J3908,'Validacion reclamo de equipaje'!L:M,2,0)</f>
        <v>50</v>
      </c>
      <c r="L3908" s="51" t="str">
        <f>VLOOKUP(I3908,'Validacion reclamo de equipaje'!H:I,2,0)</f>
        <v>Nacional</v>
      </c>
      <c r="M3908" s="51" t="s">
        <v>615</v>
      </c>
    </row>
    <row r="3909" spans="1:13" x14ac:dyDescent="0.25">
      <c r="A3909">
        <v>2127</v>
      </c>
      <c r="B3909" s="47" t="str">
        <f>VLOOKUP(Tabla6[[#This Row],['# Vuelo]],'Validacion reclamo de equipaje'!P:Q,2,0)</f>
        <v>MEXICO AEREO</v>
      </c>
      <c r="C3909" s="52">
        <v>0.92499999999999993</v>
      </c>
      <c r="D3909" s="52">
        <v>0.93333333333333324</v>
      </c>
      <c r="E3909" s="53">
        <f>'Reclamo de equipaje rediseñado'!$D3909-'Reclamo de equipaje rediseñado'!$C3909</f>
        <v>8.3333333333333037E-3</v>
      </c>
      <c r="F3909" s="52">
        <v>0.93819444444444444</v>
      </c>
      <c r="G3909" s="53">
        <f t="shared" si="61"/>
        <v>4.8611111111112049E-3</v>
      </c>
      <c r="H3909" s="54">
        <v>41792</v>
      </c>
      <c r="I3909" s="55" t="s">
        <v>550</v>
      </c>
      <c r="J3909" s="55" t="s">
        <v>535</v>
      </c>
      <c r="K3909" s="55">
        <f>VLOOKUP(J3909,'Validacion reclamo de equipaje'!L:M,2,0)</f>
        <v>50</v>
      </c>
      <c r="L3909" s="55" t="str">
        <f>VLOOKUP(I3909,'Validacion reclamo de equipaje'!H:I,2,0)</f>
        <v>Nacional</v>
      </c>
      <c r="M3909" s="55" t="s">
        <v>615</v>
      </c>
    </row>
    <row r="3910" spans="1:13" x14ac:dyDescent="0.25">
      <c r="A3910">
        <v>2127</v>
      </c>
      <c r="B3910" s="47" t="str">
        <f>VLOOKUP(Tabla6[[#This Row],['# Vuelo]],'Validacion reclamo de equipaje'!P:Q,2,0)</f>
        <v>MEXICO AEREO</v>
      </c>
      <c r="C3910" s="48">
        <v>0.91319444444444453</v>
      </c>
      <c r="D3910" s="48">
        <v>0.92361111111111116</v>
      </c>
      <c r="E3910" s="49">
        <f>'Reclamo de equipaje rediseñado'!$D3910-'Reclamo de equipaje rediseñado'!$C3910</f>
        <v>1.041666666666663E-2</v>
      </c>
      <c r="F3910" s="48">
        <v>0.92638888888888893</v>
      </c>
      <c r="G3910" s="49">
        <f t="shared" si="61"/>
        <v>2.7777777777777679E-3</v>
      </c>
      <c r="H3910" s="50">
        <v>41793</v>
      </c>
      <c r="I3910" s="51" t="s">
        <v>550</v>
      </c>
      <c r="J3910" s="51" t="s">
        <v>535</v>
      </c>
      <c r="K3910" s="51">
        <f>VLOOKUP(J3910,'Validacion reclamo de equipaje'!L:M,2,0)</f>
        <v>50</v>
      </c>
      <c r="L3910" s="51" t="str">
        <f>VLOOKUP(I3910,'Validacion reclamo de equipaje'!H:I,2,0)</f>
        <v>Nacional</v>
      </c>
      <c r="M3910" s="51" t="s">
        <v>615</v>
      </c>
    </row>
    <row r="3911" spans="1:13" x14ac:dyDescent="0.25">
      <c r="A3911">
        <v>2127</v>
      </c>
      <c r="B3911" s="47" t="str">
        <f>VLOOKUP(Tabla6[[#This Row],['# Vuelo]],'Validacion reclamo de equipaje'!P:Q,2,0)</f>
        <v>MEXICO AEREO</v>
      </c>
      <c r="C3911" s="52">
        <v>0.93055555555555547</v>
      </c>
      <c r="D3911" s="52">
        <v>0.9375</v>
      </c>
      <c r="E3911" s="53">
        <f>'Reclamo de equipaje rediseñado'!$D3911-'Reclamo de equipaje rediseñado'!$C3911</f>
        <v>6.9444444444445308E-3</v>
      </c>
      <c r="F3911" s="52">
        <v>0.94444444444444453</v>
      </c>
      <c r="G3911" s="53">
        <f t="shared" si="61"/>
        <v>6.9444444444445308E-3</v>
      </c>
      <c r="H3911" s="54">
        <v>41794</v>
      </c>
      <c r="I3911" s="55" t="s">
        <v>550</v>
      </c>
      <c r="J3911" s="55" t="s">
        <v>535</v>
      </c>
      <c r="K3911" s="55">
        <f>VLOOKUP(J3911,'Validacion reclamo de equipaje'!L:M,2,0)</f>
        <v>50</v>
      </c>
      <c r="L3911" s="55" t="str">
        <f>VLOOKUP(I3911,'Validacion reclamo de equipaje'!H:I,2,0)</f>
        <v>Nacional</v>
      </c>
      <c r="M3911" s="55" t="s">
        <v>615</v>
      </c>
    </row>
    <row r="3912" spans="1:13" x14ac:dyDescent="0.25">
      <c r="A3912">
        <v>2127</v>
      </c>
      <c r="B3912" s="47" t="str">
        <f>VLOOKUP(Tabla6[[#This Row],['# Vuelo]],'Validacion reclamo de equipaje'!P:Q,2,0)</f>
        <v>MEXICO AEREO</v>
      </c>
      <c r="C3912" s="48">
        <v>0.95694444444444438</v>
      </c>
      <c r="D3912" s="48">
        <v>0.96875</v>
      </c>
      <c r="E3912" s="49">
        <f>'Reclamo de equipaje rediseñado'!$D3912-'Reclamo de equipaje rediseñado'!$C3912</f>
        <v>1.1805555555555625E-2</v>
      </c>
      <c r="F3912" s="48">
        <v>0.97013888888888899</v>
      </c>
      <c r="G3912" s="49">
        <f t="shared" si="61"/>
        <v>1.388888888888995E-3</v>
      </c>
      <c r="H3912" s="50">
        <v>41795</v>
      </c>
      <c r="I3912" s="51" t="s">
        <v>550</v>
      </c>
      <c r="J3912" s="51" t="s">
        <v>535</v>
      </c>
      <c r="K3912" s="51">
        <f>VLOOKUP(J3912,'Validacion reclamo de equipaje'!L:M,2,0)</f>
        <v>50</v>
      </c>
      <c r="L3912" s="51" t="str">
        <f>VLOOKUP(I3912,'Validacion reclamo de equipaje'!H:I,2,0)</f>
        <v>Nacional</v>
      </c>
      <c r="M3912" s="51" t="s">
        <v>615</v>
      </c>
    </row>
    <row r="3913" spans="1:13" x14ac:dyDescent="0.25">
      <c r="A3913">
        <v>2127</v>
      </c>
      <c r="B3913" s="47" t="str">
        <f>VLOOKUP(Tabla6[[#This Row],['# Vuelo]],'Validacion reclamo de equipaje'!P:Q,2,0)</f>
        <v>MEXICO AEREO</v>
      </c>
      <c r="C3913" s="52">
        <v>0.92361111111111116</v>
      </c>
      <c r="D3913" s="52">
        <v>0.93402777777777779</v>
      </c>
      <c r="E3913" s="53">
        <f>'Reclamo de equipaje rediseñado'!$D3913-'Reclamo de equipaje rediseñado'!$C3913</f>
        <v>1.041666666666663E-2</v>
      </c>
      <c r="F3913" s="52">
        <v>0.93888888888888899</v>
      </c>
      <c r="G3913" s="53">
        <f t="shared" si="61"/>
        <v>4.8611111111112049E-3</v>
      </c>
      <c r="H3913" s="54">
        <v>41796</v>
      </c>
      <c r="I3913" s="55" t="s">
        <v>550</v>
      </c>
      <c r="J3913" s="55" t="s">
        <v>535</v>
      </c>
      <c r="K3913" s="55">
        <f>VLOOKUP(J3913,'Validacion reclamo de equipaje'!L:M,2,0)</f>
        <v>50</v>
      </c>
      <c r="L3913" s="55" t="str">
        <f>VLOOKUP(I3913,'Validacion reclamo de equipaje'!H:I,2,0)</f>
        <v>Nacional</v>
      </c>
      <c r="M3913" s="55" t="s">
        <v>615</v>
      </c>
    </row>
    <row r="3914" spans="1:13" x14ac:dyDescent="0.25">
      <c r="A3914">
        <v>2127</v>
      </c>
      <c r="B3914" s="47" t="str">
        <f>VLOOKUP(Tabla6[[#This Row],['# Vuelo]],'Validacion reclamo de equipaje'!P:Q,2,0)</f>
        <v>MEXICO AEREO</v>
      </c>
      <c r="C3914" s="48">
        <v>0.96180555555555547</v>
      </c>
      <c r="D3914" s="48">
        <v>0.97569444444444453</v>
      </c>
      <c r="E3914" s="49">
        <f>'Reclamo de equipaje rediseñado'!$D3914-'Reclamo de equipaje rediseñado'!$C3914</f>
        <v>1.3888888888889062E-2</v>
      </c>
      <c r="F3914" s="48">
        <v>0.9784722222222223</v>
      </c>
      <c r="G3914" s="49">
        <f t="shared" si="61"/>
        <v>2.7777777777777679E-3</v>
      </c>
      <c r="H3914" s="50">
        <v>41797</v>
      </c>
      <c r="I3914" s="51" t="s">
        <v>550</v>
      </c>
      <c r="J3914" s="51" t="s">
        <v>535</v>
      </c>
      <c r="K3914" s="51">
        <f>VLOOKUP(J3914,'Validacion reclamo de equipaje'!L:M,2,0)</f>
        <v>50</v>
      </c>
      <c r="L3914" s="51" t="str">
        <f>VLOOKUP(I3914,'Validacion reclamo de equipaje'!H:I,2,0)</f>
        <v>Nacional</v>
      </c>
      <c r="M3914" s="51" t="s">
        <v>615</v>
      </c>
    </row>
    <row r="3915" spans="1:13" x14ac:dyDescent="0.25">
      <c r="A3915">
        <v>2127</v>
      </c>
      <c r="B3915" s="47" t="str">
        <f>VLOOKUP(Tabla6[[#This Row],['# Vuelo]],'Validacion reclamo de equipaje'!P:Q,2,0)</f>
        <v>MEXICO AEREO</v>
      </c>
      <c r="C3915" s="52">
        <v>0.9145833333333333</v>
      </c>
      <c r="D3915" s="52">
        <v>0.91875000000000007</v>
      </c>
      <c r="E3915" s="53">
        <f>'Reclamo de equipaje rediseñado'!$D3915-'Reclamo de equipaje rediseñado'!$C3915</f>
        <v>4.1666666666667629E-3</v>
      </c>
      <c r="F3915" s="52">
        <v>0.92083333333333339</v>
      </c>
      <c r="G3915" s="53">
        <f t="shared" si="61"/>
        <v>2.0833333333333259E-3</v>
      </c>
      <c r="H3915" s="54">
        <v>41798</v>
      </c>
      <c r="I3915" s="55" t="s">
        <v>550</v>
      </c>
      <c r="J3915" s="55" t="s">
        <v>535</v>
      </c>
      <c r="K3915" s="55">
        <f>VLOOKUP(J3915,'Validacion reclamo de equipaje'!L:M,2,0)</f>
        <v>50</v>
      </c>
      <c r="L3915" s="55" t="str">
        <f>VLOOKUP(I3915,'Validacion reclamo de equipaje'!H:I,2,0)</f>
        <v>Nacional</v>
      </c>
      <c r="M3915" s="55" t="s">
        <v>615</v>
      </c>
    </row>
    <row r="3916" spans="1:13" x14ac:dyDescent="0.25">
      <c r="A3916">
        <v>2127</v>
      </c>
      <c r="B3916" s="47" t="str">
        <f>VLOOKUP(Tabla6[[#This Row],['# Vuelo]],'Validacion reclamo de equipaje'!P:Q,2,0)</f>
        <v>MEXICO AEREO</v>
      </c>
      <c r="C3916" s="48">
        <v>0.92361111111111116</v>
      </c>
      <c r="D3916" s="48">
        <v>0.9291666666666667</v>
      </c>
      <c r="E3916" s="49">
        <f>'Reclamo de equipaje rediseñado'!$D3916-'Reclamo de equipaje rediseñado'!$C3916</f>
        <v>5.5555555555555358E-3</v>
      </c>
      <c r="F3916" s="48">
        <v>0.93611111111111101</v>
      </c>
      <c r="G3916" s="49">
        <f t="shared" si="61"/>
        <v>6.9444444444443088E-3</v>
      </c>
      <c r="H3916" s="50">
        <v>41799</v>
      </c>
      <c r="I3916" s="51" t="s">
        <v>550</v>
      </c>
      <c r="J3916" s="51" t="s">
        <v>535</v>
      </c>
      <c r="K3916" s="51">
        <f>VLOOKUP(J3916,'Validacion reclamo de equipaje'!L:M,2,0)</f>
        <v>50</v>
      </c>
      <c r="L3916" s="51" t="str">
        <f>VLOOKUP(I3916,'Validacion reclamo de equipaje'!H:I,2,0)</f>
        <v>Nacional</v>
      </c>
      <c r="M3916" s="51" t="s">
        <v>615</v>
      </c>
    </row>
    <row r="3917" spans="1:13" x14ac:dyDescent="0.25">
      <c r="A3917">
        <v>2127</v>
      </c>
      <c r="B3917" s="47" t="str">
        <f>VLOOKUP(Tabla6[[#This Row],['# Vuelo]],'Validacion reclamo de equipaje'!P:Q,2,0)</f>
        <v>MEXICO AEREO</v>
      </c>
      <c r="C3917" s="52">
        <v>0.4770833333333333</v>
      </c>
      <c r="D3917" s="52">
        <v>0.48402777777777778</v>
      </c>
      <c r="E3917" s="53">
        <f>'Reclamo de equipaje rediseñado'!$D3917-'Reclamo de equipaje rediseñado'!$C3917</f>
        <v>6.9444444444444753E-3</v>
      </c>
      <c r="F3917" s="52">
        <v>0.48749999999999999</v>
      </c>
      <c r="G3917" s="53">
        <f t="shared" si="61"/>
        <v>3.4722222222222099E-3</v>
      </c>
      <c r="H3917" s="54">
        <v>41800</v>
      </c>
      <c r="I3917" s="55" t="s">
        <v>550</v>
      </c>
      <c r="J3917" s="55" t="s">
        <v>535</v>
      </c>
      <c r="K3917" s="55">
        <f>VLOOKUP(J3917,'Validacion reclamo de equipaje'!L:M,2,0)</f>
        <v>50</v>
      </c>
      <c r="L3917" s="55" t="str">
        <f>VLOOKUP(I3917,'Validacion reclamo de equipaje'!H:I,2,0)</f>
        <v>Nacional</v>
      </c>
      <c r="M3917" s="55" t="s">
        <v>615</v>
      </c>
    </row>
    <row r="3918" spans="1:13" x14ac:dyDescent="0.25">
      <c r="A3918">
        <v>2127</v>
      </c>
      <c r="B3918" s="47" t="str">
        <f>VLOOKUP(Tabla6[[#This Row],['# Vuelo]],'Validacion reclamo de equipaje'!P:Q,2,0)</f>
        <v>MEXICO AEREO</v>
      </c>
      <c r="C3918" s="48">
        <v>0.56041666666666667</v>
      </c>
      <c r="D3918" s="48">
        <v>0.56944444444444442</v>
      </c>
      <c r="E3918" s="49">
        <f>'Reclamo de equipaje rediseñado'!$D3918-'Reclamo de equipaje rediseñado'!$C3918</f>
        <v>9.0277777777777457E-3</v>
      </c>
      <c r="F3918" s="48">
        <v>0.57708333333333328</v>
      </c>
      <c r="G3918" s="49">
        <f t="shared" si="61"/>
        <v>7.6388888888888618E-3</v>
      </c>
      <c r="H3918" s="50">
        <v>41801</v>
      </c>
      <c r="I3918" s="51" t="s">
        <v>550</v>
      </c>
      <c r="J3918" s="51" t="s">
        <v>535</v>
      </c>
      <c r="K3918" s="51">
        <f>VLOOKUP(J3918,'Validacion reclamo de equipaje'!L:M,2,0)</f>
        <v>50</v>
      </c>
      <c r="L3918" s="51" t="str">
        <f>VLOOKUP(I3918,'Validacion reclamo de equipaje'!H:I,2,0)</f>
        <v>Nacional</v>
      </c>
      <c r="M3918" s="51" t="s">
        <v>615</v>
      </c>
    </row>
    <row r="3919" spans="1:13" x14ac:dyDescent="0.25">
      <c r="A3919">
        <v>2127</v>
      </c>
      <c r="B3919" s="47" t="str">
        <f>VLOOKUP(Tabla6[[#This Row],['# Vuelo]],'Validacion reclamo de equipaje'!P:Q,2,0)</f>
        <v>MEXICO AEREO</v>
      </c>
      <c r="C3919" s="52">
        <v>0.57638888888888895</v>
      </c>
      <c r="D3919" s="52">
        <v>0.5805555555555556</v>
      </c>
      <c r="E3919" s="53">
        <f>'Reclamo de equipaje rediseñado'!$D3919-'Reclamo de equipaje rediseñado'!$C3919</f>
        <v>4.1666666666666519E-3</v>
      </c>
      <c r="F3919" s="52">
        <v>0.59236111111111112</v>
      </c>
      <c r="G3919" s="53">
        <f t="shared" si="61"/>
        <v>1.1805555555555514E-2</v>
      </c>
      <c r="H3919" s="54">
        <v>41802</v>
      </c>
      <c r="I3919" s="55" t="s">
        <v>550</v>
      </c>
      <c r="J3919" s="55" t="s">
        <v>535</v>
      </c>
      <c r="K3919" s="55">
        <f>VLOOKUP(J3919,'Validacion reclamo de equipaje'!L:M,2,0)</f>
        <v>50</v>
      </c>
      <c r="L3919" s="55" t="str">
        <f>VLOOKUP(I3919,'Validacion reclamo de equipaje'!H:I,2,0)</f>
        <v>Nacional</v>
      </c>
      <c r="M3919" s="55" t="s">
        <v>615</v>
      </c>
    </row>
    <row r="3920" spans="1:13" x14ac:dyDescent="0.25">
      <c r="A3920">
        <v>2127</v>
      </c>
      <c r="B3920" s="47" t="str">
        <f>VLOOKUP(Tabla6[[#This Row],['# Vuelo]],'Validacion reclamo de equipaje'!P:Q,2,0)</f>
        <v>MEXICO AEREO</v>
      </c>
      <c r="C3920" s="48">
        <v>0.86597222222222225</v>
      </c>
      <c r="D3920" s="48">
        <v>0.87361111111111101</v>
      </c>
      <c r="E3920" s="49">
        <f>'Reclamo de equipaje rediseñado'!$D3920-'Reclamo de equipaje rediseñado'!$C3920</f>
        <v>7.6388888888887507E-3</v>
      </c>
      <c r="F3920" s="48">
        <v>0.87847222222222221</v>
      </c>
      <c r="G3920" s="49">
        <f t="shared" si="61"/>
        <v>4.8611111111112049E-3</v>
      </c>
      <c r="H3920" s="50">
        <v>41803</v>
      </c>
      <c r="I3920" s="51" t="s">
        <v>550</v>
      </c>
      <c r="J3920" s="51" t="s">
        <v>535</v>
      </c>
      <c r="K3920" s="51">
        <f>VLOOKUP(J3920,'Validacion reclamo de equipaje'!L:M,2,0)</f>
        <v>50</v>
      </c>
      <c r="L3920" s="51" t="str">
        <f>VLOOKUP(I3920,'Validacion reclamo de equipaje'!H:I,2,0)</f>
        <v>Nacional</v>
      </c>
      <c r="M3920" s="51" t="s">
        <v>615</v>
      </c>
    </row>
    <row r="3921" spans="1:13" x14ac:dyDescent="0.25">
      <c r="A3921">
        <v>2127</v>
      </c>
      <c r="B3921" s="47" t="str">
        <f>VLOOKUP(Tabla6[[#This Row],['# Vuelo]],'Validacion reclamo de equipaje'!P:Q,2,0)</f>
        <v>MEXICO AEREO</v>
      </c>
      <c r="C3921" s="52">
        <v>0.76666666666666661</v>
      </c>
      <c r="D3921" s="52">
        <v>0.77638888888888891</v>
      </c>
      <c r="E3921" s="53">
        <f>'Reclamo de equipaje rediseñado'!$D3921-'Reclamo de equipaje rediseñado'!$C3921</f>
        <v>9.7222222222222987E-3</v>
      </c>
      <c r="F3921" s="52">
        <v>0.78472222222222221</v>
      </c>
      <c r="G3921" s="53">
        <f t="shared" si="61"/>
        <v>8.3333333333333037E-3</v>
      </c>
      <c r="H3921" s="54">
        <v>41804</v>
      </c>
      <c r="I3921" s="55" t="s">
        <v>550</v>
      </c>
      <c r="J3921" s="55" t="s">
        <v>535</v>
      </c>
      <c r="K3921" s="55">
        <f>VLOOKUP(J3921,'Validacion reclamo de equipaje'!L:M,2,0)</f>
        <v>50</v>
      </c>
      <c r="L3921" s="55" t="str">
        <f>VLOOKUP(I3921,'Validacion reclamo de equipaje'!H:I,2,0)</f>
        <v>Nacional</v>
      </c>
      <c r="M3921" s="55" t="s">
        <v>615</v>
      </c>
    </row>
    <row r="3922" spans="1:13" x14ac:dyDescent="0.25">
      <c r="A3922">
        <v>2127</v>
      </c>
      <c r="B3922" s="47" t="str">
        <f>VLOOKUP(Tabla6[[#This Row],['# Vuelo]],'Validacion reclamo de equipaje'!P:Q,2,0)</f>
        <v>MEXICO AEREO</v>
      </c>
      <c r="C3922" s="48">
        <v>0.71527777777777779</v>
      </c>
      <c r="D3922" s="48">
        <v>0.72916666666666663</v>
      </c>
      <c r="E3922" s="49">
        <f>'Reclamo de equipaje rediseñado'!$D3922-'Reclamo de equipaje rediseñado'!$C3922</f>
        <v>1.388888888888884E-2</v>
      </c>
      <c r="F3922" s="48">
        <v>0.73263888888888884</v>
      </c>
      <c r="G3922" s="49">
        <f t="shared" si="61"/>
        <v>3.4722222222222099E-3</v>
      </c>
      <c r="H3922" s="50">
        <v>41805</v>
      </c>
      <c r="I3922" s="51" t="s">
        <v>550</v>
      </c>
      <c r="J3922" s="51" t="s">
        <v>535</v>
      </c>
      <c r="K3922" s="51">
        <f>VLOOKUP(J3922,'Validacion reclamo de equipaje'!L:M,2,0)</f>
        <v>50</v>
      </c>
      <c r="L3922" s="51" t="str">
        <f>VLOOKUP(I3922,'Validacion reclamo de equipaje'!H:I,2,0)</f>
        <v>Nacional</v>
      </c>
      <c r="M3922" s="51" t="s">
        <v>615</v>
      </c>
    </row>
    <row r="3923" spans="1:13" x14ac:dyDescent="0.25">
      <c r="A3923">
        <v>2127</v>
      </c>
      <c r="B3923" s="47" t="str">
        <f>VLOOKUP(Tabla6[[#This Row],['# Vuelo]],'Validacion reclamo de equipaje'!P:Q,2,0)</f>
        <v>MEXICO AEREO</v>
      </c>
      <c r="C3923" s="52">
        <v>0.90902777777777777</v>
      </c>
      <c r="D3923" s="52">
        <v>0.92222222222222217</v>
      </c>
      <c r="E3923" s="53">
        <f>'Reclamo de equipaje rediseñado'!$D3923-'Reclamo de equipaje rediseñado'!$C3923</f>
        <v>1.3194444444444398E-2</v>
      </c>
      <c r="F3923" s="52">
        <v>0.93819444444444444</v>
      </c>
      <c r="G3923" s="53">
        <f t="shared" si="61"/>
        <v>1.5972222222222276E-2</v>
      </c>
      <c r="H3923" s="54">
        <v>41806</v>
      </c>
      <c r="I3923" s="55" t="s">
        <v>550</v>
      </c>
      <c r="J3923" s="55" t="s">
        <v>535</v>
      </c>
      <c r="K3923" s="55">
        <f>VLOOKUP(J3923,'Validacion reclamo de equipaje'!L:M,2,0)</f>
        <v>50</v>
      </c>
      <c r="L3923" s="55" t="str">
        <f>VLOOKUP(I3923,'Validacion reclamo de equipaje'!H:I,2,0)</f>
        <v>Nacional</v>
      </c>
      <c r="M3923" s="55" t="s">
        <v>615</v>
      </c>
    </row>
    <row r="3924" spans="1:13" x14ac:dyDescent="0.25">
      <c r="A3924">
        <v>2127</v>
      </c>
      <c r="B3924" s="47" t="str">
        <f>VLOOKUP(Tabla6[[#This Row],['# Vuelo]],'Validacion reclamo de equipaje'!P:Q,2,0)</f>
        <v>MEXICO AEREO</v>
      </c>
      <c r="C3924" s="48">
        <v>0.66805555555555562</v>
      </c>
      <c r="D3924" s="48">
        <v>0.67638888888888893</v>
      </c>
      <c r="E3924" s="49">
        <f>'Reclamo de equipaje rediseñado'!$D3924-'Reclamo de equipaje rediseñado'!$C3924</f>
        <v>8.3333333333333037E-3</v>
      </c>
      <c r="F3924" s="48">
        <v>0.68263888888888891</v>
      </c>
      <c r="G3924" s="49">
        <f t="shared" si="61"/>
        <v>6.2499999999999778E-3</v>
      </c>
      <c r="H3924" s="50">
        <v>41807</v>
      </c>
      <c r="I3924" s="51" t="s">
        <v>550</v>
      </c>
      <c r="J3924" s="51" t="s">
        <v>535</v>
      </c>
      <c r="K3924" s="51">
        <f>VLOOKUP(J3924,'Validacion reclamo de equipaje'!L:M,2,0)</f>
        <v>50</v>
      </c>
      <c r="L3924" s="51" t="str">
        <f>VLOOKUP(I3924,'Validacion reclamo de equipaje'!H:I,2,0)</f>
        <v>Nacional</v>
      </c>
      <c r="M3924" s="51" t="s">
        <v>615</v>
      </c>
    </row>
    <row r="3925" spans="1:13" x14ac:dyDescent="0.25">
      <c r="A3925">
        <v>2127</v>
      </c>
      <c r="B3925" s="47" t="str">
        <f>VLOOKUP(Tabla6[[#This Row],['# Vuelo]],'Validacion reclamo de equipaje'!P:Q,2,0)</f>
        <v>MEXICO AEREO</v>
      </c>
      <c r="C3925" s="52">
        <v>0.90972222222222221</v>
      </c>
      <c r="D3925" s="52">
        <v>0.92013888888888884</v>
      </c>
      <c r="E3925" s="53">
        <f>'Reclamo de equipaje rediseñado'!$D3925-'Reclamo de equipaje rediseñado'!$C3925</f>
        <v>1.041666666666663E-2</v>
      </c>
      <c r="F3925" s="52">
        <v>0.92499999999999993</v>
      </c>
      <c r="G3925" s="53">
        <f t="shared" si="61"/>
        <v>4.8611111111110938E-3</v>
      </c>
      <c r="H3925" s="54">
        <v>41808</v>
      </c>
      <c r="I3925" s="55" t="s">
        <v>550</v>
      </c>
      <c r="J3925" s="55" t="s">
        <v>535</v>
      </c>
      <c r="K3925" s="55">
        <f>VLOOKUP(J3925,'Validacion reclamo de equipaje'!L:M,2,0)</f>
        <v>50</v>
      </c>
      <c r="L3925" s="55" t="str">
        <f>VLOOKUP(I3925,'Validacion reclamo de equipaje'!H:I,2,0)</f>
        <v>Nacional</v>
      </c>
      <c r="M3925" s="55" t="s">
        <v>615</v>
      </c>
    </row>
    <row r="3926" spans="1:13" x14ac:dyDescent="0.25">
      <c r="A3926">
        <v>2127</v>
      </c>
      <c r="B3926" s="47" t="str">
        <f>VLOOKUP(Tabla6[[#This Row],['# Vuelo]],'Validacion reclamo de equipaje'!P:Q,2,0)</f>
        <v>MEXICO AEREO</v>
      </c>
      <c r="C3926" s="48">
        <v>0.92361111111111116</v>
      </c>
      <c r="D3926" s="48">
        <v>0.9291666666666667</v>
      </c>
      <c r="E3926" s="49">
        <f>'Reclamo de equipaje rediseñado'!$D3926-'Reclamo de equipaje rediseñado'!$C3926</f>
        <v>5.5555555555555358E-3</v>
      </c>
      <c r="F3926" s="48">
        <v>0.93194444444444446</v>
      </c>
      <c r="G3926" s="49">
        <f t="shared" si="61"/>
        <v>2.7777777777777679E-3</v>
      </c>
      <c r="H3926" s="50">
        <v>41809</v>
      </c>
      <c r="I3926" s="51" t="s">
        <v>550</v>
      </c>
      <c r="J3926" s="51" t="s">
        <v>535</v>
      </c>
      <c r="K3926" s="51">
        <f>VLOOKUP(J3926,'Validacion reclamo de equipaje'!L:M,2,0)</f>
        <v>50</v>
      </c>
      <c r="L3926" s="51" t="str">
        <f>VLOOKUP(I3926,'Validacion reclamo de equipaje'!H:I,2,0)</f>
        <v>Nacional</v>
      </c>
      <c r="M3926" s="51" t="s">
        <v>615</v>
      </c>
    </row>
    <row r="3927" spans="1:13" x14ac:dyDescent="0.25">
      <c r="A3927">
        <v>2127</v>
      </c>
      <c r="B3927" s="47" t="str">
        <f>VLOOKUP(Tabla6[[#This Row],['# Vuelo]],'Validacion reclamo de equipaje'!P:Q,2,0)</f>
        <v>MEXICO AEREO</v>
      </c>
      <c r="C3927" s="52">
        <v>0.9159722222222223</v>
      </c>
      <c r="D3927" s="52">
        <v>0.92361111111111116</v>
      </c>
      <c r="E3927" s="53">
        <f>'Reclamo de equipaje rediseñado'!$D3927-'Reclamo de equipaje rediseñado'!$C3927</f>
        <v>7.6388888888888618E-3</v>
      </c>
      <c r="F3927" s="52">
        <v>0.92708333333333337</v>
      </c>
      <c r="G3927" s="53">
        <f t="shared" si="61"/>
        <v>3.4722222222222099E-3</v>
      </c>
      <c r="H3927" s="54">
        <v>41811</v>
      </c>
      <c r="I3927" s="55" t="s">
        <v>550</v>
      </c>
      <c r="J3927" s="55" t="s">
        <v>535</v>
      </c>
      <c r="K3927" s="55">
        <f>VLOOKUP(J3927,'Validacion reclamo de equipaje'!L:M,2,0)</f>
        <v>50</v>
      </c>
      <c r="L3927" s="55" t="str">
        <f>VLOOKUP(I3927,'Validacion reclamo de equipaje'!H:I,2,0)</f>
        <v>Nacional</v>
      </c>
      <c r="M3927" s="55" t="s">
        <v>615</v>
      </c>
    </row>
    <row r="3928" spans="1:13" x14ac:dyDescent="0.25">
      <c r="A3928">
        <v>2127</v>
      </c>
      <c r="B3928" s="47" t="str">
        <f>VLOOKUP(Tabla6[[#This Row],['# Vuelo]],'Validacion reclamo de equipaje'!P:Q,2,0)</f>
        <v>MEXICO AEREO</v>
      </c>
      <c r="C3928" s="48">
        <v>0.9145833333333333</v>
      </c>
      <c r="D3928" s="48">
        <v>0.92361111111111116</v>
      </c>
      <c r="E3928" s="49">
        <f>'Reclamo de equipaje rediseñado'!$D3928-'Reclamo de equipaje rediseñado'!$C3928</f>
        <v>9.0277777777778567E-3</v>
      </c>
      <c r="F3928" s="48">
        <v>0.92499999999999993</v>
      </c>
      <c r="G3928" s="49">
        <f t="shared" si="61"/>
        <v>1.3888888888887729E-3</v>
      </c>
      <c r="H3928" s="50">
        <v>41812</v>
      </c>
      <c r="I3928" s="51" t="s">
        <v>550</v>
      </c>
      <c r="J3928" s="51" t="s">
        <v>535</v>
      </c>
      <c r="K3928" s="51">
        <f>VLOOKUP(J3928,'Validacion reclamo de equipaje'!L:M,2,0)</f>
        <v>50</v>
      </c>
      <c r="L3928" s="51" t="str">
        <f>VLOOKUP(I3928,'Validacion reclamo de equipaje'!H:I,2,0)</f>
        <v>Nacional</v>
      </c>
      <c r="M3928" s="51" t="s">
        <v>615</v>
      </c>
    </row>
    <row r="3929" spans="1:13" x14ac:dyDescent="0.25">
      <c r="A3929">
        <v>2127</v>
      </c>
      <c r="B3929" s="47" t="str">
        <f>VLOOKUP(Tabla6[[#This Row],['# Vuelo]],'Validacion reclamo de equipaje'!P:Q,2,0)</f>
        <v>MEXICO AEREO</v>
      </c>
      <c r="C3929" s="52">
        <v>0.90277777777777779</v>
      </c>
      <c r="D3929" s="52">
        <v>0.90972222222222221</v>
      </c>
      <c r="E3929" s="53">
        <f>'Reclamo de equipaje rediseñado'!$D3929-'Reclamo de equipaje rediseñado'!$C3929</f>
        <v>6.9444444444444198E-3</v>
      </c>
      <c r="F3929" s="52">
        <v>0.92083333333333339</v>
      </c>
      <c r="G3929" s="53">
        <f t="shared" si="61"/>
        <v>1.1111111111111183E-2</v>
      </c>
      <c r="H3929" s="54">
        <v>41813</v>
      </c>
      <c r="I3929" s="55" t="s">
        <v>550</v>
      </c>
      <c r="J3929" s="55" t="s">
        <v>535</v>
      </c>
      <c r="K3929" s="55">
        <f>VLOOKUP(J3929,'Validacion reclamo de equipaje'!L:M,2,0)</f>
        <v>50</v>
      </c>
      <c r="L3929" s="55" t="str">
        <f>VLOOKUP(I3929,'Validacion reclamo de equipaje'!H:I,2,0)</f>
        <v>Nacional</v>
      </c>
      <c r="M3929" s="55" t="s">
        <v>615</v>
      </c>
    </row>
    <row r="3930" spans="1:13" x14ac:dyDescent="0.25">
      <c r="A3930">
        <v>2125</v>
      </c>
      <c r="B3930" s="47" t="str">
        <f>VLOOKUP(Tabla6[[#This Row],['# Vuelo]],'Validacion reclamo de equipaje'!P:Q,2,0)</f>
        <v>MEXICO AEREO</v>
      </c>
      <c r="C3930" s="48">
        <v>0.42152777777777778</v>
      </c>
      <c r="D3930" s="48">
        <v>0.4284722222222222</v>
      </c>
      <c r="E3930" s="49">
        <f>'Reclamo de equipaje rediseñado'!$D3930-'Reclamo de equipaje rediseñado'!$C3930</f>
        <v>6.9444444444444198E-3</v>
      </c>
      <c r="F3930" s="48">
        <v>0.42986111111111108</v>
      </c>
      <c r="G3930" s="49">
        <f t="shared" si="61"/>
        <v>1.388888888888884E-3</v>
      </c>
      <c r="H3930" s="50">
        <v>41791</v>
      </c>
      <c r="I3930" s="51" t="s">
        <v>550</v>
      </c>
      <c r="J3930" s="51" t="s">
        <v>535</v>
      </c>
      <c r="K3930" s="51">
        <f>VLOOKUP(J3930,'Validacion reclamo de equipaje'!L:M,2,0)</f>
        <v>50</v>
      </c>
      <c r="L3930" s="51" t="str">
        <f>VLOOKUP(I3930,'Validacion reclamo de equipaje'!H:I,2,0)</f>
        <v>Nacional</v>
      </c>
      <c r="M3930" s="51" t="s">
        <v>615</v>
      </c>
    </row>
    <row r="3931" spans="1:13" x14ac:dyDescent="0.25">
      <c r="A3931">
        <v>2125</v>
      </c>
      <c r="B3931" s="47" t="str">
        <f>VLOOKUP(Tabla6[[#This Row],['# Vuelo]],'Validacion reclamo de equipaje'!P:Q,2,0)</f>
        <v>MEXICO AEREO</v>
      </c>
      <c r="C3931" s="52">
        <v>0.42777777777777781</v>
      </c>
      <c r="D3931" s="52">
        <v>0.43055555555555558</v>
      </c>
      <c r="E3931" s="53">
        <f>'Reclamo de equipaje rediseñado'!$D3931-'Reclamo de equipaje rediseñado'!$C3931</f>
        <v>2.7777777777777679E-3</v>
      </c>
      <c r="F3931" s="52">
        <v>0.43402777777777773</v>
      </c>
      <c r="G3931" s="53">
        <f t="shared" si="61"/>
        <v>3.4722222222221544E-3</v>
      </c>
      <c r="H3931" s="54">
        <v>41792</v>
      </c>
      <c r="I3931" s="55" t="s">
        <v>550</v>
      </c>
      <c r="J3931" s="55" t="s">
        <v>535</v>
      </c>
      <c r="K3931" s="55">
        <f>VLOOKUP(J3931,'Validacion reclamo de equipaje'!L:M,2,0)</f>
        <v>50</v>
      </c>
      <c r="L3931" s="55" t="str">
        <f>VLOOKUP(I3931,'Validacion reclamo de equipaje'!H:I,2,0)</f>
        <v>Nacional</v>
      </c>
      <c r="M3931" s="55" t="s">
        <v>615</v>
      </c>
    </row>
    <row r="3932" spans="1:13" x14ac:dyDescent="0.25">
      <c r="A3932">
        <v>2125</v>
      </c>
      <c r="B3932" s="47" t="str">
        <f>VLOOKUP(Tabla6[[#This Row],['# Vuelo]],'Validacion reclamo de equipaje'!P:Q,2,0)</f>
        <v>MEXICO AEREO</v>
      </c>
      <c r="C3932" s="48">
        <v>0.41805555555555557</v>
      </c>
      <c r="D3932" s="48">
        <v>0.42222222222222222</v>
      </c>
      <c r="E3932" s="49">
        <f>'Reclamo de equipaje rediseñado'!$D3932-'Reclamo de equipaje rediseñado'!$C3932</f>
        <v>4.1666666666666519E-3</v>
      </c>
      <c r="F3932" s="48">
        <v>0.42708333333333331</v>
      </c>
      <c r="G3932" s="49">
        <f t="shared" si="61"/>
        <v>4.8611111111110938E-3</v>
      </c>
      <c r="H3932" s="50">
        <v>41793</v>
      </c>
      <c r="I3932" s="51" t="s">
        <v>550</v>
      </c>
      <c r="J3932" s="51" t="s">
        <v>535</v>
      </c>
      <c r="K3932" s="51">
        <f>VLOOKUP(J3932,'Validacion reclamo de equipaje'!L:M,2,0)</f>
        <v>50</v>
      </c>
      <c r="L3932" s="51" t="str">
        <f>VLOOKUP(I3932,'Validacion reclamo de equipaje'!H:I,2,0)</f>
        <v>Nacional</v>
      </c>
      <c r="M3932" s="51" t="s">
        <v>615</v>
      </c>
    </row>
    <row r="3933" spans="1:13" x14ac:dyDescent="0.25">
      <c r="A3933">
        <v>2125</v>
      </c>
      <c r="B3933" s="47" t="str">
        <f>VLOOKUP(Tabla6[[#This Row],['# Vuelo]],'Validacion reclamo de equipaje'!P:Q,2,0)</f>
        <v>MEXICO AEREO</v>
      </c>
      <c r="C3933" s="52">
        <v>0.60138888888888886</v>
      </c>
      <c r="D3933" s="52">
        <v>0.60416666666666663</v>
      </c>
      <c r="E3933" s="53">
        <f>'Reclamo de equipaje rediseñado'!$D3933-'Reclamo de equipaje rediseñado'!$C3933</f>
        <v>2.7777777777777679E-3</v>
      </c>
      <c r="F3933" s="52">
        <v>0.60763888888888895</v>
      </c>
      <c r="G3933" s="53">
        <f t="shared" si="61"/>
        <v>3.4722222222223209E-3</v>
      </c>
      <c r="H3933" s="54">
        <v>41794</v>
      </c>
      <c r="I3933" s="55" t="s">
        <v>550</v>
      </c>
      <c r="J3933" s="55" t="s">
        <v>535</v>
      </c>
      <c r="K3933" s="55">
        <f>VLOOKUP(J3933,'Validacion reclamo de equipaje'!L:M,2,0)</f>
        <v>50</v>
      </c>
      <c r="L3933" s="55" t="str">
        <f>VLOOKUP(I3933,'Validacion reclamo de equipaje'!H:I,2,0)</f>
        <v>Nacional</v>
      </c>
      <c r="M3933" s="55" t="s">
        <v>615</v>
      </c>
    </row>
    <row r="3934" spans="1:13" x14ac:dyDescent="0.25">
      <c r="A3934">
        <v>2125</v>
      </c>
      <c r="B3934" s="47" t="str">
        <f>VLOOKUP(Tabla6[[#This Row],['# Vuelo]],'Validacion reclamo de equipaje'!P:Q,2,0)</f>
        <v>MEXICO AEREO</v>
      </c>
      <c r="C3934" s="48">
        <v>0.42986111111111108</v>
      </c>
      <c r="D3934" s="48">
        <v>0.43263888888888885</v>
      </c>
      <c r="E3934" s="49">
        <f>'Reclamo de equipaje rediseñado'!$D3934-'Reclamo de equipaje rediseñado'!$C3934</f>
        <v>2.7777777777777679E-3</v>
      </c>
      <c r="F3934" s="48">
        <v>0.44097222222222227</v>
      </c>
      <c r="G3934" s="49">
        <f t="shared" si="61"/>
        <v>8.3333333333334147E-3</v>
      </c>
      <c r="H3934" s="50">
        <v>41795</v>
      </c>
      <c r="I3934" s="51" t="s">
        <v>550</v>
      </c>
      <c r="J3934" s="51" t="s">
        <v>535</v>
      </c>
      <c r="K3934" s="51">
        <f>VLOOKUP(J3934,'Validacion reclamo de equipaje'!L:M,2,0)</f>
        <v>50</v>
      </c>
      <c r="L3934" s="51" t="str">
        <f>VLOOKUP(I3934,'Validacion reclamo de equipaje'!H:I,2,0)</f>
        <v>Nacional</v>
      </c>
      <c r="M3934" s="51" t="s">
        <v>615</v>
      </c>
    </row>
    <row r="3935" spans="1:13" x14ac:dyDescent="0.25">
      <c r="A3935">
        <v>2125</v>
      </c>
      <c r="B3935" s="47" t="str">
        <f>VLOOKUP(Tabla6[[#This Row],['# Vuelo]],'Validacion reclamo de equipaje'!P:Q,2,0)</f>
        <v>MEXICO AEREO</v>
      </c>
      <c r="C3935" s="52">
        <v>0.42152777777777778</v>
      </c>
      <c r="D3935" s="52">
        <v>0.43124999999999997</v>
      </c>
      <c r="E3935" s="53">
        <f>'Reclamo de equipaje rediseñado'!$D3935-'Reclamo de equipaje rediseñado'!$C3935</f>
        <v>9.7222222222221877E-3</v>
      </c>
      <c r="F3935" s="52">
        <v>0.43402777777777773</v>
      </c>
      <c r="G3935" s="53">
        <f t="shared" si="61"/>
        <v>2.7777777777777679E-3</v>
      </c>
      <c r="H3935" s="54">
        <v>41796</v>
      </c>
      <c r="I3935" s="55" t="s">
        <v>550</v>
      </c>
      <c r="J3935" s="55" t="s">
        <v>535</v>
      </c>
      <c r="K3935" s="55">
        <f>VLOOKUP(J3935,'Validacion reclamo de equipaje'!L:M,2,0)</f>
        <v>50</v>
      </c>
      <c r="L3935" s="55" t="str">
        <f>VLOOKUP(I3935,'Validacion reclamo de equipaje'!H:I,2,0)</f>
        <v>Nacional</v>
      </c>
      <c r="M3935" s="55" t="s">
        <v>615</v>
      </c>
    </row>
    <row r="3936" spans="1:13" x14ac:dyDescent="0.25">
      <c r="A3936">
        <v>2125</v>
      </c>
      <c r="B3936" s="47" t="str">
        <f>VLOOKUP(Tabla6[[#This Row],['# Vuelo]],'Validacion reclamo de equipaje'!P:Q,2,0)</f>
        <v>MEXICO AEREO</v>
      </c>
      <c r="C3936" s="48">
        <v>0.42291666666666666</v>
      </c>
      <c r="D3936" s="48">
        <v>0.42708333333333331</v>
      </c>
      <c r="E3936" s="49">
        <f>'Reclamo de equipaje rediseñado'!$D3936-'Reclamo de equipaje rediseñado'!$C3936</f>
        <v>4.1666666666666519E-3</v>
      </c>
      <c r="F3936" s="48">
        <v>0.4368055555555555</v>
      </c>
      <c r="G3936" s="49">
        <f t="shared" si="61"/>
        <v>9.7222222222221877E-3</v>
      </c>
      <c r="H3936" s="50">
        <v>41798</v>
      </c>
      <c r="I3936" s="51" t="s">
        <v>550</v>
      </c>
      <c r="J3936" s="51" t="s">
        <v>535</v>
      </c>
      <c r="K3936" s="51">
        <f>VLOOKUP(J3936,'Validacion reclamo de equipaje'!L:M,2,0)</f>
        <v>50</v>
      </c>
      <c r="L3936" s="51" t="str">
        <f>VLOOKUP(I3936,'Validacion reclamo de equipaje'!H:I,2,0)</f>
        <v>Nacional</v>
      </c>
      <c r="M3936" s="51" t="s">
        <v>615</v>
      </c>
    </row>
    <row r="3937" spans="1:13" x14ac:dyDescent="0.25">
      <c r="A3937">
        <v>2125</v>
      </c>
      <c r="B3937" s="47" t="str">
        <f>VLOOKUP(Tabla6[[#This Row],['# Vuelo]],'Validacion reclamo de equipaje'!P:Q,2,0)</f>
        <v>MEXICO AEREO</v>
      </c>
      <c r="C3937" s="52">
        <v>0.42152777777777778</v>
      </c>
      <c r="D3937" s="52">
        <v>0.43055555555555558</v>
      </c>
      <c r="E3937" s="53">
        <f>'Reclamo de equipaje rediseñado'!$D3937-'Reclamo de equipaje rediseñado'!$C3937</f>
        <v>9.0277777777778012E-3</v>
      </c>
      <c r="F3937" s="52">
        <v>0.43194444444444446</v>
      </c>
      <c r="G3937" s="53">
        <f t="shared" si="61"/>
        <v>1.388888888888884E-3</v>
      </c>
      <c r="H3937" s="54">
        <v>41799</v>
      </c>
      <c r="I3937" s="55" t="s">
        <v>550</v>
      </c>
      <c r="J3937" s="55" t="s">
        <v>535</v>
      </c>
      <c r="K3937" s="55">
        <f>VLOOKUP(J3937,'Validacion reclamo de equipaje'!L:M,2,0)</f>
        <v>50</v>
      </c>
      <c r="L3937" s="55" t="str">
        <f>VLOOKUP(I3937,'Validacion reclamo de equipaje'!H:I,2,0)</f>
        <v>Nacional</v>
      </c>
      <c r="M3937" s="55" t="s">
        <v>615</v>
      </c>
    </row>
    <row r="3938" spans="1:13" x14ac:dyDescent="0.25">
      <c r="A3938">
        <v>2125</v>
      </c>
      <c r="B3938" s="47" t="str">
        <f>VLOOKUP(Tabla6[[#This Row],['# Vuelo]],'Validacion reclamo de equipaje'!P:Q,2,0)</f>
        <v>MEXICO AEREO</v>
      </c>
      <c r="C3938" s="48">
        <v>0.94305555555555554</v>
      </c>
      <c r="D3938" s="48">
        <v>0.95486111111111116</v>
      </c>
      <c r="E3938" s="49">
        <f>'Reclamo de equipaje rediseñado'!$D3938-'Reclamo de equipaje rediseñado'!$C3938</f>
        <v>1.1805555555555625E-2</v>
      </c>
      <c r="F3938" s="48">
        <v>0.96458333333333324</v>
      </c>
      <c r="G3938" s="49">
        <f t="shared" si="61"/>
        <v>9.7222222222220767E-3</v>
      </c>
      <c r="H3938" s="50">
        <v>41801</v>
      </c>
      <c r="I3938" s="51" t="s">
        <v>550</v>
      </c>
      <c r="J3938" s="51" t="s">
        <v>535</v>
      </c>
      <c r="K3938" s="51">
        <f>VLOOKUP(J3938,'Validacion reclamo de equipaje'!L:M,2,0)</f>
        <v>50</v>
      </c>
      <c r="L3938" s="51" t="str">
        <f>VLOOKUP(I3938,'Validacion reclamo de equipaje'!H:I,2,0)</f>
        <v>Nacional</v>
      </c>
      <c r="M3938" s="51" t="s">
        <v>615</v>
      </c>
    </row>
    <row r="3939" spans="1:13" x14ac:dyDescent="0.25">
      <c r="A3939">
        <v>2125</v>
      </c>
      <c r="B3939" s="47" t="str">
        <f>VLOOKUP(Tabla6[[#This Row],['# Vuelo]],'Validacion reclamo de equipaje'!P:Q,2,0)</f>
        <v>MEXICO AEREO</v>
      </c>
      <c r="C3939" s="52">
        <v>0.5444444444444444</v>
      </c>
      <c r="D3939" s="52">
        <v>0.54583333333333328</v>
      </c>
      <c r="E3939" s="53">
        <f>'Reclamo de equipaje rediseñado'!$D3939-'Reclamo de equipaje rediseñado'!$C3939</f>
        <v>1.388888888888884E-3</v>
      </c>
      <c r="F3939" s="52">
        <v>0.55069444444444449</v>
      </c>
      <c r="G3939" s="53">
        <f t="shared" si="61"/>
        <v>4.8611111111112049E-3</v>
      </c>
      <c r="H3939" s="54">
        <v>41801</v>
      </c>
      <c r="I3939" s="55" t="s">
        <v>550</v>
      </c>
      <c r="J3939" s="55" t="s">
        <v>535</v>
      </c>
      <c r="K3939" s="55">
        <f>VLOOKUP(J3939,'Validacion reclamo de equipaje'!L:M,2,0)</f>
        <v>50</v>
      </c>
      <c r="L3939" s="55" t="str">
        <f>VLOOKUP(I3939,'Validacion reclamo de equipaje'!H:I,2,0)</f>
        <v>Nacional</v>
      </c>
      <c r="M3939" s="55" t="s">
        <v>615</v>
      </c>
    </row>
    <row r="3940" spans="1:13" x14ac:dyDescent="0.25">
      <c r="A3940">
        <v>2125</v>
      </c>
      <c r="B3940" s="47" t="str">
        <f>VLOOKUP(Tabla6[[#This Row],['# Vuelo]],'Validacion reclamo de equipaje'!P:Q,2,0)</f>
        <v>MEXICO AEREO</v>
      </c>
      <c r="C3940" s="48">
        <v>0.23819444444444446</v>
      </c>
      <c r="D3940" s="48">
        <v>0.24444444444444446</v>
      </c>
      <c r="E3940" s="49">
        <f>'Reclamo de equipaje rediseñado'!$D3940-'Reclamo de equipaje rediseñado'!$C3940</f>
        <v>6.2500000000000056E-3</v>
      </c>
      <c r="F3940" s="48">
        <v>0.25</v>
      </c>
      <c r="G3940" s="49">
        <f t="shared" si="61"/>
        <v>5.5555555555555358E-3</v>
      </c>
      <c r="H3940" s="50">
        <v>41802</v>
      </c>
      <c r="I3940" s="51" t="s">
        <v>550</v>
      </c>
      <c r="J3940" s="51" t="s">
        <v>535</v>
      </c>
      <c r="K3940" s="51">
        <f>VLOOKUP(J3940,'Validacion reclamo de equipaje'!L:M,2,0)</f>
        <v>50</v>
      </c>
      <c r="L3940" s="51" t="str">
        <f>VLOOKUP(I3940,'Validacion reclamo de equipaje'!H:I,2,0)</f>
        <v>Nacional</v>
      </c>
      <c r="M3940" s="51" t="s">
        <v>615</v>
      </c>
    </row>
    <row r="3941" spans="1:13" x14ac:dyDescent="0.25">
      <c r="A3941">
        <v>2125</v>
      </c>
      <c r="B3941" s="47" t="str">
        <f>VLOOKUP(Tabla6[[#This Row],['# Vuelo]],'Validacion reclamo de equipaje'!P:Q,2,0)</f>
        <v>MEXICO AEREO</v>
      </c>
      <c r="C3941" s="52">
        <v>0.88680555555555562</v>
      </c>
      <c r="D3941" s="52">
        <v>0.90833333333333333</v>
      </c>
      <c r="E3941" s="53">
        <f>'Reclamo de equipaje rediseñado'!$D3941-'Reclamo de equipaje rediseñado'!$C3941</f>
        <v>2.1527777777777701E-2</v>
      </c>
      <c r="F3941" s="52">
        <v>0.91319444444444453</v>
      </c>
      <c r="G3941" s="53">
        <f t="shared" si="61"/>
        <v>4.8611111111112049E-3</v>
      </c>
      <c r="H3941" s="54">
        <v>41803</v>
      </c>
      <c r="I3941" s="55" t="s">
        <v>550</v>
      </c>
      <c r="J3941" s="55" t="s">
        <v>535</v>
      </c>
      <c r="K3941" s="55">
        <f>VLOOKUP(J3941,'Validacion reclamo de equipaje'!L:M,2,0)</f>
        <v>50</v>
      </c>
      <c r="L3941" s="55" t="str">
        <f>VLOOKUP(I3941,'Validacion reclamo de equipaje'!H:I,2,0)</f>
        <v>Nacional</v>
      </c>
      <c r="M3941" s="55" t="s">
        <v>615</v>
      </c>
    </row>
    <row r="3942" spans="1:13" x14ac:dyDescent="0.25">
      <c r="A3942">
        <v>2125</v>
      </c>
      <c r="B3942" s="47" t="str">
        <f>VLOOKUP(Tabla6[[#This Row],['# Vuelo]],'Validacion reclamo de equipaje'!P:Q,2,0)</f>
        <v>MEXICO AEREO</v>
      </c>
      <c r="C3942" s="48">
        <v>0.83750000000000002</v>
      </c>
      <c r="D3942" s="48">
        <v>0.84027777777777779</v>
      </c>
      <c r="E3942" s="49">
        <f>'Reclamo de equipaje rediseñado'!$D3942-'Reclamo de equipaje rediseñado'!$C3942</f>
        <v>2.7777777777777679E-3</v>
      </c>
      <c r="F3942" s="48">
        <v>0.86875000000000002</v>
      </c>
      <c r="G3942" s="49">
        <f t="shared" si="61"/>
        <v>2.8472222222222232E-2</v>
      </c>
      <c r="H3942" s="50">
        <v>41804</v>
      </c>
      <c r="I3942" s="51" t="s">
        <v>550</v>
      </c>
      <c r="J3942" s="51" t="s">
        <v>535</v>
      </c>
      <c r="K3942" s="51">
        <f>VLOOKUP(J3942,'Validacion reclamo de equipaje'!L:M,2,0)</f>
        <v>50</v>
      </c>
      <c r="L3942" s="51" t="str">
        <f>VLOOKUP(I3942,'Validacion reclamo de equipaje'!H:I,2,0)</f>
        <v>Nacional</v>
      </c>
      <c r="M3942" s="51" t="s">
        <v>615</v>
      </c>
    </row>
    <row r="3943" spans="1:13" x14ac:dyDescent="0.25">
      <c r="A3943">
        <v>2125</v>
      </c>
      <c r="B3943" s="47" t="str">
        <f>VLOOKUP(Tabla6[[#This Row],['# Vuelo]],'Validacion reclamo de equipaje'!P:Q,2,0)</f>
        <v>MEXICO AEREO</v>
      </c>
      <c r="C3943" s="52">
        <v>0.82708333333333339</v>
      </c>
      <c r="D3943" s="52">
        <v>0.83680555555555547</v>
      </c>
      <c r="E3943" s="53">
        <f>'Reclamo de equipaje rediseñado'!$D3943-'Reclamo de equipaje rediseñado'!$C3943</f>
        <v>9.7222222222220767E-3</v>
      </c>
      <c r="F3943" s="52">
        <v>0.8534722222222223</v>
      </c>
      <c r="G3943" s="53">
        <f t="shared" si="61"/>
        <v>1.6666666666666829E-2</v>
      </c>
      <c r="H3943" s="54">
        <v>41806</v>
      </c>
      <c r="I3943" s="55" t="s">
        <v>550</v>
      </c>
      <c r="J3943" s="55" t="s">
        <v>535</v>
      </c>
      <c r="K3943" s="55">
        <f>VLOOKUP(J3943,'Validacion reclamo de equipaje'!L:M,2,0)</f>
        <v>50</v>
      </c>
      <c r="L3943" s="55" t="str">
        <f>VLOOKUP(I3943,'Validacion reclamo de equipaje'!H:I,2,0)</f>
        <v>Nacional</v>
      </c>
      <c r="M3943" s="55" t="s">
        <v>615</v>
      </c>
    </row>
    <row r="3944" spans="1:13" x14ac:dyDescent="0.25">
      <c r="A3944">
        <v>2125</v>
      </c>
      <c r="B3944" s="47" t="str">
        <f>VLOOKUP(Tabla6[[#This Row],['# Vuelo]],'Validacion reclamo de equipaje'!P:Q,2,0)</f>
        <v>MEXICO AEREO</v>
      </c>
      <c r="C3944" s="48">
        <v>0.26250000000000001</v>
      </c>
      <c r="D3944" s="48">
        <v>0.27430555555555552</v>
      </c>
      <c r="E3944" s="49">
        <f>'Reclamo de equipaje rediseñado'!$D3944-'Reclamo de equipaje rediseñado'!$C3944</f>
        <v>1.1805555555555514E-2</v>
      </c>
      <c r="F3944" s="48">
        <v>0.29375000000000001</v>
      </c>
      <c r="G3944" s="49">
        <f t="shared" si="61"/>
        <v>1.9444444444444486E-2</v>
      </c>
      <c r="H3944" s="50">
        <v>41807</v>
      </c>
      <c r="I3944" s="51" t="s">
        <v>550</v>
      </c>
      <c r="J3944" s="51" t="s">
        <v>535</v>
      </c>
      <c r="K3944" s="51">
        <f>VLOOKUP(J3944,'Validacion reclamo de equipaje'!L:M,2,0)</f>
        <v>50</v>
      </c>
      <c r="L3944" s="51" t="str">
        <f>VLOOKUP(I3944,'Validacion reclamo de equipaje'!H:I,2,0)</f>
        <v>Nacional</v>
      </c>
      <c r="M3944" s="51" t="s">
        <v>615</v>
      </c>
    </row>
    <row r="3945" spans="1:13" x14ac:dyDescent="0.25">
      <c r="A3945">
        <v>2125</v>
      </c>
      <c r="B3945" s="47" t="str">
        <f>VLOOKUP(Tabla6[[#This Row],['# Vuelo]],'Validacion reclamo de equipaje'!P:Q,2,0)</f>
        <v>MEXICO AEREO</v>
      </c>
      <c r="C3945" s="52">
        <v>0.42708333333333331</v>
      </c>
      <c r="D3945" s="52">
        <v>0.43194444444444446</v>
      </c>
      <c r="E3945" s="53">
        <f>'Reclamo de equipaje rediseñado'!$D3945-'Reclamo de equipaje rediseñado'!$C3945</f>
        <v>4.8611111111111494E-3</v>
      </c>
      <c r="F3945" s="52">
        <v>0.43611111111111112</v>
      </c>
      <c r="G3945" s="53">
        <f t="shared" si="61"/>
        <v>4.1666666666666519E-3</v>
      </c>
      <c r="H3945" s="54">
        <v>41808</v>
      </c>
      <c r="I3945" s="55" t="s">
        <v>550</v>
      </c>
      <c r="J3945" s="55" t="s">
        <v>535</v>
      </c>
      <c r="K3945" s="55">
        <f>VLOOKUP(J3945,'Validacion reclamo de equipaje'!L:M,2,0)</f>
        <v>50</v>
      </c>
      <c r="L3945" s="55" t="str">
        <f>VLOOKUP(I3945,'Validacion reclamo de equipaje'!H:I,2,0)</f>
        <v>Nacional</v>
      </c>
      <c r="M3945" s="55" t="s">
        <v>615</v>
      </c>
    </row>
    <row r="3946" spans="1:13" x14ac:dyDescent="0.25">
      <c r="A3946">
        <v>2125</v>
      </c>
      <c r="B3946" s="47" t="str">
        <f>VLOOKUP(Tabla6[[#This Row],['# Vuelo]],'Validacion reclamo de equipaje'!P:Q,2,0)</f>
        <v>MEXICO AEREO</v>
      </c>
      <c r="C3946" s="48">
        <v>0.43124999999999997</v>
      </c>
      <c r="D3946" s="48">
        <v>0.43541666666666662</v>
      </c>
      <c r="E3946" s="49">
        <f>'Reclamo de equipaje rediseñado'!$D3946-'Reclamo de equipaje rediseñado'!$C3946</f>
        <v>4.1666666666666519E-3</v>
      </c>
      <c r="F3946" s="48">
        <v>0.44027777777777777</v>
      </c>
      <c r="G3946" s="49">
        <f t="shared" si="61"/>
        <v>4.8611111111111494E-3</v>
      </c>
      <c r="H3946" s="50">
        <v>41809</v>
      </c>
      <c r="I3946" s="51" t="s">
        <v>550</v>
      </c>
      <c r="J3946" s="51" t="s">
        <v>535</v>
      </c>
      <c r="K3946" s="51">
        <f>VLOOKUP(J3946,'Validacion reclamo de equipaje'!L:M,2,0)</f>
        <v>50</v>
      </c>
      <c r="L3946" s="51" t="str">
        <f>VLOOKUP(I3946,'Validacion reclamo de equipaje'!H:I,2,0)</f>
        <v>Nacional</v>
      </c>
      <c r="M3946" s="51" t="s">
        <v>615</v>
      </c>
    </row>
    <row r="3947" spans="1:13" x14ac:dyDescent="0.25">
      <c r="A3947">
        <v>2125</v>
      </c>
      <c r="B3947" s="47" t="str">
        <f>VLOOKUP(Tabla6[[#This Row],['# Vuelo]],'Validacion reclamo de equipaje'!P:Q,2,0)</f>
        <v>MEXICO AEREO</v>
      </c>
      <c r="C3947" s="52">
        <v>0.4513888888888889</v>
      </c>
      <c r="D3947" s="52">
        <v>0.45833333333333331</v>
      </c>
      <c r="E3947" s="53">
        <f>'Reclamo de equipaje rediseñado'!$D3947-'Reclamo de equipaje rediseñado'!$C3947</f>
        <v>6.9444444444444198E-3</v>
      </c>
      <c r="F3947" s="52">
        <v>0.4604166666666667</v>
      </c>
      <c r="G3947" s="53">
        <f t="shared" si="61"/>
        <v>2.0833333333333814E-3</v>
      </c>
      <c r="H3947" s="54">
        <v>41810</v>
      </c>
      <c r="I3947" s="55" t="s">
        <v>550</v>
      </c>
      <c r="J3947" s="55" t="s">
        <v>535</v>
      </c>
      <c r="K3947" s="55">
        <f>VLOOKUP(J3947,'Validacion reclamo de equipaje'!L:M,2,0)</f>
        <v>50</v>
      </c>
      <c r="L3947" s="55" t="str">
        <f>VLOOKUP(I3947,'Validacion reclamo de equipaje'!H:I,2,0)</f>
        <v>Nacional</v>
      </c>
      <c r="M3947" s="55" t="s">
        <v>615</v>
      </c>
    </row>
    <row r="3948" spans="1:13" x14ac:dyDescent="0.25">
      <c r="A3948">
        <v>2125</v>
      </c>
      <c r="B3948" s="47" t="str">
        <f>VLOOKUP(Tabla6[[#This Row],['# Vuelo]],'Validacion reclamo de equipaje'!P:Q,2,0)</f>
        <v>MEXICO AEREO</v>
      </c>
      <c r="C3948" s="48">
        <v>0.42152777777777778</v>
      </c>
      <c r="D3948" s="48">
        <v>0.42708333333333331</v>
      </c>
      <c r="E3948" s="49">
        <f>'Reclamo de equipaje rediseñado'!$D3948-'Reclamo de equipaje rediseñado'!$C3948</f>
        <v>5.5555555555555358E-3</v>
      </c>
      <c r="F3948" s="48">
        <v>0.4284722222222222</v>
      </c>
      <c r="G3948" s="49">
        <f t="shared" si="61"/>
        <v>1.388888888888884E-3</v>
      </c>
      <c r="H3948" s="50">
        <v>41811</v>
      </c>
      <c r="I3948" s="51" t="s">
        <v>550</v>
      </c>
      <c r="J3948" s="51" t="s">
        <v>535</v>
      </c>
      <c r="K3948" s="51">
        <f>VLOOKUP(J3948,'Validacion reclamo de equipaje'!L:M,2,0)</f>
        <v>50</v>
      </c>
      <c r="L3948" s="51" t="str">
        <f>VLOOKUP(I3948,'Validacion reclamo de equipaje'!H:I,2,0)</f>
        <v>Nacional</v>
      </c>
      <c r="M3948" s="51" t="s">
        <v>615</v>
      </c>
    </row>
    <row r="3949" spans="1:13" x14ac:dyDescent="0.25">
      <c r="A3949">
        <v>2125</v>
      </c>
      <c r="B3949" s="47" t="str">
        <f>VLOOKUP(Tabla6[[#This Row],['# Vuelo]],'Validacion reclamo de equipaje'!P:Q,2,0)</f>
        <v>MEXICO AEREO</v>
      </c>
      <c r="C3949" s="52">
        <v>0.4236111111111111</v>
      </c>
      <c r="D3949" s="52">
        <v>0.42638888888888887</v>
      </c>
      <c r="E3949" s="53">
        <f>'Reclamo de equipaje rediseñado'!$D3949-'Reclamo de equipaje rediseñado'!$C3949</f>
        <v>2.7777777777777679E-3</v>
      </c>
      <c r="F3949" s="52">
        <v>0.43055555555555558</v>
      </c>
      <c r="G3949" s="53">
        <f t="shared" si="61"/>
        <v>4.1666666666667074E-3</v>
      </c>
      <c r="H3949" s="54">
        <v>41813</v>
      </c>
      <c r="I3949" s="55" t="s">
        <v>550</v>
      </c>
      <c r="J3949" s="55" t="s">
        <v>535</v>
      </c>
      <c r="K3949" s="55">
        <f>VLOOKUP(J3949,'Validacion reclamo de equipaje'!L:M,2,0)</f>
        <v>50</v>
      </c>
      <c r="L3949" s="55" t="str">
        <f>VLOOKUP(I3949,'Validacion reclamo de equipaje'!H:I,2,0)</f>
        <v>Nacional</v>
      </c>
      <c r="M3949" s="55" t="s">
        <v>615</v>
      </c>
    </row>
    <row r="3950" spans="1:13" x14ac:dyDescent="0.25">
      <c r="A3950">
        <v>2119</v>
      </c>
      <c r="B3950" s="47" t="str">
        <f>VLOOKUP(Tabla6[[#This Row],['# Vuelo]],'Validacion reclamo de equipaje'!P:Q,2,0)</f>
        <v>MEXICO AEREO</v>
      </c>
      <c r="C3950" s="48">
        <v>0.67708333333333337</v>
      </c>
      <c r="D3950" s="48">
        <v>0.68402777777777779</v>
      </c>
      <c r="E3950" s="49">
        <f>'Reclamo de equipaje rediseñado'!$D3950-'Reclamo de equipaje rediseñado'!$C3950</f>
        <v>6.9444444444444198E-3</v>
      </c>
      <c r="F3950" s="48">
        <v>0.68958333333333333</v>
      </c>
      <c r="G3950" s="49">
        <f t="shared" si="61"/>
        <v>5.5555555555555358E-3</v>
      </c>
      <c r="H3950" s="50">
        <v>41791</v>
      </c>
      <c r="I3950" s="51" t="s">
        <v>557</v>
      </c>
      <c r="J3950" s="51" t="s">
        <v>535</v>
      </c>
      <c r="K3950" s="51">
        <f>VLOOKUP(J3950,'Validacion reclamo de equipaje'!L:M,2,0)</f>
        <v>50</v>
      </c>
      <c r="L3950" s="51" t="str">
        <f>VLOOKUP(I3950,'Validacion reclamo de equipaje'!H:I,2,0)</f>
        <v>Nacional</v>
      </c>
      <c r="M3950" s="51" t="s">
        <v>615</v>
      </c>
    </row>
    <row r="3951" spans="1:13" x14ac:dyDescent="0.25">
      <c r="A3951">
        <v>2119</v>
      </c>
      <c r="B3951" s="47" t="str">
        <f>VLOOKUP(Tabla6[[#This Row],['# Vuelo]],'Validacion reclamo de equipaje'!P:Q,2,0)</f>
        <v>MEXICO AEREO</v>
      </c>
      <c r="C3951" s="52">
        <v>0.67361111111111116</v>
      </c>
      <c r="D3951" s="52">
        <v>0.6791666666666667</v>
      </c>
      <c r="E3951" s="53">
        <f>'Reclamo de equipaje rediseñado'!$D3951-'Reclamo de equipaje rediseñado'!$C3951</f>
        <v>5.5555555555555358E-3</v>
      </c>
      <c r="F3951" s="52">
        <v>0.68055555555555547</v>
      </c>
      <c r="G3951" s="53">
        <f t="shared" si="61"/>
        <v>1.3888888888887729E-3</v>
      </c>
      <c r="H3951" s="54">
        <v>41792</v>
      </c>
      <c r="I3951" s="55" t="s">
        <v>557</v>
      </c>
      <c r="J3951" s="55" t="s">
        <v>535</v>
      </c>
      <c r="K3951" s="55">
        <f>VLOOKUP(J3951,'Validacion reclamo de equipaje'!L:M,2,0)</f>
        <v>50</v>
      </c>
      <c r="L3951" s="55" t="str">
        <f>VLOOKUP(I3951,'Validacion reclamo de equipaje'!H:I,2,0)</f>
        <v>Nacional</v>
      </c>
      <c r="M3951" s="55" t="s">
        <v>615</v>
      </c>
    </row>
    <row r="3952" spans="1:13" x14ac:dyDescent="0.25">
      <c r="A3952">
        <v>2119</v>
      </c>
      <c r="B3952" s="47" t="str">
        <f>VLOOKUP(Tabla6[[#This Row],['# Vuelo]],'Validacion reclamo de equipaje'!P:Q,2,0)</f>
        <v>MEXICO AEREO</v>
      </c>
      <c r="C3952" s="48">
        <v>0.68611111111111101</v>
      </c>
      <c r="D3952" s="48">
        <v>0.69305555555555554</v>
      </c>
      <c r="E3952" s="49">
        <f>'Reclamo de equipaje rediseñado'!$D3952-'Reclamo de equipaje rediseñado'!$C3952</f>
        <v>6.9444444444445308E-3</v>
      </c>
      <c r="F3952" s="48">
        <v>0.6958333333333333</v>
      </c>
      <c r="G3952" s="49">
        <f t="shared" si="61"/>
        <v>2.7777777777777679E-3</v>
      </c>
      <c r="H3952" s="50">
        <v>41793</v>
      </c>
      <c r="I3952" s="51" t="s">
        <v>557</v>
      </c>
      <c r="J3952" s="51" t="s">
        <v>535</v>
      </c>
      <c r="K3952" s="51">
        <f>VLOOKUP(J3952,'Validacion reclamo de equipaje'!L:M,2,0)</f>
        <v>50</v>
      </c>
      <c r="L3952" s="51" t="str">
        <f>VLOOKUP(I3952,'Validacion reclamo de equipaje'!H:I,2,0)</f>
        <v>Nacional</v>
      </c>
      <c r="M3952" s="51" t="s">
        <v>615</v>
      </c>
    </row>
    <row r="3953" spans="1:13" x14ac:dyDescent="0.25">
      <c r="A3953">
        <v>2119</v>
      </c>
      <c r="B3953" s="47" t="str">
        <f>VLOOKUP(Tabla6[[#This Row],['# Vuelo]],'Validacion reclamo de equipaje'!P:Q,2,0)</f>
        <v>MEXICO AEREO</v>
      </c>
      <c r="C3953" s="52">
        <v>0.67499999999999993</v>
      </c>
      <c r="D3953" s="52">
        <v>0.67986111111111114</v>
      </c>
      <c r="E3953" s="53">
        <f>'Reclamo de equipaje rediseñado'!$D3953-'Reclamo de equipaje rediseñado'!$C3953</f>
        <v>4.8611111111112049E-3</v>
      </c>
      <c r="F3953" s="52">
        <v>0.68263888888888891</v>
      </c>
      <c r="G3953" s="53">
        <f t="shared" si="61"/>
        <v>2.7777777777777679E-3</v>
      </c>
      <c r="H3953" s="54">
        <v>41794</v>
      </c>
      <c r="I3953" s="55" t="s">
        <v>557</v>
      </c>
      <c r="J3953" s="55" t="s">
        <v>535</v>
      </c>
      <c r="K3953" s="55">
        <f>VLOOKUP(J3953,'Validacion reclamo de equipaje'!L:M,2,0)</f>
        <v>50</v>
      </c>
      <c r="L3953" s="55" t="str">
        <f>VLOOKUP(I3953,'Validacion reclamo de equipaje'!H:I,2,0)</f>
        <v>Nacional</v>
      </c>
      <c r="M3953" s="55" t="s">
        <v>615</v>
      </c>
    </row>
    <row r="3954" spans="1:13" x14ac:dyDescent="0.25">
      <c r="A3954">
        <v>2119</v>
      </c>
      <c r="B3954" s="47" t="str">
        <f>VLOOKUP(Tabla6[[#This Row],['# Vuelo]],'Validacion reclamo de equipaje'!P:Q,2,0)</f>
        <v>MEXICO AEREO</v>
      </c>
      <c r="C3954" s="48">
        <v>0.67708333333333337</v>
      </c>
      <c r="D3954" s="48">
        <v>0.68263888888888891</v>
      </c>
      <c r="E3954" s="49">
        <f>'Reclamo de equipaje rediseñado'!$D3954-'Reclamo de equipaje rediseñado'!$C3954</f>
        <v>5.5555555555555358E-3</v>
      </c>
      <c r="F3954" s="48">
        <v>0.68958333333333333</v>
      </c>
      <c r="G3954" s="49">
        <f t="shared" si="61"/>
        <v>6.9444444444444198E-3</v>
      </c>
      <c r="H3954" s="50">
        <v>41795</v>
      </c>
      <c r="I3954" s="51" t="s">
        <v>557</v>
      </c>
      <c r="J3954" s="51" t="s">
        <v>535</v>
      </c>
      <c r="K3954" s="51">
        <f>VLOOKUP(J3954,'Validacion reclamo de equipaje'!L:M,2,0)</f>
        <v>50</v>
      </c>
      <c r="L3954" s="51" t="str">
        <f>VLOOKUP(I3954,'Validacion reclamo de equipaje'!H:I,2,0)</f>
        <v>Nacional</v>
      </c>
      <c r="M3954" s="51" t="s">
        <v>615</v>
      </c>
    </row>
    <row r="3955" spans="1:13" x14ac:dyDescent="0.25">
      <c r="A3955">
        <v>2119</v>
      </c>
      <c r="B3955" s="47" t="str">
        <f>VLOOKUP(Tabla6[[#This Row],['# Vuelo]],'Validacion reclamo de equipaje'!P:Q,2,0)</f>
        <v>MEXICO AEREO</v>
      </c>
      <c r="C3955" s="52">
        <v>0.67222222222222217</v>
      </c>
      <c r="D3955" s="52">
        <v>0.68055555555555547</v>
      </c>
      <c r="E3955" s="53">
        <f>'Reclamo de equipaje rediseñado'!$D3955-'Reclamo de equipaje rediseñado'!$C3955</f>
        <v>8.3333333333333037E-3</v>
      </c>
      <c r="F3955" s="52">
        <v>0.68125000000000002</v>
      </c>
      <c r="G3955" s="53">
        <f t="shared" si="61"/>
        <v>6.94444444444553E-4</v>
      </c>
      <c r="H3955" s="54">
        <v>41797</v>
      </c>
      <c r="I3955" s="55" t="s">
        <v>557</v>
      </c>
      <c r="J3955" s="55" t="s">
        <v>535</v>
      </c>
      <c r="K3955" s="55">
        <f>VLOOKUP(J3955,'Validacion reclamo de equipaje'!L:M,2,0)</f>
        <v>50</v>
      </c>
      <c r="L3955" s="55" t="str">
        <f>VLOOKUP(I3955,'Validacion reclamo de equipaje'!H:I,2,0)</f>
        <v>Nacional</v>
      </c>
      <c r="M3955" s="55" t="s">
        <v>615</v>
      </c>
    </row>
    <row r="3956" spans="1:13" x14ac:dyDescent="0.25">
      <c r="A3956">
        <v>2119</v>
      </c>
      <c r="B3956" s="47" t="str">
        <f>VLOOKUP(Tabla6[[#This Row],['# Vuelo]],'Validacion reclamo de equipaje'!P:Q,2,0)</f>
        <v>MEXICO AEREO</v>
      </c>
      <c r="C3956" s="48">
        <v>0.68055555555555547</v>
      </c>
      <c r="D3956" s="48">
        <v>0.68402777777777779</v>
      </c>
      <c r="E3956" s="49">
        <f>'Reclamo de equipaje rediseñado'!$D3956-'Reclamo de equipaje rediseñado'!$C3956</f>
        <v>3.4722222222223209E-3</v>
      </c>
      <c r="F3956" s="48">
        <v>0.68888888888888899</v>
      </c>
      <c r="G3956" s="49">
        <f t="shared" si="61"/>
        <v>4.8611111111112049E-3</v>
      </c>
      <c r="H3956" s="50">
        <v>41798</v>
      </c>
      <c r="I3956" s="51" t="s">
        <v>557</v>
      </c>
      <c r="J3956" s="51" t="s">
        <v>535</v>
      </c>
      <c r="K3956" s="51">
        <f>VLOOKUP(J3956,'Validacion reclamo de equipaje'!L:M,2,0)</f>
        <v>50</v>
      </c>
      <c r="L3956" s="51" t="str">
        <f>VLOOKUP(I3956,'Validacion reclamo de equipaje'!H:I,2,0)</f>
        <v>Nacional</v>
      </c>
      <c r="M3956" s="51" t="s">
        <v>615</v>
      </c>
    </row>
    <row r="3957" spans="1:13" x14ac:dyDescent="0.25">
      <c r="A3957">
        <v>2119</v>
      </c>
      <c r="B3957" s="47" t="str">
        <f>VLOOKUP(Tabla6[[#This Row],['# Vuelo]],'Validacion reclamo de equipaje'!P:Q,2,0)</f>
        <v>MEXICO AEREO</v>
      </c>
      <c r="C3957" s="52">
        <v>0.7090277777777777</v>
      </c>
      <c r="D3957" s="52">
        <v>0.7104166666666667</v>
      </c>
      <c r="E3957" s="53">
        <f>'Reclamo de equipaje rediseñado'!$D3957-'Reclamo de equipaje rediseñado'!$C3957</f>
        <v>1.388888888888995E-3</v>
      </c>
      <c r="F3957" s="52">
        <v>0.71736111111111101</v>
      </c>
      <c r="G3957" s="53">
        <f t="shared" si="61"/>
        <v>6.9444444444443088E-3</v>
      </c>
      <c r="H3957" s="54">
        <v>41799</v>
      </c>
      <c r="I3957" s="55" t="s">
        <v>557</v>
      </c>
      <c r="J3957" s="55" t="s">
        <v>535</v>
      </c>
      <c r="K3957" s="55">
        <f>VLOOKUP(J3957,'Validacion reclamo de equipaje'!L:M,2,0)</f>
        <v>50</v>
      </c>
      <c r="L3957" s="55" t="str">
        <f>VLOOKUP(I3957,'Validacion reclamo de equipaje'!H:I,2,0)</f>
        <v>Nacional</v>
      </c>
      <c r="M3957" s="55" t="s">
        <v>615</v>
      </c>
    </row>
    <row r="3958" spans="1:13" x14ac:dyDescent="0.25">
      <c r="A3958">
        <v>2119</v>
      </c>
      <c r="B3958" s="47" t="str">
        <f>VLOOKUP(Tabla6[[#This Row],['# Vuelo]],'Validacion reclamo de equipaje'!P:Q,2,0)</f>
        <v>MEXICO AEREO</v>
      </c>
      <c r="C3958" s="48">
        <v>0.59027777777777779</v>
      </c>
      <c r="D3958" s="48">
        <v>0.59722222222222221</v>
      </c>
      <c r="E3958" s="49">
        <f>'Reclamo de equipaje rediseñado'!$D3958-'Reclamo de equipaje rediseñado'!$C3958</f>
        <v>6.9444444444444198E-3</v>
      </c>
      <c r="F3958" s="48">
        <v>0.60347222222222219</v>
      </c>
      <c r="G3958" s="49">
        <f t="shared" si="61"/>
        <v>6.2499999999999778E-3</v>
      </c>
      <c r="H3958" s="50">
        <v>41801</v>
      </c>
      <c r="I3958" s="51" t="s">
        <v>557</v>
      </c>
      <c r="J3958" s="51" t="s">
        <v>535</v>
      </c>
      <c r="K3958" s="51">
        <f>VLOOKUP(J3958,'Validacion reclamo de equipaje'!L:M,2,0)</f>
        <v>50</v>
      </c>
      <c r="L3958" s="51" t="str">
        <f>VLOOKUP(I3958,'Validacion reclamo de equipaje'!H:I,2,0)</f>
        <v>Nacional</v>
      </c>
      <c r="M3958" s="51" t="s">
        <v>615</v>
      </c>
    </row>
    <row r="3959" spans="1:13" x14ac:dyDescent="0.25">
      <c r="A3959">
        <v>2119</v>
      </c>
      <c r="B3959" s="47" t="str">
        <f>VLOOKUP(Tabla6[[#This Row],['# Vuelo]],'Validacion reclamo de equipaje'!P:Q,2,0)</f>
        <v>MEXICO AEREO</v>
      </c>
      <c r="C3959" s="52">
        <v>0.84791666666666676</v>
      </c>
      <c r="D3959" s="52">
        <v>0.8569444444444444</v>
      </c>
      <c r="E3959" s="53">
        <f>'Reclamo de equipaje rediseñado'!$D3959-'Reclamo de equipaje rediseñado'!$C3959</f>
        <v>9.0277777777776347E-3</v>
      </c>
      <c r="F3959" s="52">
        <v>0.875</v>
      </c>
      <c r="G3959" s="53">
        <f t="shared" si="61"/>
        <v>1.8055555555555602E-2</v>
      </c>
      <c r="H3959" s="54">
        <v>41801</v>
      </c>
      <c r="I3959" s="55" t="s">
        <v>557</v>
      </c>
      <c r="J3959" s="55" t="s">
        <v>535</v>
      </c>
      <c r="K3959" s="55">
        <f>VLOOKUP(J3959,'Validacion reclamo de equipaje'!L:M,2,0)</f>
        <v>50</v>
      </c>
      <c r="L3959" s="55" t="str">
        <f>VLOOKUP(I3959,'Validacion reclamo de equipaje'!H:I,2,0)</f>
        <v>Nacional</v>
      </c>
      <c r="M3959" s="55" t="s">
        <v>615</v>
      </c>
    </row>
    <row r="3960" spans="1:13" x14ac:dyDescent="0.25">
      <c r="A3960">
        <v>2119</v>
      </c>
      <c r="B3960" s="47" t="str">
        <f>VLOOKUP(Tabla6[[#This Row],['# Vuelo]],'Validacion reclamo de equipaje'!P:Q,2,0)</f>
        <v>MEXICO AEREO</v>
      </c>
      <c r="C3960" s="48">
        <v>0.26250000000000001</v>
      </c>
      <c r="D3960" s="48">
        <v>0.27291666666666664</v>
      </c>
      <c r="E3960" s="49">
        <f>'Reclamo de equipaje rediseñado'!$D3960-'Reclamo de equipaje rediseñado'!$C3960</f>
        <v>1.041666666666663E-2</v>
      </c>
      <c r="F3960" s="48">
        <v>0.28750000000000003</v>
      </c>
      <c r="G3960" s="49">
        <f t="shared" si="61"/>
        <v>1.4583333333333393E-2</v>
      </c>
      <c r="H3960" s="50">
        <v>41802</v>
      </c>
      <c r="I3960" s="51" t="s">
        <v>557</v>
      </c>
      <c r="J3960" s="51" t="s">
        <v>535</v>
      </c>
      <c r="K3960" s="51">
        <f>VLOOKUP(J3960,'Validacion reclamo de equipaje'!L:M,2,0)</f>
        <v>50</v>
      </c>
      <c r="L3960" s="51" t="str">
        <f>VLOOKUP(I3960,'Validacion reclamo de equipaje'!H:I,2,0)</f>
        <v>Nacional</v>
      </c>
      <c r="M3960" s="51" t="s">
        <v>615</v>
      </c>
    </row>
    <row r="3961" spans="1:13" x14ac:dyDescent="0.25">
      <c r="A3961">
        <v>2119</v>
      </c>
      <c r="B3961" s="47" t="str">
        <f>VLOOKUP(Tabla6[[#This Row],['# Vuelo]],'Validacion reclamo de equipaje'!P:Q,2,0)</f>
        <v>MEXICO AEREO</v>
      </c>
      <c r="C3961" s="52">
        <v>0.54513888888888895</v>
      </c>
      <c r="D3961" s="52">
        <v>0.55138888888888882</v>
      </c>
      <c r="E3961" s="53">
        <f>'Reclamo de equipaje rediseñado'!$D3961-'Reclamo de equipaje rediseñado'!$C3961</f>
        <v>6.2499999999998668E-3</v>
      </c>
      <c r="F3961" s="52">
        <v>0.55555555555555558</v>
      </c>
      <c r="G3961" s="53">
        <f t="shared" si="61"/>
        <v>4.1666666666667629E-3</v>
      </c>
      <c r="H3961" s="54">
        <v>41805</v>
      </c>
      <c r="I3961" s="55" t="s">
        <v>557</v>
      </c>
      <c r="J3961" s="55" t="s">
        <v>535</v>
      </c>
      <c r="K3961" s="55">
        <f>VLOOKUP(J3961,'Validacion reclamo de equipaje'!L:M,2,0)</f>
        <v>50</v>
      </c>
      <c r="L3961" s="55" t="str">
        <f>VLOOKUP(I3961,'Validacion reclamo de equipaje'!H:I,2,0)</f>
        <v>Nacional</v>
      </c>
      <c r="M3961" s="55" t="s">
        <v>615</v>
      </c>
    </row>
    <row r="3962" spans="1:13" x14ac:dyDescent="0.25">
      <c r="A3962">
        <v>2119</v>
      </c>
      <c r="B3962" s="47" t="str">
        <f>VLOOKUP(Tabla6[[#This Row],['# Vuelo]],'Validacion reclamo de equipaje'!P:Q,2,0)</f>
        <v>MEXICO AEREO</v>
      </c>
      <c r="C3962" s="48">
        <v>0.76874999999999993</v>
      </c>
      <c r="D3962" s="48">
        <v>0.77777777777777779</v>
      </c>
      <c r="E3962" s="49">
        <f>'Reclamo de equipaje rediseñado'!$D3962-'Reclamo de equipaje rediseñado'!$C3962</f>
        <v>9.0277777777778567E-3</v>
      </c>
      <c r="F3962" s="48">
        <v>0.78888888888888886</v>
      </c>
      <c r="G3962" s="49">
        <f t="shared" si="61"/>
        <v>1.1111111111111072E-2</v>
      </c>
      <c r="H3962" s="50">
        <v>41806</v>
      </c>
      <c r="I3962" s="51" t="s">
        <v>557</v>
      </c>
      <c r="J3962" s="51" t="s">
        <v>535</v>
      </c>
      <c r="K3962" s="51">
        <f>VLOOKUP(J3962,'Validacion reclamo de equipaje'!L:M,2,0)</f>
        <v>50</v>
      </c>
      <c r="L3962" s="51" t="str">
        <f>VLOOKUP(I3962,'Validacion reclamo de equipaje'!H:I,2,0)</f>
        <v>Nacional</v>
      </c>
      <c r="M3962" s="51" t="s">
        <v>615</v>
      </c>
    </row>
    <row r="3963" spans="1:13" x14ac:dyDescent="0.25">
      <c r="A3963">
        <v>2119</v>
      </c>
      <c r="B3963" s="47" t="str">
        <f>VLOOKUP(Tabla6[[#This Row],['# Vuelo]],'Validacion reclamo de equipaje'!P:Q,2,0)</f>
        <v>MEXICO AEREO</v>
      </c>
      <c r="C3963" s="52">
        <v>0.67152777777777783</v>
      </c>
      <c r="D3963" s="52">
        <v>0.67847222222222225</v>
      </c>
      <c r="E3963" s="53">
        <f>'Reclamo de equipaje rediseñado'!$D3963-'Reclamo de equipaje rediseñado'!$C3963</f>
        <v>6.9444444444444198E-3</v>
      </c>
      <c r="F3963" s="52">
        <v>0.69930555555555562</v>
      </c>
      <c r="G3963" s="53">
        <f t="shared" si="61"/>
        <v>2.083333333333337E-2</v>
      </c>
      <c r="H3963" s="54">
        <v>41807</v>
      </c>
      <c r="I3963" s="55" t="s">
        <v>557</v>
      </c>
      <c r="J3963" s="55" t="s">
        <v>535</v>
      </c>
      <c r="K3963" s="55">
        <f>VLOOKUP(J3963,'Validacion reclamo de equipaje'!L:M,2,0)</f>
        <v>50</v>
      </c>
      <c r="L3963" s="55" t="str">
        <f>VLOOKUP(I3963,'Validacion reclamo de equipaje'!H:I,2,0)</f>
        <v>Nacional</v>
      </c>
      <c r="M3963" s="55" t="s">
        <v>615</v>
      </c>
    </row>
    <row r="3964" spans="1:13" x14ac:dyDescent="0.25">
      <c r="A3964">
        <v>2119</v>
      </c>
      <c r="B3964" s="47" t="str">
        <f>VLOOKUP(Tabla6[[#This Row],['# Vuelo]],'Validacion reclamo de equipaje'!P:Q,2,0)</f>
        <v>MEXICO AEREO</v>
      </c>
      <c r="C3964" s="48">
        <v>0.71597222222222223</v>
      </c>
      <c r="D3964" s="48">
        <v>0.72499999999999998</v>
      </c>
      <c r="E3964" s="49">
        <f>'Reclamo de equipaje rediseñado'!$D3964-'Reclamo de equipaje rediseñado'!$C3964</f>
        <v>9.0277777777777457E-3</v>
      </c>
      <c r="F3964" s="48">
        <v>0.72916666666666663</v>
      </c>
      <c r="G3964" s="49">
        <f t="shared" si="61"/>
        <v>4.1666666666666519E-3</v>
      </c>
      <c r="H3964" s="50">
        <v>41808</v>
      </c>
      <c r="I3964" s="51" t="s">
        <v>557</v>
      </c>
      <c r="J3964" s="51" t="s">
        <v>535</v>
      </c>
      <c r="K3964" s="51">
        <f>VLOOKUP(J3964,'Validacion reclamo de equipaje'!L:M,2,0)</f>
        <v>50</v>
      </c>
      <c r="L3964" s="51" t="str">
        <f>VLOOKUP(I3964,'Validacion reclamo de equipaje'!H:I,2,0)</f>
        <v>Nacional</v>
      </c>
      <c r="M3964" s="51" t="s">
        <v>615</v>
      </c>
    </row>
    <row r="3965" spans="1:13" x14ac:dyDescent="0.25">
      <c r="A3965">
        <v>2119</v>
      </c>
      <c r="B3965" s="47" t="str">
        <f>VLOOKUP(Tabla6[[#This Row],['# Vuelo]],'Validacion reclamo de equipaje'!P:Q,2,0)</f>
        <v>MEXICO AEREO</v>
      </c>
      <c r="C3965" s="52">
        <v>0.71666666666666667</v>
      </c>
      <c r="D3965" s="52">
        <v>0.72083333333333333</v>
      </c>
      <c r="E3965" s="53">
        <f>'Reclamo de equipaje rediseñado'!$D3965-'Reclamo de equipaje rediseñado'!$C3965</f>
        <v>4.1666666666666519E-3</v>
      </c>
      <c r="F3965" s="52">
        <v>0.72361111111111109</v>
      </c>
      <c r="G3965" s="53">
        <f t="shared" si="61"/>
        <v>2.7777777777777679E-3</v>
      </c>
      <c r="H3965" s="54">
        <v>41809</v>
      </c>
      <c r="I3965" s="55" t="s">
        <v>557</v>
      </c>
      <c r="J3965" s="55" t="s">
        <v>535</v>
      </c>
      <c r="K3965" s="55">
        <f>VLOOKUP(J3965,'Validacion reclamo de equipaje'!L:M,2,0)</f>
        <v>50</v>
      </c>
      <c r="L3965" s="55" t="str">
        <f>VLOOKUP(I3965,'Validacion reclamo de equipaje'!H:I,2,0)</f>
        <v>Nacional</v>
      </c>
      <c r="M3965" s="55" t="s">
        <v>615</v>
      </c>
    </row>
    <row r="3966" spans="1:13" x14ac:dyDescent="0.25">
      <c r="A3966">
        <v>2119</v>
      </c>
      <c r="B3966" s="47" t="str">
        <f>VLOOKUP(Tabla6[[#This Row],['# Vuelo]],'Validacion reclamo de equipaje'!P:Q,2,0)</f>
        <v>MEXICO AEREO</v>
      </c>
      <c r="C3966" s="48">
        <v>0.72916666666666663</v>
      </c>
      <c r="D3966" s="48">
        <v>0.7368055555555556</v>
      </c>
      <c r="E3966" s="49">
        <f>'Reclamo de equipaje rediseñado'!$D3966-'Reclamo de equipaje rediseñado'!$C3966</f>
        <v>7.6388888888889728E-3</v>
      </c>
      <c r="F3966" s="48">
        <v>0.74791666666666667</v>
      </c>
      <c r="G3966" s="49">
        <f t="shared" si="61"/>
        <v>1.1111111111111072E-2</v>
      </c>
      <c r="H3966" s="50">
        <v>41813</v>
      </c>
      <c r="I3966" s="51" t="s">
        <v>557</v>
      </c>
      <c r="J3966" s="51" t="s">
        <v>535</v>
      </c>
      <c r="K3966" s="51">
        <f>VLOOKUP(J3966,'Validacion reclamo de equipaje'!L:M,2,0)</f>
        <v>50</v>
      </c>
      <c r="L3966" s="51" t="str">
        <f>VLOOKUP(I3966,'Validacion reclamo de equipaje'!H:I,2,0)</f>
        <v>Nacional</v>
      </c>
      <c r="M3966" s="51" t="s">
        <v>615</v>
      </c>
    </row>
    <row r="3967" spans="1:13" x14ac:dyDescent="0.25">
      <c r="A3967">
        <v>2110</v>
      </c>
      <c r="B3967" s="47" t="str">
        <f>VLOOKUP(Tabla6[[#This Row],['# Vuelo]],'Validacion reclamo de equipaje'!P:Q,2,0)</f>
        <v>MEXICO AEREO</v>
      </c>
      <c r="C3967" s="52">
        <v>0.67708333333333337</v>
      </c>
      <c r="D3967" s="52">
        <v>0.70000000000000007</v>
      </c>
      <c r="E3967" s="53">
        <f>'Reclamo de equipaje rediseñado'!$D3967-'Reclamo de equipaje rediseñado'!$C3967</f>
        <v>2.2916666666666696E-2</v>
      </c>
      <c r="F3967" s="52">
        <v>0.70833333333333337</v>
      </c>
      <c r="G3967" s="53">
        <f t="shared" si="61"/>
        <v>8.3333333333333037E-3</v>
      </c>
      <c r="H3967" s="54">
        <v>41796</v>
      </c>
      <c r="I3967" s="55" t="s">
        <v>557</v>
      </c>
      <c r="J3967" s="55" t="s">
        <v>540</v>
      </c>
      <c r="K3967" s="55" t="e">
        <f>VLOOKUP(J3967,'Validacion reclamo de equipaje'!L:M,2,0)</f>
        <v>#N/A</v>
      </c>
      <c r="L3967" s="55" t="str">
        <f>VLOOKUP(I3967,'Validacion reclamo de equipaje'!H:I,2,0)</f>
        <v>Nacional</v>
      </c>
      <c r="M3967" s="55" t="s">
        <v>615</v>
      </c>
    </row>
    <row r="3968" spans="1:13" x14ac:dyDescent="0.25">
      <c r="A3968">
        <v>2029</v>
      </c>
      <c r="B3968" s="47" t="str">
        <f>VLOOKUP(Tabla6[[#This Row],['# Vuelo]],'Validacion reclamo de equipaje'!P:Q,2,0)</f>
        <v>MEXICO AEREO</v>
      </c>
      <c r="C3968" s="48">
        <v>0.56388888888888888</v>
      </c>
      <c r="D3968" s="48">
        <v>0.57013888888888886</v>
      </c>
      <c r="E3968" s="49">
        <f>'Reclamo de equipaje rediseñado'!$D3968-'Reclamo de equipaje rediseñado'!$C3968</f>
        <v>6.2499999999999778E-3</v>
      </c>
      <c r="F3968" s="48">
        <v>0.57222222222222219</v>
      </c>
      <c r="G3968" s="49">
        <f t="shared" si="61"/>
        <v>2.0833333333333259E-3</v>
      </c>
      <c r="H3968" s="50">
        <v>41791</v>
      </c>
      <c r="I3968" s="51" t="s">
        <v>543</v>
      </c>
      <c r="J3968" s="51" t="s">
        <v>535</v>
      </c>
      <c r="K3968" s="51">
        <f>VLOOKUP(J3968,'Validacion reclamo de equipaje'!L:M,2,0)</f>
        <v>50</v>
      </c>
      <c r="L3968" s="51" t="str">
        <f>VLOOKUP(I3968,'Validacion reclamo de equipaje'!H:I,2,0)</f>
        <v>Nacional</v>
      </c>
      <c r="M3968" s="51" t="s">
        <v>615</v>
      </c>
    </row>
    <row r="3969" spans="1:13" x14ac:dyDescent="0.25">
      <c r="A3969">
        <v>2029</v>
      </c>
      <c r="B3969" s="47" t="str">
        <f>VLOOKUP(Tabla6[[#This Row],['# Vuelo]],'Validacion reclamo de equipaje'!P:Q,2,0)</f>
        <v>MEXICO AEREO</v>
      </c>
      <c r="C3969" s="52">
        <v>0.55486111111111114</v>
      </c>
      <c r="D3969" s="52">
        <v>0.55972222222222223</v>
      </c>
      <c r="E3969" s="53">
        <f>'Reclamo de equipaje rediseñado'!$D3969-'Reclamo de equipaje rediseñado'!$C3969</f>
        <v>4.8611111111110938E-3</v>
      </c>
      <c r="F3969" s="52">
        <v>0.56736111111111109</v>
      </c>
      <c r="G3969" s="53">
        <f t="shared" si="61"/>
        <v>7.6388888888888618E-3</v>
      </c>
      <c r="H3969" s="54">
        <v>41792</v>
      </c>
      <c r="I3969" s="55" t="s">
        <v>543</v>
      </c>
      <c r="J3969" s="55" t="s">
        <v>535</v>
      </c>
      <c r="K3969" s="55">
        <f>VLOOKUP(J3969,'Validacion reclamo de equipaje'!L:M,2,0)</f>
        <v>50</v>
      </c>
      <c r="L3969" s="55" t="str">
        <f>VLOOKUP(I3969,'Validacion reclamo de equipaje'!H:I,2,0)</f>
        <v>Nacional</v>
      </c>
      <c r="M3969" s="55" t="s">
        <v>615</v>
      </c>
    </row>
    <row r="3970" spans="1:13" x14ac:dyDescent="0.25">
      <c r="A3970">
        <v>2029</v>
      </c>
      <c r="B3970" s="47" t="str">
        <f>VLOOKUP(Tabla6[[#This Row],['# Vuelo]],'Validacion reclamo de equipaje'!P:Q,2,0)</f>
        <v>MEXICO AEREO</v>
      </c>
      <c r="C3970" s="48">
        <v>0.55972222222222223</v>
      </c>
      <c r="D3970" s="48">
        <v>0.5625</v>
      </c>
      <c r="E3970" s="49">
        <f>'Reclamo de equipaje rediseñado'!$D3970-'Reclamo de equipaje rediseñado'!$C3970</f>
        <v>2.7777777777777679E-3</v>
      </c>
      <c r="F3970" s="48">
        <v>0.56805555555555554</v>
      </c>
      <c r="G3970" s="49">
        <f t="shared" si="61"/>
        <v>5.5555555555555358E-3</v>
      </c>
      <c r="H3970" s="50">
        <v>41793</v>
      </c>
      <c r="I3970" s="51" t="s">
        <v>543</v>
      </c>
      <c r="J3970" s="51" t="s">
        <v>535</v>
      </c>
      <c r="K3970" s="51">
        <f>VLOOKUP(J3970,'Validacion reclamo de equipaje'!L:M,2,0)</f>
        <v>50</v>
      </c>
      <c r="L3970" s="51" t="str">
        <f>VLOOKUP(I3970,'Validacion reclamo de equipaje'!H:I,2,0)</f>
        <v>Nacional</v>
      </c>
      <c r="M3970" s="51" t="s">
        <v>615</v>
      </c>
    </row>
    <row r="3971" spans="1:13" x14ac:dyDescent="0.25">
      <c r="A3971">
        <v>2029</v>
      </c>
      <c r="B3971" s="47" t="str">
        <f>VLOOKUP(Tabla6[[#This Row],['# Vuelo]],'Validacion reclamo de equipaje'!P:Q,2,0)</f>
        <v>MEXICO AEREO</v>
      </c>
      <c r="C3971" s="52">
        <v>0.5541666666666667</v>
      </c>
      <c r="D3971" s="52">
        <v>0.55902777777777779</v>
      </c>
      <c r="E3971" s="53">
        <f>'Reclamo de equipaje rediseñado'!$D3971-'Reclamo de equipaje rediseñado'!$C3971</f>
        <v>4.8611111111110938E-3</v>
      </c>
      <c r="F3971" s="52">
        <v>0.56319444444444444</v>
      </c>
      <c r="G3971" s="53">
        <f t="shared" ref="G3971:G4034" si="62">F3971-D3971</f>
        <v>4.1666666666666519E-3</v>
      </c>
      <c r="H3971" s="54">
        <v>41794</v>
      </c>
      <c r="I3971" s="55" t="s">
        <v>543</v>
      </c>
      <c r="J3971" s="55" t="s">
        <v>535</v>
      </c>
      <c r="K3971" s="55">
        <f>VLOOKUP(J3971,'Validacion reclamo de equipaje'!L:M,2,0)</f>
        <v>50</v>
      </c>
      <c r="L3971" s="55" t="str">
        <f>VLOOKUP(I3971,'Validacion reclamo de equipaje'!H:I,2,0)</f>
        <v>Nacional</v>
      </c>
      <c r="M3971" s="55" t="s">
        <v>615</v>
      </c>
    </row>
    <row r="3972" spans="1:13" x14ac:dyDescent="0.25">
      <c r="A3972">
        <v>2029</v>
      </c>
      <c r="B3972" s="47" t="str">
        <f>VLOOKUP(Tabla6[[#This Row],['# Vuelo]],'Validacion reclamo de equipaje'!P:Q,2,0)</f>
        <v>MEXICO AEREO</v>
      </c>
      <c r="C3972" s="48">
        <v>0.56180555555555556</v>
      </c>
      <c r="D3972" s="48">
        <v>0.56874999999999998</v>
      </c>
      <c r="E3972" s="49">
        <f>'Reclamo de equipaje rediseñado'!$D3972-'Reclamo de equipaje rediseñado'!$C3972</f>
        <v>6.9444444444444198E-3</v>
      </c>
      <c r="F3972" s="48">
        <v>0.57291666666666663</v>
      </c>
      <c r="G3972" s="49">
        <f t="shared" si="62"/>
        <v>4.1666666666666519E-3</v>
      </c>
      <c r="H3972" s="50">
        <v>41795</v>
      </c>
      <c r="I3972" s="51" t="s">
        <v>543</v>
      </c>
      <c r="J3972" s="51" t="s">
        <v>535</v>
      </c>
      <c r="K3972" s="51">
        <f>VLOOKUP(J3972,'Validacion reclamo de equipaje'!L:M,2,0)</f>
        <v>50</v>
      </c>
      <c r="L3972" s="51" t="str">
        <f>VLOOKUP(I3972,'Validacion reclamo de equipaje'!H:I,2,0)</f>
        <v>Nacional</v>
      </c>
      <c r="M3972" s="51" t="s">
        <v>615</v>
      </c>
    </row>
    <row r="3973" spans="1:13" x14ac:dyDescent="0.25">
      <c r="A3973">
        <v>2029</v>
      </c>
      <c r="B3973" s="47" t="str">
        <f>VLOOKUP(Tabla6[[#This Row],['# Vuelo]],'Validacion reclamo de equipaje'!P:Q,2,0)</f>
        <v>MEXICO AEREO</v>
      </c>
      <c r="C3973" s="52">
        <v>0.55763888888888891</v>
      </c>
      <c r="D3973" s="52">
        <v>0.56111111111111112</v>
      </c>
      <c r="E3973" s="53">
        <f>'Reclamo de equipaje rediseñado'!$D3973-'Reclamo de equipaje rediseñado'!$C3973</f>
        <v>3.4722222222222099E-3</v>
      </c>
      <c r="F3973" s="52">
        <v>0.56874999999999998</v>
      </c>
      <c r="G3973" s="53">
        <f t="shared" si="62"/>
        <v>7.6388888888888618E-3</v>
      </c>
      <c r="H3973" s="54">
        <v>41796</v>
      </c>
      <c r="I3973" s="55" t="s">
        <v>543</v>
      </c>
      <c r="J3973" s="55" t="s">
        <v>535</v>
      </c>
      <c r="K3973" s="55">
        <f>VLOOKUP(J3973,'Validacion reclamo de equipaje'!L:M,2,0)</f>
        <v>50</v>
      </c>
      <c r="L3973" s="55" t="str">
        <f>VLOOKUP(I3973,'Validacion reclamo de equipaje'!H:I,2,0)</f>
        <v>Nacional</v>
      </c>
      <c r="M3973" s="55" t="s">
        <v>615</v>
      </c>
    </row>
    <row r="3974" spans="1:13" x14ac:dyDescent="0.25">
      <c r="A3974">
        <v>2029</v>
      </c>
      <c r="B3974" s="47" t="str">
        <f>VLOOKUP(Tabla6[[#This Row],['# Vuelo]],'Validacion reclamo de equipaje'!P:Q,2,0)</f>
        <v>MEXICO AEREO</v>
      </c>
      <c r="C3974" s="48">
        <v>0.55277777777777781</v>
      </c>
      <c r="D3974" s="48">
        <v>0.55763888888888891</v>
      </c>
      <c r="E3974" s="49">
        <f>'Reclamo de equipaje rediseñado'!$D3974-'Reclamo de equipaje rediseñado'!$C3974</f>
        <v>4.8611111111110938E-3</v>
      </c>
      <c r="F3974" s="48">
        <v>0.55902777777777779</v>
      </c>
      <c r="G3974" s="49">
        <f t="shared" si="62"/>
        <v>1.388888888888884E-3</v>
      </c>
      <c r="H3974" s="50">
        <v>41797</v>
      </c>
      <c r="I3974" s="51" t="s">
        <v>543</v>
      </c>
      <c r="J3974" s="51" t="s">
        <v>535</v>
      </c>
      <c r="K3974" s="51">
        <f>VLOOKUP(J3974,'Validacion reclamo de equipaje'!L:M,2,0)</f>
        <v>50</v>
      </c>
      <c r="L3974" s="51" t="str">
        <f>VLOOKUP(I3974,'Validacion reclamo de equipaje'!H:I,2,0)</f>
        <v>Nacional</v>
      </c>
      <c r="M3974" s="51" t="s">
        <v>615</v>
      </c>
    </row>
    <row r="3975" spans="1:13" x14ac:dyDescent="0.25">
      <c r="A3975">
        <v>2029</v>
      </c>
      <c r="B3975" s="47" t="str">
        <f>VLOOKUP(Tabla6[[#This Row],['# Vuelo]],'Validacion reclamo de equipaje'!P:Q,2,0)</f>
        <v>MEXICO AEREO</v>
      </c>
      <c r="C3975" s="52">
        <v>0.55555555555555558</v>
      </c>
      <c r="D3975" s="52">
        <v>0.55694444444444446</v>
      </c>
      <c r="E3975" s="53">
        <f>'Reclamo de equipaje rediseñado'!$D3975-'Reclamo de equipaje rediseñado'!$C3975</f>
        <v>1.388888888888884E-3</v>
      </c>
      <c r="F3975" s="52">
        <v>0.56388888888888888</v>
      </c>
      <c r="G3975" s="53">
        <f t="shared" si="62"/>
        <v>6.9444444444444198E-3</v>
      </c>
      <c r="H3975" s="54">
        <v>41798</v>
      </c>
      <c r="I3975" s="55" t="s">
        <v>543</v>
      </c>
      <c r="J3975" s="55" t="s">
        <v>535</v>
      </c>
      <c r="K3975" s="55">
        <f>VLOOKUP(J3975,'Validacion reclamo de equipaje'!L:M,2,0)</f>
        <v>50</v>
      </c>
      <c r="L3975" s="55" t="str">
        <f>VLOOKUP(I3975,'Validacion reclamo de equipaje'!H:I,2,0)</f>
        <v>Nacional</v>
      </c>
      <c r="M3975" s="55" t="s">
        <v>615</v>
      </c>
    </row>
    <row r="3976" spans="1:13" x14ac:dyDescent="0.25">
      <c r="A3976">
        <v>2029</v>
      </c>
      <c r="B3976" s="47" t="str">
        <f>VLOOKUP(Tabla6[[#This Row],['# Vuelo]],'Validacion reclamo de equipaje'!P:Q,2,0)</f>
        <v>MEXICO AEREO</v>
      </c>
      <c r="C3976" s="48">
        <v>0.60625000000000007</v>
      </c>
      <c r="D3976" s="48">
        <v>0.61388888888888882</v>
      </c>
      <c r="E3976" s="49">
        <f>'Reclamo de equipaje rediseñado'!$D3976-'Reclamo de equipaje rediseñado'!$C3976</f>
        <v>7.6388888888887507E-3</v>
      </c>
      <c r="F3976" s="48">
        <v>0.62152777777777779</v>
      </c>
      <c r="G3976" s="49">
        <f t="shared" si="62"/>
        <v>7.6388888888889728E-3</v>
      </c>
      <c r="H3976" s="50">
        <v>41799</v>
      </c>
      <c r="I3976" s="51" t="s">
        <v>543</v>
      </c>
      <c r="J3976" s="51" t="s">
        <v>535</v>
      </c>
      <c r="K3976" s="51">
        <f>VLOOKUP(J3976,'Validacion reclamo de equipaje'!L:M,2,0)</f>
        <v>50</v>
      </c>
      <c r="L3976" s="51" t="str">
        <f>VLOOKUP(I3976,'Validacion reclamo de equipaje'!H:I,2,0)</f>
        <v>Nacional</v>
      </c>
      <c r="M3976" s="51" t="s">
        <v>615</v>
      </c>
    </row>
    <row r="3977" spans="1:13" x14ac:dyDescent="0.25">
      <c r="A3977">
        <v>2029</v>
      </c>
      <c r="B3977" s="47" t="str">
        <f>VLOOKUP(Tabla6[[#This Row],['# Vuelo]],'Validacion reclamo de equipaje'!P:Q,2,0)</f>
        <v>MEXICO AEREO</v>
      </c>
      <c r="C3977" s="52">
        <v>0.69930555555555562</v>
      </c>
      <c r="D3977" s="52">
        <v>0.7090277777777777</v>
      </c>
      <c r="E3977" s="53">
        <f>'Reclamo de equipaje rediseñado'!$D3977-'Reclamo de equipaje rediseñado'!$C3977</f>
        <v>9.7222222222220767E-3</v>
      </c>
      <c r="F3977" s="52">
        <v>0.71319444444444446</v>
      </c>
      <c r="G3977" s="53">
        <f t="shared" si="62"/>
        <v>4.1666666666667629E-3</v>
      </c>
      <c r="H3977" s="54">
        <v>41801</v>
      </c>
      <c r="I3977" s="55" t="s">
        <v>543</v>
      </c>
      <c r="J3977" s="55" t="s">
        <v>535</v>
      </c>
      <c r="K3977" s="55">
        <f>VLOOKUP(J3977,'Validacion reclamo de equipaje'!L:M,2,0)</f>
        <v>50</v>
      </c>
      <c r="L3977" s="55" t="str">
        <f>VLOOKUP(I3977,'Validacion reclamo de equipaje'!H:I,2,0)</f>
        <v>Nacional</v>
      </c>
      <c r="M3977" s="55" t="s">
        <v>615</v>
      </c>
    </row>
    <row r="3978" spans="1:13" x14ac:dyDescent="0.25">
      <c r="A3978">
        <v>2029</v>
      </c>
      <c r="B3978" s="47" t="str">
        <f>VLOOKUP(Tabla6[[#This Row],['# Vuelo]],'Validacion reclamo de equipaje'!P:Q,2,0)</f>
        <v>MEXICO AEREO</v>
      </c>
      <c r="C3978" s="48">
        <v>0.53472222222222221</v>
      </c>
      <c r="D3978" s="48">
        <v>0.54027777777777775</v>
      </c>
      <c r="E3978" s="49">
        <f>'Reclamo de equipaje rediseñado'!$D3978-'Reclamo de equipaje rediseñado'!$C3978</f>
        <v>5.5555555555555358E-3</v>
      </c>
      <c r="F3978" s="48">
        <v>0.54722222222222217</v>
      </c>
      <c r="G3978" s="49">
        <f t="shared" si="62"/>
        <v>6.9444444444444198E-3</v>
      </c>
      <c r="H3978" s="50">
        <v>41801</v>
      </c>
      <c r="I3978" s="51" t="s">
        <v>543</v>
      </c>
      <c r="J3978" s="51" t="s">
        <v>535</v>
      </c>
      <c r="K3978" s="51">
        <f>VLOOKUP(J3978,'Validacion reclamo de equipaje'!L:M,2,0)</f>
        <v>50</v>
      </c>
      <c r="L3978" s="51" t="str">
        <f>VLOOKUP(I3978,'Validacion reclamo de equipaje'!H:I,2,0)</f>
        <v>Nacional</v>
      </c>
      <c r="M3978" s="51" t="s">
        <v>615</v>
      </c>
    </row>
    <row r="3979" spans="1:13" x14ac:dyDescent="0.25">
      <c r="A3979">
        <v>2029</v>
      </c>
      <c r="B3979" s="47" t="str">
        <f>VLOOKUP(Tabla6[[#This Row],['# Vuelo]],'Validacion reclamo de equipaje'!P:Q,2,0)</f>
        <v>MEXICO AEREO</v>
      </c>
      <c r="C3979" s="52">
        <v>0.25486111111111109</v>
      </c>
      <c r="D3979" s="52">
        <v>0.2590277777777778</v>
      </c>
      <c r="E3979" s="53">
        <f>'Reclamo de equipaje rediseñado'!$D3979-'Reclamo de equipaje rediseñado'!$C3979</f>
        <v>4.1666666666667074E-3</v>
      </c>
      <c r="F3979" s="52">
        <v>0.29236111111111113</v>
      </c>
      <c r="G3979" s="53">
        <f t="shared" si="62"/>
        <v>3.3333333333333326E-2</v>
      </c>
      <c r="H3979" s="54">
        <v>41802</v>
      </c>
      <c r="I3979" s="55" t="s">
        <v>543</v>
      </c>
      <c r="J3979" s="55" t="s">
        <v>535</v>
      </c>
      <c r="K3979" s="55">
        <f>VLOOKUP(J3979,'Validacion reclamo de equipaje'!L:M,2,0)</f>
        <v>50</v>
      </c>
      <c r="L3979" s="55" t="str">
        <f>VLOOKUP(I3979,'Validacion reclamo de equipaje'!H:I,2,0)</f>
        <v>Nacional</v>
      </c>
      <c r="M3979" s="55" t="s">
        <v>615</v>
      </c>
    </row>
    <row r="3980" spans="1:13" x14ac:dyDescent="0.25">
      <c r="A3980">
        <v>2029</v>
      </c>
      <c r="B3980" s="47" t="str">
        <f>VLOOKUP(Tabla6[[#This Row],['# Vuelo]],'Validacion reclamo de equipaje'!P:Q,2,0)</f>
        <v>MEXICO AEREO</v>
      </c>
      <c r="C3980" s="48">
        <v>0.76666666666666661</v>
      </c>
      <c r="D3980" s="48">
        <v>0.77638888888888891</v>
      </c>
      <c r="E3980" s="49">
        <f>'Reclamo de equipaje rediseñado'!$D3980-'Reclamo de equipaje rediseñado'!$C3980</f>
        <v>9.7222222222222987E-3</v>
      </c>
      <c r="F3980" s="48">
        <v>0.78472222222222221</v>
      </c>
      <c r="G3980" s="49">
        <f t="shared" si="62"/>
        <v>8.3333333333333037E-3</v>
      </c>
      <c r="H3980" s="50">
        <v>41804</v>
      </c>
      <c r="I3980" s="51" t="s">
        <v>543</v>
      </c>
      <c r="J3980" s="51" t="s">
        <v>535</v>
      </c>
      <c r="K3980" s="51">
        <f>VLOOKUP(J3980,'Validacion reclamo de equipaje'!L:M,2,0)</f>
        <v>50</v>
      </c>
      <c r="L3980" s="51" t="str">
        <f>VLOOKUP(I3980,'Validacion reclamo de equipaje'!H:I,2,0)</f>
        <v>Nacional</v>
      </c>
      <c r="M3980" s="51" t="s">
        <v>615</v>
      </c>
    </row>
    <row r="3981" spans="1:13" x14ac:dyDescent="0.25">
      <c r="A3981">
        <v>2029</v>
      </c>
      <c r="B3981" s="47" t="str">
        <f>VLOOKUP(Tabla6[[#This Row],['# Vuelo]],'Validacion reclamo de equipaje'!P:Q,2,0)</f>
        <v>MEXICO AEREO</v>
      </c>
      <c r="C3981" s="52">
        <v>0.54166666666666663</v>
      </c>
      <c r="D3981" s="52">
        <v>0.55069444444444449</v>
      </c>
      <c r="E3981" s="53">
        <f>'Reclamo de equipaje rediseñado'!$D3981-'Reclamo de equipaje rediseñado'!$C3981</f>
        <v>9.0277777777778567E-3</v>
      </c>
      <c r="F3981" s="52">
        <v>0.55833333333333335</v>
      </c>
      <c r="G3981" s="53">
        <f t="shared" si="62"/>
        <v>7.6388888888888618E-3</v>
      </c>
      <c r="H3981" s="54">
        <v>41805</v>
      </c>
      <c r="I3981" s="55" t="s">
        <v>543</v>
      </c>
      <c r="J3981" s="55" t="s">
        <v>535</v>
      </c>
      <c r="K3981" s="55">
        <f>VLOOKUP(J3981,'Validacion reclamo de equipaje'!L:M,2,0)</f>
        <v>50</v>
      </c>
      <c r="L3981" s="55" t="str">
        <f>VLOOKUP(I3981,'Validacion reclamo de equipaje'!H:I,2,0)</f>
        <v>Nacional</v>
      </c>
      <c r="M3981" s="55" t="s">
        <v>615</v>
      </c>
    </row>
    <row r="3982" spans="1:13" x14ac:dyDescent="0.25">
      <c r="A3982">
        <v>2029</v>
      </c>
      <c r="B3982" s="47" t="str">
        <f>VLOOKUP(Tabla6[[#This Row],['# Vuelo]],'Validacion reclamo de equipaje'!P:Q,2,0)</f>
        <v>MEXICO AEREO</v>
      </c>
      <c r="C3982" s="48">
        <v>0.24791666666666667</v>
      </c>
      <c r="D3982" s="48">
        <v>0.2673611111111111</v>
      </c>
      <c r="E3982" s="49">
        <f>'Reclamo de equipaje rediseñado'!$D3982-'Reclamo de equipaje rediseñado'!$C3982</f>
        <v>1.9444444444444431E-2</v>
      </c>
      <c r="F3982" s="48">
        <v>0.28958333333333336</v>
      </c>
      <c r="G3982" s="49">
        <f t="shared" si="62"/>
        <v>2.2222222222222254E-2</v>
      </c>
      <c r="H3982" s="50">
        <v>41806</v>
      </c>
      <c r="I3982" s="51" t="s">
        <v>543</v>
      </c>
      <c r="J3982" s="51" t="s">
        <v>535</v>
      </c>
      <c r="K3982" s="51">
        <f>VLOOKUP(J3982,'Validacion reclamo de equipaje'!L:M,2,0)</f>
        <v>50</v>
      </c>
      <c r="L3982" s="51" t="str">
        <f>VLOOKUP(I3982,'Validacion reclamo de equipaje'!H:I,2,0)</f>
        <v>Nacional</v>
      </c>
      <c r="M3982" s="51" t="s">
        <v>615</v>
      </c>
    </row>
    <row r="3983" spans="1:13" x14ac:dyDescent="0.25">
      <c r="A3983">
        <v>2029</v>
      </c>
      <c r="B3983" s="47" t="str">
        <f>VLOOKUP(Tabla6[[#This Row],['# Vuelo]],'Validacion reclamo de equipaje'!P:Q,2,0)</f>
        <v>MEXICO AEREO</v>
      </c>
      <c r="C3983" s="52">
        <v>0.24652777777777779</v>
      </c>
      <c r="D3983" s="52">
        <v>0.26458333333333334</v>
      </c>
      <c r="E3983" s="53">
        <f>'Reclamo de equipaje rediseñado'!$D3983-'Reclamo de equipaje rediseñado'!$C3983</f>
        <v>1.8055555555555547E-2</v>
      </c>
      <c r="F3983" s="52">
        <v>0.26666666666666666</v>
      </c>
      <c r="G3983" s="53">
        <f t="shared" si="62"/>
        <v>2.0833333333333259E-3</v>
      </c>
      <c r="H3983" s="54">
        <v>41807</v>
      </c>
      <c r="I3983" s="55" t="s">
        <v>543</v>
      </c>
      <c r="J3983" s="55" t="s">
        <v>535</v>
      </c>
      <c r="K3983" s="55">
        <f>VLOOKUP(J3983,'Validacion reclamo de equipaje'!L:M,2,0)</f>
        <v>50</v>
      </c>
      <c r="L3983" s="55" t="str">
        <f>VLOOKUP(I3983,'Validacion reclamo de equipaje'!H:I,2,0)</f>
        <v>Nacional</v>
      </c>
      <c r="M3983" s="55" t="s">
        <v>615</v>
      </c>
    </row>
    <row r="3984" spans="1:13" x14ac:dyDescent="0.25">
      <c r="A3984">
        <v>2029</v>
      </c>
      <c r="B3984" s="47" t="str">
        <f>VLOOKUP(Tabla6[[#This Row],['# Vuelo]],'Validacion reclamo de equipaje'!P:Q,2,0)</f>
        <v>MEXICO AEREO</v>
      </c>
      <c r="C3984" s="48">
        <v>0.60625000000000007</v>
      </c>
      <c r="D3984" s="48">
        <v>0.61458333333333337</v>
      </c>
      <c r="E3984" s="49">
        <f>'Reclamo de equipaje rediseñado'!$D3984-'Reclamo de equipaje rediseñado'!$C3984</f>
        <v>8.3333333333333037E-3</v>
      </c>
      <c r="F3984" s="48">
        <v>0.61944444444444446</v>
      </c>
      <c r="G3984" s="49">
        <f t="shared" si="62"/>
        <v>4.8611111111110938E-3</v>
      </c>
      <c r="H3984" s="50">
        <v>41808</v>
      </c>
      <c r="I3984" s="51" t="s">
        <v>543</v>
      </c>
      <c r="J3984" s="51" t="s">
        <v>535</v>
      </c>
      <c r="K3984" s="51">
        <f>VLOOKUP(J3984,'Validacion reclamo de equipaje'!L:M,2,0)</f>
        <v>50</v>
      </c>
      <c r="L3984" s="51" t="str">
        <f>VLOOKUP(I3984,'Validacion reclamo de equipaje'!H:I,2,0)</f>
        <v>Nacional</v>
      </c>
      <c r="M3984" s="51" t="s">
        <v>615</v>
      </c>
    </row>
    <row r="3985" spans="1:13" x14ac:dyDescent="0.25">
      <c r="A3985">
        <v>2029</v>
      </c>
      <c r="B3985" s="47" t="str">
        <f>VLOOKUP(Tabla6[[#This Row],['# Vuelo]],'Validacion reclamo de equipaje'!P:Q,2,0)</f>
        <v>MEXICO AEREO</v>
      </c>
      <c r="C3985" s="52">
        <v>0.59861111111111109</v>
      </c>
      <c r="D3985" s="52">
        <v>0.60347222222222219</v>
      </c>
      <c r="E3985" s="53">
        <f>'Reclamo de equipaje rediseñado'!$D3985-'Reclamo de equipaje rediseñado'!$C3985</f>
        <v>4.8611111111110938E-3</v>
      </c>
      <c r="F3985" s="52">
        <v>0.6069444444444444</v>
      </c>
      <c r="G3985" s="53">
        <f t="shared" si="62"/>
        <v>3.4722222222222099E-3</v>
      </c>
      <c r="H3985" s="54">
        <v>41809</v>
      </c>
      <c r="I3985" s="55" t="s">
        <v>543</v>
      </c>
      <c r="J3985" s="55" t="s">
        <v>535</v>
      </c>
      <c r="K3985" s="55">
        <f>VLOOKUP(J3985,'Validacion reclamo de equipaje'!L:M,2,0)</f>
        <v>50</v>
      </c>
      <c r="L3985" s="55" t="str">
        <f>VLOOKUP(I3985,'Validacion reclamo de equipaje'!H:I,2,0)</f>
        <v>Nacional</v>
      </c>
      <c r="M3985" s="55" t="s">
        <v>615</v>
      </c>
    </row>
    <row r="3986" spans="1:13" x14ac:dyDescent="0.25">
      <c r="A3986">
        <v>2029</v>
      </c>
      <c r="B3986" s="47" t="str">
        <f>VLOOKUP(Tabla6[[#This Row],['# Vuelo]],'Validacion reclamo de equipaje'!P:Q,2,0)</f>
        <v>MEXICO AEREO</v>
      </c>
      <c r="C3986" s="48">
        <v>0.60416666666666663</v>
      </c>
      <c r="D3986" s="48">
        <v>0.61041666666666672</v>
      </c>
      <c r="E3986" s="49">
        <f>'Reclamo de equipaje rediseñado'!$D3986-'Reclamo de equipaje rediseñado'!$C3986</f>
        <v>6.2500000000000888E-3</v>
      </c>
      <c r="F3986" s="48">
        <v>0.61111111111111105</v>
      </c>
      <c r="G3986" s="49">
        <f t="shared" si="62"/>
        <v>6.9444444444433095E-4</v>
      </c>
      <c r="H3986" s="50">
        <v>41810</v>
      </c>
      <c r="I3986" s="51" t="s">
        <v>543</v>
      </c>
      <c r="J3986" s="51" t="s">
        <v>535</v>
      </c>
      <c r="K3986" s="51">
        <f>VLOOKUP(J3986,'Validacion reclamo de equipaje'!L:M,2,0)</f>
        <v>50</v>
      </c>
      <c r="L3986" s="51" t="str">
        <f>VLOOKUP(I3986,'Validacion reclamo de equipaje'!H:I,2,0)</f>
        <v>Nacional</v>
      </c>
      <c r="M3986" s="51" t="s">
        <v>615</v>
      </c>
    </row>
    <row r="3987" spans="1:13" x14ac:dyDescent="0.25">
      <c r="A3987">
        <v>2029</v>
      </c>
      <c r="B3987" s="47" t="str">
        <f>VLOOKUP(Tabla6[[#This Row],['# Vuelo]],'Validacion reclamo de equipaje'!P:Q,2,0)</f>
        <v>MEXICO AEREO</v>
      </c>
      <c r="C3987" s="52">
        <v>0.60416666666666663</v>
      </c>
      <c r="D3987" s="52">
        <v>0.61041666666666672</v>
      </c>
      <c r="E3987" s="53">
        <f>'Reclamo de equipaje rediseñado'!$D3987-'Reclamo de equipaje rediseñado'!$C3987</f>
        <v>6.2500000000000888E-3</v>
      </c>
      <c r="F3987" s="52">
        <v>0.61111111111111105</v>
      </c>
      <c r="G3987" s="53">
        <f t="shared" si="62"/>
        <v>6.9444444444433095E-4</v>
      </c>
      <c r="H3987" s="54">
        <v>41810</v>
      </c>
      <c r="I3987" s="55" t="s">
        <v>543</v>
      </c>
      <c r="J3987" s="55" t="s">
        <v>535</v>
      </c>
      <c r="K3987" s="55">
        <f>VLOOKUP(J3987,'Validacion reclamo de equipaje'!L:M,2,0)</f>
        <v>50</v>
      </c>
      <c r="L3987" s="55" t="str">
        <f>VLOOKUP(I3987,'Validacion reclamo de equipaje'!H:I,2,0)</f>
        <v>Nacional</v>
      </c>
      <c r="M3987" s="55" t="s">
        <v>615</v>
      </c>
    </row>
    <row r="3988" spans="1:13" x14ac:dyDescent="0.25">
      <c r="A3988">
        <v>2029</v>
      </c>
      <c r="B3988" s="47" t="str">
        <f>VLOOKUP(Tabla6[[#This Row],['# Vuelo]],'Validacion reclamo de equipaje'!P:Q,2,0)</f>
        <v>MEXICO AEREO</v>
      </c>
      <c r="C3988" s="48">
        <v>0.6972222222222223</v>
      </c>
      <c r="D3988" s="48">
        <v>0.7006944444444444</v>
      </c>
      <c r="E3988" s="49">
        <f>'Reclamo de equipaje rediseñado'!$D3988-'Reclamo de equipaje rediseñado'!$C3988</f>
        <v>3.4722222222220989E-3</v>
      </c>
      <c r="F3988" s="48">
        <v>0.70208333333333339</v>
      </c>
      <c r="G3988" s="49">
        <f t="shared" si="62"/>
        <v>1.388888888888995E-3</v>
      </c>
      <c r="H3988" s="50">
        <v>41811</v>
      </c>
      <c r="I3988" s="51" t="s">
        <v>543</v>
      </c>
      <c r="J3988" s="51" t="s">
        <v>535</v>
      </c>
      <c r="K3988" s="51">
        <f>VLOOKUP(J3988,'Validacion reclamo de equipaje'!L:M,2,0)</f>
        <v>50</v>
      </c>
      <c r="L3988" s="51" t="str">
        <f>VLOOKUP(I3988,'Validacion reclamo de equipaje'!H:I,2,0)</f>
        <v>Nacional</v>
      </c>
      <c r="M3988" s="51" t="s">
        <v>615</v>
      </c>
    </row>
    <row r="3989" spans="1:13" x14ac:dyDescent="0.25">
      <c r="A3989">
        <v>2029</v>
      </c>
      <c r="B3989" s="47" t="str">
        <f>VLOOKUP(Tabla6[[#This Row],['# Vuelo]],'Validacion reclamo de equipaje'!P:Q,2,0)</f>
        <v>MEXICO AEREO</v>
      </c>
      <c r="C3989" s="52">
        <v>0.60555555555555551</v>
      </c>
      <c r="D3989" s="52">
        <v>0.60763888888888895</v>
      </c>
      <c r="E3989" s="53">
        <f>'Reclamo de equipaje rediseñado'!$D3989-'Reclamo de equipaje rediseñado'!$C3989</f>
        <v>2.083333333333437E-3</v>
      </c>
      <c r="F3989" s="52">
        <v>0.61458333333333337</v>
      </c>
      <c r="G3989" s="53">
        <f t="shared" si="62"/>
        <v>6.9444444444444198E-3</v>
      </c>
      <c r="H3989" s="54">
        <v>41813</v>
      </c>
      <c r="I3989" s="55" t="s">
        <v>543</v>
      </c>
      <c r="J3989" s="55" t="s">
        <v>535</v>
      </c>
      <c r="K3989" s="55">
        <f>VLOOKUP(J3989,'Validacion reclamo de equipaje'!L:M,2,0)</f>
        <v>50</v>
      </c>
      <c r="L3989" s="55" t="str">
        <f>VLOOKUP(I3989,'Validacion reclamo de equipaje'!H:I,2,0)</f>
        <v>Nacional</v>
      </c>
      <c r="M3989" s="55" t="s">
        <v>615</v>
      </c>
    </row>
    <row r="3990" spans="1:13" x14ac:dyDescent="0.25">
      <c r="A3990">
        <v>2028</v>
      </c>
      <c r="B3990" s="47" t="str">
        <f>VLOOKUP(Tabla6[[#This Row],['# Vuelo]],'Validacion reclamo de equipaje'!P:Q,2,0)</f>
        <v>MEXICO AEREO</v>
      </c>
      <c r="C3990" s="48">
        <v>0.75208333333333333</v>
      </c>
      <c r="D3990" s="48">
        <v>0.79375000000000007</v>
      </c>
      <c r="E3990" s="49">
        <f>'Reclamo de equipaje rediseñado'!$D3990-'Reclamo de equipaje rediseñado'!$C3990</f>
        <v>4.1666666666666741E-2</v>
      </c>
      <c r="F3990" s="48">
        <v>0.79513888888888884</v>
      </c>
      <c r="G3990" s="49">
        <f t="shared" si="62"/>
        <v>1.3888888888887729E-3</v>
      </c>
      <c r="H3990" s="50">
        <v>41799</v>
      </c>
      <c r="I3990" s="51" t="s">
        <v>543</v>
      </c>
      <c r="J3990" s="51" t="s">
        <v>535</v>
      </c>
      <c r="K3990" s="51">
        <f>VLOOKUP(J3990,'Validacion reclamo de equipaje'!L:M,2,0)</f>
        <v>50</v>
      </c>
      <c r="L3990" s="51" t="str">
        <f>VLOOKUP(I3990,'Validacion reclamo de equipaje'!H:I,2,0)</f>
        <v>Nacional</v>
      </c>
      <c r="M3990" s="51" t="s">
        <v>615</v>
      </c>
    </row>
    <row r="3991" spans="1:13" x14ac:dyDescent="0.25">
      <c r="A3991">
        <v>2028</v>
      </c>
      <c r="B3991" s="47" t="str">
        <f>VLOOKUP(Tabla6[[#This Row],['# Vuelo]],'Validacion reclamo de equipaje'!P:Q,2,0)</f>
        <v>MEXICO AEREO</v>
      </c>
      <c r="C3991" s="52">
        <v>0.70416666666666661</v>
      </c>
      <c r="D3991" s="52">
        <v>0.70833333333333337</v>
      </c>
      <c r="E3991" s="53">
        <f>'Reclamo de equipaje rediseñado'!$D3991-'Reclamo de equipaje rediseñado'!$C3991</f>
        <v>4.1666666666667629E-3</v>
      </c>
      <c r="F3991" s="52">
        <v>0.71458333333333324</v>
      </c>
      <c r="G3991" s="53">
        <f t="shared" si="62"/>
        <v>6.2499999999998668E-3</v>
      </c>
      <c r="H3991" s="54">
        <v>41801</v>
      </c>
      <c r="I3991" s="55" t="s">
        <v>543</v>
      </c>
      <c r="J3991" s="55" t="s">
        <v>535</v>
      </c>
      <c r="K3991" s="55">
        <f>VLOOKUP(J3991,'Validacion reclamo de equipaje'!L:M,2,0)</f>
        <v>50</v>
      </c>
      <c r="L3991" s="55" t="str">
        <f>VLOOKUP(I3991,'Validacion reclamo de equipaje'!H:I,2,0)</f>
        <v>Nacional</v>
      </c>
      <c r="M3991" s="55" t="s">
        <v>615</v>
      </c>
    </row>
    <row r="3992" spans="1:13" x14ac:dyDescent="0.25">
      <c r="A3992">
        <v>2028</v>
      </c>
      <c r="B3992" s="47" t="str">
        <f>VLOOKUP(Tabla6[[#This Row],['# Vuelo]],'Validacion reclamo de equipaje'!P:Q,2,0)</f>
        <v>MEXICO AEREO</v>
      </c>
      <c r="C3992" s="48">
        <v>0.43333333333333335</v>
      </c>
      <c r="D3992" s="48">
        <v>0.43611111111111112</v>
      </c>
      <c r="E3992" s="49">
        <f>'Reclamo de equipaje rediseñado'!$D3992-'Reclamo de equipaje rediseñado'!$C3992</f>
        <v>2.7777777777777679E-3</v>
      </c>
      <c r="F3992" s="48">
        <v>0.4375</v>
      </c>
      <c r="G3992" s="49">
        <f t="shared" si="62"/>
        <v>1.388888888888884E-3</v>
      </c>
      <c r="H3992" s="50">
        <v>41801</v>
      </c>
      <c r="I3992" s="51" t="s">
        <v>543</v>
      </c>
      <c r="J3992" s="51" t="s">
        <v>535</v>
      </c>
      <c r="K3992" s="51">
        <f>VLOOKUP(J3992,'Validacion reclamo de equipaje'!L:M,2,0)</f>
        <v>50</v>
      </c>
      <c r="L3992" s="51" t="str">
        <f>VLOOKUP(I3992,'Validacion reclamo de equipaje'!H:I,2,0)</f>
        <v>Nacional</v>
      </c>
      <c r="M3992" s="51" t="s">
        <v>615</v>
      </c>
    </row>
    <row r="3993" spans="1:13" x14ac:dyDescent="0.25">
      <c r="A3993">
        <v>2028</v>
      </c>
      <c r="B3993" s="47" t="str">
        <f>VLOOKUP(Tabla6[[#This Row],['# Vuelo]],'Validacion reclamo de equipaje'!P:Q,2,0)</f>
        <v>MEXICO AEREO</v>
      </c>
      <c r="C3993" s="52">
        <v>0.25347222222222221</v>
      </c>
      <c r="D3993" s="52">
        <v>0.26874999999999999</v>
      </c>
      <c r="E3993" s="53">
        <f>'Reclamo de equipaje rediseñado'!$D3993-'Reclamo de equipaje rediseñado'!$C3993</f>
        <v>1.5277777777777779E-2</v>
      </c>
      <c r="F3993" s="52">
        <v>0.27777777777777779</v>
      </c>
      <c r="G3993" s="53">
        <f t="shared" si="62"/>
        <v>9.0277777777778012E-3</v>
      </c>
      <c r="H3993" s="54">
        <v>41802</v>
      </c>
      <c r="I3993" s="55" t="s">
        <v>543</v>
      </c>
      <c r="J3993" s="55" t="s">
        <v>535</v>
      </c>
      <c r="K3993" s="55">
        <f>VLOOKUP(J3993,'Validacion reclamo de equipaje'!L:M,2,0)</f>
        <v>50</v>
      </c>
      <c r="L3993" s="55" t="str">
        <f>VLOOKUP(I3993,'Validacion reclamo de equipaje'!H:I,2,0)</f>
        <v>Nacional</v>
      </c>
      <c r="M3993" s="55" t="s">
        <v>615</v>
      </c>
    </row>
    <row r="3994" spans="1:13" x14ac:dyDescent="0.25">
      <c r="A3994">
        <v>2028</v>
      </c>
      <c r="B3994" s="47" t="str">
        <f>VLOOKUP(Tabla6[[#This Row],['# Vuelo]],'Validacion reclamo de equipaje'!P:Q,2,0)</f>
        <v>MEXICO AEREO</v>
      </c>
      <c r="C3994" s="48">
        <v>0.53819444444444442</v>
      </c>
      <c r="D3994" s="48">
        <v>0.54166666666666663</v>
      </c>
      <c r="E3994" s="49">
        <f>'Reclamo de equipaje rediseñado'!$D3994-'Reclamo de equipaje rediseñado'!$C3994</f>
        <v>3.4722222222222099E-3</v>
      </c>
      <c r="F3994" s="48">
        <v>0.54861111111111105</v>
      </c>
      <c r="G3994" s="49">
        <f t="shared" si="62"/>
        <v>6.9444444444444198E-3</v>
      </c>
      <c r="H3994" s="50">
        <v>41803</v>
      </c>
      <c r="I3994" s="51" t="s">
        <v>543</v>
      </c>
      <c r="J3994" s="51" t="s">
        <v>535</v>
      </c>
      <c r="K3994" s="51">
        <f>VLOOKUP(J3994,'Validacion reclamo de equipaje'!L:M,2,0)</f>
        <v>50</v>
      </c>
      <c r="L3994" s="51" t="str">
        <f>VLOOKUP(I3994,'Validacion reclamo de equipaje'!H:I,2,0)</f>
        <v>Nacional</v>
      </c>
      <c r="M3994" s="51" t="s">
        <v>615</v>
      </c>
    </row>
    <row r="3995" spans="1:13" x14ac:dyDescent="0.25">
      <c r="A3995">
        <v>2028</v>
      </c>
      <c r="B3995" s="47" t="str">
        <f>VLOOKUP(Tabla6[[#This Row],['# Vuelo]],'Validacion reclamo de equipaje'!P:Q,2,0)</f>
        <v>MEXICO AEREO</v>
      </c>
      <c r="C3995" s="52">
        <v>0.71597222222222223</v>
      </c>
      <c r="D3995" s="52">
        <v>0.72361111111111109</v>
      </c>
      <c r="E3995" s="53">
        <f>'Reclamo de equipaje rediseñado'!$D3995-'Reclamo de equipaje rediseñado'!$C3995</f>
        <v>7.6388888888888618E-3</v>
      </c>
      <c r="F3995" s="52">
        <v>0.7319444444444444</v>
      </c>
      <c r="G3995" s="53">
        <f t="shared" si="62"/>
        <v>8.3333333333333037E-3</v>
      </c>
      <c r="H3995" s="54">
        <v>41805</v>
      </c>
      <c r="I3995" s="55" t="s">
        <v>543</v>
      </c>
      <c r="J3995" s="55" t="s">
        <v>535</v>
      </c>
      <c r="K3995" s="55">
        <f>VLOOKUP(J3995,'Validacion reclamo de equipaje'!L:M,2,0)</f>
        <v>50</v>
      </c>
      <c r="L3995" s="55" t="str">
        <f>VLOOKUP(I3995,'Validacion reclamo de equipaje'!H:I,2,0)</f>
        <v>Nacional</v>
      </c>
      <c r="M3995" s="55" t="s">
        <v>615</v>
      </c>
    </row>
    <row r="3996" spans="1:13" x14ac:dyDescent="0.25">
      <c r="A3996">
        <v>2028</v>
      </c>
      <c r="B3996" s="47" t="str">
        <f>VLOOKUP(Tabla6[[#This Row],['# Vuelo]],'Validacion reclamo de equipaje'!P:Q,2,0)</f>
        <v>MEXICO AEREO</v>
      </c>
      <c r="C3996" s="48">
        <v>0.69374999999999998</v>
      </c>
      <c r="D3996" s="48">
        <v>0.70347222222222217</v>
      </c>
      <c r="E3996" s="49">
        <f>'Reclamo de equipaje rediseñado'!$D3996-'Reclamo de equipaje rediseñado'!$C3996</f>
        <v>9.7222222222221877E-3</v>
      </c>
      <c r="F3996" s="48">
        <v>0.71319444444444446</v>
      </c>
      <c r="G3996" s="49">
        <f t="shared" si="62"/>
        <v>9.7222222222222987E-3</v>
      </c>
      <c r="H3996" s="50">
        <v>41807</v>
      </c>
      <c r="I3996" s="51" t="s">
        <v>543</v>
      </c>
      <c r="J3996" s="51" t="s">
        <v>535</v>
      </c>
      <c r="K3996" s="51">
        <f>VLOOKUP(J3996,'Validacion reclamo de equipaje'!L:M,2,0)</f>
        <v>50</v>
      </c>
      <c r="L3996" s="51" t="str">
        <f>VLOOKUP(I3996,'Validacion reclamo de equipaje'!H:I,2,0)</f>
        <v>Nacional</v>
      </c>
      <c r="M3996" s="51" t="s">
        <v>615</v>
      </c>
    </row>
    <row r="3997" spans="1:13" x14ac:dyDescent="0.25">
      <c r="A3997">
        <v>2028</v>
      </c>
      <c r="B3997" s="47" t="str">
        <f>VLOOKUP(Tabla6[[#This Row],['# Vuelo]],'Validacion reclamo de equipaje'!P:Q,2,0)</f>
        <v>MEXICO AEREO</v>
      </c>
      <c r="C3997" s="52">
        <v>0.78402777777777777</v>
      </c>
      <c r="D3997" s="52">
        <v>0.79999999999999993</v>
      </c>
      <c r="E3997" s="53">
        <f>'Reclamo de equipaje rediseñado'!$D3997-'Reclamo de equipaje rediseñado'!$C3997</f>
        <v>1.5972222222222165E-2</v>
      </c>
      <c r="F3997" s="52">
        <v>0.8027777777777777</v>
      </c>
      <c r="G3997" s="53">
        <f t="shared" si="62"/>
        <v>2.7777777777777679E-3</v>
      </c>
      <c r="H3997" s="54">
        <v>41808</v>
      </c>
      <c r="I3997" s="55" t="s">
        <v>543</v>
      </c>
      <c r="J3997" s="55" t="s">
        <v>535</v>
      </c>
      <c r="K3997" s="55">
        <f>VLOOKUP(J3997,'Validacion reclamo de equipaje'!L:M,2,0)</f>
        <v>50</v>
      </c>
      <c r="L3997" s="55" t="str">
        <f>VLOOKUP(I3997,'Validacion reclamo de equipaje'!H:I,2,0)</f>
        <v>Nacional</v>
      </c>
      <c r="M3997" s="55" t="s">
        <v>615</v>
      </c>
    </row>
    <row r="3998" spans="1:13" x14ac:dyDescent="0.25">
      <c r="A3998">
        <v>2028</v>
      </c>
      <c r="B3998" s="47" t="str">
        <f>VLOOKUP(Tabla6[[#This Row],['# Vuelo]],'Validacion reclamo de equipaje'!P:Q,2,0)</f>
        <v>MEXICO AEREO</v>
      </c>
      <c r="C3998" s="48">
        <v>0.83194444444444438</v>
      </c>
      <c r="D3998" s="48">
        <v>0.8354166666666667</v>
      </c>
      <c r="E3998" s="49">
        <f>'Reclamo de equipaje rediseñado'!$D3998-'Reclamo de equipaje rediseñado'!$C3998</f>
        <v>3.4722222222223209E-3</v>
      </c>
      <c r="F3998" s="48">
        <v>0.83750000000000002</v>
      </c>
      <c r="G3998" s="49">
        <f t="shared" si="62"/>
        <v>2.0833333333333259E-3</v>
      </c>
      <c r="H3998" s="50">
        <v>41811</v>
      </c>
      <c r="I3998" s="51" t="s">
        <v>543</v>
      </c>
      <c r="J3998" s="51" t="s">
        <v>535</v>
      </c>
      <c r="K3998" s="51">
        <f>VLOOKUP(J3998,'Validacion reclamo de equipaje'!L:M,2,0)</f>
        <v>50</v>
      </c>
      <c r="L3998" s="51" t="str">
        <f>VLOOKUP(I3998,'Validacion reclamo de equipaje'!H:I,2,0)</f>
        <v>Nacional</v>
      </c>
      <c r="M3998" s="51" t="s">
        <v>615</v>
      </c>
    </row>
    <row r="3999" spans="1:13" x14ac:dyDescent="0.25">
      <c r="A3999">
        <v>2028</v>
      </c>
      <c r="B3999" s="47" t="str">
        <f>VLOOKUP(Tabla6[[#This Row],['# Vuelo]],'Validacion reclamo de equipaje'!P:Q,2,0)</f>
        <v>MEXICO AEREO</v>
      </c>
      <c r="C3999" s="52">
        <v>0.79027777777777775</v>
      </c>
      <c r="D3999" s="52">
        <v>0.79513888888888884</v>
      </c>
      <c r="E3999" s="53">
        <f>'Reclamo de equipaje rediseñado'!$D3999-'Reclamo de equipaje rediseñado'!$C3999</f>
        <v>4.8611111111110938E-3</v>
      </c>
      <c r="F3999" s="52">
        <v>0.8027777777777777</v>
      </c>
      <c r="G3999" s="53">
        <f t="shared" si="62"/>
        <v>7.6388888888888618E-3</v>
      </c>
      <c r="H3999" s="54">
        <v>41813</v>
      </c>
      <c r="I3999" s="55" t="s">
        <v>543</v>
      </c>
      <c r="J3999" s="55" t="s">
        <v>535</v>
      </c>
      <c r="K3999" s="55">
        <f>VLOOKUP(J3999,'Validacion reclamo de equipaje'!L:M,2,0)</f>
        <v>50</v>
      </c>
      <c r="L3999" s="55" t="str">
        <f>VLOOKUP(I3999,'Validacion reclamo de equipaje'!H:I,2,0)</f>
        <v>Nacional</v>
      </c>
      <c r="M3999" s="55" t="s">
        <v>615</v>
      </c>
    </row>
    <row r="4000" spans="1:13" x14ac:dyDescent="0.25">
      <c r="A4000">
        <v>2028</v>
      </c>
      <c r="B4000" s="47" t="str">
        <f>VLOOKUP(Tabla6[[#This Row],['# Vuelo]],'Validacion reclamo de equipaje'!P:Q,2,0)</f>
        <v>MEXICO AEREO</v>
      </c>
      <c r="C4000" s="48">
        <v>0.77986111111111101</v>
      </c>
      <c r="D4000" s="48">
        <v>0.78055555555555556</v>
      </c>
      <c r="E4000" s="49">
        <f>'Reclamo de equipaje rediseñado'!$D4000-'Reclamo de equipaje rediseñado'!$C4000</f>
        <v>6.94444444444553E-4</v>
      </c>
      <c r="F4000" s="48">
        <v>0.78680555555555554</v>
      </c>
      <c r="G4000" s="49">
        <f t="shared" si="62"/>
        <v>6.2499999999999778E-3</v>
      </c>
      <c r="H4000" s="50">
        <v>41812</v>
      </c>
      <c r="I4000" s="51" t="s">
        <v>543</v>
      </c>
      <c r="J4000" s="51" t="s">
        <v>535</v>
      </c>
      <c r="K4000" s="51">
        <f>VLOOKUP(J4000,'Validacion reclamo de equipaje'!L:M,2,0)</f>
        <v>50</v>
      </c>
      <c r="L4000" s="51" t="str">
        <f>VLOOKUP(I4000,'Validacion reclamo de equipaje'!H:I,2,0)</f>
        <v>Nacional</v>
      </c>
      <c r="M4000" s="51" t="s">
        <v>615</v>
      </c>
    </row>
    <row r="4001" spans="1:13" x14ac:dyDescent="0.25">
      <c r="A4001">
        <v>2024</v>
      </c>
      <c r="B4001" s="47" t="str">
        <f>VLOOKUP(Tabla6[[#This Row],['# Vuelo]],'Validacion reclamo de equipaje'!P:Q,2,0)</f>
        <v>MEXICO AEREO</v>
      </c>
      <c r="C4001" s="52">
        <v>0.67083333333333339</v>
      </c>
      <c r="D4001" s="52">
        <v>0.67499999999999993</v>
      </c>
      <c r="E4001" s="53">
        <f>'Reclamo de equipaje rediseñado'!$D4001-'Reclamo de equipaje rediseñado'!$C4001</f>
        <v>4.1666666666665408E-3</v>
      </c>
      <c r="F4001" s="52">
        <v>0.67708333333333337</v>
      </c>
      <c r="G4001" s="53">
        <f t="shared" si="62"/>
        <v>2.083333333333437E-3</v>
      </c>
      <c r="H4001" s="54">
        <v>41791</v>
      </c>
      <c r="I4001" s="55" t="s">
        <v>544</v>
      </c>
      <c r="J4001" s="55" t="s">
        <v>535</v>
      </c>
      <c r="K4001" s="55">
        <f>VLOOKUP(J4001,'Validacion reclamo de equipaje'!L:M,2,0)</f>
        <v>50</v>
      </c>
      <c r="L4001" s="55" t="str">
        <f>VLOOKUP(I4001,'Validacion reclamo de equipaje'!H:I,2,0)</f>
        <v>Nacional</v>
      </c>
      <c r="M4001" s="55" t="s">
        <v>615</v>
      </c>
    </row>
    <row r="4002" spans="1:13" x14ac:dyDescent="0.25">
      <c r="A4002">
        <v>2024</v>
      </c>
      <c r="B4002" s="47" t="str">
        <f>VLOOKUP(Tabla6[[#This Row],['# Vuelo]],'Validacion reclamo de equipaje'!P:Q,2,0)</f>
        <v>MEXICO AEREO</v>
      </c>
      <c r="C4002" s="48">
        <v>0.59861111111111109</v>
      </c>
      <c r="D4002" s="48">
        <v>0.60416666666666663</v>
      </c>
      <c r="E4002" s="49">
        <f>'Reclamo de equipaje rediseñado'!$D4002-'Reclamo de equipaje rediseñado'!$C4002</f>
        <v>5.5555555555555358E-3</v>
      </c>
      <c r="F4002" s="48">
        <v>0.60972222222222217</v>
      </c>
      <c r="G4002" s="49">
        <f t="shared" si="62"/>
        <v>5.5555555555555358E-3</v>
      </c>
      <c r="H4002" s="50">
        <v>41792</v>
      </c>
      <c r="I4002" s="51" t="s">
        <v>544</v>
      </c>
      <c r="J4002" s="51" t="s">
        <v>535</v>
      </c>
      <c r="K4002" s="51">
        <f>VLOOKUP(J4002,'Validacion reclamo de equipaje'!L:M,2,0)</f>
        <v>50</v>
      </c>
      <c r="L4002" s="51" t="str">
        <f>VLOOKUP(I4002,'Validacion reclamo de equipaje'!H:I,2,0)</f>
        <v>Nacional</v>
      </c>
      <c r="M4002" s="51" t="s">
        <v>615</v>
      </c>
    </row>
    <row r="4003" spans="1:13" x14ac:dyDescent="0.25">
      <c r="A4003">
        <v>2024</v>
      </c>
      <c r="B4003" s="47" t="str">
        <f>VLOOKUP(Tabla6[[#This Row],['# Vuelo]],'Validacion reclamo de equipaje'!P:Q,2,0)</f>
        <v>MEXICO AEREO</v>
      </c>
      <c r="C4003" s="52">
        <v>0.6645833333333333</v>
      </c>
      <c r="D4003" s="52">
        <v>0.66597222222222219</v>
      </c>
      <c r="E4003" s="53">
        <f>'Reclamo de equipaje rediseñado'!$D4003-'Reclamo de equipaje rediseñado'!$C4003</f>
        <v>1.388888888888884E-3</v>
      </c>
      <c r="F4003" s="52">
        <v>0.67708333333333337</v>
      </c>
      <c r="G4003" s="53">
        <f t="shared" si="62"/>
        <v>1.1111111111111183E-2</v>
      </c>
      <c r="H4003" s="54">
        <v>41793</v>
      </c>
      <c r="I4003" s="55" t="s">
        <v>544</v>
      </c>
      <c r="J4003" s="55" t="s">
        <v>535</v>
      </c>
      <c r="K4003" s="55">
        <f>VLOOKUP(J4003,'Validacion reclamo de equipaje'!L:M,2,0)</f>
        <v>50</v>
      </c>
      <c r="L4003" s="55" t="str">
        <f>VLOOKUP(I4003,'Validacion reclamo de equipaje'!H:I,2,0)</f>
        <v>Nacional</v>
      </c>
      <c r="M4003" s="55" t="s">
        <v>615</v>
      </c>
    </row>
    <row r="4004" spans="1:13" x14ac:dyDescent="0.25">
      <c r="A4004">
        <v>2024</v>
      </c>
      <c r="B4004" s="47" t="str">
        <f>VLOOKUP(Tabla6[[#This Row],['# Vuelo]],'Validacion reclamo de equipaje'!P:Q,2,0)</f>
        <v>MEXICO AEREO</v>
      </c>
      <c r="C4004" s="48">
        <v>0.66736111111111107</v>
      </c>
      <c r="D4004" s="48">
        <v>0.67222222222222217</v>
      </c>
      <c r="E4004" s="49">
        <f>'Reclamo de equipaje rediseñado'!$D4004-'Reclamo de equipaje rediseñado'!$C4004</f>
        <v>4.8611111111110938E-3</v>
      </c>
      <c r="F4004" s="48">
        <v>0.67499999999999993</v>
      </c>
      <c r="G4004" s="49">
        <f t="shared" si="62"/>
        <v>2.7777777777777679E-3</v>
      </c>
      <c r="H4004" s="50">
        <v>41794</v>
      </c>
      <c r="I4004" s="51" t="s">
        <v>544</v>
      </c>
      <c r="J4004" s="51" t="s">
        <v>535</v>
      </c>
      <c r="K4004" s="51">
        <f>VLOOKUP(J4004,'Validacion reclamo de equipaje'!L:M,2,0)</f>
        <v>50</v>
      </c>
      <c r="L4004" s="51" t="str">
        <f>VLOOKUP(I4004,'Validacion reclamo de equipaje'!H:I,2,0)</f>
        <v>Nacional</v>
      </c>
      <c r="M4004" s="51" t="s">
        <v>615</v>
      </c>
    </row>
    <row r="4005" spans="1:13" x14ac:dyDescent="0.25">
      <c r="A4005">
        <v>2024</v>
      </c>
      <c r="B4005" s="47" t="str">
        <f>VLOOKUP(Tabla6[[#This Row],['# Vuelo]],'Validacion reclamo de equipaje'!P:Q,2,0)</f>
        <v>MEXICO AEREO</v>
      </c>
      <c r="C4005" s="52">
        <v>0.67013888888888884</v>
      </c>
      <c r="D4005" s="52">
        <v>0.67291666666666661</v>
      </c>
      <c r="E4005" s="53">
        <f>'Reclamo de equipaje rediseñado'!$D4005-'Reclamo de equipaje rediseñado'!$C4005</f>
        <v>2.7777777777777679E-3</v>
      </c>
      <c r="F4005" s="52">
        <v>0.6791666666666667</v>
      </c>
      <c r="G4005" s="53">
        <f t="shared" si="62"/>
        <v>6.2500000000000888E-3</v>
      </c>
      <c r="H4005" s="54">
        <v>41795</v>
      </c>
      <c r="I4005" s="55" t="s">
        <v>544</v>
      </c>
      <c r="J4005" s="55" t="s">
        <v>535</v>
      </c>
      <c r="K4005" s="55">
        <f>VLOOKUP(J4005,'Validacion reclamo de equipaje'!L:M,2,0)</f>
        <v>50</v>
      </c>
      <c r="L4005" s="55" t="str">
        <f>VLOOKUP(I4005,'Validacion reclamo de equipaje'!H:I,2,0)</f>
        <v>Nacional</v>
      </c>
      <c r="M4005" s="55" t="s">
        <v>615</v>
      </c>
    </row>
    <row r="4006" spans="1:13" x14ac:dyDescent="0.25">
      <c r="A4006">
        <v>2024</v>
      </c>
      <c r="B4006" s="47" t="str">
        <f>VLOOKUP(Tabla6[[#This Row],['# Vuelo]],'Validacion reclamo de equipaje'!P:Q,2,0)</f>
        <v>MEXICO AEREO</v>
      </c>
      <c r="C4006" s="48">
        <v>0.67152777777777783</v>
      </c>
      <c r="D4006" s="48">
        <v>0.67708333333333337</v>
      </c>
      <c r="E4006" s="49">
        <f>'Reclamo de equipaje rediseñado'!$D4006-'Reclamo de equipaje rediseñado'!$C4006</f>
        <v>5.5555555555555358E-3</v>
      </c>
      <c r="F4006" s="48">
        <v>0.67986111111111114</v>
      </c>
      <c r="G4006" s="49">
        <f t="shared" si="62"/>
        <v>2.7777777777777679E-3</v>
      </c>
      <c r="H4006" s="50">
        <v>41796</v>
      </c>
      <c r="I4006" s="51" t="s">
        <v>544</v>
      </c>
      <c r="J4006" s="51" t="s">
        <v>535</v>
      </c>
      <c r="K4006" s="51">
        <f>VLOOKUP(J4006,'Validacion reclamo de equipaje'!L:M,2,0)</f>
        <v>50</v>
      </c>
      <c r="L4006" s="51" t="str">
        <f>VLOOKUP(I4006,'Validacion reclamo de equipaje'!H:I,2,0)</f>
        <v>Nacional</v>
      </c>
      <c r="M4006" s="51" t="s">
        <v>615</v>
      </c>
    </row>
    <row r="4007" spans="1:13" x14ac:dyDescent="0.25">
      <c r="A4007">
        <v>2024</v>
      </c>
      <c r="B4007" s="47" t="str">
        <f>VLOOKUP(Tabla6[[#This Row],['# Vuelo]],'Validacion reclamo de equipaje'!P:Q,2,0)</f>
        <v>MEXICO AEREO</v>
      </c>
      <c r="C4007" s="52">
        <v>0.65694444444444444</v>
      </c>
      <c r="D4007" s="52">
        <v>0.67013888888888884</v>
      </c>
      <c r="E4007" s="53">
        <f>'Reclamo de equipaje rediseñado'!$D4007-'Reclamo de equipaje rediseñado'!$C4007</f>
        <v>1.3194444444444398E-2</v>
      </c>
      <c r="F4007" s="52">
        <v>0.67291666666666661</v>
      </c>
      <c r="G4007" s="53">
        <f t="shared" si="62"/>
        <v>2.7777777777777679E-3</v>
      </c>
      <c r="H4007" s="54">
        <v>41797</v>
      </c>
      <c r="I4007" s="55" t="s">
        <v>544</v>
      </c>
      <c r="J4007" s="55" t="s">
        <v>535</v>
      </c>
      <c r="K4007" s="55">
        <f>VLOOKUP(J4007,'Validacion reclamo de equipaje'!L:M,2,0)</f>
        <v>50</v>
      </c>
      <c r="L4007" s="55" t="str">
        <f>VLOOKUP(I4007,'Validacion reclamo de equipaje'!H:I,2,0)</f>
        <v>Nacional</v>
      </c>
      <c r="M4007" s="55" t="s">
        <v>615</v>
      </c>
    </row>
    <row r="4008" spans="1:13" x14ac:dyDescent="0.25">
      <c r="A4008">
        <v>2024</v>
      </c>
      <c r="B4008" s="47" t="str">
        <f>VLOOKUP(Tabla6[[#This Row],['# Vuelo]],'Validacion reclamo de equipaje'!P:Q,2,0)</f>
        <v>MEXICO AEREO</v>
      </c>
      <c r="C4008" s="48">
        <v>0.67986111111111114</v>
      </c>
      <c r="D4008" s="48">
        <v>0.68541666666666667</v>
      </c>
      <c r="E4008" s="49">
        <f>'Reclamo de equipaje rediseñado'!$D4008-'Reclamo de equipaje rediseñado'!$C4008</f>
        <v>5.5555555555555358E-3</v>
      </c>
      <c r="F4008" s="48">
        <v>0.68958333333333333</v>
      </c>
      <c r="G4008" s="49">
        <f t="shared" si="62"/>
        <v>4.1666666666666519E-3</v>
      </c>
      <c r="H4008" s="50">
        <v>41798</v>
      </c>
      <c r="I4008" s="51" t="s">
        <v>544</v>
      </c>
      <c r="J4008" s="51" t="s">
        <v>535</v>
      </c>
      <c r="K4008" s="51">
        <f>VLOOKUP(J4008,'Validacion reclamo de equipaje'!L:M,2,0)</f>
        <v>50</v>
      </c>
      <c r="L4008" s="51" t="str">
        <f>VLOOKUP(I4008,'Validacion reclamo de equipaje'!H:I,2,0)</f>
        <v>Nacional</v>
      </c>
      <c r="M4008" s="51" t="s">
        <v>615</v>
      </c>
    </row>
    <row r="4009" spans="1:13" x14ac:dyDescent="0.25">
      <c r="A4009">
        <v>2023</v>
      </c>
      <c r="B4009" s="47" t="str">
        <f>VLOOKUP(Tabla6[[#This Row],['# Vuelo]],'Validacion reclamo de equipaje'!P:Q,2,0)</f>
        <v>MEXICO AEREO</v>
      </c>
      <c r="C4009" s="52">
        <v>0.47291666666666665</v>
      </c>
      <c r="D4009" s="52">
        <v>0.47500000000000003</v>
      </c>
      <c r="E4009" s="53">
        <f>'Reclamo de equipaje rediseñado'!$D4009-'Reclamo de equipaje rediseñado'!$C4009</f>
        <v>2.0833333333333814E-3</v>
      </c>
      <c r="F4009" s="52">
        <v>0.4777777777777778</v>
      </c>
      <c r="G4009" s="53">
        <f t="shared" si="62"/>
        <v>2.7777777777777679E-3</v>
      </c>
      <c r="H4009" s="54">
        <v>41791</v>
      </c>
      <c r="I4009" s="55" t="s">
        <v>543</v>
      </c>
      <c r="J4009" s="55" t="s">
        <v>535</v>
      </c>
      <c r="K4009" s="55">
        <f>VLOOKUP(J4009,'Validacion reclamo de equipaje'!L:M,2,0)</f>
        <v>50</v>
      </c>
      <c r="L4009" s="55" t="str">
        <f>VLOOKUP(I4009,'Validacion reclamo de equipaje'!H:I,2,0)</f>
        <v>Nacional</v>
      </c>
      <c r="M4009" s="55" t="s">
        <v>615</v>
      </c>
    </row>
    <row r="4010" spans="1:13" x14ac:dyDescent="0.25">
      <c r="A4010">
        <v>2023</v>
      </c>
      <c r="B4010" s="47" t="str">
        <f>VLOOKUP(Tabla6[[#This Row],['# Vuelo]],'Validacion reclamo de equipaje'!P:Q,2,0)</f>
        <v>MEXICO AEREO</v>
      </c>
      <c r="C4010" s="48">
        <v>0.46736111111111112</v>
      </c>
      <c r="D4010" s="48">
        <v>0.47291666666666665</v>
      </c>
      <c r="E4010" s="49">
        <f>'Reclamo de equipaje rediseñado'!$D4010-'Reclamo de equipaje rediseñado'!$C4010</f>
        <v>5.5555555555555358E-3</v>
      </c>
      <c r="F4010" s="48">
        <v>0.4770833333333333</v>
      </c>
      <c r="G4010" s="49">
        <f t="shared" si="62"/>
        <v>4.1666666666666519E-3</v>
      </c>
      <c r="H4010" s="50">
        <v>41792</v>
      </c>
      <c r="I4010" s="51" t="s">
        <v>543</v>
      </c>
      <c r="J4010" s="51" t="s">
        <v>535</v>
      </c>
      <c r="K4010" s="51">
        <f>VLOOKUP(J4010,'Validacion reclamo de equipaje'!L:M,2,0)</f>
        <v>50</v>
      </c>
      <c r="L4010" s="51" t="str">
        <f>VLOOKUP(I4010,'Validacion reclamo de equipaje'!H:I,2,0)</f>
        <v>Nacional</v>
      </c>
      <c r="M4010" s="51" t="s">
        <v>615</v>
      </c>
    </row>
    <row r="4011" spans="1:13" x14ac:dyDescent="0.25">
      <c r="A4011">
        <v>2023</v>
      </c>
      <c r="B4011" s="47" t="str">
        <f>VLOOKUP(Tabla6[[#This Row],['# Vuelo]],'Validacion reclamo de equipaje'!P:Q,2,0)</f>
        <v>MEXICO AEREO</v>
      </c>
      <c r="C4011" s="52">
        <v>0.4861111111111111</v>
      </c>
      <c r="D4011" s="52">
        <v>0.49027777777777781</v>
      </c>
      <c r="E4011" s="53">
        <f>'Reclamo de equipaje rediseñado'!$D4011-'Reclamo de equipaje rediseñado'!$C4011</f>
        <v>4.1666666666667074E-3</v>
      </c>
      <c r="F4011" s="52">
        <v>0.49444444444444446</v>
      </c>
      <c r="G4011" s="53">
        <f t="shared" si="62"/>
        <v>4.1666666666666519E-3</v>
      </c>
      <c r="H4011" s="54">
        <v>41793</v>
      </c>
      <c r="I4011" s="55" t="s">
        <v>543</v>
      </c>
      <c r="J4011" s="55" t="s">
        <v>535</v>
      </c>
      <c r="K4011" s="55">
        <f>VLOOKUP(J4011,'Validacion reclamo de equipaje'!L:M,2,0)</f>
        <v>50</v>
      </c>
      <c r="L4011" s="55" t="str">
        <f>VLOOKUP(I4011,'Validacion reclamo de equipaje'!H:I,2,0)</f>
        <v>Nacional</v>
      </c>
      <c r="M4011" s="55" t="s">
        <v>615</v>
      </c>
    </row>
    <row r="4012" spans="1:13" x14ac:dyDescent="0.25">
      <c r="A4012">
        <v>2023</v>
      </c>
      <c r="B4012" s="47" t="str">
        <f>VLOOKUP(Tabla6[[#This Row],['# Vuelo]],'Validacion reclamo de equipaje'!P:Q,2,0)</f>
        <v>MEXICO AEREO</v>
      </c>
      <c r="C4012" s="48">
        <v>0.47638888888888892</v>
      </c>
      <c r="D4012" s="48">
        <v>0.47916666666666669</v>
      </c>
      <c r="E4012" s="49">
        <f>'Reclamo de equipaje rediseñado'!$D4012-'Reclamo de equipaje rediseñado'!$C4012</f>
        <v>2.7777777777777679E-3</v>
      </c>
      <c r="F4012" s="48">
        <v>0.48402777777777778</v>
      </c>
      <c r="G4012" s="49">
        <f t="shared" si="62"/>
        <v>4.8611111111110938E-3</v>
      </c>
      <c r="H4012" s="50">
        <v>41794</v>
      </c>
      <c r="I4012" s="51" t="s">
        <v>543</v>
      </c>
      <c r="J4012" s="51" t="s">
        <v>535</v>
      </c>
      <c r="K4012" s="51">
        <f>VLOOKUP(J4012,'Validacion reclamo de equipaje'!L:M,2,0)</f>
        <v>50</v>
      </c>
      <c r="L4012" s="51" t="str">
        <f>VLOOKUP(I4012,'Validacion reclamo de equipaje'!H:I,2,0)</f>
        <v>Nacional</v>
      </c>
      <c r="M4012" s="51" t="s">
        <v>615</v>
      </c>
    </row>
    <row r="4013" spans="1:13" x14ac:dyDescent="0.25">
      <c r="A4013">
        <v>2023</v>
      </c>
      <c r="B4013" s="47" t="str">
        <f>VLOOKUP(Tabla6[[#This Row],['# Vuelo]],'Validacion reclamo de equipaje'!P:Q,2,0)</f>
        <v>MEXICO AEREO</v>
      </c>
      <c r="C4013" s="52">
        <v>0.47361111111111115</v>
      </c>
      <c r="D4013" s="52">
        <v>0.47638888888888892</v>
      </c>
      <c r="E4013" s="53">
        <f>'Reclamo de equipaje rediseñado'!$D4013-'Reclamo de equipaje rediseñado'!$C4013</f>
        <v>2.7777777777777679E-3</v>
      </c>
      <c r="F4013" s="52">
        <v>0.47916666666666669</v>
      </c>
      <c r="G4013" s="53">
        <f t="shared" si="62"/>
        <v>2.7777777777777679E-3</v>
      </c>
      <c r="H4013" s="54">
        <v>41795</v>
      </c>
      <c r="I4013" s="55" t="s">
        <v>543</v>
      </c>
      <c r="J4013" s="55" t="s">
        <v>535</v>
      </c>
      <c r="K4013" s="55">
        <f>VLOOKUP(J4013,'Validacion reclamo de equipaje'!L:M,2,0)</f>
        <v>50</v>
      </c>
      <c r="L4013" s="55" t="str">
        <f>VLOOKUP(I4013,'Validacion reclamo de equipaje'!H:I,2,0)</f>
        <v>Nacional</v>
      </c>
      <c r="M4013" s="55" t="s">
        <v>615</v>
      </c>
    </row>
    <row r="4014" spans="1:13" x14ac:dyDescent="0.25">
      <c r="A4014">
        <v>2023</v>
      </c>
      <c r="B4014" s="47" t="str">
        <f>VLOOKUP(Tabla6[[#This Row],['# Vuelo]],'Validacion reclamo de equipaje'!P:Q,2,0)</f>
        <v>MEXICO AEREO</v>
      </c>
      <c r="C4014" s="48">
        <v>0.47430555555555554</v>
      </c>
      <c r="D4014" s="48">
        <v>0.47500000000000003</v>
      </c>
      <c r="E4014" s="49">
        <f>'Reclamo de equipaje rediseñado'!$D4014-'Reclamo de equipaje rediseñado'!$C4014</f>
        <v>6.9444444444449749E-4</v>
      </c>
      <c r="F4014" s="48">
        <v>0.47916666666666669</v>
      </c>
      <c r="G4014" s="49">
        <f t="shared" si="62"/>
        <v>4.1666666666666519E-3</v>
      </c>
      <c r="H4014" s="50">
        <v>41796</v>
      </c>
      <c r="I4014" s="51" t="s">
        <v>543</v>
      </c>
      <c r="J4014" s="51" t="s">
        <v>535</v>
      </c>
      <c r="K4014" s="51">
        <f>VLOOKUP(J4014,'Validacion reclamo de equipaje'!L:M,2,0)</f>
        <v>50</v>
      </c>
      <c r="L4014" s="51" t="str">
        <f>VLOOKUP(I4014,'Validacion reclamo de equipaje'!H:I,2,0)</f>
        <v>Nacional</v>
      </c>
      <c r="M4014" s="51" t="s">
        <v>615</v>
      </c>
    </row>
    <row r="4015" spans="1:13" x14ac:dyDescent="0.25">
      <c r="A4015">
        <v>2023</v>
      </c>
      <c r="B4015" s="47" t="str">
        <f>VLOOKUP(Tabla6[[#This Row],['# Vuelo]],'Validacion reclamo de equipaje'!P:Q,2,0)</f>
        <v>MEXICO AEREO</v>
      </c>
      <c r="C4015" s="52">
        <v>0.47152777777777777</v>
      </c>
      <c r="D4015" s="52">
        <v>0.4770833333333333</v>
      </c>
      <c r="E4015" s="53">
        <f>'Reclamo de equipaje rediseñado'!$D4015-'Reclamo de equipaje rediseñado'!$C4015</f>
        <v>5.5555555555555358E-3</v>
      </c>
      <c r="F4015" s="52">
        <v>0.47847222222222219</v>
      </c>
      <c r="G4015" s="53">
        <f t="shared" si="62"/>
        <v>1.388888888888884E-3</v>
      </c>
      <c r="H4015" s="54">
        <v>41797</v>
      </c>
      <c r="I4015" s="55" t="s">
        <v>543</v>
      </c>
      <c r="J4015" s="55" t="s">
        <v>535</v>
      </c>
      <c r="K4015" s="55">
        <f>VLOOKUP(J4015,'Validacion reclamo de equipaje'!L:M,2,0)</f>
        <v>50</v>
      </c>
      <c r="L4015" s="55" t="str">
        <f>VLOOKUP(I4015,'Validacion reclamo de equipaje'!H:I,2,0)</f>
        <v>Nacional</v>
      </c>
      <c r="M4015" s="55" t="s">
        <v>615</v>
      </c>
    </row>
    <row r="4016" spans="1:13" x14ac:dyDescent="0.25">
      <c r="A4016">
        <v>2023</v>
      </c>
      <c r="B4016" s="47" t="str">
        <f>VLOOKUP(Tabla6[[#This Row],['# Vuelo]],'Validacion reclamo de equipaje'!P:Q,2,0)</f>
        <v>MEXICO AEREO</v>
      </c>
      <c r="C4016" s="48">
        <v>0.4694444444444445</v>
      </c>
      <c r="D4016" s="48">
        <v>0.47361111111111115</v>
      </c>
      <c r="E4016" s="49">
        <f>'Reclamo de equipaje rediseñado'!$D4016-'Reclamo de equipaje rediseñado'!$C4016</f>
        <v>4.1666666666666519E-3</v>
      </c>
      <c r="F4016" s="48">
        <v>0.47847222222222219</v>
      </c>
      <c r="G4016" s="49">
        <f t="shared" si="62"/>
        <v>4.8611111111110383E-3</v>
      </c>
      <c r="H4016" s="50">
        <v>41798</v>
      </c>
      <c r="I4016" s="51" t="s">
        <v>543</v>
      </c>
      <c r="J4016" s="51" t="s">
        <v>535</v>
      </c>
      <c r="K4016" s="51">
        <f>VLOOKUP(J4016,'Validacion reclamo de equipaje'!L:M,2,0)</f>
        <v>50</v>
      </c>
      <c r="L4016" s="51" t="str">
        <f>VLOOKUP(I4016,'Validacion reclamo de equipaje'!H:I,2,0)</f>
        <v>Nacional</v>
      </c>
      <c r="M4016" s="51" t="s">
        <v>615</v>
      </c>
    </row>
    <row r="4017" spans="1:13" x14ac:dyDescent="0.25">
      <c r="A4017">
        <v>2023</v>
      </c>
      <c r="B4017" s="47" t="str">
        <f>VLOOKUP(Tabla6[[#This Row],['# Vuelo]],'Validacion reclamo de equipaje'!P:Q,2,0)</f>
        <v>MEXICO AEREO</v>
      </c>
      <c r="C4017" s="52">
        <v>0.47222222222222227</v>
      </c>
      <c r="D4017" s="52">
        <v>0.4770833333333333</v>
      </c>
      <c r="E4017" s="53">
        <f>'Reclamo de equipaje rediseñado'!$D4017-'Reclamo de equipaje rediseñado'!$C4017</f>
        <v>4.8611111111110383E-3</v>
      </c>
      <c r="F4017" s="52">
        <v>0.48055555555555557</v>
      </c>
      <c r="G4017" s="53">
        <f t="shared" si="62"/>
        <v>3.4722222222222654E-3</v>
      </c>
      <c r="H4017" s="54">
        <v>41799</v>
      </c>
      <c r="I4017" s="55" t="s">
        <v>543</v>
      </c>
      <c r="J4017" s="55" t="s">
        <v>535</v>
      </c>
      <c r="K4017" s="55">
        <f>VLOOKUP(J4017,'Validacion reclamo de equipaje'!L:M,2,0)</f>
        <v>50</v>
      </c>
      <c r="L4017" s="55" t="str">
        <f>VLOOKUP(I4017,'Validacion reclamo de equipaje'!H:I,2,0)</f>
        <v>Nacional</v>
      </c>
      <c r="M4017" s="55" t="s">
        <v>615</v>
      </c>
    </row>
    <row r="4018" spans="1:13" x14ac:dyDescent="0.25">
      <c r="A4018">
        <v>2023</v>
      </c>
      <c r="B4018" s="47" t="str">
        <f>VLOOKUP(Tabla6[[#This Row],['# Vuelo]],'Validacion reclamo de equipaje'!P:Q,2,0)</f>
        <v>MEXICO AEREO</v>
      </c>
      <c r="C4018" s="48">
        <v>0.55486111111111114</v>
      </c>
      <c r="D4018" s="48">
        <v>0.55902777777777779</v>
      </c>
      <c r="E4018" s="49">
        <f>'Reclamo de equipaje rediseñado'!$D4018-'Reclamo de equipaje rediseñado'!$C4018</f>
        <v>4.1666666666666519E-3</v>
      </c>
      <c r="F4018" s="48">
        <v>0.56041666666666667</v>
      </c>
      <c r="G4018" s="49">
        <f t="shared" si="62"/>
        <v>1.388888888888884E-3</v>
      </c>
      <c r="H4018" s="50">
        <v>41801</v>
      </c>
      <c r="I4018" s="51" t="s">
        <v>543</v>
      </c>
      <c r="J4018" s="51" t="s">
        <v>535</v>
      </c>
      <c r="K4018" s="51">
        <f>VLOOKUP(J4018,'Validacion reclamo de equipaje'!L:M,2,0)</f>
        <v>50</v>
      </c>
      <c r="L4018" s="51" t="str">
        <f>VLOOKUP(I4018,'Validacion reclamo de equipaje'!H:I,2,0)</f>
        <v>Nacional</v>
      </c>
      <c r="M4018" s="51" t="s">
        <v>615</v>
      </c>
    </row>
    <row r="4019" spans="1:13" x14ac:dyDescent="0.25">
      <c r="A4019">
        <v>2023</v>
      </c>
      <c r="B4019" s="47" t="str">
        <f>VLOOKUP(Tabla6[[#This Row],['# Vuelo]],'Validacion reclamo de equipaje'!P:Q,2,0)</f>
        <v>MEXICO AEREO</v>
      </c>
      <c r="C4019" s="52">
        <v>0.51666666666666672</v>
      </c>
      <c r="D4019" s="52">
        <v>0.52500000000000002</v>
      </c>
      <c r="E4019" s="53">
        <f>'Reclamo de equipaje rediseñado'!$D4019-'Reclamo de equipaje rediseñado'!$C4019</f>
        <v>8.3333333333333037E-3</v>
      </c>
      <c r="F4019" s="52">
        <v>0.53263888888888888</v>
      </c>
      <c r="G4019" s="53">
        <f t="shared" si="62"/>
        <v>7.6388888888888618E-3</v>
      </c>
      <c r="H4019" s="54">
        <v>41802</v>
      </c>
      <c r="I4019" s="55" t="s">
        <v>543</v>
      </c>
      <c r="J4019" s="55" t="s">
        <v>535</v>
      </c>
      <c r="K4019" s="55">
        <f>VLOOKUP(J4019,'Validacion reclamo de equipaje'!L:M,2,0)</f>
        <v>50</v>
      </c>
      <c r="L4019" s="55" t="str">
        <f>VLOOKUP(I4019,'Validacion reclamo de equipaje'!H:I,2,0)</f>
        <v>Nacional</v>
      </c>
      <c r="M4019" s="55" t="s">
        <v>615</v>
      </c>
    </row>
    <row r="4020" spans="1:13" x14ac:dyDescent="0.25">
      <c r="A4020">
        <v>2023</v>
      </c>
      <c r="B4020" s="47" t="str">
        <f>VLOOKUP(Tabla6[[#This Row],['# Vuelo]],'Validacion reclamo de equipaje'!P:Q,2,0)</f>
        <v>MEXICO AEREO</v>
      </c>
      <c r="C4020" s="48">
        <v>0.89930555555555547</v>
      </c>
      <c r="D4020" s="48">
        <v>0.90486111111111101</v>
      </c>
      <c r="E4020" s="49">
        <f>'Reclamo de equipaje rediseñado'!$D4020-'Reclamo de equipaje rediseñado'!$C4020</f>
        <v>5.5555555555555358E-3</v>
      </c>
      <c r="F4020" s="48">
        <v>0.90833333333333333</v>
      </c>
      <c r="G4020" s="49">
        <f t="shared" si="62"/>
        <v>3.4722222222223209E-3</v>
      </c>
      <c r="H4020" s="50">
        <v>41803</v>
      </c>
      <c r="I4020" s="51" t="s">
        <v>543</v>
      </c>
      <c r="J4020" s="51" t="s">
        <v>535</v>
      </c>
      <c r="K4020" s="51">
        <f>VLOOKUP(J4020,'Validacion reclamo de equipaje'!L:M,2,0)</f>
        <v>50</v>
      </c>
      <c r="L4020" s="51" t="str">
        <f>VLOOKUP(I4020,'Validacion reclamo de equipaje'!H:I,2,0)</f>
        <v>Nacional</v>
      </c>
      <c r="M4020" s="51" t="s">
        <v>615</v>
      </c>
    </row>
    <row r="4021" spans="1:13" x14ac:dyDescent="0.25">
      <c r="A4021">
        <v>2023</v>
      </c>
      <c r="B4021" s="47" t="str">
        <f>VLOOKUP(Tabla6[[#This Row],['# Vuelo]],'Validacion reclamo de equipaje'!P:Q,2,0)</f>
        <v>MEXICO AEREO</v>
      </c>
      <c r="C4021" s="52">
        <v>0.84375</v>
      </c>
      <c r="D4021" s="52">
        <v>0.84652777777777777</v>
      </c>
      <c r="E4021" s="53">
        <f>'Reclamo de equipaje rediseñado'!$D4021-'Reclamo de equipaje rediseñado'!$C4021</f>
        <v>2.7777777777777679E-3</v>
      </c>
      <c r="F4021" s="52">
        <v>0.8534722222222223</v>
      </c>
      <c r="G4021" s="53">
        <f t="shared" si="62"/>
        <v>6.9444444444445308E-3</v>
      </c>
      <c r="H4021" s="54">
        <v>41804</v>
      </c>
      <c r="I4021" s="55" t="s">
        <v>543</v>
      </c>
      <c r="J4021" s="55" t="s">
        <v>535</v>
      </c>
      <c r="K4021" s="55">
        <f>VLOOKUP(J4021,'Validacion reclamo de equipaje'!L:M,2,0)</f>
        <v>50</v>
      </c>
      <c r="L4021" s="55" t="str">
        <f>VLOOKUP(I4021,'Validacion reclamo de equipaje'!H:I,2,0)</f>
        <v>Nacional</v>
      </c>
      <c r="M4021" s="55" t="s">
        <v>615</v>
      </c>
    </row>
    <row r="4022" spans="1:13" x14ac:dyDescent="0.25">
      <c r="A4022">
        <v>2023</v>
      </c>
      <c r="B4022" s="47" t="str">
        <f>VLOOKUP(Tabla6[[#This Row],['# Vuelo]],'Validacion reclamo de equipaje'!P:Q,2,0)</f>
        <v>MEXICO AEREO</v>
      </c>
      <c r="C4022" s="48">
        <v>0.88888888888888884</v>
      </c>
      <c r="D4022" s="48">
        <v>0.89861111111111114</v>
      </c>
      <c r="E4022" s="49">
        <f>'Reclamo de equipaje rediseñado'!$D4022-'Reclamo de equipaje rediseñado'!$C4022</f>
        <v>9.7222222222222987E-3</v>
      </c>
      <c r="F4022" s="48">
        <v>0.92152777777777783</v>
      </c>
      <c r="G4022" s="49">
        <f t="shared" si="62"/>
        <v>2.2916666666666696E-2</v>
      </c>
      <c r="H4022" s="50">
        <v>41806</v>
      </c>
      <c r="I4022" s="51" t="s">
        <v>543</v>
      </c>
      <c r="J4022" s="51" t="s">
        <v>535</v>
      </c>
      <c r="K4022" s="51">
        <f>VLOOKUP(J4022,'Validacion reclamo de equipaje'!L:M,2,0)</f>
        <v>50</v>
      </c>
      <c r="L4022" s="51" t="str">
        <f>VLOOKUP(I4022,'Validacion reclamo de equipaje'!H:I,2,0)</f>
        <v>Nacional</v>
      </c>
      <c r="M4022" s="51" t="s">
        <v>615</v>
      </c>
    </row>
    <row r="4023" spans="1:13" x14ac:dyDescent="0.25">
      <c r="A4023">
        <v>2023</v>
      </c>
      <c r="B4023" s="47" t="str">
        <f>VLOOKUP(Tabla6[[#This Row],['# Vuelo]],'Validacion reclamo de equipaje'!P:Q,2,0)</f>
        <v>MEXICO AEREO</v>
      </c>
      <c r="C4023" s="52">
        <v>0.91805555555555562</v>
      </c>
      <c r="D4023" s="52">
        <v>0.92986111111111114</v>
      </c>
      <c r="E4023" s="53">
        <f>'Reclamo de equipaje rediseñado'!$D4023-'Reclamo de equipaje rediseñado'!$C4023</f>
        <v>1.1805555555555514E-2</v>
      </c>
      <c r="F4023" s="52">
        <v>0.94444444444444453</v>
      </c>
      <c r="G4023" s="53">
        <f t="shared" si="62"/>
        <v>1.4583333333333393E-2</v>
      </c>
      <c r="H4023" s="54">
        <v>41807</v>
      </c>
      <c r="I4023" s="55" t="s">
        <v>543</v>
      </c>
      <c r="J4023" s="55" t="s">
        <v>535</v>
      </c>
      <c r="K4023" s="55">
        <f>VLOOKUP(J4023,'Validacion reclamo de equipaje'!L:M,2,0)</f>
        <v>50</v>
      </c>
      <c r="L4023" s="55" t="str">
        <f>VLOOKUP(I4023,'Validacion reclamo de equipaje'!H:I,2,0)</f>
        <v>Nacional</v>
      </c>
      <c r="M4023" s="55" t="s">
        <v>615</v>
      </c>
    </row>
    <row r="4024" spans="1:13" x14ac:dyDescent="0.25">
      <c r="A4024">
        <v>2023</v>
      </c>
      <c r="B4024" s="47" t="str">
        <f>VLOOKUP(Tabla6[[#This Row],['# Vuelo]],'Validacion reclamo de equipaje'!P:Q,2,0)</f>
        <v>MEXICO AEREO</v>
      </c>
      <c r="C4024" s="48">
        <v>0.4680555555555555</v>
      </c>
      <c r="D4024" s="48">
        <v>0.4777777777777778</v>
      </c>
      <c r="E4024" s="49">
        <f>'Reclamo de equipaje rediseñado'!$D4024-'Reclamo de equipaje rediseñado'!$C4024</f>
        <v>9.7222222222222987E-3</v>
      </c>
      <c r="F4024" s="48">
        <v>0.4826388888888889</v>
      </c>
      <c r="G4024" s="49">
        <f t="shared" si="62"/>
        <v>4.8611111111110938E-3</v>
      </c>
      <c r="H4024" s="50">
        <v>41808</v>
      </c>
      <c r="I4024" s="51" t="s">
        <v>543</v>
      </c>
      <c r="J4024" s="51" t="s">
        <v>535</v>
      </c>
      <c r="K4024" s="51">
        <f>VLOOKUP(J4024,'Validacion reclamo de equipaje'!L:M,2,0)</f>
        <v>50</v>
      </c>
      <c r="L4024" s="51" t="str">
        <f>VLOOKUP(I4024,'Validacion reclamo de equipaje'!H:I,2,0)</f>
        <v>Nacional</v>
      </c>
      <c r="M4024" s="51" t="s">
        <v>615</v>
      </c>
    </row>
    <row r="4025" spans="1:13" x14ac:dyDescent="0.25">
      <c r="A4025">
        <v>2023</v>
      </c>
      <c r="B4025" s="47" t="str">
        <f>VLOOKUP(Tabla6[[#This Row],['# Vuelo]],'Validacion reclamo de equipaje'!P:Q,2,0)</f>
        <v>MEXICO AEREO</v>
      </c>
      <c r="C4025" s="52">
        <v>0.47500000000000003</v>
      </c>
      <c r="D4025" s="52">
        <v>0.47916666666666669</v>
      </c>
      <c r="E4025" s="53">
        <f>'Reclamo de equipaje rediseñado'!$D4025-'Reclamo de equipaje rediseñado'!$C4025</f>
        <v>4.1666666666666519E-3</v>
      </c>
      <c r="F4025" s="52">
        <v>0.48333333333333334</v>
      </c>
      <c r="G4025" s="53">
        <f t="shared" si="62"/>
        <v>4.1666666666666519E-3</v>
      </c>
      <c r="H4025" s="54">
        <v>41810</v>
      </c>
      <c r="I4025" s="55" t="s">
        <v>543</v>
      </c>
      <c r="J4025" s="55" t="s">
        <v>535</v>
      </c>
      <c r="K4025" s="55">
        <f>VLOOKUP(J4025,'Validacion reclamo de equipaje'!L:M,2,0)</f>
        <v>50</v>
      </c>
      <c r="L4025" s="55" t="str">
        <f>VLOOKUP(I4025,'Validacion reclamo de equipaje'!H:I,2,0)</f>
        <v>Nacional</v>
      </c>
      <c r="M4025" s="55" t="s">
        <v>615</v>
      </c>
    </row>
    <row r="4026" spans="1:13" x14ac:dyDescent="0.25">
      <c r="A4026">
        <v>2023</v>
      </c>
      <c r="B4026" s="47" t="str">
        <f>VLOOKUP(Tabla6[[#This Row],['# Vuelo]],'Validacion reclamo de equipaje'!P:Q,2,0)</f>
        <v>MEXICO AEREO</v>
      </c>
      <c r="C4026" s="48">
        <v>0.50416666666666665</v>
      </c>
      <c r="D4026" s="48">
        <v>0.50902777777777775</v>
      </c>
      <c r="E4026" s="49">
        <f>'Reclamo de equipaje rediseñado'!$D4026-'Reclamo de equipaje rediseñado'!$C4026</f>
        <v>4.8611111111110938E-3</v>
      </c>
      <c r="F4026" s="48">
        <v>0.5131944444444444</v>
      </c>
      <c r="G4026" s="49">
        <f t="shared" si="62"/>
        <v>4.1666666666666519E-3</v>
      </c>
      <c r="H4026" s="50">
        <v>41811</v>
      </c>
      <c r="I4026" s="51" t="s">
        <v>543</v>
      </c>
      <c r="J4026" s="51" t="s">
        <v>535</v>
      </c>
      <c r="K4026" s="51">
        <f>VLOOKUP(J4026,'Validacion reclamo de equipaje'!L:M,2,0)</f>
        <v>50</v>
      </c>
      <c r="L4026" s="51" t="str">
        <f>VLOOKUP(I4026,'Validacion reclamo de equipaje'!H:I,2,0)</f>
        <v>Nacional</v>
      </c>
      <c r="M4026" s="51" t="s">
        <v>615</v>
      </c>
    </row>
    <row r="4027" spans="1:13" x14ac:dyDescent="0.25">
      <c r="A4027">
        <v>2023</v>
      </c>
      <c r="B4027" s="47" t="str">
        <f>VLOOKUP(Tabla6[[#This Row],['# Vuelo]],'Validacion reclamo de equipaje'!P:Q,2,0)</f>
        <v>MEXICO AEREO</v>
      </c>
      <c r="C4027" s="52">
        <v>0.47222222222222227</v>
      </c>
      <c r="D4027" s="52">
        <v>0.47569444444444442</v>
      </c>
      <c r="E4027" s="53">
        <f>'Reclamo de equipaje rediseñado'!$D4027-'Reclamo de equipaje rediseñado'!$C4027</f>
        <v>3.4722222222221544E-3</v>
      </c>
      <c r="F4027" s="52">
        <v>0.48333333333333334</v>
      </c>
      <c r="G4027" s="53">
        <f t="shared" si="62"/>
        <v>7.6388888888889173E-3</v>
      </c>
      <c r="H4027" s="54">
        <v>41812</v>
      </c>
      <c r="I4027" s="55" t="s">
        <v>543</v>
      </c>
      <c r="J4027" s="55" t="s">
        <v>535</v>
      </c>
      <c r="K4027" s="55">
        <f>VLOOKUP(J4027,'Validacion reclamo de equipaje'!L:M,2,0)</f>
        <v>50</v>
      </c>
      <c r="L4027" s="55" t="str">
        <f>VLOOKUP(I4027,'Validacion reclamo de equipaje'!H:I,2,0)</f>
        <v>Nacional</v>
      </c>
      <c r="M4027" s="55" t="s">
        <v>615</v>
      </c>
    </row>
    <row r="4028" spans="1:13" x14ac:dyDescent="0.25">
      <c r="A4028">
        <v>2005</v>
      </c>
      <c r="B4028" s="47" t="str">
        <f>VLOOKUP(Tabla6[[#This Row],['# Vuelo]],'Validacion reclamo de equipaje'!P:Q,2,0)</f>
        <v>MEXICO AEREO</v>
      </c>
      <c r="C4028" s="48">
        <v>0.26041666666666669</v>
      </c>
      <c r="D4028" s="48">
        <v>0.26527777777777778</v>
      </c>
      <c r="E4028" s="49">
        <f>'Reclamo de equipaje rediseñado'!$D4028-'Reclamo de equipaje rediseñado'!$C4028</f>
        <v>4.8611111111110938E-3</v>
      </c>
      <c r="F4028" s="48">
        <v>0.27291666666666664</v>
      </c>
      <c r="G4028" s="49">
        <f t="shared" si="62"/>
        <v>7.6388888888888618E-3</v>
      </c>
      <c r="H4028" s="50">
        <v>41802</v>
      </c>
      <c r="I4028" s="51" t="s">
        <v>543</v>
      </c>
      <c r="J4028" s="51" t="s">
        <v>535</v>
      </c>
      <c r="K4028" s="51">
        <f>VLOOKUP(J4028,'Validacion reclamo de equipaje'!L:M,2,0)</f>
        <v>50</v>
      </c>
      <c r="L4028" s="51" t="str">
        <f>VLOOKUP(I4028,'Validacion reclamo de equipaje'!H:I,2,0)</f>
        <v>Nacional</v>
      </c>
      <c r="M4028" s="51" t="s">
        <v>615</v>
      </c>
    </row>
    <row r="4029" spans="1:13" x14ac:dyDescent="0.25">
      <c r="A4029">
        <v>2005</v>
      </c>
      <c r="B4029" s="47" t="str">
        <f>VLOOKUP(Tabla6[[#This Row],['# Vuelo]],'Validacion reclamo de equipaje'!P:Q,2,0)</f>
        <v>MEXICO AEREO</v>
      </c>
      <c r="C4029" s="52">
        <v>0.32569444444444445</v>
      </c>
      <c r="D4029" s="52">
        <v>0.34027777777777773</v>
      </c>
      <c r="E4029" s="53">
        <f>'Reclamo de equipaje rediseñado'!$D4029-'Reclamo de equipaje rediseñado'!$C4029</f>
        <v>1.4583333333333282E-2</v>
      </c>
      <c r="F4029" s="52">
        <v>0.34791666666666665</v>
      </c>
      <c r="G4029" s="53">
        <f t="shared" si="62"/>
        <v>7.6388888888889173E-3</v>
      </c>
      <c r="H4029" s="54">
        <v>41810</v>
      </c>
      <c r="I4029" s="55" t="s">
        <v>543</v>
      </c>
      <c r="J4029" s="55" t="s">
        <v>535</v>
      </c>
      <c r="K4029" s="55">
        <f>VLOOKUP(J4029,'Validacion reclamo de equipaje'!L:M,2,0)</f>
        <v>50</v>
      </c>
      <c r="L4029" s="55" t="str">
        <f>VLOOKUP(I4029,'Validacion reclamo de equipaje'!H:I,2,0)</f>
        <v>Nacional</v>
      </c>
      <c r="M4029" s="55" t="s">
        <v>615</v>
      </c>
    </row>
    <row r="4030" spans="1:13" x14ac:dyDescent="0.25">
      <c r="A4030">
        <v>1381</v>
      </c>
      <c r="B4030" s="47" t="str">
        <f>VLOOKUP(Tabla6[[#This Row],['# Vuelo]],'Validacion reclamo de equipaje'!P:Q,2,0)</f>
        <v>MEXICO AEREO</v>
      </c>
      <c r="C4030" s="48">
        <v>0.85138888888888886</v>
      </c>
      <c r="D4030" s="48">
        <v>0.85833333333333339</v>
      </c>
      <c r="E4030" s="49">
        <f>'Reclamo de equipaje rediseñado'!$D4030-'Reclamo de equipaje rediseñado'!$C4030</f>
        <v>6.9444444444445308E-3</v>
      </c>
      <c r="F4030" s="48">
        <v>0.8618055555555556</v>
      </c>
      <c r="G4030" s="49">
        <f t="shared" si="62"/>
        <v>3.4722222222222099E-3</v>
      </c>
      <c r="H4030" s="50">
        <v>41812</v>
      </c>
      <c r="I4030" s="51" t="s">
        <v>536</v>
      </c>
      <c r="J4030" s="51">
        <v>738</v>
      </c>
      <c r="K4030" s="51">
        <f>VLOOKUP(J4030,'Validacion reclamo de equipaje'!L:M,2,0)</f>
        <v>189</v>
      </c>
      <c r="L4030" s="51" t="str">
        <f>VLOOKUP(I4030,'Validacion reclamo de equipaje'!H:I,2,0)</f>
        <v>Nacional</v>
      </c>
      <c r="M4030" s="51" t="s">
        <v>615</v>
      </c>
    </row>
    <row r="4031" spans="1:13" x14ac:dyDescent="0.25">
      <c r="A4031">
        <v>1160</v>
      </c>
      <c r="B4031" s="47" t="str">
        <f>VLOOKUP(Tabla6[[#This Row],['# Vuelo]],'Validacion reclamo de equipaje'!P:Q,2,0)</f>
        <v>MEXICO AEREO</v>
      </c>
      <c r="C4031" s="52">
        <v>0.91666666666666663</v>
      </c>
      <c r="D4031" s="52">
        <v>0.92708333333333337</v>
      </c>
      <c r="E4031" s="53">
        <f>'Reclamo de equipaje rediseñado'!$D4031-'Reclamo de equipaje rediseñado'!$C4031</f>
        <v>1.0416666666666741E-2</v>
      </c>
      <c r="F4031" s="52">
        <v>0.93333333333333324</v>
      </c>
      <c r="G4031" s="53">
        <f t="shared" si="62"/>
        <v>6.2499999999998668E-3</v>
      </c>
      <c r="H4031" s="54">
        <v>41794</v>
      </c>
      <c r="I4031" s="55" t="s">
        <v>536</v>
      </c>
      <c r="J4031" s="55">
        <v>738</v>
      </c>
      <c r="K4031" s="55">
        <f>VLOOKUP(J4031,'Validacion reclamo de equipaje'!L:M,2,0)</f>
        <v>189</v>
      </c>
      <c r="L4031" s="55" t="str">
        <f>VLOOKUP(I4031,'Validacion reclamo de equipaje'!H:I,2,0)</f>
        <v>Nacional</v>
      </c>
      <c r="M4031" s="55" t="s">
        <v>615</v>
      </c>
    </row>
    <row r="4032" spans="1:13" x14ac:dyDescent="0.25">
      <c r="A4032">
        <v>1160</v>
      </c>
      <c r="B4032" s="47" t="str">
        <f>VLOOKUP(Tabla6[[#This Row],['# Vuelo]],'Validacion reclamo de equipaje'!P:Q,2,0)</f>
        <v>MEXICO AEREO</v>
      </c>
      <c r="C4032" s="48">
        <v>0.53472222222222221</v>
      </c>
      <c r="D4032" s="48">
        <v>0.53749999999999998</v>
      </c>
      <c r="E4032" s="49">
        <f>'Reclamo de equipaje rediseñado'!$D4032-'Reclamo de equipaje rediseñado'!$C4032</f>
        <v>2.7777777777777679E-3</v>
      </c>
      <c r="F4032" s="48">
        <v>0.54097222222222219</v>
      </c>
      <c r="G4032" s="49">
        <f t="shared" si="62"/>
        <v>3.4722222222222099E-3</v>
      </c>
      <c r="H4032" s="50">
        <v>41801</v>
      </c>
      <c r="I4032" s="51" t="s">
        <v>536</v>
      </c>
      <c r="J4032" s="51">
        <v>738</v>
      </c>
      <c r="K4032" s="51">
        <f>VLOOKUP(J4032,'Validacion reclamo de equipaje'!L:M,2,0)</f>
        <v>189</v>
      </c>
      <c r="L4032" s="51" t="str">
        <f>VLOOKUP(I4032,'Validacion reclamo de equipaje'!H:I,2,0)</f>
        <v>Nacional</v>
      </c>
      <c r="M4032" s="51" t="s">
        <v>615</v>
      </c>
    </row>
    <row r="4033" spans="1:13" x14ac:dyDescent="0.25">
      <c r="A4033">
        <v>1160</v>
      </c>
      <c r="B4033" s="47" t="str">
        <f>VLOOKUP(Tabla6[[#This Row],['# Vuelo]],'Validacion reclamo de equipaje'!P:Q,2,0)</f>
        <v>MEXICO AEREO</v>
      </c>
      <c r="C4033" s="52">
        <v>0.92708333333333337</v>
      </c>
      <c r="D4033" s="52">
        <v>0.9291666666666667</v>
      </c>
      <c r="E4033" s="53">
        <f>'Reclamo de equipaje rediseñado'!$D4033-'Reclamo de equipaje rediseñado'!$C4033</f>
        <v>2.0833333333333259E-3</v>
      </c>
      <c r="F4033" s="52">
        <v>0.93402777777777779</v>
      </c>
      <c r="G4033" s="53">
        <f t="shared" si="62"/>
        <v>4.8611111111110938E-3</v>
      </c>
      <c r="H4033" s="54">
        <v>41808</v>
      </c>
      <c r="I4033" s="55" t="s">
        <v>536</v>
      </c>
      <c r="J4033" s="55">
        <v>738</v>
      </c>
      <c r="K4033" s="55">
        <f>VLOOKUP(J4033,'Validacion reclamo de equipaje'!L:M,2,0)</f>
        <v>189</v>
      </c>
      <c r="L4033" s="55" t="str">
        <f>VLOOKUP(I4033,'Validacion reclamo de equipaje'!H:I,2,0)</f>
        <v>Nacional</v>
      </c>
      <c r="M4033" s="55" t="s">
        <v>615</v>
      </c>
    </row>
    <row r="4034" spans="1:13" x14ac:dyDescent="0.25">
      <c r="A4034">
        <v>789</v>
      </c>
      <c r="B4034" s="47" t="str">
        <f>VLOOKUP(Tabla6[[#This Row],['# Vuelo]],'Validacion reclamo de equipaje'!P:Q,2,0)</f>
        <v>MEXICO AEREO</v>
      </c>
      <c r="C4034" s="48">
        <v>0.33402777777777781</v>
      </c>
      <c r="D4034" s="48">
        <v>0.3444444444444445</v>
      </c>
      <c r="E4034" s="49">
        <f>'Reclamo de equipaje rediseñado'!$D4034-'Reclamo de equipaje rediseñado'!$C4034</f>
        <v>1.0416666666666685E-2</v>
      </c>
      <c r="F4034" s="48">
        <v>0.36805555555555558</v>
      </c>
      <c r="G4034" s="49">
        <f t="shared" si="62"/>
        <v>2.3611111111111083E-2</v>
      </c>
      <c r="H4034" s="50">
        <v>41791</v>
      </c>
      <c r="I4034" s="51" t="s">
        <v>563</v>
      </c>
      <c r="J4034" s="51">
        <v>738</v>
      </c>
      <c r="K4034" s="51">
        <f>VLOOKUP(J4034,'Validacion reclamo de equipaje'!L:M,2,0)</f>
        <v>189</v>
      </c>
      <c r="L4034" s="51" t="str">
        <f>VLOOKUP(I4034,'Validacion reclamo de equipaje'!H:I,2,0)</f>
        <v>Internacional</v>
      </c>
      <c r="M4034" s="51" t="s">
        <v>615</v>
      </c>
    </row>
    <row r="4035" spans="1:13" x14ac:dyDescent="0.25">
      <c r="A4035">
        <v>789</v>
      </c>
      <c r="B4035" s="47" t="str">
        <f>VLOOKUP(Tabla6[[#This Row],['# Vuelo]],'Validacion reclamo de equipaje'!P:Q,2,0)</f>
        <v>MEXICO AEREO</v>
      </c>
      <c r="C4035" s="52">
        <v>0.34097222222222223</v>
      </c>
      <c r="D4035" s="52">
        <v>0.34930555555555554</v>
      </c>
      <c r="E4035" s="53">
        <f>'Reclamo de equipaje rediseñado'!$D4035-'Reclamo de equipaje rediseñado'!$C4035</f>
        <v>8.3333333333333037E-3</v>
      </c>
      <c r="F4035" s="52">
        <v>0.36736111111111108</v>
      </c>
      <c r="G4035" s="53">
        <f t="shared" ref="G4035:G4098" si="63">F4035-D4035</f>
        <v>1.8055555555555547E-2</v>
      </c>
      <c r="H4035" s="54">
        <v>41792</v>
      </c>
      <c r="I4035" s="55" t="s">
        <v>563</v>
      </c>
      <c r="J4035" s="55">
        <v>738</v>
      </c>
      <c r="K4035" s="55">
        <f>VLOOKUP(J4035,'Validacion reclamo de equipaje'!L:M,2,0)</f>
        <v>189</v>
      </c>
      <c r="L4035" s="55" t="str">
        <f>VLOOKUP(I4035,'Validacion reclamo de equipaje'!H:I,2,0)</f>
        <v>Internacional</v>
      </c>
      <c r="M4035" s="55" t="s">
        <v>615</v>
      </c>
    </row>
    <row r="4036" spans="1:13" x14ac:dyDescent="0.25">
      <c r="A4036">
        <v>789</v>
      </c>
      <c r="B4036" s="47" t="str">
        <f>VLOOKUP(Tabla6[[#This Row],['# Vuelo]],'Validacion reclamo de equipaje'!P:Q,2,0)</f>
        <v>MEXICO AEREO</v>
      </c>
      <c r="C4036" s="48">
        <v>0.33333333333333331</v>
      </c>
      <c r="D4036" s="48">
        <v>0.33958333333333335</v>
      </c>
      <c r="E4036" s="49">
        <f>'Reclamo de equipaje rediseñado'!$D4036-'Reclamo de equipaje rediseñado'!$C4036</f>
        <v>6.2500000000000333E-3</v>
      </c>
      <c r="F4036" s="48">
        <v>0.34930555555555554</v>
      </c>
      <c r="G4036" s="49">
        <f t="shared" si="63"/>
        <v>9.7222222222221877E-3</v>
      </c>
      <c r="H4036" s="50">
        <v>41793</v>
      </c>
      <c r="I4036" s="51" t="s">
        <v>563</v>
      </c>
      <c r="J4036" s="51">
        <v>738</v>
      </c>
      <c r="K4036" s="51">
        <f>VLOOKUP(J4036,'Validacion reclamo de equipaje'!L:M,2,0)</f>
        <v>189</v>
      </c>
      <c r="L4036" s="51" t="str">
        <f>VLOOKUP(I4036,'Validacion reclamo de equipaje'!H:I,2,0)</f>
        <v>Internacional</v>
      </c>
      <c r="M4036" s="51" t="s">
        <v>615</v>
      </c>
    </row>
    <row r="4037" spans="1:13" x14ac:dyDescent="0.25">
      <c r="A4037">
        <v>789</v>
      </c>
      <c r="B4037" s="47" t="str">
        <f>VLOOKUP(Tabla6[[#This Row],['# Vuelo]],'Validacion reclamo de equipaje'!P:Q,2,0)</f>
        <v>MEXICO AEREO</v>
      </c>
      <c r="C4037" s="52">
        <v>0.32361111111111113</v>
      </c>
      <c r="D4037" s="52">
        <v>0.34236111111111112</v>
      </c>
      <c r="E4037" s="53">
        <f>'Reclamo de equipaje rediseñado'!$D4037-'Reclamo de equipaje rediseñado'!$C4037</f>
        <v>1.8749999999999989E-2</v>
      </c>
      <c r="F4037" s="52">
        <v>0.36388888888888887</v>
      </c>
      <c r="G4037" s="53">
        <f t="shared" si="63"/>
        <v>2.1527777777777757E-2</v>
      </c>
      <c r="H4037" s="54">
        <v>41794</v>
      </c>
      <c r="I4037" s="55" t="s">
        <v>563</v>
      </c>
      <c r="J4037" s="55">
        <v>738</v>
      </c>
      <c r="K4037" s="55">
        <f>VLOOKUP(J4037,'Validacion reclamo de equipaje'!L:M,2,0)</f>
        <v>189</v>
      </c>
      <c r="L4037" s="55" t="str">
        <f>VLOOKUP(I4037,'Validacion reclamo de equipaje'!H:I,2,0)</f>
        <v>Internacional</v>
      </c>
      <c r="M4037" s="55" t="s">
        <v>615</v>
      </c>
    </row>
    <row r="4038" spans="1:13" x14ac:dyDescent="0.25">
      <c r="A4038">
        <v>789</v>
      </c>
      <c r="B4038" s="47" t="str">
        <f>VLOOKUP(Tabla6[[#This Row],['# Vuelo]],'Validacion reclamo de equipaje'!P:Q,2,0)</f>
        <v>MEXICO AEREO</v>
      </c>
      <c r="C4038" s="48">
        <v>0.34375</v>
      </c>
      <c r="D4038" s="48">
        <v>0.35833333333333334</v>
      </c>
      <c r="E4038" s="49">
        <f>'Reclamo de equipaje rediseñado'!$D4038-'Reclamo de equipaje rediseñado'!$C4038</f>
        <v>1.4583333333333337E-2</v>
      </c>
      <c r="F4038" s="48">
        <v>0.37847222222222227</v>
      </c>
      <c r="G4038" s="49">
        <f t="shared" si="63"/>
        <v>2.0138888888888928E-2</v>
      </c>
      <c r="H4038" s="50">
        <v>41795</v>
      </c>
      <c r="I4038" s="51" t="s">
        <v>563</v>
      </c>
      <c r="J4038" s="51">
        <v>738</v>
      </c>
      <c r="K4038" s="51">
        <f>VLOOKUP(J4038,'Validacion reclamo de equipaje'!L:M,2,0)</f>
        <v>189</v>
      </c>
      <c r="L4038" s="51" t="str">
        <f>VLOOKUP(I4038,'Validacion reclamo de equipaje'!H:I,2,0)</f>
        <v>Internacional</v>
      </c>
      <c r="M4038" s="51" t="s">
        <v>615</v>
      </c>
    </row>
    <row r="4039" spans="1:13" x14ac:dyDescent="0.25">
      <c r="A4039">
        <v>789</v>
      </c>
      <c r="B4039" s="47" t="str">
        <f>VLOOKUP(Tabla6[[#This Row],['# Vuelo]],'Validacion reclamo de equipaje'!P:Q,2,0)</f>
        <v>MEXICO AEREO</v>
      </c>
      <c r="C4039" s="52">
        <v>0.3659722222222222</v>
      </c>
      <c r="D4039" s="52">
        <v>0.37708333333333338</v>
      </c>
      <c r="E4039" s="53">
        <f>'Reclamo de equipaje rediseñado'!$D4039-'Reclamo de equipaje rediseñado'!$C4039</f>
        <v>1.1111111111111183E-2</v>
      </c>
      <c r="F4039" s="52">
        <v>0.39652777777777781</v>
      </c>
      <c r="G4039" s="53">
        <f t="shared" si="63"/>
        <v>1.9444444444444431E-2</v>
      </c>
      <c r="H4039" s="54">
        <v>41798</v>
      </c>
      <c r="I4039" s="55" t="s">
        <v>563</v>
      </c>
      <c r="J4039" s="55">
        <v>738</v>
      </c>
      <c r="K4039" s="55">
        <f>VLOOKUP(J4039,'Validacion reclamo de equipaje'!L:M,2,0)</f>
        <v>189</v>
      </c>
      <c r="L4039" s="55" t="str">
        <f>VLOOKUP(I4039,'Validacion reclamo de equipaje'!H:I,2,0)</f>
        <v>Internacional</v>
      </c>
      <c r="M4039" s="55" t="s">
        <v>615</v>
      </c>
    </row>
    <row r="4040" spans="1:13" x14ac:dyDescent="0.25">
      <c r="A4040">
        <v>789</v>
      </c>
      <c r="B4040" s="47" t="str">
        <f>VLOOKUP(Tabla6[[#This Row],['# Vuelo]],'Validacion reclamo de equipaje'!P:Q,2,0)</f>
        <v>MEXICO AEREO</v>
      </c>
      <c r="C4040" s="48">
        <v>0.39027777777777778</v>
      </c>
      <c r="D4040" s="48">
        <v>0.39652777777777781</v>
      </c>
      <c r="E4040" s="49">
        <f>'Reclamo de equipaje rediseñado'!$D4040-'Reclamo de equipaje rediseñado'!$C4040</f>
        <v>6.2500000000000333E-3</v>
      </c>
      <c r="F4040" s="48">
        <v>0.40277777777777773</v>
      </c>
      <c r="G4040" s="49">
        <f t="shared" si="63"/>
        <v>6.2499999999999223E-3</v>
      </c>
      <c r="H4040" s="50">
        <v>41801</v>
      </c>
      <c r="I4040" s="51" t="s">
        <v>563</v>
      </c>
      <c r="J4040" s="51">
        <v>738</v>
      </c>
      <c r="K4040" s="51">
        <f>VLOOKUP(J4040,'Validacion reclamo de equipaje'!L:M,2,0)</f>
        <v>189</v>
      </c>
      <c r="L4040" s="51" t="str">
        <f>VLOOKUP(I4040,'Validacion reclamo de equipaje'!H:I,2,0)</f>
        <v>Internacional</v>
      </c>
      <c r="M4040" s="51" t="s">
        <v>615</v>
      </c>
    </row>
    <row r="4041" spans="1:13" x14ac:dyDescent="0.25">
      <c r="A4041">
        <v>789</v>
      </c>
      <c r="B4041" s="47" t="str">
        <f>VLOOKUP(Tabla6[[#This Row],['# Vuelo]],'Validacion reclamo de equipaje'!P:Q,2,0)</f>
        <v>MEXICO AEREO</v>
      </c>
      <c r="C4041" s="52">
        <v>0.83819444444444446</v>
      </c>
      <c r="D4041" s="52">
        <v>0.8569444444444444</v>
      </c>
      <c r="E4041" s="53">
        <f>'Reclamo de equipaje rediseñado'!$D4041-'Reclamo de equipaje rediseñado'!$C4041</f>
        <v>1.8749999999999933E-2</v>
      </c>
      <c r="F4041" s="52">
        <v>0.86319444444444438</v>
      </c>
      <c r="G4041" s="53">
        <f t="shared" si="63"/>
        <v>6.2499999999999778E-3</v>
      </c>
      <c r="H4041" s="54">
        <v>41802</v>
      </c>
      <c r="I4041" s="55" t="s">
        <v>563</v>
      </c>
      <c r="J4041" s="55">
        <v>738</v>
      </c>
      <c r="K4041" s="55">
        <f>VLOOKUP(J4041,'Validacion reclamo de equipaje'!L:M,2,0)</f>
        <v>189</v>
      </c>
      <c r="L4041" s="55" t="str">
        <f>VLOOKUP(I4041,'Validacion reclamo de equipaje'!H:I,2,0)</f>
        <v>Internacional</v>
      </c>
      <c r="M4041" s="55" t="s">
        <v>615</v>
      </c>
    </row>
    <row r="4042" spans="1:13" x14ac:dyDescent="0.25">
      <c r="A4042">
        <v>789</v>
      </c>
      <c r="B4042" s="47" t="str">
        <f>VLOOKUP(Tabla6[[#This Row],['# Vuelo]],'Validacion reclamo de equipaje'!P:Q,2,0)</f>
        <v>MEXICO AEREO</v>
      </c>
      <c r="C4042" s="48">
        <v>0.85069444444444453</v>
      </c>
      <c r="D4042" s="48">
        <v>0.85972222222222217</v>
      </c>
      <c r="E4042" s="49">
        <f>'Reclamo de equipaje rediseñado'!$D4042-'Reclamo de equipaje rediseñado'!$C4042</f>
        <v>9.0277777777776347E-3</v>
      </c>
      <c r="F4042" s="48">
        <v>0.87986111111111109</v>
      </c>
      <c r="G4042" s="49">
        <f t="shared" si="63"/>
        <v>2.0138888888888928E-2</v>
      </c>
      <c r="H4042" s="50">
        <v>41803</v>
      </c>
      <c r="I4042" s="51" t="s">
        <v>563</v>
      </c>
      <c r="J4042" s="51">
        <v>738</v>
      </c>
      <c r="K4042" s="51">
        <f>VLOOKUP(J4042,'Validacion reclamo de equipaje'!L:M,2,0)</f>
        <v>189</v>
      </c>
      <c r="L4042" s="51" t="str">
        <f>VLOOKUP(I4042,'Validacion reclamo de equipaje'!H:I,2,0)</f>
        <v>Internacional</v>
      </c>
      <c r="M4042" s="51" t="s">
        <v>615</v>
      </c>
    </row>
    <row r="4043" spans="1:13" x14ac:dyDescent="0.25">
      <c r="A4043">
        <v>789</v>
      </c>
      <c r="B4043" s="47" t="str">
        <f>VLOOKUP(Tabla6[[#This Row],['# Vuelo]],'Validacion reclamo de equipaje'!P:Q,2,0)</f>
        <v>MEXICO AEREO</v>
      </c>
      <c r="C4043" s="52">
        <v>0.45555555555555555</v>
      </c>
      <c r="D4043" s="52">
        <v>0.45763888888888887</v>
      </c>
      <c r="E4043" s="53">
        <f>'Reclamo de equipaje rediseñado'!$D4043-'Reclamo de equipaje rediseñado'!$C4043</f>
        <v>2.0833333333333259E-3</v>
      </c>
      <c r="F4043" s="52">
        <v>0.4597222222222222</v>
      </c>
      <c r="G4043" s="53">
        <f t="shared" si="63"/>
        <v>2.0833333333333259E-3</v>
      </c>
      <c r="H4043" s="54">
        <v>41805</v>
      </c>
      <c r="I4043" s="55" t="s">
        <v>563</v>
      </c>
      <c r="J4043" s="55">
        <v>738</v>
      </c>
      <c r="K4043" s="55">
        <f>VLOOKUP(J4043,'Validacion reclamo de equipaje'!L:M,2,0)</f>
        <v>189</v>
      </c>
      <c r="L4043" s="55" t="str">
        <f>VLOOKUP(I4043,'Validacion reclamo de equipaje'!H:I,2,0)</f>
        <v>Internacional</v>
      </c>
      <c r="M4043" s="55" t="s">
        <v>615</v>
      </c>
    </row>
    <row r="4044" spans="1:13" x14ac:dyDescent="0.25">
      <c r="A4044">
        <v>789</v>
      </c>
      <c r="B4044" s="47" t="str">
        <f>VLOOKUP(Tabla6[[#This Row],['# Vuelo]],'Validacion reclamo de equipaje'!P:Q,2,0)</f>
        <v>MEXICO AEREO</v>
      </c>
      <c r="C4044" s="48">
        <v>0.28472222222222221</v>
      </c>
      <c r="D4044" s="48">
        <v>0.29166666666666669</v>
      </c>
      <c r="E4044" s="49">
        <f>'Reclamo de equipaje rediseñado'!$D4044-'Reclamo de equipaje rediseñado'!$C4044</f>
        <v>6.9444444444444753E-3</v>
      </c>
      <c r="F4044" s="48">
        <v>0.29652777777777778</v>
      </c>
      <c r="G4044" s="49">
        <f t="shared" si="63"/>
        <v>4.8611111111110938E-3</v>
      </c>
      <c r="H4044" s="50">
        <v>41806</v>
      </c>
      <c r="I4044" s="51" t="s">
        <v>563</v>
      </c>
      <c r="J4044" s="51">
        <v>738</v>
      </c>
      <c r="K4044" s="51">
        <f>VLOOKUP(J4044,'Validacion reclamo de equipaje'!L:M,2,0)</f>
        <v>189</v>
      </c>
      <c r="L4044" s="51" t="str">
        <f>VLOOKUP(I4044,'Validacion reclamo de equipaje'!H:I,2,0)</f>
        <v>Internacional</v>
      </c>
      <c r="M4044" s="51" t="s">
        <v>615</v>
      </c>
    </row>
    <row r="4045" spans="1:13" x14ac:dyDescent="0.25">
      <c r="A4045">
        <v>789</v>
      </c>
      <c r="B4045" s="47" t="str">
        <f>VLOOKUP(Tabla6[[#This Row],['# Vuelo]],'Validacion reclamo de equipaje'!P:Q,2,0)</f>
        <v>MEXICO AEREO</v>
      </c>
      <c r="C4045" s="52">
        <v>0.8305555555555556</v>
      </c>
      <c r="D4045" s="52">
        <v>0.84027777777777779</v>
      </c>
      <c r="E4045" s="53">
        <f>'Reclamo de equipaje rediseñado'!$D4045-'Reclamo de equipaje rediseñado'!$C4045</f>
        <v>9.7222222222221877E-3</v>
      </c>
      <c r="F4045" s="52">
        <v>0.85277777777777775</v>
      </c>
      <c r="G4045" s="53">
        <f t="shared" si="63"/>
        <v>1.2499999999999956E-2</v>
      </c>
      <c r="H4045" s="54">
        <v>41807</v>
      </c>
      <c r="I4045" s="55" t="s">
        <v>563</v>
      </c>
      <c r="J4045" s="55">
        <v>738</v>
      </c>
      <c r="K4045" s="55">
        <f>VLOOKUP(J4045,'Validacion reclamo de equipaje'!L:M,2,0)</f>
        <v>189</v>
      </c>
      <c r="L4045" s="55" t="str">
        <f>VLOOKUP(I4045,'Validacion reclamo de equipaje'!H:I,2,0)</f>
        <v>Internacional</v>
      </c>
      <c r="M4045" s="55" t="s">
        <v>615</v>
      </c>
    </row>
    <row r="4046" spans="1:13" x14ac:dyDescent="0.25">
      <c r="A4046">
        <v>789</v>
      </c>
      <c r="B4046" s="47" t="str">
        <f>VLOOKUP(Tabla6[[#This Row],['# Vuelo]],'Validacion reclamo de equipaje'!P:Q,2,0)</f>
        <v>MEXICO AEREO</v>
      </c>
      <c r="C4046" s="48">
        <v>0.94930555555555562</v>
      </c>
      <c r="D4046" s="48">
        <v>0.95833333333333337</v>
      </c>
      <c r="E4046" s="49">
        <f>'Reclamo de equipaje rediseñado'!$D4046-'Reclamo de equipaje rediseñado'!$C4046</f>
        <v>9.0277777777777457E-3</v>
      </c>
      <c r="F4046" s="48">
        <v>0.96875</v>
      </c>
      <c r="G4046" s="49">
        <f t="shared" si="63"/>
        <v>1.041666666666663E-2</v>
      </c>
      <c r="H4046" s="50">
        <v>41807</v>
      </c>
      <c r="I4046" s="51" t="s">
        <v>563</v>
      </c>
      <c r="J4046" s="51">
        <v>738</v>
      </c>
      <c r="K4046" s="51">
        <f>VLOOKUP(J4046,'Validacion reclamo de equipaje'!L:M,2,0)</f>
        <v>189</v>
      </c>
      <c r="L4046" s="51" t="str">
        <f>VLOOKUP(I4046,'Validacion reclamo de equipaje'!H:I,2,0)</f>
        <v>Internacional</v>
      </c>
      <c r="M4046" s="51" t="s">
        <v>615</v>
      </c>
    </row>
    <row r="4047" spans="1:13" x14ac:dyDescent="0.25">
      <c r="A4047">
        <v>789</v>
      </c>
      <c r="B4047" s="47" t="str">
        <f>VLOOKUP(Tabla6[[#This Row],['# Vuelo]],'Validacion reclamo de equipaje'!P:Q,2,0)</f>
        <v>MEXICO AEREO</v>
      </c>
      <c r="C4047" s="52">
        <v>0.33611111111111108</v>
      </c>
      <c r="D4047" s="52">
        <v>0.3444444444444445</v>
      </c>
      <c r="E4047" s="53">
        <f>'Reclamo de equipaje rediseñado'!$D4047-'Reclamo de equipaje rediseñado'!$C4047</f>
        <v>8.3333333333334147E-3</v>
      </c>
      <c r="F4047" s="52">
        <v>0.37152777777777773</v>
      </c>
      <c r="G4047" s="53">
        <f t="shared" si="63"/>
        <v>2.7083333333333237E-2</v>
      </c>
      <c r="H4047" s="54">
        <v>41809</v>
      </c>
      <c r="I4047" s="55" t="s">
        <v>563</v>
      </c>
      <c r="J4047" s="55">
        <v>738</v>
      </c>
      <c r="K4047" s="55">
        <f>VLOOKUP(J4047,'Validacion reclamo de equipaje'!L:M,2,0)</f>
        <v>189</v>
      </c>
      <c r="L4047" s="55" t="str">
        <f>VLOOKUP(I4047,'Validacion reclamo de equipaje'!H:I,2,0)</f>
        <v>Internacional</v>
      </c>
      <c r="M4047" s="55" t="s">
        <v>615</v>
      </c>
    </row>
    <row r="4048" spans="1:13" x14ac:dyDescent="0.25">
      <c r="A4048">
        <v>789</v>
      </c>
      <c r="B4048" s="47" t="str">
        <f>VLOOKUP(Tabla6[[#This Row],['# Vuelo]],'Validacion reclamo de equipaje'!P:Q,2,0)</f>
        <v>MEXICO AEREO</v>
      </c>
      <c r="C4048" s="48">
        <v>0.33402777777777781</v>
      </c>
      <c r="D4048" s="48">
        <v>0.34027777777777773</v>
      </c>
      <c r="E4048" s="49">
        <f>'Reclamo de equipaje rediseñado'!$D4048-'Reclamo de equipaje rediseñado'!$C4048</f>
        <v>6.2499999999999223E-3</v>
      </c>
      <c r="F4048" s="48">
        <v>0.3611111111111111</v>
      </c>
      <c r="G4048" s="49">
        <f t="shared" si="63"/>
        <v>2.083333333333337E-2</v>
      </c>
      <c r="H4048" s="50">
        <v>41813</v>
      </c>
      <c r="I4048" s="51" t="s">
        <v>563</v>
      </c>
      <c r="J4048" s="51">
        <v>738</v>
      </c>
      <c r="K4048" s="51">
        <f>VLOOKUP(J4048,'Validacion reclamo de equipaje'!L:M,2,0)</f>
        <v>189</v>
      </c>
      <c r="L4048" s="51" t="str">
        <f>VLOOKUP(I4048,'Validacion reclamo de equipaje'!H:I,2,0)</f>
        <v>Internacional</v>
      </c>
      <c r="M4048" s="51" t="s">
        <v>615</v>
      </c>
    </row>
    <row r="4049" spans="1:13" x14ac:dyDescent="0.25">
      <c r="A4049">
        <v>789</v>
      </c>
      <c r="B4049" s="47" t="str">
        <f>VLOOKUP(Tabla6[[#This Row],['# Vuelo]],'Validacion reclamo de equipaje'!P:Q,2,0)</f>
        <v>MEXICO AEREO</v>
      </c>
      <c r="C4049" s="52">
        <v>0.33194444444444443</v>
      </c>
      <c r="D4049" s="52">
        <v>0.34513888888888888</v>
      </c>
      <c r="E4049" s="53">
        <f>'Reclamo de equipaje rediseñado'!$D4049-'Reclamo de equipaje rediseñado'!$C4049</f>
        <v>1.3194444444444453E-2</v>
      </c>
      <c r="F4049" s="52">
        <v>0.36249999999999999</v>
      </c>
      <c r="G4049" s="53">
        <f t="shared" si="63"/>
        <v>1.7361111111111105E-2</v>
      </c>
      <c r="H4049" s="54">
        <v>41812</v>
      </c>
      <c r="I4049" s="55" t="s">
        <v>563</v>
      </c>
      <c r="J4049" s="55">
        <v>738</v>
      </c>
      <c r="K4049" s="55">
        <f>VLOOKUP(J4049,'Validacion reclamo de equipaje'!L:M,2,0)</f>
        <v>189</v>
      </c>
      <c r="L4049" s="55" t="str">
        <f>VLOOKUP(I4049,'Validacion reclamo de equipaje'!H:I,2,0)</f>
        <v>Internacional</v>
      </c>
      <c r="M4049" s="55" t="s">
        <v>615</v>
      </c>
    </row>
    <row r="4050" spans="1:13" x14ac:dyDescent="0.25">
      <c r="A4050">
        <v>787</v>
      </c>
      <c r="B4050" s="47" t="str">
        <f>VLOOKUP(Tabla6[[#This Row],['# Vuelo]],'Validacion reclamo de equipaje'!P:Q,2,0)</f>
        <v>MEXICO AEREO</v>
      </c>
      <c r="C4050" s="48">
        <v>0.3354166666666667</v>
      </c>
      <c r="D4050" s="48">
        <v>0.34513888888888888</v>
      </c>
      <c r="E4050" s="49">
        <f>'Reclamo de equipaje rediseñado'!$D4050-'Reclamo de equipaje rediseñado'!$C4050</f>
        <v>9.7222222222221877E-3</v>
      </c>
      <c r="F4050" s="48">
        <v>0.37291666666666662</v>
      </c>
      <c r="G4050" s="49">
        <f t="shared" si="63"/>
        <v>2.7777777777777735E-2</v>
      </c>
      <c r="H4050" s="50">
        <v>41793</v>
      </c>
      <c r="I4050" s="51" t="s">
        <v>564</v>
      </c>
      <c r="J4050" s="51">
        <v>738</v>
      </c>
      <c r="K4050" s="51">
        <f>VLOOKUP(J4050,'Validacion reclamo de equipaje'!L:M,2,0)</f>
        <v>189</v>
      </c>
      <c r="L4050" s="51" t="str">
        <f>VLOOKUP(I4050,'Validacion reclamo de equipaje'!H:I,2,0)</f>
        <v>Internacional</v>
      </c>
      <c r="M4050" s="51" t="s">
        <v>615</v>
      </c>
    </row>
    <row r="4051" spans="1:13" x14ac:dyDescent="0.25">
      <c r="A4051">
        <v>787</v>
      </c>
      <c r="B4051" s="47" t="str">
        <f>VLOOKUP(Tabla6[[#This Row],['# Vuelo]],'Validacion reclamo de equipaje'!P:Q,2,0)</f>
        <v>MEXICO AEREO</v>
      </c>
      <c r="C4051" s="52">
        <v>0.3298611111111111</v>
      </c>
      <c r="D4051" s="52">
        <v>0.34027777777777773</v>
      </c>
      <c r="E4051" s="53">
        <f>'Reclamo de equipaje rediseñado'!$D4051-'Reclamo de equipaje rediseñado'!$C4051</f>
        <v>1.041666666666663E-2</v>
      </c>
      <c r="F4051" s="52">
        <v>0.35347222222222219</v>
      </c>
      <c r="G4051" s="53">
        <f t="shared" si="63"/>
        <v>1.3194444444444453E-2</v>
      </c>
      <c r="H4051" s="54">
        <v>41795</v>
      </c>
      <c r="I4051" s="55" t="s">
        <v>564</v>
      </c>
      <c r="J4051" s="55">
        <v>738</v>
      </c>
      <c r="K4051" s="55">
        <f>VLOOKUP(J4051,'Validacion reclamo de equipaje'!L:M,2,0)</f>
        <v>189</v>
      </c>
      <c r="L4051" s="55" t="str">
        <f>VLOOKUP(I4051,'Validacion reclamo de equipaje'!H:I,2,0)</f>
        <v>Internacional</v>
      </c>
      <c r="M4051" s="55" t="s">
        <v>615</v>
      </c>
    </row>
    <row r="4052" spans="1:13" x14ac:dyDescent="0.25">
      <c r="A4052">
        <v>787</v>
      </c>
      <c r="B4052" s="47" t="str">
        <f>VLOOKUP(Tabla6[[#This Row],['# Vuelo]],'Validacion reclamo de equipaje'!P:Q,2,0)</f>
        <v>MEXICO AEREO</v>
      </c>
      <c r="C4052" s="48">
        <v>0.34236111111111112</v>
      </c>
      <c r="D4052" s="48">
        <v>0.35069444444444442</v>
      </c>
      <c r="E4052" s="49">
        <f>'Reclamo de equipaje rediseñado'!$D4052-'Reclamo de equipaje rediseñado'!$C4052</f>
        <v>8.3333333333333037E-3</v>
      </c>
      <c r="F4052" s="48">
        <v>0.37916666666666665</v>
      </c>
      <c r="G4052" s="49">
        <f t="shared" si="63"/>
        <v>2.8472222222222232E-2</v>
      </c>
      <c r="H4052" s="50">
        <v>41797</v>
      </c>
      <c r="I4052" s="51" t="s">
        <v>564</v>
      </c>
      <c r="J4052" s="51">
        <v>738</v>
      </c>
      <c r="K4052" s="51">
        <f>VLOOKUP(J4052,'Validacion reclamo de equipaje'!L:M,2,0)</f>
        <v>189</v>
      </c>
      <c r="L4052" s="51" t="str">
        <f>VLOOKUP(I4052,'Validacion reclamo de equipaje'!H:I,2,0)</f>
        <v>Internacional</v>
      </c>
      <c r="M4052" s="51" t="s">
        <v>615</v>
      </c>
    </row>
    <row r="4053" spans="1:13" x14ac:dyDescent="0.25">
      <c r="A4053">
        <v>787</v>
      </c>
      <c r="B4053" s="47" t="str">
        <f>VLOOKUP(Tabla6[[#This Row],['# Vuelo]],'Validacion reclamo de equipaje'!P:Q,2,0)</f>
        <v>MEXICO AEREO</v>
      </c>
      <c r="C4053" s="52">
        <v>0.37847222222222227</v>
      </c>
      <c r="D4053" s="52">
        <v>0.3833333333333333</v>
      </c>
      <c r="E4053" s="53">
        <f>'Reclamo de equipaje rediseñado'!$D4053-'Reclamo de equipaje rediseñado'!$C4053</f>
        <v>4.8611111111110383E-3</v>
      </c>
      <c r="F4053" s="52">
        <v>0.39374999999999999</v>
      </c>
      <c r="G4053" s="53">
        <f t="shared" si="63"/>
        <v>1.0416666666666685E-2</v>
      </c>
      <c r="H4053" s="54">
        <v>41801</v>
      </c>
      <c r="I4053" s="55" t="s">
        <v>564</v>
      </c>
      <c r="J4053" s="55">
        <v>738</v>
      </c>
      <c r="K4053" s="55">
        <f>VLOOKUP(J4053,'Validacion reclamo de equipaje'!L:M,2,0)</f>
        <v>189</v>
      </c>
      <c r="L4053" s="55" t="str">
        <f>VLOOKUP(I4053,'Validacion reclamo de equipaje'!H:I,2,0)</f>
        <v>Internacional</v>
      </c>
      <c r="M4053" s="55" t="s">
        <v>615</v>
      </c>
    </row>
    <row r="4054" spans="1:13" x14ac:dyDescent="0.25">
      <c r="A4054">
        <v>787</v>
      </c>
      <c r="B4054" s="47" t="str">
        <f>VLOOKUP(Tabla6[[#This Row],['# Vuelo]],'Validacion reclamo de equipaje'!P:Q,2,0)</f>
        <v>MEXICO AEREO</v>
      </c>
      <c r="C4054" s="48">
        <v>0.92708333333333337</v>
      </c>
      <c r="D4054" s="48">
        <v>0.93611111111111101</v>
      </c>
      <c r="E4054" s="49">
        <f>'Reclamo de equipaje rediseñado'!$D4054-'Reclamo de equipaje rediseñado'!$C4054</f>
        <v>9.0277777777776347E-3</v>
      </c>
      <c r="F4054" s="48">
        <v>0.94374999999999998</v>
      </c>
      <c r="G4054" s="49">
        <f t="shared" si="63"/>
        <v>7.6388888888889728E-3</v>
      </c>
      <c r="H4054" s="50">
        <v>41804</v>
      </c>
      <c r="I4054" s="51" t="s">
        <v>564</v>
      </c>
      <c r="J4054" s="51">
        <v>738</v>
      </c>
      <c r="K4054" s="51">
        <f>VLOOKUP(J4054,'Validacion reclamo de equipaje'!L:M,2,0)</f>
        <v>189</v>
      </c>
      <c r="L4054" s="51" t="str">
        <f>VLOOKUP(I4054,'Validacion reclamo de equipaje'!H:I,2,0)</f>
        <v>Internacional</v>
      </c>
      <c r="M4054" s="51" t="s">
        <v>615</v>
      </c>
    </row>
    <row r="4055" spans="1:13" x14ac:dyDescent="0.25">
      <c r="A4055">
        <v>787</v>
      </c>
      <c r="B4055" s="47" t="str">
        <f>VLOOKUP(Tabla6[[#This Row],['# Vuelo]],'Validacion reclamo de equipaje'!P:Q,2,0)</f>
        <v>MEXICO AEREO</v>
      </c>
      <c r="C4055" s="52">
        <v>0.87847222222222221</v>
      </c>
      <c r="D4055" s="52">
        <v>0.88750000000000007</v>
      </c>
      <c r="E4055" s="53">
        <f>'Reclamo de equipaje rediseñado'!$D4055-'Reclamo de equipaje rediseñado'!$C4055</f>
        <v>9.0277777777778567E-3</v>
      </c>
      <c r="F4055" s="52">
        <v>0.89097222222222217</v>
      </c>
      <c r="G4055" s="53">
        <f t="shared" si="63"/>
        <v>3.4722222222220989E-3</v>
      </c>
      <c r="H4055" s="54">
        <v>41807</v>
      </c>
      <c r="I4055" s="55" t="s">
        <v>564</v>
      </c>
      <c r="J4055" s="55">
        <v>738</v>
      </c>
      <c r="K4055" s="55">
        <f>VLOOKUP(J4055,'Validacion reclamo de equipaje'!L:M,2,0)</f>
        <v>189</v>
      </c>
      <c r="L4055" s="55" t="str">
        <f>VLOOKUP(I4055,'Validacion reclamo de equipaje'!H:I,2,0)</f>
        <v>Internacional</v>
      </c>
      <c r="M4055" s="55" t="s">
        <v>615</v>
      </c>
    </row>
    <row r="4056" spans="1:13" x14ac:dyDescent="0.25">
      <c r="A4056">
        <v>787</v>
      </c>
      <c r="B4056" s="47" t="str">
        <f>VLOOKUP(Tabla6[[#This Row],['# Vuelo]],'Validacion reclamo de equipaje'!P:Q,2,0)</f>
        <v>MEXICO AEREO</v>
      </c>
      <c r="C4056" s="48">
        <v>0.3444444444444445</v>
      </c>
      <c r="D4056" s="48">
        <v>0.3527777777777778</v>
      </c>
      <c r="E4056" s="49">
        <f>'Reclamo de equipaje rediseñado'!$D4056-'Reclamo de equipaje rediseñado'!$C4056</f>
        <v>8.3333333333333037E-3</v>
      </c>
      <c r="F4056" s="48">
        <v>0.37847222222222227</v>
      </c>
      <c r="G4056" s="49">
        <f t="shared" si="63"/>
        <v>2.5694444444444464E-2</v>
      </c>
      <c r="H4056" s="50">
        <v>41809</v>
      </c>
      <c r="I4056" s="51" t="s">
        <v>564</v>
      </c>
      <c r="J4056" s="51">
        <v>738</v>
      </c>
      <c r="K4056" s="51">
        <f>VLOOKUP(J4056,'Validacion reclamo de equipaje'!L:M,2,0)</f>
        <v>189</v>
      </c>
      <c r="L4056" s="51" t="str">
        <f>VLOOKUP(I4056,'Validacion reclamo de equipaje'!H:I,2,0)</f>
        <v>Internacional</v>
      </c>
      <c r="M4056" s="51" t="s">
        <v>615</v>
      </c>
    </row>
    <row r="4057" spans="1:13" x14ac:dyDescent="0.25">
      <c r="A4057">
        <v>787</v>
      </c>
      <c r="B4057" s="47" t="str">
        <f>VLOOKUP(Tabla6[[#This Row],['# Vuelo]],'Validacion reclamo de equipaje'!P:Q,2,0)</f>
        <v>MEXICO AEREO</v>
      </c>
      <c r="C4057" s="52">
        <v>0.35694444444444445</v>
      </c>
      <c r="D4057" s="52">
        <v>0.36874999999999997</v>
      </c>
      <c r="E4057" s="53">
        <f>'Reclamo de equipaje rediseñado'!$D4057-'Reclamo de equipaje rediseñado'!$C4057</f>
        <v>1.1805555555555514E-2</v>
      </c>
      <c r="F4057" s="52">
        <v>0.3888888888888889</v>
      </c>
      <c r="G4057" s="53">
        <f t="shared" si="63"/>
        <v>2.0138888888888928E-2</v>
      </c>
      <c r="H4057" s="54">
        <v>41811</v>
      </c>
      <c r="I4057" s="55" t="s">
        <v>564</v>
      </c>
      <c r="J4057" s="55">
        <v>738</v>
      </c>
      <c r="K4057" s="55">
        <f>VLOOKUP(J4057,'Validacion reclamo de equipaje'!L:M,2,0)</f>
        <v>189</v>
      </c>
      <c r="L4057" s="55" t="str">
        <f>VLOOKUP(I4057,'Validacion reclamo de equipaje'!H:I,2,0)</f>
        <v>Internacional</v>
      </c>
      <c r="M4057" s="55" t="s">
        <v>615</v>
      </c>
    </row>
    <row r="4058" spans="1:13" x14ac:dyDescent="0.25">
      <c r="A4058">
        <v>785</v>
      </c>
      <c r="B4058" s="47" t="str">
        <f>VLOOKUP(Tabla6[[#This Row],['# Vuelo]],'Validacion reclamo de equipaje'!P:Q,2,0)</f>
        <v>MEXICO AEREO</v>
      </c>
      <c r="C4058" s="48">
        <v>0.23472222222222219</v>
      </c>
      <c r="D4058" s="48">
        <v>0.24444444444444446</v>
      </c>
      <c r="E4058" s="49">
        <f>'Reclamo de equipaje rediseñado'!$D4058-'Reclamo de equipaje rediseñado'!$C4058</f>
        <v>9.7222222222222709E-3</v>
      </c>
      <c r="F4058" s="48">
        <v>0.27569444444444446</v>
      </c>
      <c r="G4058" s="49">
        <f t="shared" si="63"/>
        <v>3.125E-2</v>
      </c>
      <c r="H4058" s="50">
        <v>41791</v>
      </c>
      <c r="I4058" s="51" t="s">
        <v>555</v>
      </c>
      <c r="J4058" s="51">
        <v>738</v>
      </c>
      <c r="K4058" s="51">
        <f>VLOOKUP(J4058,'Validacion reclamo de equipaje'!L:M,2,0)</f>
        <v>189</v>
      </c>
      <c r="L4058" s="51" t="str">
        <f>VLOOKUP(I4058,'Validacion reclamo de equipaje'!H:I,2,0)</f>
        <v>Internacional</v>
      </c>
      <c r="M4058" s="51" t="s">
        <v>615</v>
      </c>
    </row>
    <row r="4059" spans="1:13" x14ac:dyDescent="0.25">
      <c r="A4059">
        <v>785</v>
      </c>
      <c r="B4059" s="47" t="str">
        <f>VLOOKUP(Tabla6[[#This Row],['# Vuelo]],'Validacion reclamo de equipaje'!P:Q,2,0)</f>
        <v>MEXICO AEREO</v>
      </c>
      <c r="C4059" s="52">
        <v>0.22361111111111109</v>
      </c>
      <c r="D4059" s="52">
        <v>0.23541666666666669</v>
      </c>
      <c r="E4059" s="53">
        <f>'Reclamo de equipaje rediseñado'!$D4059-'Reclamo de equipaje rediseñado'!$C4059</f>
        <v>1.1805555555555597E-2</v>
      </c>
      <c r="F4059" s="52">
        <v>0.26458333333333334</v>
      </c>
      <c r="G4059" s="53">
        <f t="shared" si="63"/>
        <v>2.9166666666666646E-2</v>
      </c>
      <c r="H4059" s="54">
        <v>41792</v>
      </c>
      <c r="I4059" s="55" t="s">
        <v>555</v>
      </c>
      <c r="J4059" s="55">
        <v>738</v>
      </c>
      <c r="K4059" s="55">
        <f>VLOOKUP(J4059,'Validacion reclamo de equipaje'!L:M,2,0)</f>
        <v>189</v>
      </c>
      <c r="L4059" s="55" t="str">
        <f>VLOOKUP(I4059,'Validacion reclamo de equipaje'!H:I,2,0)</f>
        <v>Internacional</v>
      </c>
      <c r="M4059" s="55" t="s">
        <v>615</v>
      </c>
    </row>
    <row r="4060" spans="1:13" x14ac:dyDescent="0.25">
      <c r="A4060">
        <v>785</v>
      </c>
      <c r="B4060" s="47" t="str">
        <f>VLOOKUP(Tabla6[[#This Row],['# Vuelo]],'Validacion reclamo de equipaje'!P:Q,2,0)</f>
        <v>MEXICO AEREO</v>
      </c>
      <c r="C4060" s="48">
        <v>0.23055555555555554</v>
      </c>
      <c r="D4060" s="48">
        <v>0.24097222222222223</v>
      </c>
      <c r="E4060" s="49">
        <f>'Reclamo de equipaje rediseñado'!$D4060-'Reclamo de equipaje rediseñado'!$C4060</f>
        <v>1.0416666666666685E-2</v>
      </c>
      <c r="F4060" s="48">
        <v>0.2673611111111111</v>
      </c>
      <c r="G4060" s="49">
        <f t="shared" si="63"/>
        <v>2.6388888888888878E-2</v>
      </c>
      <c r="H4060" s="50">
        <v>41793</v>
      </c>
      <c r="I4060" s="51" t="s">
        <v>555</v>
      </c>
      <c r="J4060" s="51">
        <v>738</v>
      </c>
      <c r="K4060" s="51">
        <f>VLOOKUP(J4060,'Validacion reclamo de equipaje'!L:M,2,0)</f>
        <v>189</v>
      </c>
      <c r="L4060" s="51" t="str">
        <f>VLOOKUP(I4060,'Validacion reclamo de equipaje'!H:I,2,0)</f>
        <v>Internacional</v>
      </c>
      <c r="M4060" s="51" t="s">
        <v>615</v>
      </c>
    </row>
    <row r="4061" spans="1:13" x14ac:dyDescent="0.25">
      <c r="A4061">
        <v>785</v>
      </c>
      <c r="B4061" s="47" t="str">
        <f>VLOOKUP(Tabla6[[#This Row],['# Vuelo]],'Validacion reclamo de equipaje'!P:Q,2,0)</f>
        <v>MEXICO AEREO</v>
      </c>
      <c r="C4061" s="52">
        <v>0.23402777777777781</v>
      </c>
      <c r="D4061" s="52">
        <v>0.24652777777777779</v>
      </c>
      <c r="E4061" s="53">
        <f>'Reclamo de equipaje rediseñado'!$D4061-'Reclamo de equipaje rediseñado'!$C4061</f>
        <v>1.2499999999999983E-2</v>
      </c>
      <c r="F4061" s="52">
        <v>0.28194444444444444</v>
      </c>
      <c r="G4061" s="53">
        <f t="shared" si="63"/>
        <v>3.5416666666666652E-2</v>
      </c>
      <c r="H4061" s="54">
        <v>41794</v>
      </c>
      <c r="I4061" s="55" t="s">
        <v>555</v>
      </c>
      <c r="J4061" s="55">
        <v>738</v>
      </c>
      <c r="K4061" s="55">
        <f>VLOOKUP(J4061,'Validacion reclamo de equipaje'!L:M,2,0)</f>
        <v>189</v>
      </c>
      <c r="L4061" s="55" t="str">
        <f>VLOOKUP(I4061,'Validacion reclamo de equipaje'!H:I,2,0)</f>
        <v>Internacional</v>
      </c>
      <c r="M4061" s="55" t="s">
        <v>615</v>
      </c>
    </row>
    <row r="4062" spans="1:13" x14ac:dyDescent="0.25">
      <c r="A4062">
        <v>785</v>
      </c>
      <c r="B4062" s="47" t="str">
        <f>VLOOKUP(Tabla6[[#This Row],['# Vuelo]],'Validacion reclamo de equipaje'!P:Q,2,0)</f>
        <v>MEXICO AEREO</v>
      </c>
      <c r="C4062" s="48">
        <v>0.23472222222222219</v>
      </c>
      <c r="D4062" s="48">
        <v>0.24305555555555555</v>
      </c>
      <c r="E4062" s="49">
        <f>'Reclamo de equipaje rediseñado'!$D4062-'Reclamo de equipaje rediseñado'!$C4062</f>
        <v>8.3333333333333592E-3</v>
      </c>
      <c r="F4062" s="48">
        <v>0.28263888888888888</v>
      </c>
      <c r="G4062" s="49">
        <f t="shared" si="63"/>
        <v>3.9583333333333331E-2</v>
      </c>
      <c r="H4062" s="50">
        <v>41795</v>
      </c>
      <c r="I4062" s="51" t="s">
        <v>555</v>
      </c>
      <c r="J4062" s="51">
        <v>738</v>
      </c>
      <c r="K4062" s="51">
        <f>VLOOKUP(J4062,'Validacion reclamo de equipaje'!L:M,2,0)</f>
        <v>189</v>
      </c>
      <c r="L4062" s="51" t="str">
        <f>VLOOKUP(I4062,'Validacion reclamo de equipaje'!H:I,2,0)</f>
        <v>Internacional</v>
      </c>
      <c r="M4062" s="51" t="s">
        <v>615</v>
      </c>
    </row>
    <row r="4063" spans="1:13" x14ac:dyDescent="0.25">
      <c r="A4063">
        <v>785</v>
      </c>
      <c r="B4063" s="47" t="str">
        <f>VLOOKUP(Tabla6[[#This Row],['# Vuelo]],'Validacion reclamo de equipaje'!P:Q,2,0)</f>
        <v>MEXICO AEREO</v>
      </c>
      <c r="C4063" s="52">
        <v>0.24861111111111112</v>
      </c>
      <c r="D4063" s="52">
        <v>0.26250000000000001</v>
      </c>
      <c r="E4063" s="53">
        <f>'Reclamo de equipaje rediseñado'!$D4063-'Reclamo de equipaje rediseñado'!$C4063</f>
        <v>1.3888888888888895E-2</v>
      </c>
      <c r="F4063" s="52">
        <v>0.28333333333333333</v>
      </c>
      <c r="G4063" s="53">
        <f t="shared" si="63"/>
        <v>2.0833333333333315E-2</v>
      </c>
      <c r="H4063" s="54">
        <v>41796</v>
      </c>
      <c r="I4063" s="55" t="s">
        <v>555</v>
      </c>
      <c r="J4063" s="55">
        <v>738</v>
      </c>
      <c r="K4063" s="55">
        <f>VLOOKUP(J4063,'Validacion reclamo de equipaje'!L:M,2,0)</f>
        <v>189</v>
      </c>
      <c r="L4063" s="55" t="str">
        <f>VLOOKUP(I4063,'Validacion reclamo de equipaje'!H:I,2,0)</f>
        <v>Internacional</v>
      </c>
      <c r="M4063" s="55" t="s">
        <v>615</v>
      </c>
    </row>
    <row r="4064" spans="1:13" x14ac:dyDescent="0.25">
      <c r="A4064">
        <v>785</v>
      </c>
      <c r="B4064" s="47" t="str">
        <f>VLOOKUP(Tabla6[[#This Row],['# Vuelo]],'Validacion reclamo de equipaje'!P:Q,2,0)</f>
        <v>MEXICO AEREO</v>
      </c>
      <c r="C4064" s="48">
        <v>0.24722222222222223</v>
      </c>
      <c r="D4064" s="48">
        <v>0.26250000000000001</v>
      </c>
      <c r="E4064" s="49">
        <f>'Reclamo de equipaje rediseñado'!$D4064-'Reclamo de equipaje rediseñado'!$C4064</f>
        <v>1.5277777777777779E-2</v>
      </c>
      <c r="F4064" s="48">
        <v>0.28333333333333333</v>
      </c>
      <c r="G4064" s="49">
        <f t="shared" si="63"/>
        <v>2.0833333333333315E-2</v>
      </c>
      <c r="H4064" s="50">
        <v>41797</v>
      </c>
      <c r="I4064" s="51" t="s">
        <v>555</v>
      </c>
      <c r="J4064" s="51">
        <v>738</v>
      </c>
      <c r="K4064" s="51">
        <f>VLOOKUP(J4064,'Validacion reclamo de equipaje'!L:M,2,0)</f>
        <v>189</v>
      </c>
      <c r="L4064" s="51" t="str">
        <f>VLOOKUP(I4064,'Validacion reclamo de equipaje'!H:I,2,0)</f>
        <v>Internacional</v>
      </c>
      <c r="M4064" s="51" t="s">
        <v>615</v>
      </c>
    </row>
    <row r="4065" spans="1:13" x14ac:dyDescent="0.25">
      <c r="A4065">
        <v>785</v>
      </c>
      <c r="B4065" s="47" t="str">
        <f>VLOOKUP(Tabla6[[#This Row],['# Vuelo]],'Validacion reclamo de equipaje'!P:Q,2,0)</f>
        <v>MEXICO AEREO</v>
      </c>
      <c r="C4065" s="52">
        <v>0.2388888888888889</v>
      </c>
      <c r="D4065" s="52">
        <v>0.25</v>
      </c>
      <c r="E4065" s="53">
        <f>'Reclamo de equipaje rediseñado'!$D4065-'Reclamo de equipaje rediseñado'!$C4065</f>
        <v>1.1111111111111099E-2</v>
      </c>
      <c r="F4065" s="52">
        <v>0.28194444444444444</v>
      </c>
      <c r="G4065" s="53">
        <f t="shared" si="63"/>
        <v>3.1944444444444442E-2</v>
      </c>
      <c r="H4065" s="54">
        <v>41798</v>
      </c>
      <c r="I4065" s="55" t="s">
        <v>555</v>
      </c>
      <c r="J4065" s="55">
        <v>738</v>
      </c>
      <c r="K4065" s="55">
        <f>VLOOKUP(J4065,'Validacion reclamo de equipaje'!L:M,2,0)</f>
        <v>189</v>
      </c>
      <c r="L4065" s="55" t="str">
        <f>VLOOKUP(I4065,'Validacion reclamo de equipaje'!H:I,2,0)</f>
        <v>Internacional</v>
      </c>
      <c r="M4065" s="55" t="s">
        <v>615</v>
      </c>
    </row>
    <row r="4066" spans="1:13" x14ac:dyDescent="0.25">
      <c r="A4066">
        <v>785</v>
      </c>
      <c r="B4066" s="47" t="str">
        <f>VLOOKUP(Tabla6[[#This Row],['# Vuelo]],'Validacion reclamo de equipaje'!P:Q,2,0)</f>
        <v>MEXICO AEREO</v>
      </c>
      <c r="C4066" s="48">
        <v>0.2388888888888889</v>
      </c>
      <c r="D4066" s="48">
        <v>0.25625000000000003</v>
      </c>
      <c r="E4066" s="49">
        <f>'Reclamo de equipaje rediseñado'!$D4066-'Reclamo de equipaje rediseñado'!$C4066</f>
        <v>1.7361111111111133E-2</v>
      </c>
      <c r="F4066" s="48">
        <v>0.28750000000000003</v>
      </c>
      <c r="G4066" s="49">
        <f t="shared" si="63"/>
        <v>3.125E-2</v>
      </c>
      <c r="H4066" s="50">
        <v>41800</v>
      </c>
      <c r="I4066" s="51" t="s">
        <v>555</v>
      </c>
      <c r="J4066" s="51">
        <v>738</v>
      </c>
      <c r="K4066" s="51">
        <f>VLOOKUP(J4066,'Validacion reclamo de equipaje'!L:M,2,0)</f>
        <v>189</v>
      </c>
      <c r="L4066" s="51" t="str">
        <f>VLOOKUP(I4066,'Validacion reclamo de equipaje'!H:I,2,0)</f>
        <v>Internacional</v>
      </c>
      <c r="M4066" s="51" t="s">
        <v>615</v>
      </c>
    </row>
    <row r="4067" spans="1:13" x14ac:dyDescent="0.25">
      <c r="A4067">
        <v>785</v>
      </c>
      <c r="B4067" s="47" t="str">
        <f>VLOOKUP(Tabla6[[#This Row],['# Vuelo]],'Validacion reclamo de equipaje'!P:Q,2,0)</f>
        <v>MEXICO AEREO</v>
      </c>
      <c r="C4067" s="52">
        <v>0.53680555555555554</v>
      </c>
      <c r="D4067" s="52">
        <v>0.5444444444444444</v>
      </c>
      <c r="E4067" s="53">
        <f>'Reclamo de equipaje rediseñado'!$D4067-'Reclamo de equipaje rediseñado'!$C4067</f>
        <v>7.6388888888888618E-3</v>
      </c>
      <c r="F4067" s="52">
        <v>0.55763888888888891</v>
      </c>
      <c r="G4067" s="53">
        <f t="shared" si="63"/>
        <v>1.3194444444444509E-2</v>
      </c>
      <c r="H4067" s="54">
        <v>41802</v>
      </c>
      <c r="I4067" s="55" t="s">
        <v>555</v>
      </c>
      <c r="J4067" s="55">
        <v>738</v>
      </c>
      <c r="K4067" s="55">
        <f>VLOOKUP(J4067,'Validacion reclamo de equipaje'!L:M,2,0)</f>
        <v>189</v>
      </c>
      <c r="L4067" s="55" t="str">
        <f>VLOOKUP(I4067,'Validacion reclamo de equipaje'!H:I,2,0)</f>
        <v>Internacional</v>
      </c>
      <c r="M4067" s="55" t="s">
        <v>615</v>
      </c>
    </row>
    <row r="4068" spans="1:13" x14ac:dyDescent="0.25">
      <c r="A4068">
        <v>785</v>
      </c>
      <c r="B4068" s="47" t="str">
        <f>VLOOKUP(Tabla6[[#This Row],['# Vuelo]],'Validacion reclamo de equipaje'!P:Q,2,0)</f>
        <v>MEXICO AEREO</v>
      </c>
      <c r="C4068" s="48">
        <v>0.52847222222222223</v>
      </c>
      <c r="D4068" s="48">
        <v>0.53541666666666665</v>
      </c>
      <c r="E4068" s="49">
        <f>'Reclamo de equipaje rediseñado'!$D4068-'Reclamo de equipaje rediseñado'!$C4068</f>
        <v>6.9444444444444198E-3</v>
      </c>
      <c r="F4068" s="48">
        <v>0.54166666666666663</v>
      </c>
      <c r="G4068" s="49">
        <f t="shared" si="63"/>
        <v>6.2499999999999778E-3</v>
      </c>
      <c r="H4068" s="50">
        <v>41803</v>
      </c>
      <c r="I4068" s="51" t="s">
        <v>555</v>
      </c>
      <c r="J4068" s="51">
        <v>738</v>
      </c>
      <c r="K4068" s="51">
        <f>VLOOKUP(J4068,'Validacion reclamo de equipaje'!L:M,2,0)</f>
        <v>189</v>
      </c>
      <c r="L4068" s="51" t="str">
        <f>VLOOKUP(I4068,'Validacion reclamo de equipaje'!H:I,2,0)</f>
        <v>Internacional</v>
      </c>
      <c r="M4068" s="51" t="s">
        <v>615</v>
      </c>
    </row>
    <row r="4069" spans="1:13" x14ac:dyDescent="0.25">
      <c r="A4069">
        <v>785</v>
      </c>
      <c r="B4069" s="47" t="str">
        <f>VLOOKUP(Tabla6[[#This Row],['# Vuelo]],'Validacion reclamo de equipaje'!P:Q,2,0)</f>
        <v>MEXICO AEREO</v>
      </c>
      <c r="C4069" s="52">
        <v>0.45763888888888887</v>
      </c>
      <c r="D4069" s="52">
        <v>0.4680555555555555</v>
      </c>
      <c r="E4069" s="53">
        <f>'Reclamo de equipaje rediseñado'!$D4069-'Reclamo de equipaje rediseñado'!$C4069</f>
        <v>1.041666666666663E-2</v>
      </c>
      <c r="F4069" s="52">
        <v>0.47430555555555554</v>
      </c>
      <c r="G4069" s="53">
        <f t="shared" si="63"/>
        <v>6.2500000000000333E-3</v>
      </c>
      <c r="H4069" s="54">
        <v>41804</v>
      </c>
      <c r="I4069" s="55" t="s">
        <v>555</v>
      </c>
      <c r="J4069" s="55">
        <v>738</v>
      </c>
      <c r="K4069" s="55">
        <f>VLOOKUP(J4069,'Validacion reclamo de equipaje'!L:M,2,0)</f>
        <v>189</v>
      </c>
      <c r="L4069" s="55" t="str">
        <f>VLOOKUP(I4069,'Validacion reclamo de equipaje'!H:I,2,0)</f>
        <v>Internacional</v>
      </c>
      <c r="M4069" s="55" t="s">
        <v>615</v>
      </c>
    </row>
    <row r="4070" spans="1:13" x14ac:dyDescent="0.25">
      <c r="A4070">
        <v>785</v>
      </c>
      <c r="B4070" s="47" t="str">
        <f>VLOOKUP(Tabla6[[#This Row],['# Vuelo]],'Validacion reclamo de equipaje'!P:Q,2,0)</f>
        <v>MEXICO AEREO</v>
      </c>
      <c r="C4070" s="48">
        <v>0.6777777777777777</v>
      </c>
      <c r="D4070" s="48">
        <v>0.68402777777777779</v>
      </c>
      <c r="E4070" s="49">
        <f>'Reclamo de equipaje rediseñado'!$D4070-'Reclamo de equipaje rediseñado'!$C4070</f>
        <v>6.2500000000000888E-3</v>
      </c>
      <c r="F4070" s="48">
        <v>0.69097222222222221</v>
      </c>
      <c r="G4070" s="49">
        <f t="shared" si="63"/>
        <v>6.9444444444444198E-3</v>
      </c>
      <c r="H4070" s="50">
        <v>41805</v>
      </c>
      <c r="I4070" s="51" t="s">
        <v>555</v>
      </c>
      <c r="J4070" s="51">
        <v>738</v>
      </c>
      <c r="K4070" s="51">
        <f>VLOOKUP(J4070,'Validacion reclamo de equipaje'!L:M,2,0)</f>
        <v>189</v>
      </c>
      <c r="L4070" s="51" t="str">
        <f>VLOOKUP(I4070,'Validacion reclamo de equipaje'!H:I,2,0)</f>
        <v>Internacional</v>
      </c>
      <c r="M4070" s="51" t="s">
        <v>615</v>
      </c>
    </row>
    <row r="4071" spans="1:13" x14ac:dyDescent="0.25">
      <c r="A4071">
        <v>785</v>
      </c>
      <c r="B4071" s="47" t="str">
        <f>VLOOKUP(Tabla6[[#This Row],['# Vuelo]],'Validacion reclamo de equipaje'!P:Q,2,0)</f>
        <v>MEXICO AEREO</v>
      </c>
      <c r="C4071" s="52">
        <v>0.43958333333333338</v>
      </c>
      <c r="D4071" s="52">
        <v>0.45</v>
      </c>
      <c r="E4071" s="53">
        <f>'Reclamo de equipaje rediseñado'!$D4071-'Reclamo de equipaje rediseñado'!$C4071</f>
        <v>1.041666666666663E-2</v>
      </c>
      <c r="F4071" s="52">
        <v>0.45694444444444443</v>
      </c>
      <c r="G4071" s="53">
        <f t="shared" si="63"/>
        <v>6.9444444444444198E-3</v>
      </c>
      <c r="H4071" s="54">
        <v>41807</v>
      </c>
      <c r="I4071" s="55" t="s">
        <v>555</v>
      </c>
      <c r="J4071" s="55">
        <v>738</v>
      </c>
      <c r="K4071" s="55">
        <f>VLOOKUP(J4071,'Validacion reclamo de equipaje'!L:M,2,0)</f>
        <v>189</v>
      </c>
      <c r="L4071" s="55" t="str">
        <f>VLOOKUP(I4071,'Validacion reclamo de equipaje'!H:I,2,0)</f>
        <v>Internacional</v>
      </c>
      <c r="M4071" s="55" t="s">
        <v>615</v>
      </c>
    </row>
    <row r="4072" spans="1:13" x14ac:dyDescent="0.25">
      <c r="A4072">
        <v>785</v>
      </c>
      <c r="B4072" s="47" t="str">
        <f>VLOOKUP(Tabla6[[#This Row],['# Vuelo]],'Validacion reclamo de equipaje'!P:Q,2,0)</f>
        <v>MEXICO AEREO</v>
      </c>
      <c r="C4072" s="48">
        <v>0.22847222222222222</v>
      </c>
      <c r="D4072" s="48">
        <v>0.25208333333333333</v>
      </c>
      <c r="E4072" s="49">
        <f>'Reclamo de equipaje rediseñado'!$D4072-'Reclamo de equipaje rediseñado'!$C4072</f>
        <v>2.361111111111111E-2</v>
      </c>
      <c r="F4072" s="48">
        <v>0.28263888888888888</v>
      </c>
      <c r="G4072" s="49">
        <f t="shared" si="63"/>
        <v>3.0555555555555558E-2</v>
      </c>
      <c r="H4072" s="50">
        <v>41808</v>
      </c>
      <c r="I4072" s="51" t="s">
        <v>555</v>
      </c>
      <c r="J4072" s="51">
        <v>738</v>
      </c>
      <c r="K4072" s="51">
        <f>VLOOKUP(J4072,'Validacion reclamo de equipaje'!L:M,2,0)</f>
        <v>189</v>
      </c>
      <c r="L4072" s="51" t="str">
        <f>VLOOKUP(I4072,'Validacion reclamo de equipaje'!H:I,2,0)</f>
        <v>Internacional</v>
      </c>
      <c r="M4072" s="51" t="s">
        <v>615</v>
      </c>
    </row>
    <row r="4073" spans="1:13" x14ac:dyDescent="0.25">
      <c r="A4073">
        <v>785</v>
      </c>
      <c r="B4073" s="47" t="str">
        <f>VLOOKUP(Tabla6[[#This Row],['# Vuelo]],'Validacion reclamo de equipaje'!P:Q,2,0)</f>
        <v>MEXICO AEREO</v>
      </c>
      <c r="C4073" s="52">
        <v>0.25</v>
      </c>
      <c r="D4073" s="52">
        <v>0.26041666666666669</v>
      </c>
      <c r="E4073" s="53">
        <f>'Reclamo de equipaje rediseñado'!$D4073-'Reclamo de equipaje rediseñado'!$C4073</f>
        <v>1.0416666666666685E-2</v>
      </c>
      <c r="F4073" s="52">
        <v>0.28263888888888888</v>
      </c>
      <c r="G4073" s="53">
        <f t="shared" si="63"/>
        <v>2.2222222222222199E-2</v>
      </c>
      <c r="H4073" s="54">
        <v>41811</v>
      </c>
      <c r="I4073" s="55" t="s">
        <v>555</v>
      </c>
      <c r="J4073" s="55">
        <v>738</v>
      </c>
      <c r="K4073" s="55">
        <f>VLOOKUP(J4073,'Validacion reclamo de equipaje'!L:M,2,0)</f>
        <v>189</v>
      </c>
      <c r="L4073" s="55" t="str">
        <f>VLOOKUP(I4073,'Validacion reclamo de equipaje'!H:I,2,0)</f>
        <v>Internacional</v>
      </c>
      <c r="M4073" s="55" t="s">
        <v>615</v>
      </c>
    </row>
    <row r="4074" spans="1:13" x14ac:dyDescent="0.25">
      <c r="A4074">
        <v>785</v>
      </c>
      <c r="B4074" s="47" t="str">
        <f>VLOOKUP(Tabla6[[#This Row],['# Vuelo]],'Validacion reclamo de equipaje'!P:Q,2,0)</f>
        <v>MEXICO AEREO</v>
      </c>
      <c r="C4074" s="48">
        <v>0.24652777777777779</v>
      </c>
      <c r="D4074" s="48">
        <v>0.25416666666666665</v>
      </c>
      <c r="E4074" s="49">
        <f>'Reclamo de equipaje rediseñado'!$D4074-'Reclamo de equipaje rediseñado'!$C4074</f>
        <v>7.6388888888888618E-3</v>
      </c>
      <c r="F4074" s="48">
        <v>0.27847222222222223</v>
      </c>
      <c r="G4074" s="49">
        <f t="shared" si="63"/>
        <v>2.430555555555558E-2</v>
      </c>
      <c r="H4074" s="50">
        <v>41812</v>
      </c>
      <c r="I4074" s="51" t="s">
        <v>555</v>
      </c>
      <c r="J4074" s="51">
        <v>738</v>
      </c>
      <c r="K4074" s="51">
        <f>VLOOKUP(J4074,'Validacion reclamo de equipaje'!L:M,2,0)</f>
        <v>189</v>
      </c>
      <c r="L4074" s="51" t="str">
        <f>VLOOKUP(I4074,'Validacion reclamo de equipaje'!H:I,2,0)</f>
        <v>Internacional</v>
      </c>
      <c r="M4074" s="51" t="s">
        <v>615</v>
      </c>
    </row>
    <row r="4075" spans="1:13" x14ac:dyDescent="0.25">
      <c r="A4075">
        <v>785</v>
      </c>
      <c r="B4075" s="47" t="str">
        <f>VLOOKUP(Tabla6[[#This Row],['# Vuelo]],'Validacion reclamo de equipaje'!P:Q,2,0)</f>
        <v>MEXICO AEREO</v>
      </c>
      <c r="C4075" s="52">
        <v>0.23055555555555554</v>
      </c>
      <c r="D4075" s="52">
        <v>0.24236111111111111</v>
      </c>
      <c r="E4075" s="53">
        <f>'Reclamo de equipaje rediseñado'!$D4075-'Reclamo de equipaje rediseñado'!$C4075</f>
        <v>1.1805555555555569E-2</v>
      </c>
      <c r="F4075" s="52">
        <v>0.27777777777777779</v>
      </c>
      <c r="G4075" s="53">
        <f t="shared" si="63"/>
        <v>3.541666666666668E-2</v>
      </c>
      <c r="H4075" s="54">
        <v>41813</v>
      </c>
      <c r="I4075" s="55" t="s">
        <v>555</v>
      </c>
      <c r="J4075" s="55">
        <v>738</v>
      </c>
      <c r="K4075" s="55">
        <f>VLOOKUP(J4075,'Validacion reclamo de equipaje'!L:M,2,0)</f>
        <v>189</v>
      </c>
      <c r="L4075" s="55" t="str">
        <f>VLOOKUP(I4075,'Validacion reclamo de equipaje'!H:I,2,0)</f>
        <v>Internacional</v>
      </c>
      <c r="M4075" s="55" t="s">
        <v>615</v>
      </c>
    </row>
    <row r="4076" spans="1:13" x14ac:dyDescent="0.25">
      <c r="A4076">
        <v>783</v>
      </c>
      <c r="B4076" s="47" t="str">
        <f>VLOOKUP(Tabla6[[#This Row],['# Vuelo]],'Validacion reclamo de equipaje'!P:Q,2,0)</f>
        <v>MEXICO AEREO</v>
      </c>
      <c r="C4076" s="48">
        <v>0.72083333333333333</v>
      </c>
      <c r="D4076" s="48">
        <v>0.73055555555555562</v>
      </c>
      <c r="E4076" s="49">
        <f>'Reclamo de equipaje rediseñado'!$D4076-'Reclamo de equipaje rediseñado'!$C4076</f>
        <v>9.7222222222222987E-3</v>
      </c>
      <c r="F4076" s="48">
        <v>0.74722222222222223</v>
      </c>
      <c r="G4076" s="49">
        <f t="shared" si="63"/>
        <v>1.6666666666666607E-2</v>
      </c>
      <c r="H4076" s="50">
        <v>41791</v>
      </c>
      <c r="I4076" s="51" t="s">
        <v>555</v>
      </c>
      <c r="J4076" s="51">
        <v>738</v>
      </c>
      <c r="K4076" s="51">
        <f>VLOOKUP(J4076,'Validacion reclamo de equipaje'!L:M,2,0)</f>
        <v>189</v>
      </c>
      <c r="L4076" s="51" t="str">
        <f>VLOOKUP(I4076,'Validacion reclamo de equipaje'!H:I,2,0)</f>
        <v>Internacional</v>
      </c>
      <c r="M4076" s="51" t="s">
        <v>615</v>
      </c>
    </row>
    <row r="4077" spans="1:13" x14ac:dyDescent="0.25">
      <c r="A4077">
        <v>783</v>
      </c>
      <c r="B4077" s="47" t="str">
        <f>VLOOKUP(Tabla6[[#This Row],['# Vuelo]],'Validacion reclamo de equipaje'!P:Q,2,0)</f>
        <v>MEXICO AEREO</v>
      </c>
      <c r="C4077" s="52">
        <v>0.71388888888888891</v>
      </c>
      <c r="D4077" s="52">
        <v>0.72013888888888899</v>
      </c>
      <c r="E4077" s="53">
        <f>'Reclamo de equipaje rediseñado'!$D4077-'Reclamo de equipaje rediseñado'!$C4077</f>
        <v>6.2500000000000888E-3</v>
      </c>
      <c r="F4077" s="52">
        <v>0.73888888888888893</v>
      </c>
      <c r="G4077" s="53">
        <f t="shared" si="63"/>
        <v>1.8749999999999933E-2</v>
      </c>
      <c r="H4077" s="54">
        <v>41792</v>
      </c>
      <c r="I4077" s="55" t="s">
        <v>555</v>
      </c>
      <c r="J4077" s="55">
        <v>738</v>
      </c>
      <c r="K4077" s="55">
        <f>VLOOKUP(J4077,'Validacion reclamo de equipaje'!L:M,2,0)</f>
        <v>189</v>
      </c>
      <c r="L4077" s="55" t="str">
        <f>VLOOKUP(I4077,'Validacion reclamo de equipaje'!H:I,2,0)</f>
        <v>Internacional</v>
      </c>
      <c r="M4077" s="55" t="s">
        <v>615</v>
      </c>
    </row>
    <row r="4078" spans="1:13" x14ac:dyDescent="0.25">
      <c r="A4078">
        <v>783</v>
      </c>
      <c r="B4078" s="47" t="str">
        <f>VLOOKUP(Tabla6[[#This Row],['# Vuelo]],'Validacion reclamo de equipaje'!P:Q,2,0)</f>
        <v>MEXICO AEREO</v>
      </c>
      <c r="C4078" s="48">
        <v>0.71666666666666667</v>
      </c>
      <c r="D4078" s="48">
        <v>0.72916666666666663</v>
      </c>
      <c r="E4078" s="49">
        <f>'Reclamo de equipaje rediseñado'!$D4078-'Reclamo de equipaje rediseñado'!$C4078</f>
        <v>1.2499999999999956E-2</v>
      </c>
      <c r="F4078" s="48">
        <v>0.7416666666666667</v>
      </c>
      <c r="G4078" s="49">
        <f t="shared" si="63"/>
        <v>1.2500000000000067E-2</v>
      </c>
      <c r="H4078" s="50">
        <v>41793</v>
      </c>
      <c r="I4078" s="51" t="s">
        <v>555</v>
      </c>
      <c r="J4078" s="51">
        <v>738</v>
      </c>
      <c r="K4078" s="51">
        <f>VLOOKUP(J4078,'Validacion reclamo de equipaje'!L:M,2,0)</f>
        <v>189</v>
      </c>
      <c r="L4078" s="51" t="str">
        <f>VLOOKUP(I4078,'Validacion reclamo de equipaje'!H:I,2,0)</f>
        <v>Internacional</v>
      </c>
      <c r="M4078" s="51" t="s">
        <v>615</v>
      </c>
    </row>
    <row r="4079" spans="1:13" x14ac:dyDescent="0.25">
      <c r="A4079">
        <v>783</v>
      </c>
      <c r="B4079" s="47" t="str">
        <f>VLOOKUP(Tabla6[[#This Row],['# Vuelo]],'Validacion reclamo de equipaje'!P:Q,2,0)</f>
        <v>MEXICO AEREO</v>
      </c>
      <c r="C4079" s="52">
        <v>0.72569444444444453</v>
      </c>
      <c r="D4079" s="52">
        <v>0.73333333333333339</v>
      </c>
      <c r="E4079" s="53">
        <f>'Reclamo de equipaje rediseñado'!$D4079-'Reclamo de equipaje rediseñado'!$C4079</f>
        <v>7.6388888888888618E-3</v>
      </c>
      <c r="F4079" s="52">
        <v>0.75902777777777775</v>
      </c>
      <c r="G4079" s="53">
        <f t="shared" si="63"/>
        <v>2.5694444444444353E-2</v>
      </c>
      <c r="H4079" s="54">
        <v>41794</v>
      </c>
      <c r="I4079" s="55" t="s">
        <v>555</v>
      </c>
      <c r="J4079" s="55">
        <v>738</v>
      </c>
      <c r="K4079" s="55">
        <f>VLOOKUP(J4079,'Validacion reclamo de equipaje'!L:M,2,0)</f>
        <v>189</v>
      </c>
      <c r="L4079" s="55" t="str">
        <f>VLOOKUP(I4079,'Validacion reclamo de equipaje'!H:I,2,0)</f>
        <v>Internacional</v>
      </c>
      <c r="M4079" s="55" t="s">
        <v>615</v>
      </c>
    </row>
    <row r="4080" spans="1:13" x14ac:dyDescent="0.25">
      <c r="A4080">
        <v>783</v>
      </c>
      <c r="B4080" s="47" t="str">
        <f>VLOOKUP(Tabla6[[#This Row],['# Vuelo]],'Validacion reclamo de equipaje'!P:Q,2,0)</f>
        <v>MEXICO AEREO</v>
      </c>
      <c r="C4080" s="48">
        <v>0.7284722222222223</v>
      </c>
      <c r="D4080" s="48">
        <v>0.73749999999999993</v>
      </c>
      <c r="E4080" s="49">
        <f>'Reclamo de equipaje rediseñado'!$D4080-'Reclamo de equipaje rediseñado'!$C4080</f>
        <v>9.0277777777776347E-3</v>
      </c>
      <c r="F4080" s="48">
        <v>0.7631944444444444</v>
      </c>
      <c r="G4080" s="49">
        <f t="shared" si="63"/>
        <v>2.5694444444444464E-2</v>
      </c>
      <c r="H4080" s="50">
        <v>41795</v>
      </c>
      <c r="I4080" s="51" t="s">
        <v>555</v>
      </c>
      <c r="J4080" s="51">
        <v>738</v>
      </c>
      <c r="K4080" s="51">
        <f>VLOOKUP(J4080,'Validacion reclamo de equipaje'!L:M,2,0)</f>
        <v>189</v>
      </c>
      <c r="L4080" s="51" t="str">
        <f>VLOOKUP(I4080,'Validacion reclamo de equipaje'!H:I,2,0)</f>
        <v>Internacional</v>
      </c>
      <c r="M4080" s="51" t="s">
        <v>615</v>
      </c>
    </row>
    <row r="4081" spans="1:13" x14ac:dyDescent="0.25">
      <c r="A4081">
        <v>783</v>
      </c>
      <c r="B4081" s="47" t="str">
        <f>VLOOKUP(Tabla6[[#This Row],['# Vuelo]],'Validacion reclamo de equipaje'!P:Q,2,0)</f>
        <v>MEXICO AEREO</v>
      </c>
      <c r="C4081" s="52">
        <v>0.73263888888888884</v>
      </c>
      <c r="D4081" s="52">
        <v>0.73958333333333337</v>
      </c>
      <c r="E4081" s="53">
        <f>'Reclamo de equipaje rediseñado'!$D4081-'Reclamo de equipaje rediseñado'!$C4081</f>
        <v>6.9444444444445308E-3</v>
      </c>
      <c r="F4081" s="52">
        <v>0.76736111111111116</v>
      </c>
      <c r="G4081" s="53">
        <f t="shared" si="63"/>
        <v>2.777777777777779E-2</v>
      </c>
      <c r="H4081" s="54">
        <v>41796</v>
      </c>
      <c r="I4081" s="55" t="s">
        <v>555</v>
      </c>
      <c r="J4081" s="55">
        <v>738</v>
      </c>
      <c r="K4081" s="55">
        <f>VLOOKUP(J4081,'Validacion reclamo de equipaje'!L:M,2,0)</f>
        <v>189</v>
      </c>
      <c r="L4081" s="55" t="str">
        <f>VLOOKUP(I4081,'Validacion reclamo de equipaje'!H:I,2,0)</f>
        <v>Internacional</v>
      </c>
      <c r="M4081" s="55" t="s">
        <v>615</v>
      </c>
    </row>
    <row r="4082" spans="1:13" x14ac:dyDescent="0.25">
      <c r="A4082">
        <v>783</v>
      </c>
      <c r="B4082" s="47" t="str">
        <f>VLOOKUP(Tabla6[[#This Row],['# Vuelo]],'Validacion reclamo de equipaje'!P:Q,2,0)</f>
        <v>MEXICO AEREO</v>
      </c>
      <c r="C4082" s="48">
        <v>0.72777777777777775</v>
      </c>
      <c r="D4082" s="48">
        <v>0.7368055555555556</v>
      </c>
      <c r="E4082" s="49">
        <f>'Reclamo de equipaje rediseñado'!$D4082-'Reclamo de equipaje rediseñado'!$C4082</f>
        <v>9.0277777777778567E-3</v>
      </c>
      <c r="F4082" s="48">
        <v>0.75208333333333333</v>
      </c>
      <c r="G4082" s="49">
        <f t="shared" si="63"/>
        <v>1.5277777777777724E-2</v>
      </c>
      <c r="H4082" s="50">
        <v>41797</v>
      </c>
      <c r="I4082" s="51" t="s">
        <v>555</v>
      </c>
      <c r="J4082" s="51">
        <v>738</v>
      </c>
      <c r="K4082" s="51">
        <f>VLOOKUP(J4082,'Validacion reclamo de equipaje'!L:M,2,0)</f>
        <v>189</v>
      </c>
      <c r="L4082" s="51" t="str">
        <f>VLOOKUP(I4082,'Validacion reclamo de equipaje'!H:I,2,0)</f>
        <v>Internacional</v>
      </c>
      <c r="M4082" s="51" t="s">
        <v>615</v>
      </c>
    </row>
    <row r="4083" spans="1:13" x14ac:dyDescent="0.25">
      <c r="A4083">
        <v>783</v>
      </c>
      <c r="B4083" s="47" t="str">
        <f>VLOOKUP(Tabla6[[#This Row],['# Vuelo]],'Validacion reclamo de equipaje'!P:Q,2,0)</f>
        <v>MEXICO AEREO</v>
      </c>
      <c r="C4083" s="52">
        <v>0.72499999999999998</v>
      </c>
      <c r="D4083" s="52">
        <v>0.73333333333333339</v>
      </c>
      <c r="E4083" s="53">
        <f>'Reclamo de equipaje rediseñado'!$D4083-'Reclamo de equipaje rediseñado'!$C4083</f>
        <v>8.3333333333334147E-3</v>
      </c>
      <c r="F4083" s="52">
        <v>0.75694444444444453</v>
      </c>
      <c r="G4083" s="53">
        <f t="shared" si="63"/>
        <v>2.3611111111111138E-2</v>
      </c>
      <c r="H4083" s="54">
        <v>41798</v>
      </c>
      <c r="I4083" s="55" t="s">
        <v>555</v>
      </c>
      <c r="J4083" s="55">
        <v>738</v>
      </c>
      <c r="K4083" s="55">
        <f>VLOOKUP(J4083,'Validacion reclamo de equipaje'!L:M,2,0)</f>
        <v>189</v>
      </c>
      <c r="L4083" s="55" t="str">
        <f>VLOOKUP(I4083,'Validacion reclamo de equipaje'!H:I,2,0)</f>
        <v>Internacional</v>
      </c>
      <c r="M4083" s="55" t="s">
        <v>615</v>
      </c>
    </row>
    <row r="4084" spans="1:13" x14ac:dyDescent="0.25">
      <c r="A4084">
        <v>783</v>
      </c>
      <c r="B4084" s="47" t="str">
        <f>VLOOKUP(Tabla6[[#This Row],['# Vuelo]],'Validacion reclamo de equipaje'!P:Q,2,0)</f>
        <v>MEXICO AEREO</v>
      </c>
      <c r="C4084" s="48">
        <v>0.69305555555555554</v>
      </c>
      <c r="D4084" s="48">
        <v>0.69861111111111107</v>
      </c>
      <c r="E4084" s="49">
        <f>'Reclamo de equipaje rediseñado'!$D4084-'Reclamo de equipaje rediseñado'!$C4084</f>
        <v>5.5555555555555358E-3</v>
      </c>
      <c r="F4084" s="48">
        <v>0.70138888888888884</v>
      </c>
      <c r="G4084" s="49">
        <f t="shared" si="63"/>
        <v>2.7777777777777679E-3</v>
      </c>
      <c r="H4084" s="50">
        <v>41801</v>
      </c>
      <c r="I4084" s="51" t="s">
        <v>555</v>
      </c>
      <c r="J4084" s="51">
        <v>738</v>
      </c>
      <c r="K4084" s="51">
        <f>VLOOKUP(J4084,'Validacion reclamo de equipaje'!L:M,2,0)</f>
        <v>189</v>
      </c>
      <c r="L4084" s="51" t="str">
        <f>VLOOKUP(I4084,'Validacion reclamo de equipaje'!H:I,2,0)</f>
        <v>Internacional</v>
      </c>
      <c r="M4084" s="51" t="s">
        <v>615</v>
      </c>
    </row>
    <row r="4085" spans="1:13" x14ac:dyDescent="0.25">
      <c r="A4085">
        <v>783</v>
      </c>
      <c r="B4085" s="47" t="str">
        <f>VLOOKUP(Tabla6[[#This Row],['# Vuelo]],'Validacion reclamo de equipaje'!P:Q,2,0)</f>
        <v>MEXICO AEREO</v>
      </c>
      <c r="C4085" s="52">
        <v>0.84791666666666676</v>
      </c>
      <c r="D4085" s="52">
        <v>0.8569444444444444</v>
      </c>
      <c r="E4085" s="53">
        <f>'Reclamo de equipaje rediseñado'!$D4085-'Reclamo de equipaje rediseñado'!$C4085</f>
        <v>9.0277777777776347E-3</v>
      </c>
      <c r="F4085" s="52">
        <v>0.875</v>
      </c>
      <c r="G4085" s="53">
        <f t="shared" si="63"/>
        <v>1.8055555555555602E-2</v>
      </c>
      <c r="H4085" s="54">
        <v>41802</v>
      </c>
      <c r="I4085" s="55" t="s">
        <v>555</v>
      </c>
      <c r="J4085" s="55">
        <v>738</v>
      </c>
      <c r="K4085" s="55">
        <f>VLOOKUP(J4085,'Validacion reclamo de equipaje'!L:M,2,0)</f>
        <v>189</v>
      </c>
      <c r="L4085" s="55" t="str">
        <f>VLOOKUP(I4085,'Validacion reclamo de equipaje'!H:I,2,0)</f>
        <v>Internacional</v>
      </c>
      <c r="M4085" s="55" t="s">
        <v>615</v>
      </c>
    </row>
    <row r="4086" spans="1:13" x14ac:dyDescent="0.25">
      <c r="A4086">
        <v>783</v>
      </c>
      <c r="B4086" s="47" t="str">
        <f>VLOOKUP(Tabla6[[#This Row],['# Vuelo]],'Validacion reclamo de equipaje'!P:Q,2,0)</f>
        <v>MEXICO AEREO</v>
      </c>
      <c r="C4086" s="48">
        <v>0.25416666666666665</v>
      </c>
      <c r="D4086" s="48">
        <v>0.26944444444444443</v>
      </c>
      <c r="E4086" s="49">
        <f>'Reclamo de equipaje rediseñado'!$D4086-'Reclamo de equipaje rediseñado'!$C4086</f>
        <v>1.5277777777777779E-2</v>
      </c>
      <c r="F4086" s="48">
        <v>0.28611111111111115</v>
      </c>
      <c r="G4086" s="49">
        <f t="shared" si="63"/>
        <v>1.6666666666666718E-2</v>
      </c>
      <c r="H4086" s="50">
        <v>41803</v>
      </c>
      <c r="I4086" s="51" t="s">
        <v>555</v>
      </c>
      <c r="J4086" s="51">
        <v>738</v>
      </c>
      <c r="K4086" s="51">
        <f>VLOOKUP(J4086,'Validacion reclamo de equipaje'!L:M,2,0)</f>
        <v>189</v>
      </c>
      <c r="L4086" s="51" t="str">
        <f>VLOOKUP(I4086,'Validacion reclamo de equipaje'!H:I,2,0)</f>
        <v>Internacional</v>
      </c>
      <c r="M4086" s="51" t="s">
        <v>615</v>
      </c>
    </row>
    <row r="4087" spans="1:13" x14ac:dyDescent="0.25">
      <c r="A4087">
        <v>783</v>
      </c>
      <c r="B4087" s="47" t="str">
        <f>VLOOKUP(Tabla6[[#This Row],['# Vuelo]],'Validacion reclamo de equipaje'!P:Q,2,0)</f>
        <v>MEXICO AEREO</v>
      </c>
      <c r="C4087" s="52">
        <v>0.93333333333333324</v>
      </c>
      <c r="D4087" s="52">
        <v>0.94444444444444453</v>
      </c>
      <c r="E4087" s="53">
        <f>'Reclamo de equipaje rediseñado'!$D4087-'Reclamo de equipaje rediseñado'!$C4087</f>
        <v>1.1111111111111294E-2</v>
      </c>
      <c r="F4087" s="52">
        <v>0.95763888888888893</v>
      </c>
      <c r="G4087" s="53">
        <f t="shared" si="63"/>
        <v>1.3194444444444398E-2</v>
      </c>
      <c r="H4087" s="54">
        <v>41804</v>
      </c>
      <c r="I4087" s="55" t="s">
        <v>555</v>
      </c>
      <c r="J4087" s="55">
        <v>738</v>
      </c>
      <c r="K4087" s="55">
        <f>VLOOKUP(J4087,'Validacion reclamo de equipaje'!L:M,2,0)</f>
        <v>189</v>
      </c>
      <c r="L4087" s="55" t="str">
        <f>VLOOKUP(I4087,'Validacion reclamo de equipaje'!H:I,2,0)</f>
        <v>Internacional</v>
      </c>
      <c r="M4087" s="55" t="s">
        <v>615</v>
      </c>
    </row>
    <row r="4088" spans="1:13" x14ac:dyDescent="0.25">
      <c r="A4088">
        <v>783</v>
      </c>
      <c r="B4088" s="47" t="str">
        <f>VLOOKUP(Tabla6[[#This Row],['# Vuelo]],'Validacion reclamo de equipaje'!P:Q,2,0)</f>
        <v>MEXICO AEREO</v>
      </c>
      <c r="C4088" s="48">
        <v>0.44791666666666669</v>
      </c>
      <c r="D4088" s="48">
        <v>0.4548611111111111</v>
      </c>
      <c r="E4088" s="49">
        <f>'Reclamo de equipaje rediseñado'!$D4088-'Reclamo de equipaje rediseñado'!$C4088</f>
        <v>6.9444444444444198E-3</v>
      </c>
      <c r="F4088" s="48">
        <v>0.46527777777777773</v>
      </c>
      <c r="G4088" s="49">
        <f t="shared" si="63"/>
        <v>1.041666666666663E-2</v>
      </c>
      <c r="H4088" s="50">
        <v>41805</v>
      </c>
      <c r="I4088" s="51" t="s">
        <v>555</v>
      </c>
      <c r="J4088" s="51">
        <v>738</v>
      </c>
      <c r="K4088" s="51">
        <f>VLOOKUP(J4088,'Validacion reclamo de equipaje'!L:M,2,0)</f>
        <v>189</v>
      </c>
      <c r="L4088" s="51" t="str">
        <f>VLOOKUP(I4088,'Validacion reclamo de equipaje'!H:I,2,0)</f>
        <v>Internacional</v>
      </c>
      <c r="M4088" s="51" t="s">
        <v>615</v>
      </c>
    </row>
    <row r="4089" spans="1:13" x14ac:dyDescent="0.25">
      <c r="A4089">
        <v>783</v>
      </c>
      <c r="B4089" s="47" t="str">
        <f>VLOOKUP(Tabla6[[#This Row],['# Vuelo]],'Validacion reclamo de equipaje'!P:Q,2,0)</f>
        <v>MEXICO AEREO</v>
      </c>
      <c r="C4089" s="52">
        <v>0.25972222222222224</v>
      </c>
      <c r="D4089" s="52">
        <v>0.27083333333333331</v>
      </c>
      <c r="E4089" s="53">
        <f>'Reclamo de equipaje rediseñado'!$D4089-'Reclamo de equipaje rediseñado'!$C4089</f>
        <v>1.1111111111111072E-2</v>
      </c>
      <c r="F4089" s="52">
        <v>0.28611111111111115</v>
      </c>
      <c r="G4089" s="53">
        <f t="shared" si="63"/>
        <v>1.5277777777777835E-2</v>
      </c>
      <c r="H4089" s="54">
        <v>41806</v>
      </c>
      <c r="I4089" s="55" t="s">
        <v>555</v>
      </c>
      <c r="J4089" s="55">
        <v>738</v>
      </c>
      <c r="K4089" s="55">
        <f>VLOOKUP(J4089,'Validacion reclamo de equipaje'!L:M,2,0)</f>
        <v>189</v>
      </c>
      <c r="L4089" s="55" t="str">
        <f>VLOOKUP(I4089,'Validacion reclamo de equipaje'!H:I,2,0)</f>
        <v>Internacional</v>
      </c>
      <c r="M4089" s="55" t="s">
        <v>615</v>
      </c>
    </row>
    <row r="4090" spans="1:13" x14ac:dyDescent="0.25">
      <c r="A4090">
        <v>783</v>
      </c>
      <c r="B4090" s="47" t="str">
        <f>VLOOKUP(Tabla6[[#This Row],['# Vuelo]],'Validacion reclamo de equipaje'!P:Q,2,0)</f>
        <v>MEXICO AEREO</v>
      </c>
      <c r="C4090" s="48">
        <v>0.84791666666666676</v>
      </c>
      <c r="D4090" s="48">
        <v>0.8569444444444444</v>
      </c>
      <c r="E4090" s="49">
        <f>'Reclamo de equipaje rediseñado'!$D4090-'Reclamo de equipaje rediseñado'!$C4090</f>
        <v>9.0277777777776347E-3</v>
      </c>
      <c r="F4090" s="48">
        <v>0.875</v>
      </c>
      <c r="G4090" s="49">
        <f t="shared" si="63"/>
        <v>1.8055555555555602E-2</v>
      </c>
      <c r="H4090" s="50">
        <v>41807</v>
      </c>
      <c r="I4090" s="51" t="s">
        <v>555</v>
      </c>
      <c r="J4090" s="51">
        <v>738</v>
      </c>
      <c r="K4090" s="51">
        <f>VLOOKUP(J4090,'Validacion reclamo de equipaje'!L:M,2,0)</f>
        <v>189</v>
      </c>
      <c r="L4090" s="51" t="str">
        <f>VLOOKUP(I4090,'Validacion reclamo de equipaje'!H:I,2,0)</f>
        <v>Internacional</v>
      </c>
      <c r="M4090" s="51" t="s">
        <v>615</v>
      </c>
    </row>
    <row r="4091" spans="1:13" x14ac:dyDescent="0.25">
      <c r="A4091">
        <v>783</v>
      </c>
      <c r="B4091" s="47" t="str">
        <f>VLOOKUP(Tabla6[[#This Row],['# Vuelo]],'Validacion reclamo de equipaje'!P:Q,2,0)</f>
        <v>MEXICO AEREO</v>
      </c>
      <c r="C4091" s="52">
        <v>0.7319444444444444</v>
      </c>
      <c r="D4091" s="52">
        <v>0.74097222222222225</v>
      </c>
      <c r="E4091" s="53">
        <f>'Reclamo de equipaje rediseñado'!$D4091-'Reclamo de equipaje rediseñado'!$C4091</f>
        <v>9.0277777777778567E-3</v>
      </c>
      <c r="F4091" s="52">
        <v>0.75763888888888886</v>
      </c>
      <c r="G4091" s="53">
        <f t="shared" si="63"/>
        <v>1.6666666666666607E-2</v>
      </c>
      <c r="H4091" s="54">
        <v>41808</v>
      </c>
      <c r="I4091" s="55" t="s">
        <v>555</v>
      </c>
      <c r="J4091" s="55">
        <v>738</v>
      </c>
      <c r="K4091" s="55">
        <f>VLOOKUP(J4091,'Validacion reclamo de equipaje'!L:M,2,0)</f>
        <v>189</v>
      </c>
      <c r="L4091" s="55" t="str">
        <f>VLOOKUP(I4091,'Validacion reclamo de equipaje'!H:I,2,0)</f>
        <v>Internacional</v>
      </c>
      <c r="M4091" s="55" t="s">
        <v>615</v>
      </c>
    </row>
    <row r="4092" spans="1:13" x14ac:dyDescent="0.25">
      <c r="A4092">
        <v>783</v>
      </c>
      <c r="B4092" s="47" t="str">
        <f>VLOOKUP(Tabla6[[#This Row],['# Vuelo]],'Validacion reclamo de equipaje'!P:Q,2,0)</f>
        <v>MEXICO AEREO</v>
      </c>
      <c r="C4092" s="48">
        <v>0.73402777777777783</v>
      </c>
      <c r="D4092" s="48">
        <v>0.74583333333333324</v>
      </c>
      <c r="E4092" s="49">
        <f>'Reclamo de equipaje rediseñado'!$D4092-'Reclamo de equipaje rediseñado'!$C4092</f>
        <v>1.1805555555555403E-2</v>
      </c>
      <c r="F4092" s="48">
        <v>0.76666666666666661</v>
      </c>
      <c r="G4092" s="49">
        <f t="shared" si="63"/>
        <v>2.083333333333337E-2</v>
      </c>
      <c r="H4092" s="50">
        <v>41809</v>
      </c>
      <c r="I4092" s="51" t="s">
        <v>555</v>
      </c>
      <c r="J4092" s="51">
        <v>738</v>
      </c>
      <c r="K4092" s="51">
        <f>VLOOKUP(J4092,'Validacion reclamo de equipaje'!L:M,2,0)</f>
        <v>189</v>
      </c>
      <c r="L4092" s="51" t="str">
        <f>VLOOKUP(I4092,'Validacion reclamo de equipaje'!H:I,2,0)</f>
        <v>Internacional</v>
      </c>
      <c r="M4092" s="51" t="s">
        <v>615</v>
      </c>
    </row>
    <row r="4093" spans="1:13" x14ac:dyDescent="0.25">
      <c r="A4093">
        <v>783</v>
      </c>
      <c r="B4093" s="47" t="str">
        <f>VLOOKUP(Tabla6[[#This Row],['# Vuelo]],'Validacion reclamo de equipaje'!P:Q,2,0)</f>
        <v>MEXICO AEREO</v>
      </c>
      <c r="C4093" s="52">
        <v>0.72361111111111109</v>
      </c>
      <c r="D4093" s="52">
        <v>0.73263888888888884</v>
      </c>
      <c r="E4093" s="53">
        <f>'Reclamo de equipaje rediseñado'!$D4093-'Reclamo de equipaje rediseñado'!$C4093</f>
        <v>9.0277777777777457E-3</v>
      </c>
      <c r="F4093" s="52">
        <v>0.75</v>
      </c>
      <c r="G4093" s="53">
        <f t="shared" si="63"/>
        <v>1.736111111111116E-2</v>
      </c>
      <c r="H4093" s="54">
        <v>41810</v>
      </c>
      <c r="I4093" s="55" t="s">
        <v>555</v>
      </c>
      <c r="J4093" s="55">
        <v>738</v>
      </c>
      <c r="K4093" s="55">
        <f>VLOOKUP(J4093,'Validacion reclamo de equipaje'!L:M,2,0)</f>
        <v>189</v>
      </c>
      <c r="L4093" s="55" t="str">
        <f>VLOOKUP(I4093,'Validacion reclamo de equipaje'!H:I,2,0)</f>
        <v>Internacional</v>
      </c>
      <c r="M4093" s="55" t="s">
        <v>615</v>
      </c>
    </row>
    <row r="4094" spans="1:13" x14ac:dyDescent="0.25">
      <c r="A4094">
        <v>783</v>
      </c>
      <c r="B4094" s="47" t="str">
        <f>VLOOKUP(Tabla6[[#This Row],['# Vuelo]],'Validacion reclamo de equipaje'!P:Q,2,0)</f>
        <v>MEXICO AEREO</v>
      </c>
      <c r="C4094" s="48">
        <v>0.74375000000000002</v>
      </c>
      <c r="D4094" s="48">
        <v>0.75208333333333333</v>
      </c>
      <c r="E4094" s="49">
        <f>'Reclamo de equipaje rediseñado'!$D4094-'Reclamo de equipaje rediseñado'!$C4094</f>
        <v>8.3333333333333037E-3</v>
      </c>
      <c r="F4094" s="48">
        <v>0.7715277777777777</v>
      </c>
      <c r="G4094" s="49">
        <f t="shared" si="63"/>
        <v>1.9444444444444375E-2</v>
      </c>
      <c r="H4094" s="50">
        <v>41811</v>
      </c>
      <c r="I4094" s="51" t="s">
        <v>555</v>
      </c>
      <c r="J4094" s="51">
        <v>738</v>
      </c>
      <c r="K4094" s="51">
        <f>VLOOKUP(J4094,'Validacion reclamo de equipaje'!L:M,2,0)</f>
        <v>189</v>
      </c>
      <c r="L4094" s="51" t="str">
        <f>VLOOKUP(I4094,'Validacion reclamo de equipaje'!H:I,2,0)</f>
        <v>Internacional</v>
      </c>
      <c r="M4094" s="51" t="s">
        <v>615</v>
      </c>
    </row>
    <row r="4095" spans="1:13" x14ac:dyDescent="0.25">
      <c r="A4095">
        <v>783</v>
      </c>
      <c r="B4095" s="47" t="str">
        <f>VLOOKUP(Tabla6[[#This Row],['# Vuelo]],'Validacion reclamo de equipaje'!P:Q,2,0)</f>
        <v>MEXICO AEREO</v>
      </c>
      <c r="C4095" s="52">
        <v>0.72083333333333333</v>
      </c>
      <c r="D4095" s="52">
        <v>0.72916666666666663</v>
      </c>
      <c r="E4095" s="53">
        <f>'Reclamo de equipaje rediseñado'!$D4095-'Reclamo de equipaje rediseñado'!$C4095</f>
        <v>8.3333333333333037E-3</v>
      </c>
      <c r="F4095" s="52">
        <v>0.73958333333333337</v>
      </c>
      <c r="G4095" s="53">
        <f t="shared" si="63"/>
        <v>1.0416666666666741E-2</v>
      </c>
      <c r="H4095" s="54">
        <v>41813</v>
      </c>
      <c r="I4095" s="55" t="s">
        <v>555</v>
      </c>
      <c r="J4095" s="55">
        <v>738</v>
      </c>
      <c r="K4095" s="55">
        <f>VLOOKUP(J4095,'Validacion reclamo de equipaje'!L:M,2,0)</f>
        <v>189</v>
      </c>
      <c r="L4095" s="55" t="str">
        <f>VLOOKUP(I4095,'Validacion reclamo de equipaje'!H:I,2,0)</f>
        <v>Internacional</v>
      </c>
      <c r="M4095" s="55" t="s">
        <v>615</v>
      </c>
    </row>
    <row r="4096" spans="1:13" x14ac:dyDescent="0.25">
      <c r="A4096">
        <v>783</v>
      </c>
      <c r="B4096" s="47" t="str">
        <f>VLOOKUP(Tabla6[[#This Row],['# Vuelo]],'Validacion reclamo de equipaje'!P:Q,2,0)</f>
        <v>MEXICO AEREO</v>
      </c>
      <c r="C4096" s="48">
        <v>0.72986111111111107</v>
      </c>
      <c r="D4096" s="48">
        <v>0.73958333333333337</v>
      </c>
      <c r="E4096" s="49">
        <f>'Reclamo de equipaje rediseñado'!$D4096-'Reclamo de equipaje rediseñado'!$C4096</f>
        <v>9.7222222222222987E-3</v>
      </c>
      <c r="F4096" s="48">
        <v>0.75347222222222221</v>
      </c>
      <c r="G4096" s="49">
        <f t="shared" si="63"/>
        <v>1.388888888888884E-2</v>
      </c>
      <c r="H4096" s="50">
        <v>41812</v>
      </c>
      <c r="I4096" s="51" t="s">
        <v>555</v>
      </c>
      <c r="J4096" s="51">
        <v>738</v>
      </c>
      <c r="K4096" s="51">
        <f>VLOOKUP(J4096,'Validacion reclamo de equipaje'!L:M,2,0)</f>
        <v>189</v>
      </c>
      <c r="L4096" s="51" t="str">
        <f>VLOOKUP(I4096,'Validacion reclamo de equipaje'!H:I,2,0)</f>
        <v>Internacional</v>
      </c>
      <c r="M4096" s="51" t="s">
        <v>615</v>
      </c>
    </row>
    <row r="4097" spans="1:13" x14ac:dyDescent="0.25">
      <c r="A4097">
        <v>781</v>
      </c>
      <c r="B4097" s="47" t="str">
        <f>VLOOKUP(Tabla6[[#This Row],['# Vuelo]],'Validacion reclamo de equipaje'!P:Q,2,0)</f>
        <v>MEXICO AEREO</v>
      </c>
      <c r="C4097" s="52">
        <v>0.24305555555555555</v>
      </c>
      <c r="D4097" s="52">
        <v>0.2590277777777778</v>
      </c>
      <c r="E4097" s="53">
        <f>'Reclamo de equipaje rediseñado'!$D4097-'Reclamo de equipaje rediseñado'!$C4097</f>
        <v>1.5972222222222249E-2</v>
      </c>
      <c r="F4097" s="52">
        <v>0.2902777777777778</v>
      </c>
      <c r="G4097" s="53">
        <f t="shared" si="63"/>
        <v>3.125E-2</v>
      </c>
      <c r="H4097" s="54">
        <v>41791</v>
      </c>
      <c r="I4097" s="55" t="s">
        <v>556</v>
      </c>
      <c r="J4097" s="55">
        <v>738</v>
      </c>
      <c r="K4097" s="55">
        <f>VLOOKUP(J4097,'Validacion reclamo de equipaje'!L:M,2,0)</f>
        <v>189</v>
      </c>
      <c r="L4097" s="55" t="str">
        <f>VLOOKUP(I4097,'Validacion reclamo de equipaje'!H:I,2,0)</f>
        <v>Internacional</v>
      </c>
      <c r="M4097" s="55" t="s">
        <v>615</v>
      </c>
    </row>
    <row r="4098" spans="1:13" x14ac:dyDescent="0.25">
      <c r="A4098">
        <v>781</v>
      </c>
      <c r="B4098" s="47" t="str">
        <f>VLOOKUP(Tabla6[[#This Row],['# Vuelo]],'Validacion reclamo de equipaje'!P:Q,2,0)</f>
        <v>MEXICO AEREO</v>
      </c>
      <c r="C4098" s="48">
        <v>0.25694444444444448</v>
      </c>
      <c r="D4098" s="48">
        <v>0.26805555555555555</v>
      </c>
      <c r="E4098" s="49">
        <f>'Reclamo de equipaje rediseñado'!$D4098-'Reclamo de equipaje rediseñado'!$C4098</f>
        <v>1.1111111111111072E-2</v>
      </c>
      <c r="F4098" s="48">
        <v>0.29444444444444445</v>
      </c>
      <c r="G4098" s="49">
        <f t="shared" si="63"/>
        <v>2.6388888888888906E-2</v>
      </c>
      <c r="H4098" s="50">
        <v>41794</v>
      </c>
      <c r="I4098" s="51" t="s">
        <v>556</v>
      </c>
      <c r="J4098" s="51">
        <v>738</v>
      </c>
      <c r="K4098" s="51">
        <f>VLOOKUP(J4098,'Validacion reclamo de equipaje'!L:M,2,0)</f>
        <v>189</v>
      </c>
      <c r="L4098" s="51" t="str">
        <f>VLOOKUP(I4098,'Validacion reclamo de equipaje'!H:I,2,0)</f>
        <v>Internacional</v>
      </c>
      <c r="M4098" s="51" t="s">
        <v>615</v>
      </c>
    </row>
    <row r="4099" spans="1:13" x14ac:dyDescent="0.25">
      <c r="A4099">
        <v>781</v>
      </c>
      <c r="B4099" s="47" t="str">
        <f>VLOOKUP(Tabla6[[#This Row],['# Vuelo]],'Validacion reclamo de equipaje'!P:Q,2,0)</f>
        <v>MEXICO AEREO</v>
      </c>
      <c r="C4099" s="52">
        <v>0.28402777777777777</v>
      </c>
      <c r="D4099" s="52">
        <v>0.29583333333333334</v>
      </c>
      <c r="E4099" s="53">
        <f>'Reclamo de equipaje rediseñado'!$D4099-'Reclamo de equipaje rediseñado'!$C4099</f>
        <v>1.1805555555555569E-2</v>
      </c>
      <c r="F4099" s="52">
        <v>0.31041666666666667</v>
      </c>
      <c r="G4099" s="53">
        <f t="shared" ref="G4099:G4162" si="64">F4099-D4099</f>
        <v>1.4583333333333337E-2</v>
      </c>
      <c r="H4099" s="54">
        <v>41795</v>
      </c>
      <c r="I4099" s="55" t="s">
        <v>556</v>
      </c>
      <c r="J4099" s="55">
        <v>738</v>
      </c>
      <c r="K4099" s="55">
        <f>VLOOKUP(J4099,'Validacion reclamo de equipaje'!L:M,2,0)</f>
        <v>189</v>
      </c>
      <c r="L4099" s="55" t="str">
        <f>VLOOKUP(I4099,'Validacion reclamo de equipaje'!H:I,2,0)</f>
        <v>Internacional</v>
      </c>
      <c r="M4099" s="55" t="s">
        <v>615</v>
      </c>
    </row>
    <row r="4100" spans="1:13" x14ac:dyDescent="0.25">
      <c r="A4100">
        <v>781</v>
      </c>
      <c r="B4100" s="47" t="str">
        <f>VLOOKUP(Tabla6[[#This Row],['# Vuelo]],'Validacion reclamo de equipaje'!P:Q,2,0)</f>
        <v>MEXICO AEREO</v>
      </c>
      <c r="C4100" s="48">
        <v>0.24374999999999999</v>
      </c>
      <c r="D4100" s="48">
        <v>0.25208333333333333</v>
      </c>
      <c r="E4100" s="49">
        <f>'Reclamo de equipaje rediseñado'!$D4100-'Reclamo de equipaje rediseñado'!$C4100</f>
        <v>8.3333333333333315E-3</v>
      </c>
      <c r="F4100" s="48">
        <v>0.28402777777777777</v>
      </c>
      <c r="G4100" s="49">
        <f t="shared" si="64"/>
        <v>3.1944444444444442E-2</v>
      </c>
      <c r="H4100" s="50">
        <v>41796</v>
      </c>
      <c r="I4100" s="51" t="s">
        <v>556</v>
      </c>
      <c r="J4100" s="51">
        <v>738</v>
      </c>
      <c r="K4100" s="51">
        <f>VLOOKUP(J4100,'Validacion reclamo de equipaje'!L:M,2,0)</f>
        <v>189</v>
      </c>
      <c r="L4100" s="51" t="str">
        <f>VLOOKUP(I4100,'Validacion reclamo de equipaje'!H:I,2,0)</f>
        <v>Internacional</v>
      </c>
      <c r="M4100" s="51" t="s">
        <v>615</v>
      </c>
    </row>
    <row r="4101" spans="1:13" x14ac:dyDescent="0.25">
      <c r="A4101">
        <v>781</v>
      </c>
      <c r="B4101" s="47" t="str">
        <f>VLOOKUP(Tabla6[[#This Row],['# Vuelo]],'Validacion reclamo de equipaje'!P:Q,2,0)</f>
        <v>MEXICO AEREO</v>
      </c>
      <c r="C4101" s="52">
        <v>0.24861111111111112</v>
      </c>
      <c r="D4101" s="52">
        <v>0.27916666666666667</v>
      </c>
      <c r="E4101" s="53">
        <f>'Reclamo de equipaje rediseñado'!$D4101-'Reclamo de equipaje rediseñado'!$C4101</f>
        <v>3.0555555555555558E-2</v>
      </c>
      <c r="F4101" s="52">
        <v>0.30624999999999997</v>
      </c>
      <c r="G4101" s="53">
        <f t="shared" si="64"/>
        <v>2.7083333333333293E-2</v>
      </c>
      <c r="H4101" s="54">
        <v>41797</v>
      </c>
      <c r="I4101" s="55" t="s">
        <v>556</v>
      </c>
      <c r="J4101" s="55">
        <v>738</v>
      </c>
      <c r="K4101" s="55">
        <f>VLOOKUP(J4101,'Validacion reclamo de equipaje'!L:M,2,0)</f>
        <v>189</v>
      </c>
      <c r="L4101" s="55" t="str">
        <f>VLOOKUP(I4101,'Validacion reclamo de equipaje'!H:I,2,0)</f>
        <v>Internacional</v>
      </c>
      <c r="M4101" s="55" t="s">
        <v>615</v>
      </c>
    </row>
    <row r="4102" spans="1:13" x14ac:dyDescent="0.25">
      <c r="A4102">
        <v>781</v>
      </c>
      <c r="B4102" s="47" t="str">
        <f>VLOOKUP(Tabla6[[#This Row],['# Vuelo]],'Validacion reclamo de equipaje'!P:Q,2,0)</f>
        <v>MEXICO AEREO</v>
      </c>
      <c r="C4102" s="48">
        <v>0.24374999999999999</v>
      </c>
      <c r="D4102" s="48">
        <v>0.25486111111111109</v>
      </c>
      <c r="E4102" s="49">
        <f>'Reclamo de equipaje rediseñado'!$D4102-'Reclamo de equipaje rediseñado'!$C4102</f>
        <v>1.1111111111111099E-2</v>
      </c>
      <c r="F4102" s="48">
        <v>0.28402777777777777</v>
      </c>
      <c r="G4102" s="49">
        <f t="shared" si="64"/>
        <v>2.9166666666666674E-2</v>
      </c>
      <c r="H4102" s="50">
        <v>41798</v>
      </c>
      <c r="I4102" s="51" t="s">
        <v>556</v>
      </c>
      <c r="J4102" s="51">
        <v>738</v>
      </c>
      <c r="K4102" s="51">
        <f>VLOOKUP(J4102,'Validacion reclamo de equipaje'!L:M,2,0)</f>
        <v>189</v>
      </c>
      <c r="L4102" s="51" t="str">
        <f>VLOOKUP(I4102,'Validacion reclamo de equipaje'!H:I,2,0)</f>
        <v>Internacional</v>
      </c>
      <c r="M4102" s="51" t="s">
        <v>615</v>
      </c>
    </row>
    <row r="4103" spans="1:13" x14ac:dyDescent="0.25">
      <c r="A4103">
        <v>781</v>
      </c>
      <c r="B4103" s="47" t="str">
        <f>VLOOKUP(Tabla6[[#This Row],['# Vuelo]],'Validacion reclamo de equipaje'!P:Q,2,0)</f>
        <v>MEXICO AEREO</v>
      </c>
      <c r="C4103" s="52">
        <v>0.95486111111111116</v>
      </c>
      <c r="D4103" s="52">
        <v>0.96527777777777779</v>
      </c>
      <c r="E4103" s="53">
        <f>'Reclamo de equipaje rediseñado'!$D4103-'Reclamo de equipaje rediseñado'!$C4103</f>
        <v>1.041666666666663E-2</v>
      </c>
      <c r="F4103" s="52">
        <v>0.97222222222222221</v>
      </c>
      <c r="G4103" s="53">
        <f t="shared" si="64"/>
        <v>6.9444444444444198E-3</v>
      </c>
      <c r="H4103" s="54">
        <v>41800</v>
      </c>
      <c r="I4103" s="55" t="s">
        <v>556</v>
      </c>
      <c r="J4103" s="55">
        <v>738</v>
      </c>
      <c r="K4103" s="55">
        <f>VLOOKUP(J4103,'Validacion reclamo de equipaje'!L:M,2,0)</f>
        <v>189</v>
      </c>
      <c r="L4103" s="55" t="str">
        <f>VLOOKUP(I4103,'Validacion reclamo de equipaje'!H:I,2,0)</f>
        <v>Internacional</v>
      </c>
      <c r="M4103" s="55" t="s">
        <v>615</v>
      </c>
    </row>
    <row r="4104" spans="1:13" x14ac:dyDescent="0.25">
      <c r="A4104">
        <v>781</v>
      </c>
      <c r="B4104" s="47" t="str">
        <f>VLOOKUP(Tabla6[[#This Row],['# Vuelo]],'Validacion reclamo de equipaje'!P:Q,2,0)</f>
        <v>MEXICO AEREO</v>
      </c>
      <c r="C4104" s="48">
        <v>0.52083333333333337</v>
      </c>
      <c r="D4104" s="48">
        <v>0.52916666666666667</v>
      </c>
      <c r="E4104" s="49">
        <f>'Reclamo de equipaje rediseñado'!$D4104-'Reclamo de equipaje rediseñado'!$C4104</f>
        <v>8.3333333333333037E-3</v>
      </c>
      <c r="F4104" s="48">
        <v>0.53402777777777777</v>
      </c>
      <c r="G4104" s="49">
        <f t="shared" si="64"/>
        <v>4.8611111111110938E-3</v>
      </c>
      <c r="H4104" s="50">
        <v>41802</v>
      </c>
      <c r="I4104" s="51" t="s">
        <v>556</v>
      </c>
      <c r="J4104" s="51">
        <v>738</v>
      </c>
      <c r="K4104" s="51">
        <f>VLOOKUP(J4104,'Validacion reclamo de equipaje'!L:M,2,0)</f>
        <v>189</v>
      </c>
      <c r="L4104" s="51" t="str">
        <f>VLOOKUP(I4104,'Validacion reclamo de equipaje'!H:I,2,0)</f>
        <v>Internacional</v>
      </c>
      <c r="M4104" s="51" t="s">
        <v>615</v>
      </c>
    </row>
    <row r="4105" spans="1:13" x14ac:dyDescent="0.25">
      <c r="A4105">
        <v>781</v>
      </c>
      <c r="B4105" s="47" t="str">
        <f>VLOOKUP(Tabla6[[#This Row],['# Vuelo]],'Validacion reclamo de equipaje'!P:Q,2,0)</f>
        <v>MEXICO AEREO</v>
      </c>
      <c r="C4105" s="52">
        <v>0.44166666666666665</v>
      </c>
      <c r="D4105" s="52">
        <v>0.4548611111111111</v>
      </c>
      <c r="E4105" s="53">
        <f>'Reclamo de equipaje rediseñado'!$D4105-'Reclamo de equipaje rediseñado'!$C4105</f>
        <v>1.3194444444444453E-2</v>
      </c>
      <c r="F4105" s="52">
        <v>0.45763888888888887</v>
      </c>
      <c r="G4105" s="53">
        <f t="shared" si="64"/>
        <v>2.7777777777777679E-3</v>
      </c>
      <c r="H4105" s="54">
        <v>41805</v>
      </c>
      <c r="I4105" s="55" t="s">
        <v>556</v>
      </c>
      <c r="J4105" s="55">
        <v>738</v>
      </c>
      <c r="K4105" s="55">
        <f>VLOOKUP(J4105,'Validacion reclamo de equipaje'!L:M,2,0)</f>
        <v>189</v>
      </c>
      <c r="L4105" s="55" t="str">
        <f>VLOOKUP(I4105,'Validacion reclamo de equipaje'!H:I,2,0)</f>
        <v>Internacional</v>
      </c>
      <c r="M4105" s="55" t="s">
        <v>615</v>
      </c>
    </row>
    <row r="4106" spans="1:13" x14ac:dyDescent="0.25">
      <c r="A4106">
        <v>781</v>
      </c>
      <c r="B4106" s="47" t="str">
        <f>VLOOKUP(Tabla6[[#This Row],['# Vuelo]],'Validacion reclamo de equipaje'!P:Q,2,0)</f>
        <v>MEXICO AEREO</v>
      </c>
      <c r="C4106" s="48">
        <v>0.67986111111111114</v>
      </c>
      <c r="D4106" s="48">
        <v>0.68611111111111101</v>
      </c>
      <c r="E4106" s="49">
        <f>'Reclamo de equipaje rediseñado'!$D4106-'Reclamo de equipaje rediseñado'!$C4106</f>
        <v>6.2499999999998668E-3</v>
      </c>
      <c r="F4106" s="48">
        <v>0.69652777777777775</v>
      </c>
      <c r="G4106" s="49">
        <f t="shared" si="64"/>
        <v>1.0416666666666741E-2</v>
      </c>
      <c r="H4106" s="50">
        <v>41805</v>
      </c>
      <c r="I4106" s="51" t="s">
        <v>556</v>
      </c>
      <c r="J4106" s="51">
        <v>738</v>
      </c>
      <c r="K4106" s="51">
        <f>VLOOKUP(J4106,'Validacion reclamo de equipaje'!L:M,2,0)</f>
        <v>189</v>
      </c>
      <c r="L4106" s="51" t="str">
        <f>VLOOKUP(I4106,'Validacion reclamo de equipaje'!H:I,2,0)</f>
        <v>Internacional</v>
      </c>
      <c r="M4106" s="51" t="s">
        <v>615</v>
      </c>
    </row>
    <row r="4107" spans="1:13" x14ac:dyDescent="0.25">
      <c r="A4107">
        <v>781</v>
      </c>
      <c r="B4107" s="47" t="str">
        <f>VLOOKUP(Tabla6[[#This Row],['# Vuelo]],'Validacion reclamo de equipaje'!P:Q,2,0)</f>
        <v>MEXICO AEREO</v>
      </c>
      <c r="C4107" s="52">
        <v>0.95277777777777783</v>
      </c>
      <c r="D4107" s="52">
        <v>0.96458333333333324</v>
      </c>
      <c r="E4107" s="53">
        <f>'Reclamo de equipaje rediseñado'!$D4107-'Reclamo de equipaje rediseñado'!$C4107</f>
        <v>1.1805555555555403E-2</v>
      </c>
      <c r="F4107" s="52">
        <v>0.99722222222222223</v>
      </c>
      <c r="G4107" s="53">
        <f t="shared" si="64"/>
        <v>3.2638888888888995E-2</v>
      </c>
      <c r="H4107" s="54">
        <v>41807</v>
      </c>
      <c r="I4107" s="55" t="s">
        <v>556</v>
      </c>
      <c r="J4107" s="55">
        <v>738</v>
      </c>
      <c r="K4107" s="55">
        <f>VLOOKUP(J4107,'Validacion reclamo de equipaje'!L:M,2,0)</f>
        <v>189</v>
      </c>
      <c r="L4107" s="55" t="str">
        <f>VLOOKUP(I4107,'Validacion reclamo de equipaje'!H:I,2,0)</f>
        <v>Internacional</v>
      </c>
      <c r="M4107" s="55" t="s">
        <v>615</v>
      </c>
    </row>
    <row r="4108" spans="1:13" x14ac:dyDescent="0.25">
      <c r="A4108">
        <v>781</v>
      </c>
      <c r="B4108" s="47" t="str">
        <f>VLOOKUP(Tabla6[[#This Row],['# Vuelo]],'Validacion reclamo de equipaje'!P:Q,2,0)</f>
        <v>MEXICO AEREO</v>
      </c>
      <c r="C4108" s="48">
        <v>0.24583333333333335</v>
      </c>
      <c r="D4108" s="48">
        <v>0.26111111111111113</v>
      </c>
      <c r="E4108" s="49">
        <f>'Reclamo de equipaje rediseñado'!$D4108-'Reclamo de equipaje rediseñado'!$C4108</f>
        <v>1.5277777777777779E-2</v>
      </c>
      <c r="F4108" s="48">
        <v>0.28541666666666665</v>
      </c>
      <c r="G4108" s="49">
        <f t="shared" si="64"/>
        <v>2.4305555555555525E-2</v>
      </c>
      <c r="H4108" s="50">
        <v>41809</v>
      </c>
      <c r="I4108" s="51" t="s">
        <v>556</v>
      </c>
      <c r="J4108" s="51">
        <v>738</v>
      </c>
      <c r="K4108" s="51">
        <f>VLOOKUP(J4108,'Validacion reclamo de equipaje'!L:M,2,0)</f>
        <v>189</v>
      </c>
      <c r="L4108" s="51" t="str">
        <f>VLOOKUP(I4108,'Validacion reclamo de equipaje'!H:I,2,0)</f>
        <v>Internacional</v>
      </c>
      <c r="M4108" s="51" t="s">
        <v>615</v>
      </c>
    </row>
    <row r="4109" spans="1:13" x14ac:dyDescent="0.25">
      <c r="A4109">
        <v>781</v>
      </c>
      <c r="B4109" s="47" t="str">
        <f>VLOOKUP(Tabla6[[#This Row],['# Vuelo]],'Validacion reclamo de equipaje'!P:Q,2,0)</f>
        <v>MEXICO AEREO</v>
      </c>
      <c r="C4109" s="52">
        <v>0.24166666666666667</v>
      </c>
      <c r="D4109" s="52">
        <v>0.25069444444444444</v>
      </c>
      <c r="E4109" s="53">
        <f>'Reclamo de equipaje rediseñado'!$D4109-'Reclamo de equipaje rediseñado'!$C4109</f>
        <v>9.0277777777777735E-3</v>
      </c>
      <c r="F4109" s="52">
        <v>0.28194444444444444</v>
      </c>
      <c r="G4109" s="53">
        <f t="shared" si="64"/>
        <v>3.125E-2</v>
      </c>
      <c r="H4109" s="54">
        <v>41810</v>
      </c>
      <c r="I4109" s="55" t="s">
        <v>556</v>
      </c>
      <c r="J4109" s="55">
        <v>738</v>
      </c>
      <c r="K4109" s="55">
        <f>VLOOKUP(J4109,'Validacion reclamo de equipaje'!L:M,2,0)</f>
        <v>189</v>
      </c>
      <c r="L4109" s="55" t="str">
        <f>VLOOKUP(I4109,'Validacion reclamo de equipaje'!H:I,2,0)</f>
        <v>Internacional</v>
      </c>
      <c r="M4109" s="55" t="s">
        <v>615</v>
      </c>
    </row>
    <row r="4110" spans="1:13" x14ac:dyDescent="0.25">
      <c r="A4110">
        <v>781</v>
      </c>
      <c r="B4110" s="47" t="str">
        <f>VLOOKUP(Tabla6[[#This Row],['# Vuelo]],'Validacion reclamo de equipaje'!P:Q,2,0)</f>
        <v>MEXICO AEREO</v>
      </c>
      <c r="C4110" s="48">
        <v>0.25555555555555559</v>
      </c>
      <c r="D4110" s="48">
        <v>0.27083333333333331</v>
      </c>
      <c r="E4110" s="49">
        <f>'Reclamo de equipaje rediseñado'!$D4110-'Reclamo de equipaje rediseñado'!$C4110</f>
        <v>1.5277777777777724E-2</v>
      </c>
      <c r="F4110" s="48">
        <v>0.29305555555555557</v>
      </c>
      <c r="G4110" s="49">
        <f t="shared" si="64"/>
        <v>2.2222222222222254E-2</v>
      </c>
      <c r="H4110" s="50">
        <v>41811</v>
      </c>
      <c r="I4110" s="51" t="s">
        <v>556</v>
      </c>
      <c r="J4110" s="51">
        <v>738</v>
      </c>
      <c r="K4110" s="51">
        <f>VLOOKUP(J4110,'Validacion reclamo de equipaje'!L:M,2,0)</f>
        <v>189</v>
      </c>
      <c r="L4110" s="51" t="str">
        <f>VLOOKUP(I4110,'Validacion reclamo de equipaje'!H:I,2,0)</f>
        <v>Internacional</v>
      </c>
      <c r="M4110" s="51" t="s">
        <v>615</v>
      </c>
    </row>
    <row r="4111" spans="1:13" x14ac:dyDescent="0.25">
      <c r="A4111">
        <v>781</v>
      </c>
      <c r="B4111" s="47" t="str">
        <f>VLOOKUP(Tabla6[[#This Row],['# Vuelo]],'Validacion reclamo de equipaje'!P:Q,2,0)</f>
        <v>MEXICO AEREO</v>
      </c>
      <c r="C4111" s="52">
        <v>0.24097222222222223</v>
      </c>
      <c r="D4111" s="52">
        <v>0.25069444444444444</v>
      </c>
      <c r="E4111" s="53">
        <f>'Reclamo de equipaje rediseñado'!$D4111-'Reclamo de equipaje rediseñado'!$C4111</f>
        <v>9.7222222222222154E-3</v>
      </c>
      <c r="F4111" s="52">
        <v>0.27499999999999997</v>
      </c>
      <c r="G4111" s="53">
        <f t="shared" si="64"/>
        <v>2.4305555555555525E-2</v>
      </c>
      <c r="H4111" s="54">
        <v>41812</v>
      </c>
      <c r="I4111" s="55" t="s">
        <v>556</v>
      </c>
      <c r="J4111" s="55">
        <v>738</v>
      </c>
      <c r="K4111" s="55">
        <f>VLOOKUP(J4111,'Validacion reclamo de equipaje'!L:M,2,0)</f>
        <v>189</v>
      </c>
      <c r="L4111" s="55" t="str">
        <f>VLOOKUP(I4111,'Validacion reclamo de equipaje'!H:I,2,0)</f>
        <v>Internacional</v>
      </c>
      <c r="M4111" s="55" t="s">
        <v>615</v>
      </c>
    </row>
    <row r="4112" spans="1:13" x14ac:dyDescent="0.25">
      <c r="A4112">
        <v>773</v>
      </c>
      <c r="B4112" s="47" t="str">
        <f>VLOOKUP(Tabla6[[#This Row],['# Vuelo]],'Validacion reclamo de equipaje'!P:Q,2,0)</f>
        <v>MEXICO AEREO</v>
      </c>
      <c r="C4112" s="48">
        <v>0.79305555555555562</v>
      </c>
      <c r="D4112" s="48">
        <v>0.79722222222222217</v>
      </c>
      <c r="E4112" s="49">
        <f>'Reclamo de equipaje rediseñado'!$D4112-'Reclamo de equipaje rediseñado'!$C4112</f>
        <v>4.1666666666665408E-3</v>
      </c>
      <c r="F4112" s="48">
        <v>0.80208333333333337</v>
      </c>
      <c r="G4112" s="49">
        <f t="shared" si="64"/>
        <v>4.8611111111112049E-3</v>
      </c>
      <c r="H4112" s="50">
        <v>41799</v>
      </c>
      <c r="I4112" s="51" t="s">
        <v>549</v>
      </c>
      <c r="J4112" s="51">
        <v>738</v>
      </c>
      <c r="K4112" s="51">
        <f>VLOOKUP(J4112,'Validacion reclamo de equipaje'!L:M,2,0)</f>
        <v>189</v>
      </c>
      <c r="L4112" s="51" t="str">
        <f>VLOOKUP(I4112,'Validacion reclamo de equipaje'!H:I,2,0)</f>
        <v>Nacional</v>
      </c>
      <c r="M4112" s="51" t="s">
        <v>615</v>
      </c>
    </row>
    <row r="4113" spans="1:13" x14ac:dyDescent="0.25">
      <c r="A4113">
        <v>773</v>
      </c>
      <c r="B4113" s="47" t="str">
        <f>VLOOKUP(Tabla6[[#This Row],['# Vuelo]],'Validacion reclamo de equipaje'!P:Q,2,0)</f>
        <v>MEXICO AEREO</v>
      </c>
      <c r="C4113" s="52">
        <v>0.6777777777777777</v>
      </c>
      <c r="D4113" s="52">
        <v>0.68125000000000002</v>
      </c>
      <c r="E4113" s="53">
        <f>'Reclamo de equipaje rediseñado'!$D4113-'Reclamo de equipaje rediseñado'!$C4113</f>
        <v>3.4722222222223209E-3</v>
      </c>
      <c r="F4113" s="52">
        <v>0.69166666666666676</v>
      </c>
      <c r="G4113" s="53">
        <f t="shared" si="64"/>
        <v>1.0416666666666741E-2</v>
      </c>
      <c r="H4113" s="54">
        <v>41801</v>
      </c>
      <c r="I4113" s="55" t="s">
        <v>549</v>
      </c>
      <c r="J4113" s="55">
        <v>738</v>
      </c>
      <c r="K4113" s="55">
        <f>VLOOKUP(J4113,'Validacion reclamo de equipaje'!L:M,2,0)</f>
        <v>189</v>
      </c>
      <c r="L4113" s="55" t="str">
        <f>VLOOKUP(I4113,'Validacion reclamo de equipaje'!H:I,2,0)</f>
        <v>Nacional</v>
      </c>
      <c r="M4113" s="55" t="s">
        <v>615</v>
      </c>
    </row>
    <row r="4114" spans="1:13" x14ac:dyDescent="0.25">
      <c r="A4114">
        <v>773</v>
      </c>
      <c r="B4114" s="47" t="str">
        <f>VLOOKUP(Tabla6[[#This Row],['# Vuelo]],'Validacion reclamo de equipaje'!P:Q,2,0)</f>
        <v>MEXICO AEREO</v>
      </c>
      <c r="C4114" s="48">
        <v>0.71388888888888891</v>
      </c>
      <c r="D4114" s="48">
        <v>0.71944444444444444</v>
      </c>
      <c r="E4114" s="49">
        <f>'Reclamo de equipaje rediseñado'!$D4114-'Reclamo de equipaje rediseñado'!$C4114</f>
        <v>5.5555555555555358E-3</v>
      </c>
      <c r="F4114" s="48">
        <v>0.72569444444444453</v>
      </c>
      <c r="G4114" s="49">
        <f t="shared" si="64"/>
        <v>6.2500000000000888E-3</v>
      </c>
      <c r="H4114" s="50">
        <v>41805</v>
      </c>
      <c r="I4114" s="51" t="s">
        <v>549</v>
      </c>
      <c r="J4114" s="51">
        <v>738</v>
      </c>
      <c r="K4114" s="51">
        <f>VLOOKUP(J4114,'Validacion reclamo de equipaje'!L:M,2,0)</f>
        <v>189</v>
      </c>
      <c r="L4114" s="51" t="str">
        <f>VLOOKUP(I4114,'Validacion reclamo de equipaje'!H:I,2,0)</f>
        <v>Nacional</v>
      </c>
      <c r="M4114" s="51" t="s">
        <v>615</v>
      </c>
    </row>
    <row r="4115" spans="1:13" x14ac:dyDescent="0.25">
      <c r="A4115">
        <v>773</v>
      </c>
      <c r="B4115" s="47" t="str">
        <f>VLOOKUP(Tabla6[[#This Row],['# Vuelo]],'Validacion reclamo de equipaje'!P:Q,2,0)</f>
        <v>MEXICO AEREO</v>
      </c>
      <c r="C4115" s="52">
        <v>0.79861111111111116</v>
      </c>
      <c r="D4115" s="52">
        <v>0.80069444444444438</v>
      </c>
      <c r="E4115" s="53">
        <f>'Reclamo de equipaje rediseñado'!$D4115-'Reclamo de equipaje rediseñado'!$C4115</f>
        <v>2.0833333333332149E-3</v>
      </c>
      <c r="F4115" s="52">
        <v>0.80555555555555547</v>
      </c>
      <c r="G4115" s="53">
        <f t="shared" si="64"/>
        <v>4.8611111111110938E-3</v>
      </c>
      <c r="H4115" s="54">
        <v>41808</v>
      </c>
      <c r="I4115" s="55" t="s">
        <v>549</v>
      </c>
      <c r="J4115" s="55">
        <v>738</v>
      </c>
      <c r="K4115" s="55">
        <f>VLOOKUP(J4115,'Validacion reclamo de equipaje'!L:M,2,0)</f>
        <v>189</v>
      </c>
      <c r="L4115" s="55" t="str">
        <f>VLOOKUP(I4115,'Validacion reclamo de equipaje'!H:I,2,0)</f>
        <v>Nacional</v>
      </c>
      <c r="M4115" s="55" t="s">
        <v>615</v>
      </c>
    </row>
    <row r="4116" spans="1:13" x14ac:dyDescent="0.25">
      <c r="A4116">
        <v>771</v>
      </c>
      <c r="B4116" s="47" t="str">
        <f>VLOOKUP(Tabla6[[#This Row],['# Vuelo]],'Validacion reclamo de equipaje'!P:Q,2,0)</f>
        <v>MEXICO AEREO</v>
      </c>
      <c r="C4116" s="48">
        <v>0.8979166666666667</v>
      </c>
      <c r="D4116" s="48">
        <v>0.90138888888888891</v>
      </c>
      <c r="E4116" s="49">
        <f>'Reclamo de equipaje rediseñado'!$D4116-'Reclamo de equipaje rediseñado'!$C4116</f>
        <v>3.4722222222222099E-3</v>
      </c>
      <c r="F4116" s="48">
        <v>0.91180555555555554</v>
      </c>
      <c r="G4116" s="49">
        <f t="shared" si="64"/>
        <v>1.041666666666663E-2</v>
      </c>
      <c r="H4116" s="50">
        <v>41791</v>
      </c>
      <c r="I4116" s="51" t="s">
        <v>549</v>
      </c>
      <c r="J4116" s="51">
        <v>738</v>
      </c>
      <c r="K4116" s="51">
        <f>VLOOKUP(J4116,'Validacion reclamo de equipaje'!L:M,2,0)</f>
        <v>189</v>
      </c>
      <c r="L4116" s="51" t="str">
        <f>VLOOKUP(I4116,'Validacion reclamo de equipaje'!H:I,2,0)</f>
        <v>Nacional</v>
      </c>
      <c r="M4116" s="51" t="s">
        <v>615</v>
      </c>
    </row>
    <row r="4117" spans="1:13" x14ac:dyDescent="0.25">
      <c r="A4117">
        <v>771</v>
      </c>
      <c r="B4117" s="47" t="str">
        <f>VLOOKUP(Tabla6[[#This Row],['# Vuelo]],'Validacion reclamo de equipaje'!P:Q,2,0)</f>
        <v>MEXICO AEREO</v>
      </c>
      <c r="C4117" s="52">
        <v>0.93055555555555547</v>
      </c>
      <c r="D4117" s="52">
        <v>0.93541666666666667</v>
      </c>
      <c r="E4117" s="53">
        <f>'Reclamo de equipaje rediseñado'!$D4117-'Reclamo de equipaje rediseñado'!$C4117</f>
        <v>4.8611111111112049E-3</v>
      </c>
      <c r="F4117" s="52">
        <v>0.94652777777777775</v>
      </c>
      <c r="G4117" s="53">
        <f t="shared" si="64"/>
        <v>1.1111111111111072E-2</v>
      </c>
      <c r="H4117" s="54">
        <v>41792</v>
      </c>
      <c r="I4117" s="55" t="s">
        <v>549</v>
      </c>
      <c r="J4117" s="55">
        <v>738</v>
      </c>
      <c r="K4117" s="55">
        <f>VLOOKUP(J4117,'Validacion reclamo de equipaje'!L:M,2,0)</f>
        <v>189</v>
      </c>
      <c r="L4117" s="55" t="str">
        <f>VLOOKUP(I4117,'Validacion reclamo de equipaje'!H:I,2,0)</f>
        <v>Nacional</v>
      </c>
      <c r="M4117" s="55" t="s">
        <v>615</v>
      </c>
    </row>
    <row r="4118" spans="1:13" x14ac:dyDescent="0.25">
      <c r="A4118">
        <v>771</v>
      </c>
      <c r="B4118" s="47" t="str">
        <f>VLOOKUP(Tabla6[[#This Row],['# Vuelo]],'Validacion reclamo de equipaje'!P:Q,2,0)</f>
        <v>MEXICO AEREO</v>
      </c>
      <c r="C4118" s="48">
        <v>0.89236111111111116</v>
      </c>
      <c r="D4118" s="48">
        <v>0.90069444444444446</v>
      </c>
      <c r="E4118" s="49">
        <f>'Reclamo de equipaje rediseñado'!$D4118-'Reclamo de equipaje rediseñado'!$C4118</f>
        <v>8.3333333333333037E-3</v>
      </c>
      <c r="F4118" s="48">
        <v>0.90972222222222221</v>
      </c>
      <c r="G4118" s="49">
        <f t="shared" si="64"/>
        <v>9.0277777777777457E-3</v>
      </c>
      <c r="H4118" s="50">
        <v>41793</v>
      </c>
      <c r="I4118" s="51" t="s">
        <v>549</v>
      </c>
      <c r="J4118" s="51">
        <v>738</v>
      </c>
      <c r="K4118" s="51">
        <f>VLOOKUP(J4118,'Validacion reclamo de equipaje'!L:M,2,0)</f>
        <v>189</v>
      </c>
      <c r="L4118" s="51" t="str">
        <f>VLOOKUP(I4118,'Validacion reclamo de equipaje'!H:I,2,0)</f>
        <v>Nacional</v>
      </c>
      <c r="M4118" s="51" t="s">
        <v>615</v>
      </c>
    </row>
    <row r="4119" spans="1:13" x14ac:dyDescent="0.25">
      <c r="A4119">
        <v>771</v>
      </c>
      <c r="B4119" s="47" t="str">
        <f>VLOOKUP(Tabla6[[#This Row],['# Vuelo]],'Validacion reclamo de equipaje'!P:Q,2,0)</f>
        <v>MEXICO AEREO</v>
      </c>
      <c r="C4119" s="52">
        <v>0.90625</v>
      </c>
      <c r="D4119" s="52">
        <v>0.91249999999999998</v>
      </c>
      <c r="E4119" s="53">
        <f>'Reclamo de equipaje rediseñado'!$D4119-'Reclamo de equipaje rediseñado'!$C4119</f>
        <v>6.2499999999999778E-3</v>
      </c>
      <c r="F4119" s="52">
        <v>0.92013888888888884</v>
      </c>
      <c r="G4119" s="53">
        <f t="shared" si="64"/>
        <v>7.6388888888888618E-3</v>
      </c>
      <c r="H4119" s="54">
        <v>41794</v>
      </c>
      <c r="I4119" s="55" t="s">
        <v>549</v>
      </c>
      <c r="J4119" s="55">
        <v>738</v>
      </c>
      <c r="K4119" s="55">
        <f>VLOOKUP(J4119,'Validacion reclamo de equipaje'!L:M,2,0)</f>
        <v>189</v>
      </c>
      <c r="L4119" s="55" t="str">
        <f>VLOOKUP(I4119,'Validacion reclamo de equipaje'!H:I,2,0)</f>
        <v>Nacional</v>
      </c>
      <c r="M4119" s="55" t="s">
        <v>615</v>
      </c>
    </row>
    <row r="4120" spans="1:13" x14ac:dyDescent="0.25">
      <c r="A4120">
        <v>771</v>
      </c>
      <c r="B4120" s="47" t="str">
        <f>VLOOKUP(Tabla6[[#This Row],['# Vuelo]],'Validacion reclamo de equipaje'!P:Q,2,0)</f>
        <v>MEXICO AEREO</v>
      </c>
      <c r="C4120" s="48">
        <v>0.9</v>
      </c>
      <c r="D4120" s="48">
        <v>0.9145833333333333</v>
      </c>
      <c r="E4120" s="49">
        <f>'Reclamo de equipaje rediseñado'!$D4120-'Reclamo de equipaje rediseñado'!$C4120</f>
        <v>1.4583333333333282E-2</v>
      </c>
      <c r="F4120" s="48">
        <v>0.92083333333333339</v>
      </c>
      <c r="G4120" s="49">
        <f t="shared" si="64"/>
        <v>6.2500000000000888E-3</v>
      </c>
      <c r="H4120" s="50">
        <v>41795</v>
      </c>
      <c r="I4120" s="51" t="s">
        <v>549</v>
      </c>
      <c r="J4120" s="51">
        <v>738</v>
      </c>
      <c r="K4120" s="51">
        <f>VLOOKUP(J4120,'Validacion reclamo de equipaje'!L:M,2,0)</f>
        <v>189</v>
      </c>
      <c r="L4120" s="51" t="str">
        <f>VLOOKUP(I4120,'Validacion reclamo de equipaje'!H:I,2,0)</f>
        <v>Nacional</v>
      </c>
      <c r="M4120" s="51" t="s">
        <v>615</v>
      </c>
    </row>
    <row r="4121" spans="1:13" x14ac:dyDescent="0.25">
      <c r="A4121">
        <v>771</v>
      </c>
      <c r="B4121" s="47" t="str">
        <f>VLOOKUP(Tabla6[[#This Row],['# Vuelo]],'Validacion reclamo de equipaje'!P:Q,2,0)</f>
        <v>MEXICO AEREO</v>
      </c>
      <c r="C4121" s="52">
        <v>0.90069444444444446</v>
      </c>
      <c r="D4121" s="52">
        <v>0.90694444444444444</v>
      </c>
      <c r="E4121" s="53">
        <f>'Reclamo de equipaje rediseñado'!$D4121-'Reclamo de equipaje rediseñado'!$C4121</f>
        <v>6.2499999999999778E-3</v>
      </c>
      <c r="F4121" s="52">
        <v>0.9159722222222223</v>
      </c>
      <c r="G4121" s="53">
        <f t="shared" si="64"/>
        <v>9.0277777777778567E-3</v>
      </c>
      <c r="H4121" s="54">
        <v>41796</v>
      </c>
      <c r="I4121" s="55" t="s">
        <v>549</v>
      </c>
      <c r="J4121" s="55">
        <v>738</v>
      </c>
      <c r="K4121" s="55">
        <f>VLOOKUP(J4121,'Validacion reclamo de equipaje'!L:M,2,0)</f>
        <v>189</v>
      </c>
      <c r="L4121" s="55" t="str">
        <f>VLOOKUP(I4121,'Validacion reclamo de equipaje'!H:I,2,0)</f>
        <v>Nacional</v>
      </c>
      <c r="M4121" s="55" t="s">
        <v>615</v>
      </c>
    </row>
    <row r="4122" spans="1:13" x14ac:dyDescent="0.25">
      <c r="A4122">
        <v>771</v>
      </c>
      <c r="B4122" s="47" t="str">
        <f>VLOOKUP(Tabla6[[#This Row],['# Vuelo]],'Validacion reclamo de equipaje'!P:Q,2,0)</f>
        <v>MEXICO AEREO</v>
      </c>
      <c r="C4122" s="48">
        <v>0.89097222222222217</v>
      </c>
      <c r="D4122" s="48">
        <v>0.89583333333333337</v>
      </c>
      <c r="E4122" s="49">
        <f>'Reclamo de equipaje rediseñado'!$D4122-'Reclamo de equipaje rediseñado'!$C4122</f>
        <v>4.8611111111112049E-3</v>
      </c>
      <c r="F4122" s="48">
        <v>0.91180555555555554</v>
      </c>
      <c r="G4122" s="49">
        <f t="shared" si="64"/>
        <v>1.5972222222222165E-2</v>
      </c>
      <c r="H4122" s="50">
        <v>41797</v>
      </c>
      <c r="I4122" s="51" t="s">
        <v>549</v>
      </c>
      <c r="J4122" s="51">
        <v>738</v>
      </c>
      <c r="K4122" s="51">
        <f>VLOOKUP(J4122,'Validacion reclamo de equipaje'!L:M,2,0)</f>
        <v>189</v>
      </c>
      <c r="L4122" s="51" t="str">
        <f>VLOOKUP(I4122,'Validacion reclamo de equipaje'!H:I,2,0)</f>
        <v>Nacional</v>
      </c>
      <c r="M4122" s="51" t="s">
        <v>615</v>
      </c>
    </row>
    <row r="4123" spans="1:13" x14ac:dyDescent="0.25">
      <c r="A4123">
        <v>771</v>
      </c>
      <c r="B4123" s="47" t="str">
        <f>VLOOKUP(Tabla6[[#This Row],['# Vuelo]],'Validacion reclamo de equipaje'!P:Q,2,0)</f>
        <v>MEXICO AEREO</v>
      </c>
      <c r="C4123" s="52">
        <v>0.91111111111111109</v>
      </c>
      <c r="D4123" s="52">
        <v>0.91805555555555562</v>
      </c>
      <c r="E4123" s="53">
        <f>'Reclamo de equipaje rediseñado'!$D4123-'Reclamo de equipaje rediseñado'!$C4123</f>
        <v>6.9444444444445308E-3</v>
      </c>
      <c r="F4123" s="52">
        <v>0.94236111111111109</v>
      </c>
      <c r="G4123" s="53">
        <f t="shared" si="64"/>
        <v>2.4305555555555469E-2</v>
      </c>
      <c r="H4123" s="54">
        <v>41798</v>
      </c>
      <c r="I4123" s="55" t="s">
        <v>549</v>
      </c>
      <c r="J4123" s="55">
        <v>738</v>
      </c>
      <c r="K4123" s="55">
        <f>VLOOKUP(J4123,'Validacion reclamo de equipaje'!L:M,2,0)</f>
        <v>189</v>
      </c>
      <c r="L4123" s="55" t="str">
        <f>VLOOKUP(I4123,'Validacion reclamo de equipaje'!H:I,2,0)</f>
        <v>Nacional</v>
      </c>
      <c r="M4123" s="55" t="s">
        <v>615</v>
      </c>
    </row>
    <row r="4124" spans="1:13" x14ac:dyDescent="0.25">
      <c r="A4124">
        <v>771</v>
      </c>
      <c r="B4124" s="47" t="str">
        <f>VLOOKUP(Tabla6[[#This Row],['# Vuelo]],'Validacion reclamo de equipaje'!P:Q,2,0)</f>
        <v>MEXICO AEREO</v>
      </c>
      <c r="C4124" s="48">
        <v>0.90416666666666667</v>
      </c>
      <c r="D4124" s="48">
        <v>0.91319444444444453</v>
      </c>
      <c r="E4124" s="49">
        <f>'Reclamo de equipaje rediseñado'!$D4124-'Reclamo de equipaje rediseñado'!$C4124</f>
        <v>9.0277777777778567E-3</v>
      </c>
      <c r="F4124" s="48">
        <v>0.92361111111111116</v>
      </c>
      <c r="G4124" s="49">
        <f t="shared" si="64"/>
        <v>1.041666666666663E-2</v>
      </c>
      <c r="H4124" s="50">
        <v>41799</v>
      </c>
      <c r="I4124" s="51" t="s">
        <v>549</v>
      </c>
      <c r="J4124" s="51">
        <v>738</v>
      </c>
      <c r="K4124" s="51">
        <f>VLOOKUP(J4124,'Validacion reclamo de equipaje'!L:M,2,0)</f>
        <v>189</v>
      </c>
      <c r="L4124" s="51" t="str">
        <f>VLOOKUP(I4124,'Validacion reclamo de equipaje'!H:I,2,0)</f>
        <v>Nacional</v>
      </c>
      <c r="M4124" s="51" t="s">
        <v>615</v>
      </c>
    </row>
    <row r="4125" spans="1:13" x14ac:dyDescent="0.25">
      <c r="A4125">
        <v>771</v>
      </c>
      <c r="B4125" s="47" t="str">
        <f>VLOOKUP(Tabla6[[#This Row],['# Vuelo]],'Validacion reclamo de equipaje'!P:Q,2,0)</f>
        <v>MEXICO AEREO</v>
      </c>
      <c r="C4125" s="52">
        <v>0.38055555555555554</v>
      </c>
      <c r="D4125" s="52">
        <v>0.38611111111111113</v>
      </c>
      <c r="E4125" s="53">
        <f>'Reclamo de equipaje rediseñado'!$D4125-'Reclamo de equipaje rediseñado'!$C4125</f>
        <v>5.5555555555555913E-3</v>
      </c>
      <c r="F4125" s="52">
        <v>0.3923611111111111</v>
      </c>
      <c r="G4125" s="53">
        <f t="shared" si="64"/>
        <v>6.2499999999999778E-3</v>
      </c>
      <c r="H4125" s="54">
        <v>41801</v>
      </c>
      <c r="I4125" s="55" t="s">
        <v>549</v>
      </c>
      <c r="J4125" s="55">
        <v>738</v>
      </c>
      <c r="K4125" s="55">
        <f>VLOOKUP(J4125,'Validacion reclamo de equipaje'!L:M,2,0)</f>
        <v>189</v>
      </c>
      <c r="L4125" s="55" t="str">
        <f>VLOOKUP(I4125,'Validacion reclamo de equipaje'!H:I,2,0)</f>
        <v>Nacional</v>
      </c>
      <c r="M4125" s="55" t="s">
        <v>615</v>
      </c>
    </row>
    <row r="4126" spans="1:13" x14ac:dyDescent="0.25">
      <c r="A4126">
        <v>771</v>
      </c>
      <c r="B4126" s="47" t="str">
        <f>VLOOKUP(Tabla6[[#This Row],['# Vuelo]],'Validacion reclamo de equipaje'!P:Q,2,0)</f>
        <v>MEXICO AEREO</v>
      </c>
      <c r="C4126" s="48">
        <v>0.56597222222222221</v>
      </c>
      <c r="D4126" s="48">
        <v>0.57638888888888895</v>
      </c>
      <c r="E4126" s="49">
        <f>'Reclamo de equipaje rediseñado'!$D4126-'Reclamo de equipaje rediseñado'!$C4126</f>
        <v>1.0416666666666741E-2</v>
      </c>
      <c r="F4126" s="48">
        <v>0.58888888888888891</v>
      </c>
      <c r="G4126" s="49">
        <f t="shared" si="64"/>
        <v>1.2499999999999956E-2</v>
      </c>
      <c r="H4126" s="50">
        <v>41802</v>
      </c>
      <c r="I4126" s="51" t="s">
        <v>549</v>
      </c>
      <c r="J4126" s="51">
        <v>738</v>
      </c>
      <c r="K4126" s="51">
        <f>VLOOKUP(J4126,'Validacion reclamo de equipaje'!L:M,2,0)</f>
        <v>189</v>
      </c>
      <c r="L4126" s="51" t="str">
        <f>VLOOKUP(I4126,'Validacion reclamo de equipaje'!H:I,2,0)</f>
        <v>Nacional</v>
      </c>
      <c r="M4126" s="51" t="s">
        <v>615</v>
      </c>
    </row>
    <row r="4127" spans="1:13" x14ac:dyDescent="0.25">
      <c r="A4127">
        <v>771</v>
      </c>
      <c r="B4127" s="47" t="str">
        <f>VLOOKUP(Tabla6[[#This Row],['# Vuelo]],'Validacion reclamo de equipaje'!P:Q,2,0)</f>
        <v>MEXICO AEREO</v>
      </c>
      <c r="C4127" s="52">
        <v>0.91388888888888886</v>
      </c>
      <c r="D4127" s="52">
        <v>0.92083333333333339</v>
      </c>
      <c r="E4127" s="53">
        <f>'Reclamo de equipaje rediseñado'!$D4127-'Reclamo de equipaje rediseñado'!$C4127</f>
        <v>6.9444444444445308E-3</v>
      </c>
      <c r="F4127" s="52">
        <v>0.92291666666666661</v>
      </c>
      <c r="G4127" s="53">
        <f t="shared" si="64"/>
        <v>2.0833333333332149E-3</v>
      </c>
      <c r="H4127" s="54">
        <v>41803</v>
      </c>
      <c r="I4127" s="55" t="s">
        <v>549</v>
      </c>
      <c r="J4127" s="55">
        <v>738</v>
      </c>
      <c r="K4127" s="55">
        <f>VLOOKUP(J4127,'Validacion reclamo de equipaje'!L:M,2,0)</f>
        <v>189</v>
      </c>
      <c r="L4127" s="55" t="str">
        <f>VLOOKUP(I4127,'Validacion reclamo de equipaje'!H:I,2,0)</f>
        <v>Nacional</v>
      </c>
      <c r="M4127" s="55" t="s">
        <v>615</v>
      </c>
    </row>
    <row r="4128" spans="1:13" x14ac:dyDescent="0.25">
      <c r="A4128">
        <v>771</v>
      </c>
      <c r="B4128" s="47" t="str">
        <f>VLOOKUP(Tabla6[[#This Row],['# Vuelo]],'Validacion reclamo de equipaje'!P:Q,2,0)</f>
        <v>MEXICO AEREO</v>
      </c>
      <c r="C4128" s="48">
        <v>0.70000000000000007</v>
      </c>
      <c r="D4128" s="48">
        <v>0.70624999999999993</v>
      </c>
      <c r="E4128" s="49">
        <f>'Reclamo de equipaje rediseñado'!$D4128-'Reclamo de equipaje rediseñado'!$C4128</f>
        <v>6.2499999999998668E-3</v>
      </c>
      <c r="F4128" s="48">
        <v>0.7104166666666667</v>
      </c>
      <c r="G4128" s="49">
        <f t="shared" si="64"/>
        <v>4.1666666666667629E-3</v>
      </c>
      <c r="H4128" s="50">
        <v>41804</v>
      </c>
      <c r="I4128" s="51" t="s">
        <v>549</v>
      </c>
      <c r="J4128" s="51">
        <v>738</v>
      </c>
      <c r="K4128" s="51">
        <f>VLOOKUP(J4128,'Validacion reclamo de equipaje'!L:M,2,0)</f>
        <v>189</v>
      </c>
      <c r="L4128" s="51" t="str">
        <f>VLOOKUP(I4128,'Validacion reclamo de equipaje'!H:I,2,0)</f>
        <v>Nacional</v>
      </c>
      <c r="M4128" s="51" t="s">
        <v>615</v>
      </c>
    </row>
    <row r="4129" spans="1:13" x14ac:dyDescent="0.25">
      <c r="A4129">
        <v>771</v>
      </c>
      <c r="B4129" s="47" t="str">
        <f>VLOOKUP(Tabla6[[#This Row],['# Vuelo]],'Validacion reclamo de equipaje'!P:Q,2,0)</f>
        <v>MEXICO AEREO</v>
      </c>
      <c r="C4129" s="52">
        <v>0.7104166666666667</v>
      </c>
      <c r="D4129" s="52">
        <v>0.72222222222222221</v>
      </c>
      <c r="E4129" s="53">
        <f>'Reclamo de equipaje rediseñado'!$D4129-'Reclamo de equipaje rediseñado'!$C4129</f>
        <v>1.1805555555555514E-2</v>
      </c>
      <c r="F4129" s="52">
        <v>0.72986111111111107</v>
      </c>
      <c r="G4129" s="53">
        <f t="shared" si="64"/>
        <v>7.6388888888888618E-3</v>
      </c>
      <c r="H4129" s="54">
        <v>41805</v>
      </c>
      <c r="I4129" s="55" t="s">
        <v>549</v>
      </c>
      <c r="J4129" s="55">
        <v>738</v>
      </c>
      <c r="K4129" s="55">
        <f>VLOOKUP(J4129,'Validacion reclamo de equipaje'!L:M,2,0)</f>
        <v>189</v>
      </c>
      <c r="L4129" s="55" t="str">
        <f>VLOOKUP(I4129,'Validacion reclamo de equipaje'!H:I,2,0)</f>
        <v>Nacional</v>
      </c>
      <c r="M4129" s="55" t="s">
        <v>615</v>
      </c>
    </row>
    <row r="4130" spans="1:13" x14ac:dyDescent="0.25">
      <c r="A4130">
        <v>771</v>
      </c>
      <c r="B4130" s="47" t="str">
        <f>VLOOKUP(Tabla6[[#This Row],['# Vuelo]],'Validacion reclamo de equipaje'!P:Q,2,0)</f>
        <v>MEXICO AEREO</v>
      </c>
      <c r="C4130" s="48">
        <v>0.90416666666666667</v>
      </c>
      <c r="D4130" s="48">
        <v>0.91666666666666663</v>
      </c>
      <c r="E4130" s="49">
        <f>'Reclamo de equipaje rediseñado'!$D4130-'Reclamo de equipaje rediseñado'!$C4130</f>
        <v>1.2499999999999956E-2</v>
      </c>
      <c r="F4130" s="48">
        <v>0.93263888888888891</v>
      </c>
      <c r="G4130" s="49">
        <f t="shared" si="64"/>
        <v>1.5972222222222276E-2</v>
      </c>
      <c r="H4130" s="50">
        <v>41806</v>
      </c>
      <c r="I4130" s="51" t="s">
        <v>549</v>
      </c>
      <c r="J4130" s="51">
        <v>738</v>
      </c>
      <c r="K4130" s="51">
        <f>VLOOKUP(J4130,'Validacion reclamo de equipaje'!L:M,2,0)</f>
        <v>189</v>
      </c>
      <c r="L4130" s="51" t="str">
        <f>VLOOKUP(I4130,'Validacion reclamo de equipaje'!H:I,2,0)</f>
        <v>Nacional</v>
      </c>
      <c r="M4130" s="51" t="s">
        <v>615</v>
      </c>
    </row>
    <row r="4131" spans="1:13" x14ac:dyDescent="0.25">
      <c r="A4131">
        <v>771</v>
      </c>
      <c r="B4131" s="47" t="str">
        <f>VLOOKUP(Tabla6[[#This Row],['# Vuelo]],'Validacion reclamo de equipaje'!P:Q,2,0)</f>
        <v>MEXICO AEREO</v>
      </c>
      <c r="C4131" s="52">
        <v>0.65486111111111112</v>
      </c>
      <c r="D4131" s="52">
        <v>0.66388888888888886</v>
      </c>
      <c r="E4131" s="53">
        <f>'Reclamo de equipaje rediseñado'!$D4131-'Reclamo de equipaje rediseñado'!$C4131</f>
        <v>9.0277777777777457E-3</v>
      </c>
      <c r="F4131" s="52">
        <v>0.67291666666666661</v>
      </c>
      <c r="G4131" s="53">
        <f t="shared" si="64"/>
        <v>9.0277777777777457E-3</v>
      </c>
      <c r="H4131" s="54">
        <v>41807</v>
      </c>
      <c r="I4131" s="55" t="s">
        <v>549</v>
      </c>
      <c r="J4131" s="55">
        <v>738</v>
      </c>
      <c r="K4131" s="55">
        <f>VLOOKUP(J4131,'Validacion reclamo de equipaje'!L:M,2,0)</f>
        <v>189</v>
      </c>
      <c r="L4131" s="55" t="str">
        <f>VLOOKUP(I4131,'Validacion reclamo de equipaje'!H:I,2,0)</f>
        <v>Nacional</v>
      </c>
      <c r="M4131" s="55" t="s">
        <v>615</v>
      </c>
    </row>
    <row r="4132" spans="1:13" x14ac:dyDescent="0.25">
      <c r="A4132">
        <v>771</v>
      </c>
      <c r="B4132" s="47" t="str">
        <f>VLOOKUP(Tabla6[[#This Row],['# Vuelo]],'Validacion reclamo de equipaje'!P:Q,2,0)</f>
        <v>MEXICO AEREO</v>
      </c>
      <c r="C4132" s="48">
        <v>0.89930555555555547</v>
      </c>
      <c r="D4132" s="48">
        <v>0.90902777777777777</v>
      </c>
      <c r="E4132" s="49">
        <f>'Reclamo de equipaje rediseñado'!$D4132-'Reclamo de equipaje rediseñado'!$C4132</f>
        <v>9.7222222222222987E-3</v>
      </c>
      <c r="F4132" s="48">
        <v>0.9159722222222223</v>
      </c>
      <c r="G4132" s="49">
        <f t="shared" si="64"/>
        <v>6.9444444444445308E-3</v>
      </c>
      <c r="H4132" s="50">
        <v>41808</v>
      </c>
      <c r="I4132" s="51" t="s">
        <v>549</v>
      </c>
      <c r="J4132" s="51">
        <v>738</v>
      </c>
      <c r="K4132" s="51">
        <f>VLOOKUP(J4132,'Validacion reclamo de equipaje'!L:M,2,0)</f>
        <v>189</v>
      </c>
      <c r="L4132" s="51" t="str">
        <f>VLOOKUP(I4132,'Validacion reclamo de equipaje'!H:I,2,0)</f>
        <v>Nacional</v>
      </c>
      <c r="M4132" s="51" t="s">
        <v>615</v>
      </c>
    </row>
    <row r="4133" spans="1:13" x14ac:dyDescent="0.25">
      <c r="A4133">
        <v>771</v>
      </c>
      <c r="B4133" s="47" t="str">
        <f>VLOOKUP(Tabla6[[#This Row],['# Vuelo]],'Validacion reclamo de equipaje'!P:Q,2,0)</f>
        <v>MEXICO AEREO</v>
      </c>
      <c r="C4133" s="52">
        <v>0.90833333333333333</v>
      </c>
      <c r="D4133" s="52">
        <v>0.9194444444444444</v>
      </c>
      <c r="E4133" s="53">
        <f>'Reclamo de equipaje rediseñado'!$D4133-'Reclamo de equipaje rediseñado'!$C4133</f>
        <v>1.1111111111111072E-2</v>
      </c>
      <c r="F4133" s="52">
        <v>0.93263888888888891</v>
      </c>
      <c r="G4133" s="53">
        <f t="shared" si="64"/>
        <v>1.3194444444444509E-2</v>
      </c>
      <c r="H4133" s="54">
        <v>41809</v>
      </c>
      <c r="I4133" s="55" t="s">
        <v>549</v>
      </c>
      <c r="J4133" s="55">
        <v>738</v>
      </c>
      <c r="K4133" s="55">
        <f>VLOOKUP(J4133,'Validacion reclamo de equipaje'!L:M,2,0)</f>
        <v>189</v>
      </c>
      <c r="L4133" s="55" t="str">
        <f>VLOOKUP(I4133,'Validacion reclamo de equipaje'!H:I,2,0)</f>
        <v>Nacional</v>
      </c>
      <c r="M4133" s="55" t="s">
        <v>615</v>
      </c>
    </row>
    <row r="4134" spans="1:13" x14ac:dyDescent="0.25">
      <c r="A4134">
        <v>771</v>
      </c>
      <c r="B4134" s="47" t="str">
        <f>VLOOKUP(Tabla6[[#This Row],['# Vuelo]],'Validacion reclamo de equipaje'!P:Q,2,0)</f>
        <v>MEXICO AEREO</v>
      </c>
      <c r="C4134" s="48">
        <v>0.90138888888888891</v>
      </c>
      <c r="D4134" s="48">
        <v>0.90902777777777777</v>
      </c>
      <c r="E4134" s="49">
        <f>'Reclamo de equipaje rediseñado'!$D4134-'Reclamo de equipaje rediseñado'!$C4134</f>
        <v>7.6388888888888618E-3</v>
      </c>
      <c r="F4134" s="48">
        <v>0.92361111111111116</v>
      </c>
      <c r="G4134" s="49">
        <f t="shared" si="64"/>
        <v>1.4583333333333393E-2</v>
      </c>
      <c r="H4134" s="50">
        <v>41810</v>
      </c>
      <c r="I4134" s="51" t="s">
        <v>549</v>
      </c>
      <c r="J4134" s="51">
        <v>738</v>
      </c>
      <c r="K4134" s="51">
        <f>VLOOKUP(J4134,'Validacion reclamo de equipaje'!L:M,2,0)</f>
        <v>189</v>
      </c>
      <c r="L4134" s="51" t="str">
        <f>VLOOKUP(I4134,'Validacion reclamo de equipaje'!H:I,2,0)</f>
        <v>Nacional</v>
      </c>
      <c r="M4134" s="51" t="s">
        <v>615</v>
      </c>
    </row>
    <row r="4135" spans="1:13" x14ac:dyDescent="0.25">
      <c r="A4135">
        <v>771</v>
      </c>
      <c r="B4135" s="47" t="str">
        <f>VLOOKUP(Tabla6[[#This Row],['# Vuelo]],'Validacion reclamo de equipaje'!P:Q,2,0)</f>
        <v>MEXICO AEREO</v>
      </c>
      <c r="C4135" s="52">
        <v>0.90763888888888899</v>
      </c>
      <c r="D4135" s="52">
        <v>0.90972222222222221</v>
      </c>
      <c r="E4135" s="53">
        <f>'Reclamo de equipaje rediseñado'!$D4135-'Reclamo de equipaje rediseñado'!$C4135</f>
        <v>2.0833333333332149E-3</v>
      </c>
      <c r="F4135" s="52">
        <v>0.93055555555555547</v>
      </c>
      <c r="G4135" s="53">
        <f t="shared" si="64"/>
        <v>2.0833333333333259E-2</v>
      </c>
      <c r="H4135" s="54">
        <v>41811</v>
      </c>
      <c r="I4135" s="55" t="s">
        <v>549</v>
      </c>
      <c r="J4135" s="55">
        <v>738</v>
      </c>
      <c r="K4135" s="55">
        <f>VLOOKUP(J4135,'Validacion reclamo de equipaje'!L:M,2,0)</f>
        <v>189</v>
      </c>
      <c r="L4135" s="55" t="str">
        <f>VLOOKUP(I4135,'Validacion reclamo de equipaje'!H:I,2,0)</f>
        <v>Nacional</v>
      </c>
      <c r="M4135" s="55" t="s">
        <v>615</v>
      </c>
    </row>
    <row r="4136" spans="1:13" x14ac:dyDescent="0.25">
      <c r="A4136">
        <v>771</v>
      </c>
      <c r="B4136" s="47" t="str">
        <f>VLOOKUP(Tabla6[[#This Row],['# Vuelo]],'Validacion reclamo de equipaje'!P:Q,2,0)</f>
        <v>MEXICO AEREO</v>
      </c>
      <c r="C4136" s="48">
        <v>0.90416666666666667</v>
      </c>
      <c r="D4136" s="48">
        <v>0.91180555555555554</v>
      </c>
      <c r="E4136" s="49">
        <f>'Reclamo de equipaje rediseñado'!$D4136-'Reclamo de equipaje rediseñado'!$C4136</f>
        <v>7.6388888888888618E-3</v>
      </c>
      <c r="F4136" s="48">
        <v>0.92986111111111114</v>
      </c>
      <c r="G4136" s="49">
        <f t="shared" si="64"/>
        <v>1.8055555555555602E-2</v>
      </c>
      <c r="H4136" s="50">
        <v>41812</v>
      </c>
      <c r="I4136" s="51" t="s">
        <v>549</v>
      </c>
      <c r="J4136" s="51">
        <v>738</v>
      </c>
      <c r="K4136" s="51">
        <f>VLOOKUP(J4136,'Validacion reclamo de equipaje'!L:M,2,0)</f>
        <v>189</v>
      </c>
      <c r="L4136" s="51" t="str">
        <f>VLOOKUP(I4136,'Validacion reclamo de equipaje'!H:I,2,0)</f>
        <v>Nacional</v>
      </c>
      <c r="M4136" s="51" t="s">
        <v>615</v>
      </c>
    </row>
    <row r="4137" spans="1:13" x14ac:dyDescent="0.25">
      <c r="A4137">
        <v>771</v>
      </c>
      <c r="B4137" s="47" t="str">
        <f>VLOOKUP(Tabla6[[#This Row],['# Vuelo]],'Validacion reclamo de equipaje'!P:Q,2,0)</f>
        <v>MEXICO AEREO</v>
      </c>
      <c r="C4137" s="52">
        <v>0.8979166666666667</v>
      </c>
      <c r="D4137" s="52">
        <v>0.90625</v>
      </c>
      <c r="E4137" s="53">
        <f>'Reclamo de equipaje rediseñado'!$D4137-'Reclamo de equipaje rediseñado'!$C4137</f>
        <v>8.3333333333333037E-3</v>
      </c>
      <c r="F4137" s="52">
        <v>0.9159722222222223</v>
      </c>
      <c r="G4137" s="53">
        <f t="shared" si="64"/>
        <v>9.7222222222222987E-3</v>
      </c>
      <c r="H4137" s="54">
        <v>41813</v>
      </c>
      <c r="I4137" s="55" t="s">
        <v>549</v>
      </c>
      <c r="J4137" s="55">
        <v>738</v>
      </c>
      <c r="K4137" s="55">
        <f>VLOOKUP(J4137,'Validacion reclamo de equipaje'!L:M,2,0)</f>
        <v>189</v>
      </c>
      <c r="L4137" s="55" t="str">
        <f>VLOOKUP(I4137,'Validacion reclamo de equipaje'!H:I,2,0)</f>
        <v>Nacional</v>
      </c>
      <c r="M4137" s="55" t="s">
        <v>615</v>
      </c>
    </row>
    <row r="4138" spans="1:13" x14ac:dyDescent="0.25">
      <c r="A4138">
        <v>677</v>
      </c>
      <c r="B4138" s="47" t="str">
        <f>VLOOKUP(Tabla6[[#This Row],['# Vuelo]],'Validacion reclamo de equipaje'!P:Q,2,0)</f>
        <v>BARATA Y MORADA</v>
      </c>
      <c r="C4138" s="48">
        <v>0.89861111111111114</v>
      </c>
      <c r="D4138" s="48">
        <v>0.90833333333333333</v>
      </c>
      <c r="E4138" s="49">
        <f>'Reclamo de equipaje rediseñado'!$D4138-'Reclamo de equipaje rediseñado'!$C4138</f>
        <v>9.7222222222221877E-3</v>
      </c>
      <c r="F4138" s="48">
        <v>0.91388888888888886</v>
      </c>
      <c r="G4138" s="49">
        <f t="shared" si="64"/>
        <v>5.5555555555555358E-3</v>
      </c>
      <c r="H4138" s="50">
        <v>41796</v>
      </c>
      <c r="I4138" s="51" t="s">
        <v>543</v>
      </c>
      <c r="J4138" s="51">
        <v>320</v>
      </c>
      <c r="K4138" s="51">
        <f>VLOOKUP(J4138,'Validacion reclamo de equipaje'!L:M,2,0)</f>
        <v>179</v>
      </c>
      <c r="L4138" s="51" t="str">
        <f>VLOOKUP(I4138,'Validacion reclamo de equipaje'!H:I,2,0)</f>
        <v>Nacional</v>
      </c>
      <c r="M4138" s="51" t="s">
        <v>615</v>
      </c>
    </row>
    <row r="4139" spans="1:13" x14ac:dyDescent="0.25">
      <c r="A4139">
        <v>663</v>
      </c>
      <c r="B4139" s="47" t="str">
        <f>VLOOKUP(Tabla6[[#This Row],['# Vuelo]],'Validacion reclamo de equipaje'!P:Q,2,0)</f>
        <v>MEXICO AEREO</v>
      </c>
      <c r="C4139" s="52">
        <v>0.64097222222222217</v>
      </c>
      <c r="D4139" s="52">
        <v>0.65486111111111112</v>
      </c>
      <c r="E4139" s="53">
        <f>'Reclamo de equipaje rediseñado'!$D4139-'Reclamo de equipaje rediseñado'!$C4139</f>
        <v>1.3888888888888951E-2</v>
      </c>
      <c r="F4139" s="52">
        <v>0.6694444444444444</v>
      </c>
      <c r="G4139" s="53">
        <f t="shared" si="64"/>
        <v>1.4583333333333282E-2</v>
      </c>
      <c r="H4139" s="54">
        <v>41793</v>
      </c>
      <c r="I4139" s="55" t="s">
        <v>558</v>
      </c>
      <c r="J4139" s="55">
        <v>738</v>
      </c>
      <c r="K4139" s="55">
        <f>VLOOKUP(J4139,'Validacion reclamo de equipaje'!L:M,2,0)</f>
        <v>189</v>
      </c>
      <c r="L4139" s="55" t="str">
        <f>VLOOKUP(I4139,'Validacion reclamo de equipaje'!H:I,2,0)</f>
        <v>Internacional</v>
      </c>
      <c r="M4139" s="55" t="s">
        <v>615</v>
      </c>
    </row>
    <row r="4140" spans="1:13" x14ac:dyDescent="0.25">
      <c r="A4140">
        <v>663</v>
      </c>
      <c r="B4140" s="47" t="str">
        <f>VLOOKUP(Tabla6[[#This Row],['# Vuelo]],'Validacion reclamo de equipaje'!P:Q,2,0)</f>
        <v>MEXICO AEREO</v>
      </c>
      <c r="C4140" s="48">
        <v>0.63958333333333328</v>
      </c>
      <c r="D4140" s="48">
        <v>0.64861111111111114</v>
      </c>
      <c r="E4140" s="49">
        <f>'Reclamo de equipaje rediseñado'!$D4140-'Reclamo de equipaje rediseñado'!$C4140</f>
        <v>9.0277777777778567E-3</v>
      </c>
      <c r="F4140" s="48">
        <v>0.66041666666666665</v>
      </c>
      <c r="G4140" s="49">
        <f t="shared" si="64"/>
        <v>1.1805555555555514E-2</v>
      </c>
      <c r="H4140" s="50">
        <v>41795</v>
      </c>
      <c r="I4140" s="51" t="s">
        <v>558</v>
      </c>
      <c r="J4140" s="51">
        <v>738</v>
      </c>
      <c r="K4140" s="51">
        <f>VLOOKUP(J4140,'Validacion reclamo de equipaje'!L:M,2,0)</f>
        <v>189</v>
      </c>
      <c r="L4140" s="51" t="str">
        <f>VLOOKUP(I4140,'Validacion reclamo de equipaje'!H:I,2,0)</f>
        <v>Internacional</v>
      </c>
      <c r="M4140" s="51" t="s">
        <v>615</v>
      </c>
    </row>
    <row r="4141" spans="1:13" x14ac:dyDescent="0.25">
      <c r="A4141">
        <v>663</v>
      </c>
      <c r="B4141" s="47" t="str">
        <f>VLOOKUP(Tabla6[[#This Row],['# Vuelo]],'Validacion reclamo de equipaje'!P:Q,2,0)</f>
        <v>MEXICO AEREO</v>
      </c>
      <c r="C4141" s="52">
        <v>0.62291666666666667</v>
      </c>
      <c r="D4141" s="52">
        <v>0.63958333333333328</v>
      </c>
      <c r="E4141" s="53">
        <f>'Reclamo de equipaje rediseñado'!$D4141-'Reclamo de equipaje rediseñado'!$C4141</f>
        <v>1.6666666666666607E-2</v>
      </c>
      <c r="F4141" s="52">
        <v>0.65416666666666667</v>
      </c>
      <c r="G4141" s="53">
        <f t="shared" si="64"/>
        <v>1.4583333333333393E-2</v>
      </c>
      <c r="H4141" s="54">
        <v>41796</v>
      </c>
      <c r="I4141" s="55" t="s">
        <v>558</v>
      </c>
      <c r="J4141" s="55">
        <v>738</v>
      </c>
      <c r="K4141" s="55">
        <f>VLOOKUP(J4141,'Validacion reclamo de equipaje'!L:M,2,0)</f>
        <v>189</v>
      </c>
      <c r="L4141" s="55" t="str">
        <f>VLOOKUP(I4141,'Validacion reclamo de equipaje'!H:I,2,0)</f>
        <v>Internacional</v>
      </c>
      <c r="M4141" s="55" t="s">
        <v>615</v>
      </c>
    </row>
    <row r="4142" spans="1:13" x14ac:dyDescent="0.25">
      <c r="A4142">
        <v>663</v>
      </c>
      <c r="B4142" s="47" t="str">
        <f>VLOOKUP(Tabla6[[#This Row],['# Vuelo]],'Validacion reclamo de equipaje'!P:Q,2,0)</f>
        <v>MEXICO AEREO</v>
      </c>
      <c r="C4142" s="48">
        <v>0.8354166666666667</v>
      </c>
      <c r="D4142" s="48">
        <v>0.84791666666666676</v>
      </c>
      <c r="E4142" s="49">
        <f>'Reclamo de equipaje rediseñado'!$D4142-'Reclamo de equipaje rediseñado'!$C4142</f>
        <v>1.2500000000000067E-2</v>
      </c>
      <c r="F4142" s="48">
        <v>0.88750000000000007</v>
      </c>
      <c r="G4142" s="49">
        <f t="shared" si="64"/>
        <v>3.9583333333333304E-2</v>
      </c>
      <c r="H4142" s="50">
        <v>41797</v>
      </c>
      <c r="I4142" s="51" t="s">
        <v>558</v>
      </c>
      <c r="J4142" s="51">
        <v>738</v>
      </c>
      <c r="K4142" s="51">
        <f>VLOOKUP(J4142,'Validacion reclamo de equipaje'!L:M,2,0)</f>
        <v>189</v>
      </c>
      <c r="L4142" s="51" t="str">
        <f>VLOOKUP(I4142,'Validacion reclamo de equipaje'!H:I,2,0)</f>
        <v>Internacional</v>
      </c>
      <c r="M4142" s="51" t="s">
        <v>615</v>
      </c>
    </row>
    <row r="4143" spans="1:13" x14ac:dyDescent="0.25">
      <c r="A4143">
        <v>663</v>
      </c>
      <c r="B4143" s="47" t="str">
        <f>VLOOKUP(Tabla6[[#This Row],['# Vuelo]],'Validacion reclamo de equipaje'!P:Q,2,0)</f>
        <v>MEXICO AEREO</v>
      </c>
      <c r="C4143" s="52">
        <v>0.62152777777777779</v>
      </c>
      <c r="D4143" s="52">
        <v>0.62777777777777777</v>
      </c>
      <c r="E4143" s="53">
        <f>'Reclamo de equipaje rediseñado'!$D4143-'Reclamo de equipaje rediseñado'!$C4143</f>
        <v>6.2499999999999778E-3</v>
      </c>
      <c r="F4143" s="52">
        <v>0.65972222222222221</v>
      </c>
      <c r="G4143" s="53">
        <f t="shared" si="64"/>
        <v>3.1944444444444442E-2</v>
      </c>
      <c r="H4143" s="54">
        <v>41798</v>
      </c>
      <c r="I4143" s="55" t="s">
        <v>558</v>
      </c>
      <c r="J4143" s="55">
        <v>738</v>
      </c>
      <c r="K4143" s="55">
        <f>VLOOKUP(J4143,'Validacion reclamo de equipaje'!L:M,2,0)</f>
        <v>189</v>
      </c>
      <c r="L4143" s="55" t="str">
        <f>VLOOKUP(I4143,'Validacion reclamo de equipaje'!H:I,2,0)</f>
        <v>Internacional</v>
      </c>
      <c r="M4143" s="55" t="s">
        <v>615</v>
      </c>
    </row>
    <row r="4144" spans="1:13" x14ac:dyDescent="0.25">
      <c r="A4144">
        <v>663</v>
      </c>
      <c r="B4144" s="47" t="str">
        <f>VLOOKUP(Tabla6[[#This Row],['# Vuelo]],'Validacion reclamo de equipaje'!P:Q,2,0)</f>
        <v>MEXICO AEREO</v>
      </c>
      <c r="C4144" s="48">
        <v>0.56666666666666665</v>
      </c>
      <c r="D4144" s="48">
        <v>0.57430555555555551</v>
      </c>
      <c r="E4144" s="49">
        <f>'Reclamo de equipaje rediseñado'!$D4144-'Reclamo de equipaje rediseñado'!$C4144</f>
        <v>7.6388888888888618E-3</v>
      </c>
      <c r="F4144" s="48">
        <v>0.57916666666666672</v>
      </c>
      <c r="G4144" s="49">
        <f t="shared" si="64"/>
        <v>4.8611111111112049E-3</v>
      </c>
      <c r="H4144" s="50">
        <v>41801</v>
      </c>
      <c r="I4144" s="51" t="s">
        <v>558</v>
      </c>
      <c r="J4144" s="51">
        <v>738</v>
      </c>
      <c r="K4144" s="51">
        <f>VLOOKUP(J4144,'Validacion reclamo de equipaje'!L:M,2,0)</f>
        <v>189</v>
      </c>
      <c r="L4144" s="51" t="str">
        <f>VLOOKUP(I4144,'Validacion reclamo de equipaje'!H:I,2,0)</f>
        <v>Internacional</v>
      </c>
      <c r="M4144" s="51" t="s">
        <v>615</v>
      </c>
    </row>
    <row r="4145" spans="1:13" x14ac:dyDescent="0.25">
      <c r="A4145">
        <v>663</v>
      </c>
      <c r="B4145" s="47" t="str">
        <f>VLOOKUP(Tabla6[[#This Row],['# Vuelo]],'Validacion reclamo de equipaje'!P:Q,2,0)</f>
        <v>MEXICO AEREO</v>
      </c>
      <c r="C4145" s="52">
        <v>0.83472222222222225</v>
      </c>
      <c r="D4145" s="52">
        <v>0.84722222222222221</v>
      </c>
      <c r="E4145" s="53">
        <f>'Reclamo de equipaje rediseñado'!$D4145-'Reclamo de equipaje rediseñado'!$C4145</f>
        <v>1.2499999999999956E-2</v>
      </c>
      <c r="F4145" s="52">
        <v>0.85833333333333339</v>
      </c>
      <c r="G4145" s="53">
        <f t="shared" si="64"/>
        <v>1.1111111111111183E-2</v>
      </c>
      <c r="H4145" s="54">
        <v>41802</v>
      </c>
      <c r="I4145" s="55" t="s">
        <v>558</v>
      </c>
      <c r="J4145" s="55">
        <v>738</v>
      </c>
      <c r="K4145" s="55">
        <f>VLOOKUP(J4145,'Validacion reclamo de equipaje'!L:M,2,0)</f>
        <v>189</v>
      </c>
      <c r="L4145" s="55" t="str">
        <f>VLOOKUP(I4145,'Validacion reclamo de equipaje'!H:I,2,0)</f>
        <v>Internacional</v>
      </c>
      <c r="M4145" s="55" t="s">
        <v>615</v>
      </c>
    </row>
    <row r="4146" spans="1:13" x14ac:dyDescent="0.25">
      <c r="A4146">
        <v>663</v>
      </c>
      <c r="B4146" s="47" t="str">
        <f>VLOOKUP(Tabla6[[#This Row],['# Vuelo]],'Validacion reclamo de equipaje'!P:Q,2,0)</f>
        <v>MEXICO AEREO</v>
      </c>
      <c r="C4146" s="48">
        <v>0.8520833333333333</v>
      </c>
      <c r="D4146" s="48">
        <v>0.86458333333333337</v>
      </c>
      <c r="E4146" s="49">
        <f>'Reclamo de equipaje rediseñado'!$D4146-'Reclamo de equipaje rediseñado'!$C4146</f>
        <v>1.2500000000000067E-2</v>
      </c>
      <c r="F4146" s="48">
        <v>0.89583333333333337</v>
      </c>
      <c r="G4146" s="49">
        <f t="shared" si="64"/>
        <v>3.125E-2</v>
      </c>
      <c r="H4146" s="50">
        <v>41803</v>
      </c>
      <c r="I4146" s="51" t="s">
        <v>558</v>
      </c>
      <c r="J4146" s="51">
        <v>738</v>
      </c>
      <c r="K4146" s="51">
        <f>VLOOKUP(J4146,'Validacion reclamo de equipaje'!L:M,2,0)</f>
        <v>189</v>
      </c>
      <c r="L4146" s="51" t="str">
        <f>VLOOKUP(I4146,'Validacion reclamo de equipaje'!H:I,2,0)</f>
        <v>Internacional</v>
      </c>
      <c r="M4146" s="51" t="s">
        <v>615</v>
      </c>
    </row>
    <row r="4147" spans="1:13" x14ac:dyDescent="0.25">
      <c r="A4147">
        <v>663</v>
      </c>
      <c r="B4147" s="47" t="str">
        <f>VLOOKUP(Tabla6[[#This Row],['# Vuelo]],'Validacion reclamo de equipaje'!P:Q,2,0)</f>
        <v>MEXICO AEREO</v>
      </c>
      <c r="C4147" s="52">
        <v>0.93611111111111101</v>
      </c>
      <c r="D4147" s="52">
        <v>0.9472222222222223</v>
      </c>
      <c r="E4147" s="53">
        <f>'Reclamo de equipaje rediseñado'!$D4147-'Reclamo de equipaje rediseñado'!$C4147</f>
        <v>1.1111111111111294E-2</v>
      </c>
      <c r="F4147" s="52">
        <v>0.95486111111111116</v>
      </c>
      <c r="G4147" s="53">
        <f t="shared" si="64"/>
        <v>7.6388888888888618E-3</v>
      </c>
      <c r="H4147" s="54">
        <v>41804</v>
      </c>
      <c r="I4147" s="55" t="s">
        <v>558</v>
      </c>
      <c r="J4147" s="55">
        <v>738</v>
      </c>
      <c r="K4147" s="55">
        <f>VLOOKUP(J4147,'Validacion reclamo de equipaje'!L:M,2,0)</f>
        <v>189</v>
      </c>
      <c r="L4147" s="55" t="str">
        <f>VLOOKUP(I4147,'Validacion reclamo de equipaje'!H:I,2,0)</f>
        <v>Internacional</v>
      </c>
      <c r="M4147" s="55" t="s">
        <v>615</v>
      </c>
    </row>
    <row r="4148" spans="1:13" x14ac:dyDescent="0.25">
      <c r="A4148">
        <v>663</v>
      </c>
      <c r="B4148" s="47" t="str">
        <f>VLOOKUP(Tabla6[[#This Row],['# Vuelo]],'Validacion reclamo de equipaje'!P:Q,2,0)</f>
        <v>MEXICO AEREO</v>
      </c>
      <c r="C4148" s="48">
        <v>0.46180555555555558</v>
      </c>
      <c r="D4148" s="48">
        <v>0.4680555555555555</v>
      </c>
      <c r="E4148" s="49">
        <f>'Reclamo de equipaje rediseñado'!$D4148-'Reclamo de equipaje rediseñado'!$C4148</f>
        <v>6.2499999999999223E-3</v>
      </c>
      <c r="F4148" s="48">
        <v>0.4770833333333333</v>
      </c>
      <c r="G4148" s="49">
        <f t="shared" si="64"/>
        <v>9.0277777777778012E-3</v>
      </c>
      <c r="H4148" s="50">
        <v>41805</v>
      </c>
      <c r="I4148" s="51" t="s">
        <v>558</v>
      </c>
      <c r="J4148" s="51">
        <v>738</v>
      </c>
      <c r="K4148" s="51">
        <f>VLOOKUP(J4148,'Validacion reclamo de equipaje'!L:M,2,0)</f>
        <v>189</v>
      </c>
      <c r="L4148" s="51" t="str">
        <f>VLOOKUP(I4148,'Validacion reclamo de equipaje'!H:I,2,0)</f>
        <v>Internacional</v>
      </c>
      <c r="M4148" s="51" t="s">
        <v>615</v>
      </c>
    </row>
    <row r="4149" spans="1:13" x14ac:dyDescent="0.25">
      <c r="A4149">
        <v>663</v>
      </c>
      <c r="B4149" s="47" t="str">
        <f>VLOOKUP(Tabla6[[#This Row],['# Vuelo]],'Validacion reclamo de equipaje'!P:Q,2,0)</f>
        <v>MEXICO AEREO</v>
      </c>
      <c r="C4149" s="52">
        <v>0.27291666666666664</v>
      </c>
      <c r="D4149" s="52">
        <v>0.29097222222222224</v>
      </c>
      <c r="E4149" s="53">
        <f>'Reclamo de equipaje rediseñado'!$D4149-'Reclamo de equipaje rediseñado'!$C4149</f>
        <v>1.8055555555555602E-2</v>
      </c>
      <c r="F4149" s="52">
        <v>0.30416666666666664</v>
      </c>
      <c r="G4149" s="53">
        <f t="shared" si="64"/>
        <v>1.3194444444444398E-2</v>
      </c>
      <c r="H4149" s="54">
        <v>41806</v>
      </c>
      <c r="I4149" s="55" t="s">
        <v>558</v>
      </c>
      <c r="J4149" s="55">
        <v>738</v>
      </c>
      <c r="K4149" s="55">
        <f>VLOOKUP(J4149,'Validacion reclamo de equipaje'!L:M,2,0)</f>
        <v>189</v>
      </c>
      <c r="L4149" s="55" t="str">
        <f>VLOOKUP(I4149,'Validacion reclamo de equipaje'!H:I,2,0)</f>
        <v>Internacional</v>
      </c>
      <c r="M4149" s="55" t="s">
        <v>615</v>
      </c>
    </row>
    <row r="4150" spans="1:13" x14ac:dyDescent="0.25">
      <c r="A4150">
        <v>663</v>
      </c>
      <c r="B4150" s="47" t="str">
        <f>VLOOKUP(Tabla6[[#This Row],['# Vuelo]],'Validacion reclamo de equipaje'!P:Q,2,0)</f>
        <v>MEXICO AEREO</v>
      </c>
      <c r="C4150" s="48">
        <v>0.83819444444444446</v>
      </c>
      <c r="D4150" s="48">
        <v>0.84861111111111109</v>
      </c>
      <c r="E4150" s="49">
        <f>'Reclamo de equipaje rediseñado'!$D4150-'Reclamo de equipaje rediseñado'!$C4150</f>
        <v>1.041666666666663E-2</v>
      </c>
      <c r="F4150" s="48">
        <v>0.87083333333333324</v>
      </c>
      <c r="G4150" s="49">
        <f t="shared" si="64"/>
        <v>2.2222222222222143E-2</v>
      </c>
      <c r="H4150" s="50">
        <v>41807</v>
      </c>
      <c r="I4150" s="51" t="s">
        <v>558</v>
      </c>
      <c r="J4150" s="51">
        <v>738</v>
      </c>
      <c r="K4150" s="51">
        <f>VLOOKUP(J4150,'Validacion reclamo de equipaje'!L:M,2,0)</f>
        <v>189</v>
      </c>
      <c r="L4150" s="51" t="str">
        <f>VLOOKUP(I4150,'Validacion reclamo de equipaje'!H:I,2,0)</f>
        <v>Internacional</v>
      </c>
      <c r="M4150" s="51" t="s">
        <v>615</v>
      </c>
    </row>
    <row r="4151" spans="1:13" x14ac:dyDescent="0.25">
      <c r="A4151">
        <v>663</v>
      </c>
      <c r="B4151" s="47" t="str">
        <f>VLOOKUP(Tabla6[[#This Row],['# Vuelo]],'Validacion reclamo de equipaje'!P:Q,2,0)</f>
        <v>MEXICO AEREO</v>
      </c>
      <c r="C4151" s="52">
        <v>0.64652777777777781</v>
      </c>
      <c r="D4151" s="52">
        <v>0.65833333333333333</v>
      </c>
      <c r="E4151" s="53">
        <f>'Reclamo de equipaje rediseñado'!$D4151-'Reclamo de equipaje rediseñado'!$C4151</f>
        <v>1.1805555555555514E-2</v>
      </c>
      <c r="F4151" s="52">
        <v>0.68402777777777779</v>
      </c>
      <c r="G4151" s="53">
        <f t="shared" si="64"/>
        <v>2.5694444444444464E-2</v>
      </c>
      <c r="H4151" s="54">
        <v>41809</v>
      </c>
      <c r="I4151" s="55" t="s">
        <v>558</v>
      </c>
      <c r="J4151" s="55">
        <v>738</v>
      </c>
      <c r="K4151" s="55">
        <f>VLOOKUP(J4151,'Validacion reclamo de equipaje'!L:M,2,0)</f>
        <v>189</v>
      </c>
      <c r="L4151" s="55" t="str">
        <f>VLOOKUP(I4151,'Validacion reclamo de equipaje'!H:I,2,0)</f>
        <v>Internacional</v>
      </c>
      <c r="M4151" s="55" t="s">
        <v>615</v>
      </c>
    </row>
    <row r="4152" spans="1:13" x14ac:dyDescent="0.25">
      <c r="A4152">
        <v>663</v>
      </c>
      <c r="B4152" s="47" t="str">
        <f>VLOOKUP(Tabla6[[#This Row],['# Vuelo]],'Validacion reclamo de equipaje'!P:Q,2,0)</f>
        <v>MEXICO AEREO</v>
      </c>
      <c r="C4152" s="48">
        <v>0.6333333333333333</v>
      </c>
      <c r="D4152" s="48">
        <v>0.64166666666666672</v>
      </c>
      <c r="E4152" s="49">
        <f>'Reclamo de equipaje rediseñado'!$D4152-'Reclamo de equipaje rediseñado'!$C4152</f>
        <v>8.3333333333334147E-3</v>
      </c>
      <c r="F4152" s="48">
        <v>0.65347222222222223</v>
      </c>
      <c r="G4152" s="49">
        <f t="shared" si="64"/>
        <v>1.1805555555555514E-2</v>
      </c>
      <c r="H4152" s="50">
        <v>41810</v>
      </c>
      <c r="I4152" s="51" t="s">
        <v>558</v>
      </c>
      <c r="J4152" s="51">
        <v>738</v>
      </c>
      <c r="K4152" s="51">
        <f>VLOOKUP(J4152,'Validacion reclamo de equipaje'!L:M,2,0)</f>
        <v>189</v>
      </c>
      <c r="L4152" s="51" t="str">
        <f>VLOOKUP(I4152,'Validacion reclamo de equipaje'!H:I,2,0)</f>
        <v>Internacional</v>
      </c>
      <c r="M4152" s="51" t="s">
        <v>615</v>
      </c>
    </row>
    <row r="4153" spans="1:13" x14ac:dyDescent="0.25">
      <c r="A4153">
        <v>663</v>
      </c>
      <c r="B4153" s="47" t="str">
        <f>VLOOKUP(Tabla6[[#This Row],['# Vuelo]],'Validacion reclamo de equipaje'!P:Q,2,0)</f>
        <v>MEXICO AEREO</v>
      </c>
      <c r="C4153" s="52">
        <v>0.64583333333333337</v>
      </c>
      <c r="D4153" s="52">
        <v>0.65833333333333333</v>
      </c>
      <c r="E4153" s="53">
        <f>'Reclamo de equipaje rediseñado'!$D4153-'Reclamo de equipaje rediseñado'!$C4153</f>
        <v>1.2499999999999956E-2</v>
      </c>
      <c r="F4153" s="52">
        <v>0.68611111111111101</v>
      </c>
      <c r="G4153" s="53">
        <f t="shared" si="64"/>
        <v>2.7777777777777679E-2</v>
      </c>
      <c r="H4153" s="54">
        <v>41811</v>
      </c>
      <c r="I4153" s="55" t="s">
        <v>558</v>
      </c>
      <c r="J4153" s="55">
        <v>738</v>
      </c>
      <c r="K4153" s="55">
        <f>VLOOKUP(J4153,'Validacion reclamo de equipaje'!L:M,2,0)</f>
        <v>189</v>
      </c>
      <c r="L4153" s="55" t="str">
        <f>VLOOKUP(I4153,'Validacion reclamo de equipaje'!H:I,2,0)</f>
        <v>Internacional</v>
      </c>
      <c r="M4153" s="55" t="s">
        <v>615</v>
      </c>
    </row>
    <row r="4154" spans="1:13" x14ac:dyDescent="0.25">
      <c r="A4154">
        <v>663</v>
      </c>
      <c r="B4154" s="47" t="str">
        <f>VLOOKUP(Tabla6[[#This Row],['# Vuelo]],'Validacion reclamo de equipaje'!P:Q,2,0)</f>
        <v>MEXICO AEREO</v>
      </c>
      <c r="C4154" s="48">
        <v>0.64930555555555558</v>
      </c>
      <c r="D4154" s="48">
        <v>0.65486111111111112</v>
      </c>
      <c r="E4154" s="49">
        <f>'Reclamo de equipaje rediseñado'!$D4154-'Reclamo de equipaje rediseñado'!$C4154</f>
        <v>5.5555555555555358E-3</v>
      </c>
      <c r="F4154" s="48">
        <v>0.68055555555555547</v>
      </c>
      <c r="G4154" s="49">
        <f t="shared" si="64"/>
        <v>2.5694444444444353E-2</v>
      </c>
      <c r="H4154" s="50">
        <v>41813</v>
      </c>
      <c r="I4154" s="51" t="s">
        <v>558</v>
      </c>
      <c r="J4154" s="51">
        <v>738</v>
      </c>
      <c r="K4154" s="51">
        <f>VLOOKUP(J4154,'Validacion reclamo de equipaje'!L:M,2,0)</f>
        <v>189</v>
      </c>
      <c r="L4154" s="51" t="str">
        <f>VLOOKUP(I4154,'Validacion reclamo de equipaje'!H:I,2,0)</f>
        <v>Internacional</v>
      </c>
      <c r="M4154" s="51" t="s">
        <v>615</v>
      </c>
    </row>
    <row r="4155" spans="1:13" x14ac:dyDescent="0.25">
      <c r="A4155">
        <v>661</v>
      </c>
      <c r="B4155" s="47" t="str">
        <f>VLOOKUP(Tabla6[[#This Row],['# Vuelo]],'Validacion reclamo de equipaje'!P:Q,2,0)</f>
        <v>MEXICO AEREO</v>
      </c>
      <c r="C4155" s="52">
        <v>0.27361111111111108</v>
      </c>
      <c r="D4155" s="52">
        <v>0.27986111111111112</v>
      </c>
      <c r="E4155" s="53">
        <f>'Reclamo de equipaje rediseñado'!$D4155-'Reclamo de equipaje rediseñado'!$C4155</f>
        <v>6.2500000000000333E-3</v>
      </c>
      <c r="F4155" s="52">
        <v>0.3</v>
      </c>
      <c r="G4155" s="53">
        <f t="shared" si="64"/>
        <v>2.0138888888888873E-2</v>
      </c>
      <c r="H4155" s="54">
        <v>41792</v>
      </c>
      <c r="I4155" s="55" t="s">
        <v>559</v>
      </c>
      <c r="J4155" s="55">
        <v>738</v>
      </c>
      <c r="K4155" s="55">
        <f>VLOOKUP(J4155,'Validacion reclamo de equipaje'!L:M,2,0)</f>
        <v>189</v>
      </c>
      <c r="L4155" s="55" t="str">
        <f>VLOOKUP(I4155,'Validacion reclamo de equipaje'!H:I,2,0)</f>
        <v>Internacional</v>
      </c>
      <c r="M4155" s="55" t="s">
        <v>615</v>
      </c>
    </row>
    <row r="4156" spans="1:13" x14ac:dyDescent="0.25">
      <c r="A4156">
        <v>661</v>
      </c>
      <c r="B4156" s="47" t="str">
        <f>VLOOKUP(Tabla6[[#This Row],['# Vuelo]],'Validacion reclamo de equipaje'!P:Q,2,0)</f>
        <v>MEXICO AEREO</v>
      </c>
      <c r="C4156" s="48">
        <v>0.26250000000000001</v>
      </c>
      <c r="D4156" s="48">
        <v>0.27083333333333331</v>
      </c>
      <c r="E4156" s="49">
        <f>'Reclamo de equipaje rediseñado'!$D4156-'Reclamo de equipaje rediseñado'!$C4156</f>
        <v>8.3333333333333037E-3</v>
      </c>
      <c r="F4156" s="48">
        <v>0.29722222222222222</v>
      </c>
      <c r="G4156" s="49">
        <f t="shared" si="64"/>
        <v>2.6388888888888906E-2</v>
      </c>
      <c r="H4156" s="50">
        <v>41793</v>
      </c>
      <c r="I4156" s="51" t="s">
        <v>559</v>
      </c>
      <c r="J4156" s="51">
        <v>738</v>
      </c>
      <c r="K4156" s="51">
        <f>VLOOKUP(J4156,'Validacion reclamo de equipaje'!L:M,2,0)</f>
        <v>189</v>
      </c>
      <c r="L4156" s="51" t="str">
        <f>VLOOKUP(I4156,'Validacion reclamo de equipaje'!H:I,2,0)</f>
        <v>Internacional</v>
      </c>
      <c r="M4156" s="51" t="s">
        <v>615</v>
      </c>
    </row>
    <row r="4157" spans="1:13" x14ac:dyDescent="0.25">
      <c r="A4157">
        <v>661</v>
      </c>
      <c r="B4157" s="47" t="str">
        <f>VLOOKUP(Tabla6[[#This Row],['# Vuelo]],'Validacion reclamo de equipaje'!P:Q,2,0)</f>
        <v>MEXICO AEREO</v>
      </c>
      <c r="C4157" s="52">
        <v>0.25347222222222221</v>
      </c>
      <c r="D4157" s="52">
        <v>0.27083333333333331</v>
      </c>
      <c r="E4157" s="53">
        <f>'Reclamo de equipaje rediseñado'!$D4157-'Reclamo de equipaje rediseñado'!$C4157</f>
        <v>1.7361111111111105E-2</v>
      </c>
      <c r="F4157" s="52">
        <v>0.29166666666666669</v>
      </c>
      <c r="G4157" s="53">
        <f t="shared" si="64"/>
        <v>2.083333333333337E-2</v>
      </c>
      <c r="H4157" s="54">
        <v>41794</v>
      </c>
      <c r="I4157" s="55" t="s">
        <v>559</v>
      </c>
      <c r="J4157" s="55">
        <v>738</v>
      </c>
      <c r="K4157" s="55">
        <f>VLOOKUP(J4157,'Validacion reclamo de equipaje'!L:M,2,0)</f>
        <v>189</v>
      </c>
      <c r="L4157" s="55" t="str">
        <f>VLOOKUP(I4157,'Validacion reclamo de equipaje'!H:I,2,0)</f>
        <v>Internacional</v>
      </c>
      <c r="M4157" s="55" t="s">
        <v>615</v>
      </c>
    </row>
    <row r="4158" spans="1:13" x14ac:dyDescent="0.25">
      <c r="A4158">
        <v>661</v>
      </c>
      <c r="B4158" s="47" t="str">
        <f>VLOOKUP(Tabla6[[#This Row],['# Vuelo]],'Validacion reclamo de equipaje'!P:Q,2,0)</f>
        <v>MEXICO AEREO</v>
      </c>
      <c r="C4158" s="48">
        <v>0.23541666666666669</v>
      </c>
      <c r="D4158" s="48">
        <v>0.24374999999999999</v>
      </c>
      <c r="E4158" s="49">
        <f>'Reclamo de equipaje rediseñado'!$D4158-'Reclamo de equipaje rediseñado'!$C4158</f>
        <v>8.3333333333333037E-3</v>
      </c>
      <c r="F4158" s="48">
        <v>0.28750000000000003</v>
      </c>
      <c r="G4158" s="49">
        <f t="shared" si="64"/>
        <v>4.3750000000000039E-2</v>
      </c>
      <c r="H4158" s="50">
        <v>41795</v>
      </c>
      <c r="I4158" s="51" t="s">
        <v>559</v>
      </c>
      <c r="J4158" s="51">
        <v>738</v>
      </c>
      <c r="K4158" s="51">
        <f>VLOOKUP(J4158,'Validacion reclamo de equipaje'!L:M,2,0)</f>
        <v>189</v>
      </c>
      <c r="L4158" s="51" t="str">
        <f>VLOOKUP(I4158,'Validacion reclamo de equipaje'!H:I,2,0)</f>
        <v>Internacional</v>
      </c>
      <c r="M4158" s="51" t="s">
        <v>615</v>
      </c>
    </row>
    <row r="4159" spans="1:13" x14ac:dyDescent="0.25">
      <c r="A4159">
        <v>661</v>
      </c>
      <c r="B4159" s="47" t="str">
        <f>VLOOKUP(Tabla6[[#This Row],['# Vuelo]],'Validacion reclamo de equipaje'!P:Q,2,0)</f>
        <v>MEXICO AEREO</v>
      </c>
      <c r="C4159" s="52">
        <v>0.25625000000000003</v>
      </c>
      <c r="D4159" s="52">
        <v>0.28680555555555554</v>
      </c>
      <c r="E4159" s="53">
        <f>'Reclamo de equipaje rediseñado'!$D4159-'Reclamo de equipaje rediseñado'!$C4159</f>
        <v>3.0555555555555503E-2</v>
      </c>
      <c r="F4159" s="52">
        <v>0.30416666666666664</v>
      </c>
      <c r="G4159" s="53">
        <f t="shared" si="64"/>
        <v>1.7361111111111105E-2</v>
      </c>
      <c r="H4159" s="54">
        <v>41798</v>
      </c>
      <c r="I4159" s="55" t="s">
        <v>559</v>
      </c>
      <c r="J4159" s="55">
        <v>738</v>
      </c>
      <c r="K4159" s="55">
        <f>VLOOKUP(J4159,'Validacion reclamo de equipaje'!L:M,2,0)</f>
        <v>189</v>
      </c>
      <c r="L4159" s="55" t="str">
        <f>VLOOKUP(I4159,'Validacion reclamo de equipaje'!H:I,2,0)</f>
        <v>Internacional</v>
      </c>
      <c r="M4159" s="55" t="s">
        <v>615</v>
      </c>
    </row>
    <row r="4160" spans="1:13" x14ac:dyDescent="0.25">
      <c r="A4160">
        <v>661</v>
      </c>
      <c r="B4160" s="47" t="str">
        <f>VLOOKUP(Tabla6[[#This Row],['# Vuelo]],'Validacion reclamo de equipaje'!P:Q,2,0)</f>
        <v>MEXICO AEREO</v>
      </c>
      <c r="C4160" s="48">
        <v>0.24374999999999999</v>
      </c>
      <c r="D4160" s="48">
        <v>0.2673611111111111</v>
      </c>
      <c r="E4160" s="49">
        <f>'Reclamo de equipaje rediseñado'!$D4160-'Reclamo de equipaje rediseñado'!$C4160</f>
        <v>2.361111111111111E-2</v>
      </c>
      <c r="F4160" s="48">
        <v>0.30069444444444443</v>
      </c>
      <c r="G4160" s="49">
        <f t="shared" si="64"/>
        <v>3.3333333333333326E-2</v>
      </c>
      <c r="H4160" s="50">
        <v>41800</v>
      </c>
      <c r="I4160" s="51" t="s">
        <v>559</v>
      </c>
      <c r="J4160" s="51">
        <v>738</v>
      </c>
      <c r="K4160" s="51">
        <f>VLOOKUP(J4160,'Validacion reclamo de equipaje'!L:M,2,0)</f>
        <v>189</v>
      </c>
      <c r="L4160" s="51" t="str">
        <f>VLOOKUP(I4160,'Validacion reclamo de equipaje'!H:I,2,0)</f>
        <v>Internacional</v>
      </c>
      <c r="M4160" s="51" t="s">
        <v>615</v>
      </c>
    </row>
    <row r="4161" spans="1:13" x14ac:dyDescent="0.25">
      <c r="A4161">
        <v>661</v>
      </c>
      <c r="B4161" s="47" t="str">
        <f>VLOOKUP(Tabla6[[#This Row],['# Vuelo]],'Validacion reclamo de equipaje'!P:Q,2,0)</f>
        <v>MEXICO AEREO</v>
      </c>
      <c r="C4161" s="52">
        <v>0.48472222222222222</v>
      </c>
      <c r="D4161" s="52">
        <v>0.49374999999999997</v>
      </c>
      <c r="E4161" s="53">
        <f>'Reclamo de equipaje rediseñado'!$D4161-'Reclamo de equipaje rediseñado'!$C4161</f>
        <v>9.0277777777777457E-3</v>
      </c>
      <c r="F4161" s="52">
        <v>0.50694444444444442</v>
      </c>
      <c r="G4161" s="53">
        <f t="shared" si="64"/>
        <v>1.3194444444444453E-2</v>
      </c>
      <c r="H4161" s="54">
        <v>41800</v>
      </c>
      <c r="I4161" s="55" t="s">
        <v>559</v>
      </c>
      <c r="J4161" s="55">
        <v>738</v>
      </c>
      <c r="K4161" s="55">
        <f>VLOOKUP(J4161,'Validacion reclamo de equipaje'!L:M,2,0)</f>
        <v>189</v>
      </c>
      <c r="L4161" s="55" t="str">
        <f>VLOOKUP(I4161,'Validacion reclamo de equipaje'!H:I,2,0)</f>
        <v>Internacional</v>
      </c>
      <c r="M4161" s="55" t="s">
        <v>615</v>
      </c>
    </row>
    <row r="4162" spans="1:13" x14ac:dyDescent="0.25">
      <c r="A4162">
        <v>661</v>
      </c>
      <c r="B4162" s="47" t="str">
        <f>VLOOKUP(Tabla6[[#This Row],['# Vuelo]],'Validacion reclamo de equipaje'!P:Q,2,0)</f>
        <v>MEXICO AEREO</v>
      </c>
      <c r="C4162" s="48">
        <v>0.2673611111111111</v>
      </c>
      <c r="D4162" s="48">
        <v>0.27361111111111108</v>
      </c>
      <c r="E4162" s="49">
        <f>'Reclamo de equipaje rediseñado'!$D4162-'Reclamo de equipaje rediseñado'!$C4162</f>
        <v>6.2499999999999778E-3</v>
      </c>
      <c r="F4162" s="48">
        <v>0.27916666666666667</v>
      </c>
      <c r="G4162" s="49">
        <f t="shared" si="64"/>
        <v>5.5555555555555913E-3</v>
      </c>
      <c r="H4162" s="50">
        <v>41801</v>
      </c>
      <c r="I4162" s="51" t="s">
        <v>559</v>
      </c>
      <c r="J4162" s="51">
        <v>738</v>
      </c>
      <c r="K4162" s="51">
        <f>VLOOKUP(J4162,'Validacion reclamo de equipaje'!L:M,2,0)</f>
        <v>189</v>
      </c>
      <c r="L4162" s="51" t="str">
        <f>VLOOKUP(I4162,'Validacion reclamo de equipaje'!H:I,2,0)</f>
        <v>Internacional</v>
      </c>
      <c r="M4162" s="51" t="s">
        <v>615</v>
      </c>
    </row>
    <row r="4163" spans="1:13" x14ac:dyDescent="0.25">
      <c r="A4163">
        <v>661</v>
      </c>
      <c r="B4163" s="47" t="str">
        <f>VLOOKUP(Tabla6[[#This Row],['# Vuelo]],'Validacion reclamo de equipaje'!P:Q,2,0)</f>
        <v>MEXICO AEREO</v>
      </c>
      <c r="C4163" s="52">
        <v>0.53680555555555554</v>
      </c>
      <c r="D4163" s="52">
        <v>0.54513888888888895</v>
      </c>
      <c r="E4163" s="53">
        <f>'Reclamo de equipaje rediseñado'!$D4163-'Reclamo de equipaje rediseñado'!$C4163</f>
        <v>8.3333333333334147E-3</v>
      </c>
      <c r="F4163" s="52">
        <v>0.55208333333333337</v>
      </c>
      <c r="G4163" s="53">
        <f t="shared" ref="G4163:G4226" si="65">F4163-D4163</f>
        <v>6.9444444444444198E-3</v>
      </c>
      <c r="H4163" s="54">
        <v>41802</v>
      </c>
      <c r="I4163" s="55" t="s">
        <v>559</v>
      </c>
      <c r="J4163" s="55">
        <v>738</v>
      </c>
      <c r="K4163" s="55">
        <f>VLOOKUP(J4163,'Validacion reclamo de equipaje'!L:M,2,0)</f>
        <v>189</v>
      </c>
      <c r="L4163" s="55" t="str">
        <f>VLOOKUP(I4163,'Validacion reclamo de equipaje'!H:I,2,0)</f>
        <v>Internacional</v>
      </c>
      <c r="M4163" s="55" t="s">
        <v>615</v>
      </c>
    </row>
    <row r="4164" spans="1:13" x14ac:dyDescent="0.25">
      <c r="A4164">
        <v>661</v>
      </c>
      <c r="B4164" s="47" t="str">
        <f>VLOOKUP(Tabla6[[#This Row],['# Vuelo]],'Validacion reclamo de equipaje'!P:Q,2,0)</f>
        <v>MEXICO AEREO</v>
      </c>
      <c r="C4164" s="48">
        <v>0.52152777777777781</v>
      </c>
      <c r="D4164" s="48">
        <v>0.5229166666666667</v>
      </c>
      <c r="E4164" s="49">
        <f>'Reclamo de equipaje rediseñado'!$D4164-'Reclamo de equipaje rediseñado'!$C4164</f>
        <v>1.388888888888884E-3</v>
      </c>
      <c r="F4164" s="48">
        <v>0.52569444444444446</v>
      </c>
      <c r="G4164" s="49">
        <f t="shared" si="65"/>
        <v>2.7777777777777679E-3</v>
      </c>
      <c r="H4164" s="50">
        <v>41803</v>
      </c>
      <c r="I4164" s="51" t="s">
        <v>559</v>
      </c>
      <c r="J4164" s="51">
        <v>738</v>
      </c>
      <c r="K4164" s="51">
        <f>VLOOKUP(J4164,'Validacion reclamo de equipaje'!L:M,2,0)</f>
        <v>189</v>
      </c>
      <c r="L4164" s="51" t="str">
        <f>VLOOKUP(I4164,'Validacion reclamo de equipaje'!H:I,2,0)</f>
        <v>Internacional</v>
      </c>
      <c r="M4164" s="51" t="s">
        <v>615</v>
      </c>
    </row>
    <row r="4165" spans="1:13" x14ac:dyDescent="0.25">
      <c r="A4165">
        <v>661</v>
      </c>
      <c r="B4165" s="47" t="str">
        <f>VLOOKUP(Tabla6[[#This Row],['# Vuelo]],'Validacion reclamo de equipaje'!P:Q,2,0)</f>
        <v>MEXICO AEREO</v>
      </c>
      <c r="C4165" s="52">
        <v>0.87708333333333333</v>
      </c>
      <c r="D4165" s="52">
        <v>0.88402777777777775</v>
      </c>
      <c r="E4165" s="53">
        <f>'Reclamo de equipaje rediseñado'!$D4165-'Reclamo de equipaje rediseñado'!$C4165</f>
        <v>6.9444444444444198E-3</v>
      </c>
      <c r="F4165" s="52">
        <v>0.90763888888888899</v>
      </c>
      <c r="G4165" s="53">
        <f t="shared" si="65"/>
        <v>2.3611111111111249E-2</v>
      </c>
      <c r="H4165" s="54">
        <v>41804</v>
      </c>
      <c r="I4165" s="55" t="s">
        <v>559</v>
      </c>
      <c r="J4165" s="55">
        <v>738</v>
      </c>
      <c r="K4165" s="55">
        <f>VLOOKUP(J4165,'Validacion reclamo de equipaje'!L:M,2,0)</f>
        <v>189</v>
      </c>
      <c r="L4165" s="55" t="str">
        <f>VLOOKUP(I4165,'Validacion reclamo de equipaje'!H:I,2,0)</f>
        <v>Internacional</v>
      </c>
      <c r="M4165" s="55" t="s">
        <v>615</v>
      </c>
    </row>
    <row r="4166" spans="1:13" x14ac:dyDescent="0.25">
      <c r="A4166">
        <v>661</v>
      </c>
      <c r="B4166" s="47" t="str">
        <f>VLOOKUP(Tabla6[[#This Row],['# Vuelo]],'Validacion reclamo de equipaje'!P:Q,2,0)</f>
        <v>MEXICO AEREO</v>
      </c>
      <c r="C4166" s="48">
        <v>0.90208333333333324</v>
      </c>
      <c r="D4166" s="48">
        <v>0.90277777777777779</v>
      </c>
      <c r="E4166" s="49">
        <f>'Reclamo de equipaje rediseñado'!$D4166-'Reclamo de equipaje rediseñado'!$C4166</f>
        <v>6.94444444444553E-4</v>
      </c>
      <c r="F4166" s="48">
        <v>0.90625</v>
      </c>
      <c r="G4166" s="49">
        <f t="shared" si="65"/>
        <v>3.4722222222222099E-3</v>
      </c>
      <c r="H4166" s="50">
        <v>41805</v>
      </c>
      <c r="I4166" s="51" t="s">
        <v>559</v>
      </c>
      <c r="J4166" s="51">
        <v>738</v>
      </c>
      <c r="K4166" s="51">
        <f>VLOOKUP(J4166,'Validacion reclamo de equipaje'!L:M,2,0)</f>
        <v>189</v>
      </c>
      <c r="L4166" s="51" t="str">
        <f>VLOOKUP(I4166,'Validacion reclamo de equipaje'!H:I,2,0)</f>
        <v>Internacional</v>
      </c>
      <c r="M4166" s="51" t="s">
        <v>615</v>
      </c>
    </row>
    <row r="4167" spans="1:13" x14ac:dyDescent="0.25">
      <c r="A4167">
        <v>661</v>
      </c>
      <c r="B4167" s="47" t="str">
        <f>VLOOKUP(Tabla6[[#This Row],['# Vuelo]],'Validacion reclamo de equipaje'!P:Q,2,0)</f>
        <v>MEXICO AEREO</v>
      </c>
      <c r="C4167" s="52">
        <v>0.77013888888888893</v>
      </c>
      <c r="D4167" s="52">
        <v>0.78055555555555556</v>
      </c>
      <c r="E4167" s="53">
        <f>'Reclamo de equipaje rediseñado'!$D4167-'Reclamo de equipaje rediseñado'!$C4167</f>
        <v>1.041666666666663E-2</v>
      </c>
      <c r="F4167" s="52">
        <v>0.80208333333333337</v>
      </c>
      <c r="G4167" s="53">
        <f t="shared" si="65"/>
        <v>2.1527777777777812E-2</v>
      </c>
      <c r="H4167" s="54">
        <v>41806</v>
      </c>
      <c r="I4167" s="55" t="s">
        <v>559</v>
      </c>
      <c r="J4167" s="55">
        <v>738</v>
      </c>
      <c r="K4167" s="55">
        <f>VLOOKUP(J4167,'Validacion reclamo de equipaje'!L:M,2,0)</f>
        <v>189</v>
      </c>
      <c r="L4167" s="55" t="str">
        <f>VLOOKUP(I4167,'Validacion reclamo de equipaje'!H:I,2,0)</f>
        <v>Internacional</v>
      </c>
      <c r="M4167" s="55" t="s">
        <v>615</v>
      </c>
    </row>
    <row r="4168" spans="1:13" x14ac:dyDescent="0.25">
      <c r="A4168">
        <v>661</v>
      </c>
      <c r="B4168" s="47" t="str">
        <f>VLOOKUP(Tabla6[[#This Row],['# Vuelo]],'Validacion reclamo de equipaje'!P:Q,2,0)</f>
        <v>MEXICO AEREO</v>
      </c>
      <c r="C4168" s="48">
        <v>0.94097222222222221</v>
      </c>
      <c r="D4168" s="48">
        <v>0.94930555555555562</v>
      </c>
      <c r="E4168" s="49">
        <f>'Reclamo de equipaje rediseñado'!$D4168-'Reclamo de equipaje rediseñado'!$C4168</f>
        <v>8.3333333333334147E-3</v>
      </c>
      <c r="F4168" s="48">
        <v>0.95833333333333337</v>
      </c>
      <c r="G4168" s="49">
        <f t="shared" si="65"/>
        <v>9.0277777777777457E-3</v>
      </c>
      <c r="H4168" s="50">
        <v>41807</v>
      </c>
      <c r="I4168" s="51" t="s">
        <v>559</v>
      </c>
      <c r="J4168" s="51">
        <v>738</v>
      </c>
      <c r="K4168" s="51">
        <f>VLOOKUP(J4168,'Validacion reclamo de equipaje'!L:M,2,0)</f>
        <v>189</v>
      </c>
      <c r="L4168" s="51" t="str">
        <f>VLOOKUP(I4168,'Validacion reclamo de equipaje'!H:I,2,0)</f>
        <v>Internacional</v>
      </c>
      <c r="M4168" s="51" t="s">
        <v>615</v>
      </c>
    </row>
    <row r="4169" spans="1:13" x14ac:dyDescent="0.25">
      <c r="A4169">
        <v>661</v>
      </c>
      <c r="B4169" s="47" t="str">
        <f>VLOOKUP(Tabla6[[#This Row],['# Vuelo]],'Validacion reclamo de equipaje'!P:Q,2,0)</f>
        <v>MEXICO AEREO</v>
      </c>
      <c r="C4169" s="52">
        <v>0.25555555555555559</v>
      </c>
      <c r="D4169" s="52">
        <v>0.26458333333333334</v>
      </c>
      <c r="E4169" s="53">
        <f>'Reclamo de equipaje rediseñado'!$D4169-'Reclamo de equipaje rediseñado'!$C4169</f>
        <v>9.0277777777777457E-3</v>
      </c>
      <c r="F4169" s="52">
        <v>0.28472222222222221</v>
      </c>
      <c r="G4169" s="53">
        <f t="shared" si="65"/>
        <v>2.0138888888888873E-2</v>
      </c>
      <c r="H4169" s="54">
        <v>41810</v>
      </c>
      <c r="I4169" s="55" t="s">
        <v>559</v>
      </c>
      <c r="J4169" s="55">
        <v>738</v>
      </c>
      <c r="K4169" s="55">
        <f>VLOOKUP(J4169,'Validacion reclamo de equipaje'!L:M,2,0)</f>
        <v>189</v>
      </c>
      <c r="L4169" s="55" t="str">
        <f>VLOOKUP(I4169,'Validacion reclamo de equipaje'!H:I,2,0)</f>
        <v>Internacional</v>
      </c>
      <c r="M4169" s="55" t="s">
        <v>615</v>
      </c>
    </row>
    <row r="4170" spans="1:13" x14ac:dyDescent="0.25">
      <c r="A4170">
        <v>661</v>
      </c>
      <c r="B4170" s="47" t="str">
        <f>VLOOKUP(Tabla6[[#This Row],['# Vuelo]],'Validacion reclamo de equipaje'!P:Q,2,0)</f>
        <v>MEXICO AEREO</v>
      </c>
      <c r="C4170" s="48">
        <v>0.24444444444444446</v>
      </c>
      <c r="D4170" s="48">
        <v>0.25694444444444448</v>
      </c>
      <c r="E4170" s="49">
        <f>'Reclamo de equipaje rediseñado'!$D4170-'Reclamo de equipaje rediseñado'!$C4170</f>
        <v>1.2500000000000011E-2</v>
      </c>
      <c r="F4170" s="48">
        <v>0.27777777777777779</v>
      </c>
      <c r="G4170" s="49">
        <f t="shared" si="65"/>
        <v>2.0833333333333315E-2</v>
      </c>
      <c r="H4170" s="50">
        <v>41811</v>
      </c>
      <c r="I4170" s="51" t="s">
        <v>559</v>
      </c>
      <c r="J4170" s="51">
        <v>738</v>
      </c>
      <c r="K4170" s="51">
        <f>VLOOKUP(J4170,'Validacion reclamo de equipaje'!L:M,2,0)</f>
        <v>189</v>
      </c>
      <c r="L4170" s="51" t="str">
        <f>VLOOKUP(I4170,'Validacion reclamo de equipaje'!H:I,2,0)</f>
        <v>Internacional</v>
      </c>
      <c r="M4170" s="51" t="s">
        <v>615</v>
      </c>
    </row>
    <row r="4171" spans="1:13" x14ac:dyDescent="0.25">
      <c r="A4171">
        <v>661</v>
      </c>
      <c r="B4171" s="47" t="str">
        <f>VLOOKUP(Tabla6[[#This Row],['# Vuelo]],'Validacion reclamo de equipaje'!P:Q,2,0)</f>
        <v>MEXICO AEREO</v>
      </c>
      <c r="C4171" s="52">
        <v>0.24027777777777778</v>
      </c>
      <c r="D4171" s="52">
        <v>0.24791666666666667</v>
      </c>
      <c r="E4171" s="53">
        <f>'Reclamo de equipaje rediseñado'!$D4171-'Reclamo de equipaje rediseñado'!$C4171</f>
        <v>7.6388888888888895E-3</v>
      </c>
      <c r="F4171" s="52">
        <v>0.2902777777777778</v>
      </c>
      <c r="G4171" s="53">
        <f t="shared" si="65"/>
        <v>4.2361111111111127E-2</v>
      </c>
      <c r="H4171" s="54">
        <v>41813</v>
      </c>
      <c r="I4171" s="55" t="s">
        <v>559</v>
      </c>
      <c r="J4171" s="55">
        <v>738</v>
      </c>
      <c r="K4171" s="55">
        <f>VLOOKUP(J4171,'Validacion reclamo de equipaje'!L:M,2,0)</f>
        <v>189</v>
      </c>
      <c r="L4171" s="55" t="str">
        <f>VLOOKUP(I4171,'Validacion reclamo de equipaje'!H:I,2,0)</f>
        <v>Internacional</v>
      </c>
      <c r="M4171" s="55" t="s">
        <v>615</v>
      </c>
    </row>
    <row r="4172" spans="1:13" x14ac:dyDescent="0.25">
      <c r="A4172">
        <v>466</v>
      </c>
      <c r="B4172" s="47" t="str">
        <f>VLOOKUP(Tabla6[[#This Row],['# Vuelo]],'Validacion reclamo de equipaje'!P:Q,2,0)</f>
        <v>MEXICO AEREO</v>
      </c>
      <c r="C4172" s="48">
        <v>0.9590277777777777</v>
      </c>
      <c r="D4172" s="48">
        <v>0.96805555555555556</v>
      </c>
      <c r="E4172" s="49">
        <f>'Reclamo de equipaje rediseñado'!$D4172-'Reclamo de equipaje rediseñado'!$C4172</f>
        <v>9.0277777777778567E-3</v>
      </c>
      <c r="F4172" s="48">
        <v>0.9784722222222223</v>
      </c>
      <c r="G4172" s="49">
        <f t="shared" si="65"/>
        <v>1.0416666666666741E-2</v>
      </c>
      <c r="H4172" s="50">
        <v>41791</v>
      </c>
      <c r="I4172" s="51" t="s">
        <v>536</v>
      </c>
      <c r="J4172" s="51">
        <v>738</v>
      </c>
      <c r="K4172" s="51">
        <f>VLOOKUP(J4172,'Validacion reclamo de equipaje'!L:M,2,0)</f>
        <v>189</v>
      </c>
      <c r="L4172" s="51" t="str">
        <f>VLOOKUP(I4172,'Validacion reclamo de equipaje'!H:I,2,0)</f>
        <v>Nacional</v>
      </c>
      <c r="M4172" s="51" t="s">
        <v>615</v>
      </c>
    </row>
    <row r="4173" spans="1:13" x14ac:dyDescent="0.25">
      <c r="A4173">
        <v>466</v>
      </c>
      <c r="B4173" s="47" t="str">
        <f>VLOOKUP(Tabla6[[#This Row],['# Vuelo]],'Validacion reclamo de equipaje'!P:Q,2,0)</f>
        <v>MEXICO AEREO</v>
      </c>
      <c r="C4173" s="52">
        <v>0.88888888888888884</v>
      </c>
      <c r="D4173" s="52">
        <v>0.88958333333333339</v>
      </c>
      <c r="E4173" s="53">
        <f>'Reclamo de equipaje rediseñado'!$D4173-'Reclamo de equipaje rediseñado'!$C4173</f>
        <v>6.94444444444553E-4</v>
      </c>
      <c r="F4173" s="52">
        <v>0.89513888888888893</v>
      </c>
      <c r="G4173" s="53">
        <f t="shared" si="65"/>
        <v>5.5555555555555358E-3</v>
      </c>
      <c r="H4173" s="54">
        <v>41792</v>
      </c>
      <c r="I4173" s="55" t="s">
        <v>536</v>
      </c>
      <c r="J4173" s="55">
        <v>738</v>
      </c>
      <c r="K4173" s="55">
        <f>VLOOKUP(J4173,'Validacion reclamo de equipaje'!L:M,2,0)</f>
        <v>189</v>
      </c>
      <c r="L4173" s="55" t="str">
        <f>VLOOKUP(I4173,'Validacion reclamo de equipaje'!H:I,2,0)</f>
        <v>Nacional</v>
      </c>
      <c r="M4173" s="55" t="s">
        <v>615</v>
      </c>
    </row>
    <row r="4174" spans="1:13" x14ac:dyDescent="0.25">
      <c r="A4174">
        <v>466</v>
      </c>
      <c r="B4174" s="47" t="str">
        <f>VLOOKUP(Tabla6[[#This Row],['# Vuelo]],'Validacion reclamo de equipaje'!P:Q,2,0)</f>
        <v>MEXICO AEREO</v>
      </c>
      <c r="C4174" s="48">
        <v>0.90625</v>
      </c>
      <c r="D4174" s="48">
        <v>0.91249999999999998</v>
      </c>
      <c r="E4174" s="49">
        <f>'Reclamo de equipaje rediseñado'!$D4174-'Reclamo de equipaje rediseñado'!$C4174</f>
        <v>6.2499999999999778E-3</v>
      </c>
      <c r="F4174" s="48">
        <v>0.92013888888888884</v>
      </c>
      <c r="G4174" s="49">
        <f t="shared" si="65"/>
        <v>7.6388888888888618E-3</v>
      </c>
      <c r="H4174" s="50">
        <v>41794</v>
      </c>
      <c r="I4174" s="51" t="s">
        <v>536</v>
      </c>
      <c r="J4174" s="51">
        <v>738</v>
      </c>
      <c r="K4174" s="51">
        <f>VLOOKUP(J4174,'Validacion reclamo de equipaje'!L:M,2,0)</f>
        <v>189</v>
      </c>
      <c r="L4174" s="51" t="str">
        <f>VLOOKUP(I4174,'Validacion reclamo de equipaje'!H:I,2,0)</f>
        <v>Nacional</v>
      </c>
      <c r="M4174" s="51" t="s">
        <v>615</v>
      </c>
    </row>
    <row r="4175" spans="1:13" x14ac:dyDescent="0.25">
      <c r="A4175">
        <v>466</v>
      </c>
      <c r="B4175" s="47" t="str">
        <f>VLOOKUP(Tabla6[[#This Row],['# Vuelo]],'Validacion reclamo de equipaje'!P:Q,2,0)</f>
        <v>MEXICO AEREO</v>
      </c>
      <c r="C4175" s="52">
        <v>0.88194444444444453</v>
      </c>
      <c r="D4175" s="52">
        <v>0.89166666666666661</v>
      </c>
      <c r="E4175" s="53">
        <f>'Reclamo de equipaje rediseñado'!$D4175-'Reclamo de equipaje rediseñado'!$C4175</f>
        <v>9.7222222222220767E-3</v>
      </c>
      <c r="F4175" s="52">
        <v>0.89583333333333337</v>
      </c>
      <c r="G4175" s="53">
        <f t="shared" si="65"/>
        <v>4.1666666666667629E-3</v>
      </c>
      <c r="H4175" s="54">
        <v>41795</v>
      </c>
      <c r="I4175" s="55" t="s">
        <v>536</v>
      </c>
      <c r="J4175" s="55">
        <v>738</v>
      </c>
      <c r="K4175" s="55">
        <f>VLOOKUP(J4175,'Validacion reclamo de equipaje'!L:M,2,0)</f>
        <v>189</v>
      </c>
      <c r="L4175" s="55" t="str">
        <f>VLOOKUP(I4175,'Validacion reclamo de equipaje'!H:I,2,0)</f>
        <v>Nacional</v>
      </c>
      <c r="M4175" s="55" t="s">
        <v>615</v>
      </c>
    </row>
    <row r="4176" spans="1:13" x14ac:dyDescent="0.25">
      <c r="A4176">
        <v>466</v>
      </c>
      <c r="B4176" s="47" t="str">
        <f>VLOOKUP(Tabla6[[#This Row],['# Vuelo]],'Validacion reclamo de equipaje'!P:Q,2,0)</f>
        <v>MEXICO AEREO</v>
      </c>
      <c r="C4176" s="48">
        <v>0.88402777777777775</v>
      </c>
      <c r="D4176" s="48">
        <v>0.88888888888888884</v>
      </c>
      <c r="E4176" s="49">
        <f>'Reclamo de equipaje rediseñado'!$D4176-'Reclamo de equipaje rediseñado'!$C4176</f>
        <v>4.8611111111110938E-3</v>
      </c>
      <c r="F4176" s="48">
        <v>0.89722222222222225</v>
      </c>
      <c r="G4176" s="49">
        <f t="shared" si="65"/>
        <v>8.3333333333334147E-3</v>
      </c>
      <c r="H4176" s="50">
        <v>41796</v>
      </c>
      <c r="I4176" s="51" t="s">
        <v>536</v>
      </c>
      <c r="J4176" s="51">
        <v>738</v>
      </c>
      <c r="K4176" s="51">
        <f>VLOOKUP(J4176,'Validacion reclamo de equipaje'!L:M,2,0)</f>
        <v>189</v>
      </c>
      <c r="L4176" s="51" t="str">
        <f>VLOOKUP(I4176,'Validacion reclamo de equipaje'!H:I,2,0)</f>
        <v>Nacional</v>
      </c>
      <c r="M4176" s="51" t="s">
        <v>615</v>
      </c>
    </row>
    <row r="4177" spans="1:13" x14ac:dyDescent="0.25">
      <c r="A4177">
        <v>466</v>
      </c>
      <c r="B4177" s="47" t="str">
        <f>VLOOKUP(Tabla6[[#This Row],['# Vuelo]],'Validacion reclamo de equipaje'!P:Q,2,0)</f>
        <v>MEXICO AEREO</v>
      </c>
      <c r="C4177" s="52">
        <v>0.84652777777777777</v>
      </c>
      <c r="D4177" s="52">
        <v>0.89930555555555547</v>
      </c>
      <c r="E4177" s="53">
        <f>'Reclamo de equipaje rediseñado'!$D4177-'Reclamo de equipaje rediseñado'!$C4177</f>
        <v>5.2777777777777701E-2</v>
      </c>
      <c r="F4177" s="52">
        <v>0.90625</v>
      </c>
      <c r="G4177" s="53">
        <f t="shared" si="65"/>
        <v>6.9444444444445308E-3</v>
      </c>
      <c r="H4177" s="54">
        <v>41799</v>
      </c>
      <c r="I4177" s="55" t="s">
        <v>536</v>
      </c>
      <c r="J4177" s="55">
        <v>738</v>
      </c>
      <c r="K4177" s="55">
        <f>VLOOKUP(J4177,'Validacion reclamo de equipaje'!L:M,2,0)</f>
        <v>189</v>
      </c>
      <c r="L4177" s="55" t="str">
        <f>VLOOKUP(I4177,'Validacion reclamo de equipaje'!H:I,2,0)</f>
        <v>Nacional</v>
      </c>
      <c r="M4177" s="55" t="s">
        <v>615</v>
      </c>
    </row>
    <row r="4178" spans="1:13" x14ac:dyDescent="0.25">
      <c r="A4178">
        <v>466</v>
      </c>
      <c r="B4178" s="47" t="str">
        <f>VLOOKUP(Tabla6[[#This Row],['# Vuelo]],'Validacion reclamo de equipaje'!P:Q,2,0)</f>
        <v>MEXICO AEREO</v>
      </c>
      <c r="C4178" s="48">
        <v>0.48125000000000001</v>
      </c>
      <c r="D4178" s="48">
        <v>0.48819444444444443</v>
      </c>
      <c r="E4178" s="49">
        <f>'Reclamo de equipaje rediseñado'!$D4178-'Reclamo de equipaje rediseñado'!$C4178</f>
        <v>6.9444444444444198E-3</v>
      </c>
      <c r="F4178" s="48">
        <v>0.49305555555555558</v>
      </c>
      <c r="G4178" s="49">
        <f t="shared" si="65"/>
        <v>4.8611111111111494E-3</v>
      </c>
      <c r="H4178" s="50">
        <v>41800</v>
      </c>
      <c r="I4178" s="51" t="s">
        <v>536</v>
      </c>
      <c r="J4178" s="51">
        <v>738</v>
      </c>
      <c r="K4178" s="51">
        <f>VLOOKUP(J4178,'Validacion reclamo de equipaje'!L:M,2,0)</f>
        <v>189</v>
      </c>
      <c r="L4178" s="51" t="str">
        <f>VLOOKUP(I4178,'Validacion reclamo de equipaje'!H:I,2,0)</f>
        <v>Nacional</v>
      </c>
      <c r="M4178" s="51" t="s">
        <v>615</v>
      </c>
    </row>
    <row r="4179" spans="1:13" x14ac:dyDescent="0.25">
      <c r="A4179">
        <v>466</v>
      </c>
      <c r="B4179" s="47" t="str">
        <f>VLOOKUP(Tabla6[[#This Row],['# Vuelo]],'Validacion reclamo de equipaje'!P:Q,2,0)</f>
        <v>MEXICO AEREO</v>
      </c>
      <c r="C4179" s="52">
        <v>0.52083333333333337</v>
      </c>
      <c r="D4179" s="52">
        <v>0.53055555555555556</v>
      </c>
      <c r="E4179" s="53">
        <f>'Reclamo de equipaje rediseñado'!$D4179-'Reclamo de equipaje rediseñado'!$C4179</f>
        <v>9.7222222222221877E-3</v>
      </c>
      <c r="F4179" s="52">
        <v>0.54027777777777775</v>
      </c>
      <c r="G4179" s="53">
        <f t="shared" si="65"/>
        <v>9.7222222222221877E-3</v>
      </c>
      <c r="H4179" s="54">
        <v>41801</v>
      </c>
      <c r="I4179" s="55" t="s">
        <v>536</v>
      </c>
      <c r="J4179" s="55">
        <v>738</v>
      </c>
      <c r="K4179" s="55">
        <f>VLOOKUP(J4179,'Validacion reclamo de equipaje'!L:M,2,0)</f>
        <v>189</v>
      </c>
      <c r="L4179" s="55" t="str">
        <f>VLOOKUP(I4179,'Validacion reclamo de equipaje'!H:I,2,0)</f>
        <v>Nacional</v>
      </c>
      <c r="M4179" s="55" t="s">
        <v>615</v>
      </c>
    </row>
    <row r="4180" spans="1:13" x14ac:dyDescent="0.25">
      <c r="A4180">
        <v>466</v>
      </c>
      <c r="B4180" s="47" t="str">
        <f>VLOOKUP(Tabla6[[#This Row],['# Vuelo]],'Validacion reclamo de equipaje'!P:Q,2,0)</f>
        <v>MEXICO AEREO</v>
      </c>
      <c r="C4180" s="48">
        <v>0.44791666666666669</v>
      </c>
      <c r="D4180" s="48">
        <v>0.45277777777777778</v>
      </c>
      <c r="E4180" s="49">
        <f>'Reclamo de equipaje rediseñado'!$D4180-'Reclamo de equipaje rediseñado'!$C4180</f>
        <v>4.8611111111110938E-3</v>
      </c>
      <c r="F4180" s="48">
        <v>0.45833333333333331</v>
      </c>
      <c r="G4180" s="49">
        <f t="shared" si="65"/>
        <v>5.5555555555555358E-3</v>
      </c>
      <c r="H4180" s="50">
        <v>41803</v>
      </c>
      <c r="I4180" s="51" t="s">
        <v>536</v>
      </c>
      <c r="J4180" s="51">
        <v>738</v>
      </c>
      <c r="K4180" s="51">
        <f>VLOOKUP(J4180,'Validacion reclamo de equipaje'!L:M,2,0)</f>
        <v>189</v>
      </c>
      <c r="L4180" s="51" t="str">
        <f>VLOOKUP(I4180,'Validacion reclamo de equipaje'!H:I,2,0)</f>
        <v>Nacional</v>
      </c>
      <c r="M4180" s="51" t="s">
        <v>615</v>
      </c>
    </row>
    <row r="4181" spans="1:13" x14ac:dyDescent="0.25">
      <c r="A4181">
        <v>466</v>
      </c>
      <c r="B4181" s="47" t="str">
        <f>VLOOKUP(Tabla6[[#This Row],['# Vuelo]],'Validacion reclamo de equipaje'!P:Q,2,0)</f>
        <v>MEXICO AEREO</v>
      </c>
      <c r="C4181" s="52">
        <v>0.27291666666666664</v>
      </c>
      <c r="D4181" s="52">
        <v>0.28125</v>
      </c>
      <c r="E4181" s="53">
        <f>'Reclamo de equipaje rediseñado'!$D4181-'Reclamo de equipaje rediseñado'!$C4181</f>
        <v>8.3333333333333592E-3</v>
      </c>
      <c r="F4181" s="52">
        <v>0.30208333333333331</v>
      </c>
      <c r="G4181" s="53">
        <f t="shared" si="65"/>
        <v>2.0833333333333315E-2</v>
      </c>
      <c r="H4181" s="54">
        <v>41805</v>
      </c>
      <c r="I4181" s="55" t="s">
        <v>536</v>
      </c>
      <c r="J4181" s="55">
        <v>738</v>
      </c>
      <c r="K4181" s="55">
        <f>VLOOKUP(J4181,'Validacion reclamo de equipaje'!L:M,2,0)</f>
        <v>189</v>
      </c>
      <c r="L4181" s="55" t="str">
        <f>VLOOKUP(I4181,'Validacion reclamo de equipaje'!H:I,2,0)</f>
        <v>Nacional</v>
      </c>
      <c r="M4181" s="55" t="s">
        <v>615</v>
      </c>
    </row>
    <row r="4182" spans="1:13" x14ac:dyDescent="0.25">
      <c r="A4182">
        <v>466</v>
      </c>
      <c r="B4182" s="47" t="str">
        <f>VLOOKUP(Tabla6[[#This Row],['# Vuelo]],'Validacion reclamo de equipaje'!P:Q,2,0)</f>
        <v>MEXICO AEREO</v>
      </c>
      <c r="C4182" s="48">
        <v>0.90277777777777779</v>
      </c>
      <c r="D4182" s="48">
        <v>0.91249999999999998</v>
      </c>
      <c r="E4182" s="49">
        <f>'Reclamo de equipaje rediseñado'!$D4182-'Reclamo de equipaje rediseñado'!$C4182</f>
        <v>9.7222222222221877E-3</v>
      </c>
      <c r="F4182" s="48">
        <v>0.93402777777777779</v>
      </c>
      <c r="G4182" s="49">
        <f t="shared" si="65"/>
        <v>2.1527777777777812E-2</v>
      </c>
      <c r="H4182" s="50">
        <v>41806</v>
      </c>
      <c r="I4182" s="51" t="s">
        <v>536</v>
      </c>
      <c r="J4182" s="51">
        <v>738</v>
      </c>
      <c r="K4182" s="51">
        <f>VLOOKUP(J4182,'Validacion reclamo de equipaje'!L:M,2,0)</f>
        <v>189</v>
      </c>
      <c r="L4182" s="51" t="str">
        <f>VLOOKUP(I4182,'Validacion reclamo de equipaje'!H:I,2,0)</f>
        <v>Nacional</v>
      </c>
      <c r="M4182" s="51" t="s">
        <v>615</v>
      </c>
    </row>
    <row r="4183" spans="1:13" x14ac:dyDescent="0.25">
      <c r="A4183">
        <v>466</v>
      </c>
      <c r="B4183" s="47" t="str">
        <f>VLOOKUP(Tabla6[[#This Row],['# Vuelo]],'Validacion reclamo de equipaje'!P:Q,2,0)</f>
        <v>MEXICO AEREO</v>
      </c>
      <c r="C4183" s="52">
        <v>0.87708333333333333</v>
      </c>
      <c r="D4183" s="52">
        <v>0.8881944444444444</v>
      </c>
      <c r="E4183" s="53">
        <f>'Reclamo de equipaje rediseñado'!$D4183-'Reclamo de equipaje rediseñado'!$C4183</f>
        <v>1.1111111111111072E-2</v>
      </c>
      <c r="F4183" s="52">
        <v>0.89236111111111116</v>
      </c>
      <c r="G4183" s="53">
        <f t="shared" si="65"/>
        <v>4.1666666666667629E-3</v>
      </c>
      <c r="H4183" s="54">
        <v>41807</v>
      </c>
      <c r="I4183" s="55" t="s">
        <v>536</v>
      </c>
      <c r="J4183" s="55">
        <v>738</v>
      </c>
      <c r="K4183" s="55">
        <f>VLOOKUP(J4183,'Validacion reclamo de equipaje'!L:M,2,0)</f>
        <v>189</v>
      </c>
      <c r="L4183" s="55" t="str">
        <f>VLOOKUP(I4183,'Validacion reclamo de equipaje'!H:I,2,0)</f>
        <v>Nacional</v>
      </c>
      <c r="M4183" s="55" t="s">
        <v>615</v>
      </c>
    </row>
    <row r="4184" spans="1:13" x14ac:dyDescent="0.25">
      <c r="A4184">
        <v>466</v>
      </c>
      <c r="B4184" s="47" t="str">
        <f>VLOOKUP(Tabla6[[#This Row],['# Vuelo]],'Validacion reclamo de equipaje'!P:Q,2,0)</f>
        <v>MEXICO AEREO</v>
      </c>
      <c r="C4184" s="48">
        <v>0.91666666666666663</v>
      </c>
      <c r="D4184" s="48">
        <v>0.9291666666666667</v>
      </c>
      <c r="E4184" s="49">
        <f>'Reclamo de equipaje rediseñado'!$D4184-'Reclamo de equipaje rediseñado'!$C4184</f>
        <v>1.2500000000000067E-2</v>
      </c>
      <c r="F4184" s="48">
        <v>0.93402777777777779</v>
      </c>
      <c r="G4184" s="49">
        <f t="shared" si="65"/>
        <v>4.8611111111110938E-3</v>
      </c>
      <c r="H4184" s="50">
        <v>41808</v>
      </c>
      <c r="I4184" s="51" t="s">
        <v>536</v>
      </c>
      <c r="J4184" s="51">
        <v>738</v>
      </c>
      <c r="K4184" s="51">
        <f>VLOOKUP(J4184,'Validacion reclamo de equipaje'!L:M,2,0)</f>
        <v>189</v>
      </c>
      <c r="L4184" s="51" t="str">
        <f>VLOOKUP(I4184,'Validacion reclamo de equipaje'!H:I,2,0)</f>
        <v>Nacional</v>
      </c>
      <c r="M4184" s="51" t="s">
        <v>615</v>
      </c>
    </row>
    <row r="4185" spans="1:13" x14ac:dyDescent="0.25">
      <c r="A4185">
        <v>466</v>
      </c>
      <c r="B4185" s="47" t="str">
        <f>VLOOKUP(Tabla6[[#This Row],['# Vuelo]],'Validacion reclamo de equipaje'!P:Q,2,0)</f>
        <v>MEXICO AEREO</v>
      </c>
      <c r="C4185" s="52">
        <v>0.91111111111111109</v>
      </c>
      <c r="D4185" s="52">
        <v>0.91736111111111107</v>
      </c>
      <c r="E4185" s="53">
        <f>'Reclamo de equipaje rediseñado'!$D4185-'Reclamo de equipaje rediseñado'!$C4185</f>
        <v>6.2499999999999778E-3</v>
      </c>
      <c r="F4185" s="52">
        <v>0.92222222222222217</v>
      </c>
      <c r="G4185" s="53">
        <f t="shared" si="65"/>
        <v>4.8611111111110938E-3</v>
      </c>
      <c r="H4185" s="54">
        <v>41809</v>
      </c>
      <c r="I4185" s="55" t="s">
        <v>536</v>
      </c>
      <c r="J4185" s="55">
        <v>738</v>
      </c>
      <c r="K4185" s="55">
        <f>VLOOKUP(J4185,'Validacion reclamo de equipaje'!L:M,2,0)</f>
        <v>189</v>
      </c>
      <c r="L4185" s="55" t="str">
        <f>VLOOKUP(I4185,'Validacion reclamo de equipaje'!H:I,2,0)</f>
        <v>Nacional</v>
      </c>
      <c r="M4185" s="55" t="s">
        <v>615</v>
      </c>
    </row>
    <row r="4186" spans="1:13" x14ac:dyDescent="0.25">
      <c r="A4186">
        <v>466</v>
      </c>
      <c r="B4186" s="47" t="str">
        <f>VLOOKUP(Tabla6[[#This Row],['# Vuelo]],'Validacion reclamo de equipaje'!P:Q,2,0)</f>
        <v>MEXICO AEREO</v>
      </c>
      <c r="C4186" s="48">
        <v>0.92361111111111116</v>
      </c>
      <c r="D4186" s="48">
        <v>0.93194444444444446</v>
      </c>
      <c r="E4186" s="49">
        <f>'Reclamo de equipaje rediseñado'!$D4186-'Reclamo de equipaje rediseñado'!$C4186</f>
        <v>8.3333333333333037E-3</v>
      </c>
      <c r="F4186" s="48">
        <v>0.94097222222222221</v>
      </c>
      <c r="G4186" s="49">
        <f t="shared" si="65"/>
        <v>9.0277777777777457E-3</v>
      </c>
      <c r="H4186" s="50">
        <v>41810</v>
      </c>
      <c r="I4186" s="51" t="s">
        <v>536</v>
      </c>
      <c r="J4186" s="51">
        <v>738</v>
      </c>
      <c r="K4186" s="51">
        <f>VLOOKUP(J4186,'Validacion reclamo de equipaje'!L:M,2,0)</f>
        <v>189</v>
      </c>
      <c r="L4186" s="51" t="str">
        <f>VLOOKUP(I4186,'Validacion reclamo de equipaje'!H:I,2,0)</f>
        <v>Nacional</v>
      </c>
      <c r="M4186" s="51" t="s">
        <v>615</v>
      </c>
    </row>
    <row r="4187" spans="1:13" x14ac:dyDescent="0.25">
      <c r="A4187">
        <v>466</v>
      </c>
      <c r="B4187" s="47" t="str">
        <f>VLOOKUP(Tabla6[[#This Row],['# Vuelo]],'Validacion reclamo de equipaje'!P:Q,2,0)</f>
        <v>MEXICO AEREO</v>
      </c>
      <c r="C4187" s="52">
        <v>0.89513888888888893</v>
      </c>
      <c r="D4187" s="52">
        <v>0.90486111111111101</v>
      </c>
      <c r="E4187" s="53">
        <f>'Reclamo de equipaje rediseñado'!$D4187-'Reclamo de equipaje rediseñado'!$C4187</f>
        <v>9.7222222222220767E-3</v>
      </c>
      <c r="F4187" s="52">
        <v>0.91180555555555554</v>
      </c>
      <c r="G4187" s="53">
        <f t="shared" si="65"/>
        <v>6.9444444444445308E-3</v>
      </c>
      <c r="H4187" s="54">
        <v>41812</v>
      </c>
      <c r="I4187" s="55" t="s">
        <v>536</v>
      </c>
      <c r="J4187" s="55">
        <v>738</v>
      </c>
      <c r="K4187" s="55">
        <f>VLOOKUP(J4187,'Validacion reclamo de equipaje'!L:M,2,0)</f>
        <v>189</v>
      </c>
      <c r="L4187" s="55" t="str">
        <f>VLOOKUP(I4187,'Validacion reclamo de equipaje'!H:I,2,0)</f>
        <v>Nacional</v>
      </c>
      <c r="M4187" s="55" t="s">
        <v>615</v>
      </c>
    </row>
    <row r="4188" spans="1:13" x14ac:dyDescent="0.25">
      <c r="A4188">
        <v>466</v>
      </c>
      <c r="B4188" s="47" t="str">
        <f>VLOOKUP(Tabla6[[#This Row],['# Vuelo]],'Validacion reclamo de equipaje'!P:Q,2,0)</f>
        <v>MEXICO AEREO</v>
      </c>
      <c r="C4188" s="48">
        <v>0.875</v>
      </c>
      <c r="D4188" s="48">
        <v>0.87916666666666676</v>
      </c>
      <c r="E4188" s="49">
        <f>'Reclamo de equipaje rediseñado'!$D4188-'Reclamo de equipaje rediseñado'!$C4188</f>
        <v>4.1666666666667629E-3</v>
      </c>
      <c r="F4188" s="48">
        <v>0.88541666666666663</v>
      </c>
      <c r="G4188" s="49">
        <f t="shared" si="65"/>
        <v>6.2499999999998668E-3</v>
      </c>
      <c r="H4188" s="50">
        <v>41813</v>
      </c>
      <c r="I4188" s="51" t="s">
        <v>536</v>
      </c>
      <c r="J4188" s="51">
        <v>738</v>
      </c>
      <c r="K4188" s="51">
        <f>VLOOKUP(J4188,'Validacion reclamo de equipaje'!L:M,2,0)</f>
        <v>189</v>
      </c>
      <c r="L4188" s="51" t="str">
        <f>VLOOKUP(I4188,'Validacion reclamo de equipaje'!H:I,2,0)</f>
        <v>Nacional</v>
      </c>
      <c r="M4188" s="51" t="s">
        <v>615</v>
      </c>
    </row>
    <row r="4189" spans="1:13" x14ac:dyDescent="0.25">
      <c r="A4189">
        <v>466</v>
      </c>
      <c r="B4189" s="47" t="str">
        <f>VLOOKUP(Tabla6[[#This Row],['# Vuelo]],'Validacion reclamo de equipaje'!P:Q,2,0)</f>
        <v>MEXICO AEREO</v>
      </c>
      <c r="C4189" s="52">
        <v>0.89583333333333337</v>
      </c>
      <c r="D4189" s="52">
        <v>0.89930555555555547</v>
      </c>
      <c r="E4189" s="53">
        <f>'Reclamo de equipaje rediseñado'!$D4189-'Reclamo de equipaje rediseñado'!$C4189</f>
        <v>3.4722222222220989E-3</v>
      </c>
      <c r="F4189" s="52">
        <v>0.90625</v>
      </c>
      <c r="G4189" s="53">
        <f t="shared" si="65"/>
        <v>6.9444444444445308E-3</v>
      </c>
      <c r="H4189" s="54">
        <v>41793</v>
      </c>
      <c r="I4189" s="55" t="s">
        <v>536</v>
      </c>
      <c r="J4189" s="55">
        <v>738</v>
      </c>
      <c r="K4189" s="55">
        <f>VLOOKUP(J4189,'Validacion reclamo de equipaje'!L:M,2,0)</f>
        <v>189</v>
      </c>
      <c r="L4189" s="55" t="str">
        <f>VLOOKUP(I4189,'Validacion reclamo de equipaje'!H:I,2,0)</f>
        <v>Nacional</v>
      </c>
      <c r="M4189" s="55" t="s">
        <v>615</v>
      </c>
    </row>
    <row r="4190" spans="1:13" x14ac:dyDescent="0.25">
      <c r="A4190">
        <v>432</v>
      </c>
      <c r="B4190" s="47" t="str">
        <f>VLOOKUP(Tabla6[[#This Row],['# Vuelo]],'Validacion reclamo de equipaje'!P:Q,2,0)</f>
        <v>BARATA Y MORADA</v>
      </c>
      <c r="C4190" s="48">
        <v>0.44513888888888892</v>
      </c>
      <c r="D4190" s="48">
        <v>0.45694444444444443</v>
      </c>
      <c r="E4190" s="49">
        <f>'Reclamo de equipaje rediseñado'!$D4190-'Reclamo de equipaje rediseñado'!$C4190</f>
        <v>1.1805555555555514E-2</v>
      </c>
      <c r="F4190" s="48">
        <v>0.45902777777777781</v>
      </c>
      <c r="G4190" s="49">
        <f t="shared" si="65"/>
        <v>2.0833333333333814E-3</v>
      </c>
      <c r="H4190" s="50">
        <v>41803</v>
      </c>
      <c r="I4190" s="51" t="s">
        <v>549</v>
      </c>
      <c r="J4190" s="51">
        <v>320</v>
      </c>
      <c r="K4190" s="51">
        <f>VLOOKUP(J4190,'Validacion reclamo de equipaje'!L:M,2,0)</f>
        <v>179</v>
      </c>
      <c r="L4190" s="51" t="str">
        <f>VLOOKUP(I4190,'Validacion reclamo de equipaje'!H:I,2,0)</f>
        <v>Nacional</v>
      </c>
      <c r="M4190" s="51" t="s">
        <v>615</v>
      </c>
    </row>
    <row r="4191" spans="1:13" x14ac:dyDescent="0.25">
      <c r="A4191">
        <v>428</v>
      </c>
      <c r="B4191" s="47" t="str">
        <f>VLOOKUP(Tabla6[[#This Row],['# Vuelo]],'Validacion reclamo de equipaje'!P:Q,2,0)</f>
        <v>BARATA Y MORADA</v>
      </c>
      <c r="C4191" s="52">
        <v>0.46388888888888885</v>
      </c>
      <c r="D4191" s="52">
        <v>0.47222222222222227</v>
      </c>
      <c r="E4191" s="53">
        <f>'Reclamo de equipaje rediseñado'!$D4191-'Reclamo de equipaje rediseñado'!$C4191</f>
        <v>8.3333333333334147E-3</v>
      </c>
      <c r="F4191" s="52">
        <v>0.4826388888888889</v>
      </c>
      <c r="G4191" s="53">
        <f t="shared" si="65"/>
        <v>1.041666666666663E-2</v>
      </c>
      <c r="H4191" s="54">
        <v>41805</v>
      </c>
      <c r="I4191" s="55" t="s">
        <v>549</v>
      </c>
      <c r="J4191" s="55">
        <v>320</v>
      </c>
      <c r="K4191" s="55">
        <f>VLOOKUP(J4191,'Validacion reclamo de equipaje'!L:M,2,0)</f>
        <v>179</v>
      </c>
      <c r="L4191" s="55" t="str">
        <f>VLOOKUP(I4191,'Validacion reclamo de equipaje'!H:I,2,0)</f>
        <v>Nacional</v>
      </c>
      <c r="M4191" s="55" t="s">
        <v>615</v>
      </c>
    </row>
    <row r="4192" spans="1:13" x14ac:dyDescent="0.25">
      <c r="A4192">
        <v>424</v>
      </c>
      <c r="B4192" s="47" t="str">
        <f>VLOOKUP(Tabla6[[#This Row],['# Vuelo]],'Validacion reclamo de equipaje'!P:Q,2,0)</f>
        <v>BARATA Y MORADA</v>
      </c>
      <c r="C4192" s="48">
        <v>0.57916666666666672</v>
      </c>
      <c r="D4192" s="48">
        <v>0.58888888888888891</v>
      </c>
      <c r="E4192" s="49">
        <f>'Reclamo de equipaje rediseñado'!$D4192-'Reclamo de equipaje rediseñado'!$C4192</f>
        <v>9.7222222222221877E-3</v>
      </c>
      <c r="F4192" s="48">
        <v>0.59583333333333333</v>
      </c>
      <c r="G4192" s="49">
        <f t="shared" si="65"/>
        <v>6.9444444444444198E-3</v>
      </c>
      <c r="H4192" s="50">
        <v>41805</v>
      </c>
      <c r="I4192" s="51" t="s">
        <v>549</v>
      </c>
      <c r="J4192" s="51">
        <v>320</v>
      </c>
      <c r="K4192" s="51">
        <f>VLOOKUP(J4192,'Validacion reclamo de equipaje'!L:M,2,0)</f>
        <v>179</v>
      </c>
      <c r="L4192" s="51" t="str">
        <f>VLOOKUP(I4192,'Validacion reclamo de equipaje'!H:I,2,0)</f>
        <v>Nacional</v>
      </c>
      <c r="M4192" s="51" t="s">
        <v>615</v>
      </c>
    </row>
    <row r="4193" spans="1:13" x14ac:dyDescent="0.25">
      <c r="A4193">
        <v>286</v>
      </c>
      <c r="B4193" s="47" t="str">
        <f>VLOOKUP(Tabla6[[#This Row],['# Vuelo]],'Validacion reclamo de equipaje'!P:Q,2,0)</f>
        <v>MEXICO AEREO</v>
      </c>
      <c r="C4193" s="52">
        <v>0.60972222222222217</v>
      </c>
      <c r="D4193" s="52">
        <v>0.61527777777777781</v>
      </c>
      <c r="E4193" s="53">
        <f>'Reclamo de equipaje rediseñado'!$D4193-'Reclamo de equipaje rediseñado'!$C4193</f>
        <v>5.5555555555556468E-3</v>
      </c>
      <c r="F4193" s="52">
        <v>0.62222222222222223</v>
      </c>
      <c r="G4193" s="53">
        <f t="shared" si="65"/>
        <v>6.9444444444444198E-3</v>
      </c>
      <c r="H4193" s="54">
        <v>41791</v>
      </c>
      <c r="I4193" s="55" t="s">
        <v>536</v>
      </c>
      <c r="J4193" s="55" t="s">
        <v>535</v>
      </c>
      <c r="K4193" s="55">
        <f>VLOOKUP(J4193,'Validacion reclamo de equipaje'!L:M,2,0)</f>
        <v>50</v>
      </c>
      <c r="L4193" s="55" t="str">
        <f>VLOOKUP(I4193,'Validacion reclamo de equipaje'!H:I,2,0)</f>
        <v>Nacional</v>
      </c>
      <c r="M4193" s="55" t="s">
        <v>615</v>
      </c>
    </row>
    <row r="4194" spans="1:13" x14ac:dyDescent="0.25">
      <c r="A4194">
        <v>286</v>
      </c>
      <c r="B4194" s="47" t="str">
        <f>VLOOKUP(Tabla6[[#This Row],['# Vuelo]],'Validacion reclamo de equipaje'!P:Q,2,0)</f>
        <v>MEXICO AEREO</v>
      </c>
      <c r="C4194" s="48">
        <v>0.59027777777777779</v>
      </c>
      <c r="D4194" s="48">
        <v>0.59375</v>
      </c>
      <c r="E4194" s="49">
        <f>'Reclamo de equipaje rediseñado'!$D4194-'Reclamo de equipaje rediseñado'!$C4194</f>
        <v>3.4722222222222099E-3</v>
      </c>
      <c r="F4194" s="48">
        <v>0.6020833333333333</v>
      </c>
      <c r="G4194" s="49">
        <f t="shared" si="65"/>
        <v>8.3333333333333037E-3</v>
      </c>
      <c r="H4194" s="50">
        <v>41792</v>
      </c>
      <c r="I4194" s="51" t="s">
        <v>536</v>
      </c>
      <c r="J4194" s="51" t="s">
        <v>535</v>
      </c>
      <c r="K4194" s="51">
        <f>VLOOKUP(J4194,'Validacion reclamo de equipaje'!L:M,2,0)</f>
        <v>50</v>
      </c>
      <c r="L4194" s="51" t="str">
        <f>VLOOKUP(I4194,'Validacion reclamo de equipaje'!H:I,2,0)</f>
        <v>Nacional</v>
      </c>
      <c r="M4194" s="51" t="s">
        <v>615</v>
      </c>
    </row>
    <row r="4195" spans="1:13" x14ac:dyDescent="0.25">
      <c r="A4195">
        <v>286</v>
      </c>
      <c r="B4195" s="47" t="str">
        <f>VLOOKUP(Tabla6[[#This Row],['# Vuelo]],'Validacion reclamo de equipaje'!P:Q,2,0)</f>
        <v>MEXICO AEREO</v>
      </c>
      <c r="C4195" s="52">
        <v>0.59722222222222221</v>
      </c>
      <c r="D4195" s="52">
        <v>0.60138888888888886</v>
      </c>
      <c r="E4195" s="53">
        <f>'Reclamo de equipaje rediseñado'!$D4195-'Reclamo de equipaje rediseñado'!$C4195</f>
        <v>4.1666666666666519E-3</v>
      </c>
      <c r="F4195" s="52">
        <v>0.60555555555555551</v>
      </c>
      <c r="G4195" s="53">
        <f t="shared" si="65"/>
        <v>4.1666666666666519E-3</v>
      </c>
      <c r="H4195" s="54">
        <v>41794</v>
      </c>
      <c r="I4195" s="55" t="s">
        <v>536</v>
      </c>
      <c r="J4195" s="55" t="s">
        <v>535</v>
      </c>
      <c r="K4195" s="55">
        <f>VLOOKUP(J4195,'Validacion reclamo de equipaje'!L:M,2,0)</f>
        <v>50</v>
      </c>
      <c r="L4195" s="55" t="str">
        <f>VLOOKUP(I4195,'Validacion reclamo de equipaje'!H:I,2,0)</f>
        <v>Nacional</v>
      </c>
      <c r="M4195" s="55" t="s">
        <v>615</v>
      </c>
    </row>
    <row r="4196" spans="1:13" x14ac:dyDescent="0.25">
      <c r="A4196">
        <v>286</v>
      </c>
      <c r="B4196" s="47" t="str">
        <f>VLOOKUP(Tabla6[[#This Row],['# Vuelo]],'Validacion reclamo de equipaje'!P:Q,2,0)</f>
        <v>MEXICO AEREO</v>
      </c>
      <c r="C4196" s="48">
        <v>0.59097222222222223</v>
      </c>
      <c r="D4196" s="48">
        <v>0.59722222222222221</v>
      </c>
      <c r="E4196" s="49">
        <f>'Reclamo de equipaje rediseñado'!$D4196-'Reclamo de equipaje rediseñado'!$C4196</f>
        <v>6.2499999999999778E-3</v>
      </c>
      <c r="F4196" s="48">
        <v>0.60416666666666663</v>
      </c>
      <c r="G4196" s="49">
        <f t="shared" si="65"/>
        <v>6.9444444444444198E-3</v>
      </c>
      <c r="H4196" s="50">
        <v>41795</v>
      </c>
      <c r="I4196" s="51" t="s">
        <v>536</v>
      </c>
      <c r="J4196" s="51" t="s">
        <v>535</v>
      </c>
      <c r="K4196" s="51">
        <f>VLOOKUP(J4196,'Validacion reclamo de equipaje'!L:M,2,0)</f>
        <v>50</v>
      </c>
      <c r="L4196" s="51" t="str">
        <f>VLOOKUP(I4196,'Validacion reclamo de equipaje'!H:I,2,0)</f>
        <v>Nacional</v>
      </c>
      <c r="M4196" s="51" t="s">
        <v>615</v>
      </c>
    </row>
    <row r="4197" spans="1:13" x14ac:dyDescent="0.25">
      <c r="A4197">
        <v>286</v>
      </c>
      <c r="B4197" s="47" t="str">
        <f>VLOOKUP(Tabla6[[#This Row],['# Vuelo]],'Validacion reclamo de equipaje'!P:Q,2,0)</f>
        <v>MEXICO AEREO</v>
      </c>
      <c r="C4197" s="52">
        <v>0.59305555555555556</v>
      </c>
      <c r="D4197" s="52">
        <v>0.59791666666666665</v>
      </c>
      <c r="E4197" s="53">
        <f>'Reclamo de equipaje rediseñado'!$D4197-'Reclamo de equipaje rediseñado'!$C4197</f>
        <v>4.8611111111110938E-3</v>
      </c>
      <c r="F4197" s="52">
        <v>0.60347222222222219</v>
      </c>
      <c r="G4197" s="53">
        <f t="shared" si="65"/>
        <v>5.5555555555555358E-3</v>
      </c>
      <c r="H4197" s="54">
        <v>41796</v>
      </c>
      <c r="I4197" s="55" t="s">
        <v>536</v>
      </c>
      <c r="J4197" s="55" t="s">
        <v>535</v>
      </c>
      <c r="K4197" s="55">
        <f>VLOOKUP(J4197,'Validacion reclamo de equipaje'!L:M,2,0)</f>
        <v>50</v>
      </c>
      <c r="L4197" s="55" t="str">
        <f>VLOOKUP(I4197,'Validacion reclamo de equipaje'!H:I,2,0)</f>
        <v>Nacional</v>
      </c>
      <c r="M4197" s="55" t="s">
        <v>615</v>
      </c>
    </row>
    <row r="4198" spans="1:13" x14ac:dyDescent="0.25">
      <c r="A4198">
        <v>286</v>
      </c>
      <c r="B4198" s="47" t="str">
        <f>VLOOKUP(Tabla6[[#This Row],['# Vuelo]],'Validacion reclamo de equipaje'!P:Q,2,0)</f>
        <v>MEXICO AEREO</v>
      </c>
      <c r="C4198" s="48">
        <v>0.58750000000000002</v>
      </c>
      <c r="D4198" s="48">
        <v>0.59652777777777777</v>
      </c>
      <c r="E4198" s="49">
        <f>'Reclamo de equipaje rediseñado'!$D4198-'Reclamo de equipaje rediseñado'!$C4198</f>
        <v>9.0277777777777457E-3</v>
      </c>
      <c r="F4198" s="48">
        <v>0.60277777777777775</v>
      </c>
      <c r="G4198" s="49">
        <f t="shared" si="65"/>
        <v>6.2499999999999778E-3</v>
      </c>
      <c r="H4198" s="50">
        <v>41797</v>
      </c>
      <c r="I4198" s="51" t="s">
        <v>536</v>
      </c>
      <c r="J4198" s="51" t="s">
        <v>535</v>
      </c>
      <c r="K4198" s="51">
        <f>VLOOKUP(J4198,'Validacion reclamo de equipaje'!L:M,2,0)</f>
        <v>50</v>
      </c>
      <c r="L4198" s="51" t="str">
        <f>VLOOKUP(I4198,'Validacion reclamo de equipaje'!H:I,2,0)</f>
        <v>Nacional</v>
      </c>
      <c r="M4198" s="51" t="s">
        <v>615</v>
      </c>
    </row>
    <row r="4199" spans="1:13" x14ac:dyDescent="0.25">
      <c r="A4199">
        <v>286</v>
      </c>
      <c r="B4199" s="47" t="str">
        <f>VLOOKUP(Tabla6[[#This Row],['# Vuelo]],'Validacion reclamo de equipaje'!P:Q,2,0)</f>
        <v>MEXICO AEREO</v>
      </c>
      <c r="C4199" s="52">
        <v>0.58750000000000002</v>
      </c>
      <c r="D4199" s="52">
        <v>0.59513888888888888</v>
      </c>
      <c r="E4199" s="53">
        <f>'Reclamo de equipaje rediseñado'!$D4199-'Reclamo de equipaje rediseñado'!$C4199</f>
        <v>7.6388888888888618E-3</v>
      </c>
      <c r="F4199" s="52">
        <v>0.6020833333333333</v>
      </c>
      <c r="G4199" s="53">
        <f t="shared" si="65"/>
        <v>6.9444444444444198E-3</v>
      </c>
      <c r="H4199" s="54">
        <v>41798</v>
      </c>
      <c r="I4199" s="55" t="s">
        <v>536</v>
      </c>
      <c r="J4199" s="55" t="s">
        <v>535</v>
      </c>
      <c r="K4199" s="55">
        <f>VLOOKUP(J4199,'Validacion reclamo de equipaje'!L:M,2,0)</f>
        <v>50</v>
      </c>
      <c r="L4199" s="55" t="str">
        <f>VLOOKUP(I4199,'Validacion reclamo de equipaje'!H:I,2,0)</f>
        <v>Nacional</v>
      </c>
      <c r="M4199" s="55" t="s">
        <v>615</v>
      </c>
    </row>
    <row r="4200" spans="1:13" x14ac:dyDescent="0.25">
      <c r="A4200">
        <v>286</v>
      </c>
      <c r="B4200" s="47" t="str">
        <f>VLOOKUP(Tabla6[[#This Row],['# Vuelo]],'Validacion reclamo de equipaje'!P:Q,2,0)</f>
        <v>MEXICO AEREO</v>
      </c>
      <c r="C4200" s="48">
        <v>0.58888888888888891</v>
      </c>
      <c r="D4200" s="48">
        <v>0.59444444444444444</v>
      </c>
      <c r="E4200" s="49">
        <f>'Reclamo de equipaje rediseñado'!$D4200-'Reclamo de equipaje rediseñado'!$C4200</f>
        <v>5.5555555555555358E-3</v>
      </c>
      <c r="F4200" s="48">
        <v>0.60416666666666663</v>
      </c>
      <c r="G4200" s="49">
        <f t="shared" si="65"/>
        <v>9.7222222222221877E-3</v>
      </c>
      <c r="H4200" s="50">
        <v>41799</v>
      </c>
      <c r="I4200" s="51" t="s">
        <v>536</v>
      </c>
      <c r="J4200" s="51" t="s">
        <v>535</v>
      </c>
      <c r="K4200" s="51">
        <f>VLOOKUP(J4200,'Validacion reclamo de equipaje'!L:M,2,0)</f>
        <v>50</v>
      </c>
      <c r="L4200" s="51" t="str">
        <f>VLOOKUP(I4200,'Validacion reclamo de equipaje'!H:I,2,0)</f>
        <v>Nacional</v>
      </c>
      <c r="M4200" s="51" t="s">
        <v>615</v>
      </c>
    </row>
    <row r="4201" spans="1:13" x14ac:dyDescent="0.25">
      <c r="A4201">
        <v>286</v>
      </c>
      <c r="B4201" s="47" t="str">
        <f>VLOOKUP(Tabla6[[#This Row],['# Vuelo]],'Validacion reclamo de equipaje'!P:Q,2,0)</f>
        <v>MEXICO AEREO</v>
      </c>
      <c r="C4201" s="52">
        <v>0.46597222222222223</v>
      </c>
      <c r="D4201" s="52">
        <v>0.47361111111111115</v>
      </c>
      <c r="E4201" s="53">
        <f>'Reclamo de equipaje rediseñado'!$D4201-'Reclamo de equipaje rediseñado'!$C4201</f>
        <v>7.6388888888889173E-3</v>
      </c>
      <c r="F4201" s="52">
        <v>0.47916666666666669</v>
      </c>
      <c r="G4201" s="53">
        <f t="shared" si="65"/>
        <v>5.5555555555555358E-3</v>
      </c>
      <c r="H4201" s="54">
        <v>41801</v>
      </c>
      <c r="I4201" s="55" t="s">
        <v>536</v>
      </c>
      <c r="J4201" s="55" t="s">
        <v>535</v>
      </c>
      <c r="K4201" s="55">
        <f>VLOOKUP(J4201,'Validacion reclamo de equipaje'!L:M,2,0)</f>
        <v>50</v>
      </c>
      <c r="L4201" s="55" t="str">
        <f>VLOOKUP(I4201,'Validacion reclamo de equipaje'!H:I,2,0)</f>
        <v>Nacional</v>
      </c>
      <c r="M4201" s="55" t="s">
        <v>615</v>
      </c>
    </row>
    <row r="4202" spans="1:13" x14ac:dyDescent="0.25">
      <c r="A4202">
        <v>286</v>
      </c>
      <c r="B4202" s="47" t="str">
        <f>VLOOKUP(Tabla6[[#This Row],['# Vuelo]],'Validacion reclamo de equipaje'!P:Q,2,0)</f>
        <v>MEXICO AEREO</v>
      </c>
      <c r="C4202" s="48">
        <v>0.90902777777777777</v>
      </c>
      <c r="D4202" s="48">
        <v>0.91249999999999998</v>
      </c>
      <c r="E4202" s="49">
        <f>'Reclamo de equipaje rediseñado'!$D4202-'Reclamo de equipaje rediseñado'!$C4202</f>
        <v>3.4722222222222099E-3</v>
      </c>
      <c r="F4202" s="48">
        <v>0.91805555555555562</v>
      </c>
      <c r="G4202" s="49">
        <f t="shared" si="65"/>
        <v>5.5555555555556468E-3</v>
      </c>
      <c r="H4202" s="50">
        <v>41801</v>
      </c>
      <c r="I4202" s="51" t="s">
        <v>536</v>
      </c>
      <c r="J4202" s="51" t="s">
        <v>535</v>
      </c>
      <c r="K4202" s="51">
        <f>VLOOKUP(J4202,'Validacion reclamo de equipaje'!L:M,2,0)</f>
        <v>50</v>
      </c>
      <c r="L4202" s="51" t="str">
        <f>VLOOKUP(I4202,'Validacion reclamo de equipaje'!H:I,2,0)</f>
        <v>Nacional</v>
      </c>
      <c r="M4202" s="51" t="s">
        <v>615</v>
      </c>
    </row>
    <row r="4203" spans="1:13" x14ac:dyDescent="0.25">
      <c r="A4203">
        <v>286</v>
      </c>
      <c r="B4203" s="47" t="str">
        <f>VLOOKUP(Tabla6[[#This Row],['# Vuelo]],'Validacion reclamo de equipaje'!P:Q,2,0)</f>
        <v>MEXICO AEREO</v>
      </c>
      <c r="C4203" s="52">
        <v>0.84166666666666667</v>
      </c>
      <c r="D4203" s="52">
        <v>0.85138888888888886</v>
      </c>
      <c r="E4203" s="53">
        <f>'Reclamo de equipaje rediseñado'!$D4203-'Reclamo de equipaje rediseñado'!$C4203</f>
        <v>9.7222222222221877E-3</v>
      </c>
      <c r="F4203" s="52">
        <v>0.86875000000000002</v>
      </c>
      <c r="G4203" s="53">
        <f t="shared" si="65"/>
        <v>1.736111111111116E-2</v>
      </c>
      <c r="H4203" s="54">
        <v>41802</v>
      </c>
      <c r="I4203" s="55" t="s">
        <v>536</v>
      </c>
      <c r="J4203" s="55" t="s">
        <v>535</v>
      </c>
      <c r="K4203" s="55">
        <f>VLOOKUP(J4203,'Validacion reclamo de equipaje'!L:M,2,0)</f>
        <v>50</v>
      </c>
      <c r="L4203" s="55" t="str">
        <f>VLOOKUP(I4203,'Validacion reclamo de equipaje'!H:I,2,0)</f>
        <v>Nacional</v>
      </c>
      <c r="M4203" s="55" t="s">
        <v>615</v>
      </c>
    </row>
    <row r="4204" spans="1:13" x14ac:dyDescent="0.25">
      <c r="A4204">
        <v>286</v>
      </c>
      <c r="B4204" s="47" t="str">
        <f>VLOOKUP(Tabla6[[#This Row],['# Vuelo]],'Validacion reclamo de equipaje'!P:Q,2,0)</f>
        <v>MEXICO AEREO</v>
      </c>
      <c r="C4204" s="48">
        <v>0.53680555555555554</v>
      </c>
      <c r="D4204" s="48">
        <v>0.54166666666666663</v>
      </c>
      <c r="E4204" s="49">
        <f>'Reclamo de equipaje rediseñado'!$D4204-'Reclamo de equipaje rediseñado'!$C4204</f>
        <v>4.8611111111110938E-3</v>
      </c>
      <c r="F4204" s="48">
        <v>0.55069444444444449</v>
      </c>
      <c r="G4204" s="49">
        <f t="shared" si="65"/>
        <v>9.0277777777778567E-3</v>
      </c>
      <c r="H4204" s="50">
        <v>41803</v>
      </c>
      <c r="I4204" s="51" t="s">
        <v>536</v>
      </c>
      <c r="J4204" s="51" t="s">
        <v>535</v>
      </c>
      <c r="K4204" s="51">
        <f>VLOOKUP(J4204,'Validacion reclamo de equipaje'!L:M,2,0)</f>
        <v>50</v>
      </c>
      <c r="L4204" s="51" t="str">
        <f>VLOOKUP(I4204,'Validacion reclamo de equipaje'!H:I,2,0)</f>
        <v>Nacional</v>
      </c>
      <c r="M4204" s="51" t="s">
        <v>615</v>
      </c>
    </row>
    <row r="4205" spans="1:13" x14ac:dyDescent="0.25">
      <c r="A4205">
        <v>286</v>
      </c>
      <c r="B4205" s="47" t="str">
        <f>VLOOKUP(Tabla6[[#This Row],['# Vuelo]],'Validacion reclamo de equipaje'!P:Q,2,0)</f>
        <v>MEXICO AEREO</v>
      </c>
      <c r="C4205" s="52">
        <v>0.44027777777777777</v>
      </c>
      <c r="D4205" s="52">
        <v>0.45277777777777778</v>
      </c>
      <c r="E4205" s="53">
        <f>'Reclamo de equipaje rediseñado'!$D4205-'Reclamo de equipaje rediseñado'!$C4205</f>
        <v>1.2500000000000011E-2</v>
      </c>
      <c r="F4205" s="52">
        <v>0.46111111111111108</v>
      </c>
      <c r="G4205" s="53">
        <f t="shared" si="65"/>
        <v>8.3333333333333037E-3</v>
      </c>
      <c r="H4205" s="54">
        <v>41804</v>
      </c>
      <c r="I4205" s="55" t="s">
        <v>536</v>
      </c>
      <c r="J4205" s="55" t="s">
        <v>535</v>
      </c>
      <c r="K4205" s="55">
        <f>VLOOKUP(J4205,'Validacion reclamo de equipaje'!L:M,2,0)</f>
        <v>50</v>
      </c>
      <c r="L4205" s="55" t="str">
        <f>VLOOKUP(I4205,'Validacion reclamo de equipaje'!H:I,2,0)</f>
        <v>Nacional</v>
      </c>
      <c r="M4205" s="55" t="s">
        <v>615</v>
      </c>
    </row>
    <row r="4206" spans="1:13" x14ac:dyDescent="0.25">
      <c r="A4206">
        <v>286</v>
      </c>
      <c r="B4206" s="47" t="str">
        <f>VLOOKUP(Tabla6[[#This Row],['# Vuelo]],'Validacion reclamo de equipaje'!P:Q,2,0)</f>
        <v>MEXICO AEREO</v>
      </c>
      <c r="C4206" s="48">
        <v>0.5625</v>
      </c>
      <c r="D4206" s="48">
        <v>0.57361111111111118</v>
      </c>
      <c r="E4206" s="49">
        <f>'Reclamo de equipaje rediseñado'!$D4206-'Reclamo de equipaje rediseñado'!$C4206</f>
        <v>1.1111111111111183E-2</v>
      </c>
      <c r="F4206" s="48">
        <v>0.58194444444444449</v>
      </c>
      <c r="G4206" s="49">
        <f t="shared" si="65"/>
        <v>8.3333333333333037E-3</v>
      </c>
      <c r="H4206" s="50">
        <v>41805</v>
      </c>
      <c r="I4206" s="51" t="s">
        <v>536</v>
      </c>
      <c r="J4206" s="51" t="s">
        <v>535</v>
      </c>
      <c r="K4206" s="51">
        <f>VLOOKUP(J4206,'Validacion reclamo de equipaje'!L:M,2,0)</f>
        <v>50</v>
      </c>
      <c r="L4206" s="51" t="str">
        <f>VLOOKUP(I4206,'Validacion reclamo de equipaje'!H:I,2,0)</f>
        <v>Nacional</v>
      </c>
      <c r="M4206" s="51" t="s">
        <v>615</v>
      </c>
    </row>
    <row r="4207" spans="1:13" x14ac:dyDescent="0.25">
      <c r="A4207">
        <v>286</v>
      </c>
      <c r="B4207" s="47" t="str">
        <f>VLOOKUP(Tabla6[[#This Row],['# Vuelo]],'Validacion reclamo de equipaje'!P:Q,2,0)</f>
        <v>MEXICO AEREO</v>
      </c>
      <c r="C4207" s="52">
        <v>0.25416666666666665</v>
      </c>
      <c r="D4207" s="52">
        <v>0.27569444444444446</v>
      </c>
      <c r="E4207" s="53">
        <f>'Reclamo de equipaje rediseñado'!$D4207-'Reclamo de equipaje rediseñado'!$C4207</f>
        <v>2.1527777777777812E-2</v>
      </c>
      <c r="F4207" s="52">
        <v>0.28611111111111115</v>
      </c>
      <c r="G4207" s="53">
        <f t="shared" si="65"/>
        <v>1.0416666666666685E-2</v>
      </c>
      <c r="H4207" s="54">
        <v>41806</v>
      </c>
      <c r="I4207" s="55" t="s">
        <v>536</v>
      </c>
      <c r="J4207" s="55" t="s">
        <v>535</v>
      </c>
      <c r="K4207" s="55">
        <f>VLOOKUP(J4207,'Validacion reclamo de equipaje'!L:M,2,0)</f>
        <v>50</v>
      </c>
      <c r="L4207" s="55" t="str">
        <f>VLOOKUP(I4207,'Validacion reclamo de equipaje'!H:I,2,0)</f>
        <v>Nacional</v>
      </c>
      <c r="M4207" s="55" t="s">
        <v>615</v>
      </c>
    </row>
    <row r="4208" spans="1:13" x14ac:dyDescent="0.25">
      <c r="A4208">
        <v>286</v>
      </c>
      <c r="B4208" s="47" t="str">
        <f>VLOOKUP(Tabla6[[#This Row],['# Vuelo]],'Validacion reclamo de equipaje'!P:Q,2,0)</f>
        <v>MEXICO AEREO</v>
      </c>
      <c r="C4208" s="48">
        <v>0.66388888888888886</v>
      </c>
      <c r="D4208" s="48">
        <v>0.67569444444444438</v>
      </c>
      <c r="E4208" s="49">
        <f>'Reclamo de equipaje rediseñado'!$D4208-'Reclamo de equipaje rediseñado'!$C4208</f>
        <v>1.1805555555555514E-2</v>
      </c>
      <c r="F4208" s="48">
        <v>0.69027777777777777</v>
      </c>
      <c r="G4208" s="49">
        <f t="shared" si="65"/>
        <v>1.4583333333333393E-2</v>
      </c>
      <c r="H4208" s="50">
        <v>41807</v>
      </c>
      <c r="I4208" s="51" t="s">
        <v>536</v>
      </c>
      <c r="J4208" s="51" t="s">
        <v>535</v>
      </c>
      <c r="K4208" s="51">
        <f>VLOOKUP(J4208,'Validacion reclamo de equipaje'!L:M,2,0)</f>
        <v>50</v>
      </c>
      <c r="L4208" s="51" t="str">
        <f>VLOOKUP(I4208,'Validacion reclamo de equipaje'!H:I,2,0)</f>
        <v>Nacional</v>
      </c>
      <c r="M4208" s="51" t="s">
        <v>615</v>
      </c>
    </row>
    <row r="4209" spans="1:13" x14ac:dyDescent="0.25">
      <c r="A4209">
        <v>286</v>
      </c>
      <c r="B4209" s="47" t="str">
        <f>VLOOKUP(Tabla6[[#This Row],['# Vuelo]],'Validacion reclamo de equipaje'!P:Q,2,0)</f>
        <v>MEXICO AEREO</v>
      </c>
      <c r="C4209" s="52">
        <v>0.59027777777777779</v>
      </c>
      <c r="D4209" s="52">
        <v>0.6</v>
      </c>
      <c r="E4209" s="53">
        <f>'Reclamo de equipaje rediseñado'!$D4209-'Reclamo de equipaje rediseñado'!$C4209</f>
        <v>9.7222222222221877E-3</v>
      </c>
      <c r="F4209" s="52">
        <v>0.60763888888888895</v>
      </c>
      <c r="G4209" s="53">
        <f t="shared" si="65"/>
        <v>7.6388888888889728E-3</v>
      </c>
      <c r="H4209" s="54">
        <v>41808</v>
      </c>
      <c r="I4209" s="55" t="s">
        <v>536</v>
      </c>
      <c r="J4209" s="55" t="s">
        <v>535</v>
      </c>
      <c r="K4209" s="55">
        <f>VLOOKUP(J4209,'Validacion reclamo de equipaje'!L:M,2,0)</f>
        <v>50</v>
      </c>
      <c r="L4209" s="55" t="str">
        <f>VLOOKUP(I4209,'Validacion reclamo de equipaje'!H:I,2,0)</f>
        <v>Nacional</v>
      </c>
      <c r="M4209" s="55" t="s">
        <v>615</v>
      </c>
    </row>
    <row r="4210" spans="1:13" x14ac:dyDescent="0.25">
      <c r="A4210">
        <v>286</v>
      </c>
      <c r="B4210" s="47" t="str">
        <f>VLOOKUP(Tabla6[[#This Row],['# Vuelo]],'Validacion reclamo de equipaje'!P:Q,2,0)</f>
        <v>MEXICO AEREO</v>
      </c>
      <c r="C4210" s="48">
        <v>0.58888888888888891</v>
      </c>
      <c r="D4210" s="48">
        <v>0.59236111111111112</v>
      </c>
      <c r="E4210" s="49">
        <f>'Reclamo de equipaje rediseñado'!$D4210-'Reclamo de equipaje rediseñado'!$C4210</f>
        <v>3.4722222222222099E-3</v>
      </c>
      <c r="F4210" s="48">
        <v>0.60416666666666663</v>
      </c>
      <c r="G4210" s="49">
        <f t="shared" si="65"/>
        <v>1.1805555555555514E-2</v>
      </c>
      <c r="H4210" s="50">
        <v>41809</v>
      </c>
      <c r="I4210" s="51" t="s">
        <v>536</v>
      </c>
      <c r="J4210" s="51" t="s">
        <v>535</v>
      </c>
      <c r="K4210" s="51">
        <f>VLOOKUP(J4210,'Validacion reclamo de equipaje'!L:M,2,0)</f>
        <v>50</v>
      </c>
      <c r="L4210" s="51" t="str">
        <f>VLOOKUP(I4210,'Validacion reclamo de equipaje'!H:I,2,0)</f>
        <v>Nacional</v>
      </c>
      <c r="M4210" s="51" t="s">
        <v>615</v>
      </c>
    </row>
    <row r="4211" spans="1:13" x14ac:dyDescent="0.25">
      <c r="A4211">
        <v>286</v>
      </c>
      <c r="B4211" s="47" t="str">
        <f>VLOOKUP(Tabla6[[#This Row],['# Vuelo]],'Validacion reclamo de equipaje'!P:Q,2,0)</f>
        <v>MEXICO AEREO</v>
      </c>
      <c r="C4211" s="52">
        <v>0.62152777777777779</v>
      </c>
      <c r="D4211" s="52">
        <v>0.63263888888888886</v>
      </c>
      <c r="E4211" s="53">
        <f>'Reclamo de equipaje rediseñado'!$D4211-'Reclamo de equipaje rediseñado'!$C4211</f>
        <v>1.1111111111111072E-2</v>
      </c>
      <c r="F4211" s="52">
        <v>0.6381944444444444</v>
      </c>
      <c r="G4211" s="53">
        <f t="shared" si="65"/>
        <v>5.5555555555555358E-3</v>
      </c>
      <c r="H4211" s="54">
        <v>41811</v>
      </c>
      <c r="I4211" s="55" t="s">
        <v>536</v>
      </c>
      <c r="J4211" s="55" t="s">
        <v>535</v>
      </c>
      <c r="K4211" s="55">
        <f>VLOOKUP(J4211,'Validacion reclamo de equipaje'!L:M,2,0)</f>
        <v>50</v>
      </c>
      <c r="L4211" s="55" t="str">
        <f>VLOOKUP(I4211,'Validacion reclamo de equipaje'!H:I,2,0)</f>
        <v>Nacional</v>
      </c>
      <c r="M4211" s="55" t="s">
        <v>615</v>
      </c>
    </row>
    <row r="4212" spans="1:13" x14ac:dyDescent="0.25">
      <c r="A4212">
        <v>286</v>
      </c>
      <c r="B4212" s="47" t="str">
        <f>VLOOKUP(Tabla6[[#This Row],['# Vuelo]],'Validacion reclamo de equipaje'!P:Q,2,0)</f>
        <v>MEXICO AEREO</v>
      </c>
      <c r="C4212" s="48">
        <v>0.59652777777777777</v>
      </c>
      <c r="D4212" s="48">
        <v>0.60347222222222219</v>
      </c>
      <c r="E4212" s="49">
        <f>'Reclamo de equipaje rediseñado'!$D4212-'Reclamo de equipaje rediseñado'!$C4212</f>
        <v>6.9444444444444198E-3</v>
      </c>
      <c r="F4212" s="48">
        <v>0.60416666666666663</v>
      </c>
      <c r="G4212" s="49">
        <f t="shared" si="65"/>
        <v>6.9444444444444198E-4</v>
      </c>
      <c r="H4212" s="50">
        <v>41812</v>
      </c>
      <c r="I4212" s="51" t="s">
        <v>536</v>
      </c>
      <c r="J4212" s="51" t="s">
        <v>535</v>
      </c>
      <c r="K4212" s="51">
        <f>VLOOKUP(J4212,'Validacion reclamo de equipaje'!L:M,2,0)</f>
        <v>50</v>
      </c>
      <c r="L4212" s="51" t="str">
        <f>VLOOKUP(I4212,'Validacion reclamo de equipaje'!H:I,2,0)</f>
        <v>Nacional</v>
      </c>
      <c r="M4212" s="51" t="s">
        <v>615</v>
      </c>
    </row>
    <row r="4213" spans="1:13" x14ac:dyDescent="0.25">
      <c r="A4213">
        <v>276</v>
      </c>
      <c r="B4213" s="47" t="str">
        <f>VLOOKUP(Tabla6[[#This Row],['# Vuelo]],'Validacion reclamo de equipaje'!P:Q,2,0)</f>
        <v>MEXICO AEREO</v>
      </c>
      <c r="C4213" s="52">
        <v>0.37916666666666665</v>
      </c>
      <c r="D4213" s="52">
        <v>0.38750000000000001</v>
      </c>
      <c r="E4213" s="53">
        <f>'Reclamo de equipaje rediseñado'!$D4213-'Reclamo de equipaje rediseñado'!$C4213</f>
        <v>8.3333333333333592E-3</v>
      </c>
      <c r="F4213" s="52">
        <v>0.39444444444444443</v>
      </c>
      <c r="G4213" s="53">
        <f t="shared" si="65"/>
        <v>6.9444444444444198E-3</v>
      </c>
      <c r="H4213" s="54">
        <v>41791</v>
      </c>
      <c r="I4213" s="55" t="s">
        <v>536</v>
      </c>
      <c r="J4213" s="55">
        <v>738</v>
      </c>
      <c r="K4213" s="55">
        <f>VLOOKUP(J4213,'Validacion reclamo de equipaje'!L:M,2,0)</f>
        <v>189</v>
      </c>
      <c r="L4213" s="55" t="str">
        <f>VLOOKUP(I4213,'Validacion reclamo de equipaje'!H:I,2,0)</f>
        <v>Nacional</v>
      </c>
      <c r="M4213" s="55" t="s">
        <v>615</v>
      </c>
    </row>
    <row r="4214" spans="1:13" x14ac:dyDescent="0.25">
      <c r="A4214">
        <v>276</v>
      </c>
      <c r="B4214" s="47" t="str">
        <f>VLOOKUP(Tabla6[[#This Row],['# Vuelo]],'Validacion reclamo de equipaje'!P:Q,2,0)</f>
        <v>MEXICO AEREO</v>
      </c>
      <c r="C4214" s="48">
        <v>0.3972222222222222</v>
      </c>
      <c r="D4214" s="48">
        <v>0.4055555555555555</v>
      </c>
      <c r="E4214" s="49">
        <f>'Reclamo de equipaje rediseñado'!$D4214-'Reclamo de equipaje rediseñado'!$C4214</f>
        <v>8.3333333333333037E-3</v>
      </c>
      <c r="F4214" s="48">
        <v>0.40763888888888888</v>
      </c>
      <c r="G4214" s="49">
        <f t="shared" si="65"/>
        <v>2.0833333333333814E-3</v>
      </c>
      <c r="H4214" s="50">
        <v>41792</v>
      </c>
      <c r="I4214" s="51" t="s">
        <v>536</v>
      </c>
      <c r="J4214" s="51">
        <v>738</v>
      </c>
      <c r="K4214" s="51">
        <f>VLOOKUP(J4214,'Validacion reclamo de equipaje'!L:M,2,0)</f>
        <v>189</v>
      </c>
      <c r="L4214" s="51" t="str">
        <f>VLOOKUP(I4214,'Validacion reclamo de equipaje'!H:I,2,0)</f>
        <v>Nacional</v>
      </c>
      <c r="M4214" s="51" t="s">
        <v>615</v>
      </c>
    </row>
    <row r="4215" spans="1:13" x14ac:dyDescent="0.25">
      <c r="A4215">
        <v>276</v>
      </c>
      <c r="B4215" s="47" t="str">
        <f>VLOOKUP(Tabla6[[#This Row],['# Vuelo]],'Validacion reclamo de equipaje'!P:Q,2,0)</f>
        <v>MEXICO AEREO</v>
      </c>
      <c r="C4215" s="52">
        <v>0.37986111111111115</v>
      </c>
      <c r="D4215" s="52">
        <v>0.38541666666666669</v>
      </c>
      <c r="E4215" s="53">
        <f>'Reclamo de equipaje rediseñado'!$D4215-'Reclamo de equipaje rediseñado'!$C4215</f>
        <v>5.5555555555555358E-3</v>
      </c>
      <c r="F4215" s="52">
        <v>0.39583333333333331</v>
      </c>
      <c r="G4215" s="53">
        <f t="shared" si="65"/>
        <v>1.041666666666663E-2</v>
      </c>
      <c r="H4215" s="54">
        <v>41793</v>
      </c>
      <c r="I4215" s="55" t="s">
        <v>536</v>
      </c>
      <c r="J4215" s="55">
        <v>738</v>
      </c>
      <c r="K4215" s="55">
        <f>VLOOKUP(J4215,'Validacion reclamo de equipaje'!L:M,2,0)</f>
        <v>189</v>
      </c>
      <c r="L4215" s="55" t="str">
        <f>VLOOKUP(I4215,'Validacion reclamo de equipaje'!H:I,2,0)</f>
        <v>Nacional</v>
      </c>
      <c r="M4215" s="55" t="s">
        <v>615</v>
      </c>
    </row>
    <row r="4216" spans="1:13" x14ac:dyDescent="0.25">
      <c r="A4216">
        <v>276</v>
      </c>
      <c r="B4216" s="47" t="str">
        <f>VLOOKUP(Tabla6[[#This Row],['# Vuelo]],'Validacion reclamo de equipaje'!P:Q,2,0)</f>
        <v>MEXICO AEREO</v>
      </c>
      <c r="C4216" s="48">
        <v>0.39097222222222222</v>
      </c>
      <c r="D4216" s="48">
        <v>0.39583333333333331</v>
      </c>
      <c r="E4216" s="49">
        <f>'Reclamo de equipaje rediseñado'!$D4216-'Reclamo de equipaje rediseñado'!$C4216</f>
        <v>4.8611111111110938E-3</v>
      </c>
      <c r="F4216" s="48">
        <v>0.40763888888888888</v>
      </c>
      <c r="G4216" s="49">
        <f t="shared" si="65"/>
        <v>1.1805555555555569E-2</v>
      </c>
      <c r="H4216" s="50">
        <v>41794</v>
      </c>
      <c r="I4216" s="51" t="s">
        <v>536</v>
      </c>
      <c r="J4216" s="51">
        <v>738</v>
      </c>
      <c r="K4216" s="51">
        <f>VLOOKUP(J4216,'Validacion reclamo de equipaje'!L:M,2,0)</f>
        <v>189</v>
      </c>
      <c r="L4216" s="51" t="str">
        <f>VLOOKUP(I4216,'Validacion reclamo de equipaje'!H:I,2,0)</f>
        <v>Nacional</v>
      </c>
      <c r="M4216" s="51" t="s">
        <v>615</v>
      </c>
    </row>
    <row r="4217" spans="1:13" x14ac:dyDescent="0.25">
      <c r="A4217">
        <v>276</v>
      </c>
      <c r="B4217" s="47" t="str">
        <f>VLOOKUP(Tabla6[[#This Row],['# Vuelo]],'Validacion reclamo de equipaje'!P:Q,2,0)</f>
        <v>MEXICO AEREO</v>
      </c>
      <c r="C4217" s="52">
        <v>0.39374999999999999</v>
      </c>
      <c r="D4217" s="52">
        <v>0.39930555555555558</v>
      </c>
      <c r="E4217" s="53">
        <f>'Reclamo de equipaje rediseñado'!$D4217-'Reclamo de equipaje rediseñado'!$C4217</f>
        <v>5.5555555555555913E-3</v>
      </c>
      <c r="F4217" s="52">
        <v>0.40625</v>
      </c>
      <c r="G4217" s="53">
        <f t="shared" si="65"/>
        <v>6.9444444444444198E-3</v>
      </c>
      <c r="H4217" s="54">
        <v>41795</v>
      </c>
      <c r="I4217" s="55" t="s">
        <v>536</v>
      </c>
      <c r="J4217" s="55">
        <v>738</v>
      </c>
      <c r="K4217" s="55">
        <f>VLOOKUP(J4217,'Validacion reclamo de equipaje'!L:M,2,0)</f>
        <v>189</v>
      </c>
      <c r="L4217" s="55" t="str">
        <f>VLOOKUP(I4217,'Validacion reclamo de equipaje'!H:I,2,0)</f>
        <v>Nacional</v>
      </c>
      <c r="M4217" s="55" t="s">
        <v>615</v>
      </c>
    </row>
    <row r="4218" spans="1:13" x14ac:dyDescent="0.25">
      <c r="A4218">
        <v>276</v>
      </c>
      <c r="B4218" s="47" t="str">
        <f>VLOOKUP(Tabla6[[#This Row],['# Vuelo]],'Validacion reclamo de equipaje'!P:Q,2,0)</f>
        <v>MEXICO AEREO</v>
      </c>
      <c r="C4218" s="48">
        <v>0.38541666666666669</v>
      </c>
      <c r="D4218" s="48">
        <v>0.38958333333333334</v>
      </c>
      <c r="E4218" s="49">
        <f>'Reclamo de equipaje rediseñado'!$D4218-'Reclamo de equipaje rediseñado'!$C4218</f>
        <v>4.1666666666666519E-3</v>
      </c>
      <c r="F4218" s="48">
        <v>0.39583333333333331</v>
      </c>
      <c r="G4218" s="49">
        <f t="shared" si="65"/>
        <v>6.2499999999999778E-3</v>
      </c>
      <c r="H4218" s="50">
        <v>41796</v>
      </c>
      <c r="I4218" s="51" t="s">
        <v>536</v>
      </c>
      <c r="J4218" s="51">
        <v>738</v>
      </c>
      <c r="K4218" s="51">
        <f>VLOOKUP(J4218,'Validacion reclamo de equipaje'!L:M,2,0)</f>
        <v>189</v>
      </c>
      <c r="L4218" s="51" t="str">
        <f>VLOOKUP(I4218,'Validacion reclamo de equipaje'!H:I,2,0)</f>
        <v>Nacional</v>
      </c>
      <c r="M4218" s="51" t="s">
        <v>615</v>
      </c>
    </row>
    <row r="4219" spans="1:13" x14ac:dyDescent="0.25">
      <c r="A4219">
        <v>276</v>
      </c>
      <c r="B4219" s="47" t="str">
        <f>VLOOKUP(Tabla6[[#This Row],['# Vuelo]],'Validacion reclamo de equipaje'!P:Q,2,0)</f>
        <v>MEXICO AEREO</v>
      </c>
      <c r="C4219" s="52">
        <v>0.38194444444444442</v>
      </c>
      <c r="D4219" s="52">
        <v>0.3888888888888889</v>
      </c>
      <c r="E4219" s="53">
        <f>'Reclamo de equipaje rediseñado'!$D4219-'Reclamo de equipaje rediseñado'!$C4219</f>
        <v>6.9444444444444753E-3</v>
      </c>
      <c r="F4219" s="52">
        <v>0.39652777777777781</v>
      </c>
      <c r="G4219" s="53">
        <f t="shared" si="65"/>
        <v>7.6388888888889173E-3</v>
      </c>
      <c r="H4219" s="54">
        <v>41797</v>
      </c>
      <c r="I4219" s="55" t="s">
        <v>536</v>
      </c>
      <c r="J4219" s="55">
        <v>738</v>
      </c>
      <c r="K4219" s="55">
        <f>VLOOKUP(J4219,'Validacion reclamo de equipaje'!L:M,2,0)</f>
        <v>189</v>
      </c>
      <c r="L4219" s="55" t="str">
        <f>VLOOKUP(I4219,'Validacion reclamo de equipaje'!H:I,2,0)</f>
        <v>Nacional</v>
      </c>
      <c r="M4219" s="55" t="s">
        <v>615</v>
      </c>
    </row>
    <row r="4220" spans="1:13" x14ac:dyDescent="0.25">
      <c r="A4220">
        <v>276</v>
      </c>
      <c r="B4220" s="47" t="str">
        <f>VLOOKUP(Tabla6[[#This Row],['# Vuelo]],'Validacion reclamo de equipaje'!P:Q,2,0)</f>
        <v>MEXICO AEREO</v>
      </c>
      <c r="C4220" s="48">
        <v>0.38541666666666669</v>
      </c>
      <c r="D4220" s="48">
        <v>0.39097222222222222</v>
      </c>
      <c r="E4220" s="49">
        <f>'Reclamo de equipaje rediseñado'!$D4220-'Reclamo de equipaje rediseñado'!$C4220</f>
        <v>5.5555555555555358E-3</v>
      </c>
      <c r="F4220" s="48">
        <v>0.39583333333333331</v>
      </c>
      <c r="G4220" s="49">
        <f t="shared" si="65"/>
        <v>4.8611111111110938E-3</v>
      </c>
      <c r="H4220" s="50">
        <v>41798</v>
      </c>
      <c r="I4220" s="51" t="s">
        <v>536</v>
      </c>
      <c r="J4220" s="51">
        <v>738</v>
      </c>
      <c r="K4220" s="51">
        <f>VLOOKUP(J4220,'Validacion reclamo de equipaje'!L:M,2,0)</f>
        <v>189</v>
      </c>
      <c r="L4220" s="51" t="str">
        <f>VLOOKUP(I4220,'Validacion reclamo de equipaje'!H:I,2,0)</f>
        <v>Nacional</v>
      </c>
      <c r="M4220" s="51" t="s">
        <v>615</v>
      </c>
    </row>
    <row r="4221" spans="1:13" x14ac:dyDescent="0.25">
      <c r="A4221">
        <v>276</v>
      </c>
      <c r="B4221" s="47" t="str">
        <f>VLOOKUP(Tabla6[[#This Row],['# Vuelo]],'Validacion reclamo de equipaje'!P:Q,2,0)</f>
        <v>MEXICO AEREO</v>
      </c>
      <c r="C4221" s="52">
        <v>0.38541666666666669</v>
      </c>
      <c r="D4221" s="52">
        <v>0.39027777777777778</v>
      </c>
      <c r="E4221" s="53">
        <f>'Reclamo de equipaje rediseñado'!$D4221-'Reclamo de equipaje rediseñado'!$C4221</f>
        <v>4.8611111111110938E-3</v>
      </c>
      <c r="F4221" s="52">
        <v>0.39583333333333331</v>
      </c>
      <c r="G4221" s="53">
        <f t="shared" si="65"/>
        <v>5.5555555555555358E-3</v>
      </c>
      <c r="H4221" s="54">
        <v>41799</v>
      </c>
      <c r="I4221" s="55" t="s">
        <v>536</v>
      </c>
      <c r="J4221" s="55">
        <v>738</v>
      </c>
      <c r="K4221" s="55">
        <f>VLOOKUP(J4221,'Validacion reclamo de equipaje'!L:M,2,0)</f>
        <v>189</v>
      </c>
      <c r="L4221" s="55" t="str">
        <f>VLOOKUP(I4221,'Validacion reclamo de equipaje'!H:I,2,0)</f>
        <v>Nacional</v>
      </c>
      <c r="M4221" s="55" t="s">
        <v>615</v>
      </c>
    </row>
    <row r="4222" spans="1:13" x14ac:dyDescent="0.25">
      <c r="A4222">
        <v>276</v>
      </c>
      <c r="B4222" s="47" t="str">
        <f>VLOOKUP(Tabla6[[#This Row],['# Vuelo]],'Validacion reclamo de equipaje'!P:Q,2,0)</f>
        <v>MEXICO AEREO</v>
      </c>
      <c r="C4222" s="48">
        <v>0.89583333333333337</v>
      </c>
      <c r="D4222" s="48">
        <v>0.91666666666666663</v>
      </c>
      <c r="E4222" s="49">
        <f>'Reclamo de equipaje rediseñado'!$D4222-'Reclamo de equipaje rediseñado'!$C4222</f>
        <v>2.0833333333333259E-2</v>
      </c>
      <c r="F4222" s="48">
        <v>0.92361111111111116</v>
      </c>
      <c r="G4222" s="49">
        <f t="shared" si="65"/>
        <v>6.9444444444445308E-3</v>
      </c>
      <c r="H4222" s="50">
        <v>41801</v>
      </c>
      <c r="I4222" s="51" t="s">
        <v>536</v>
      </c>
      <c r="J4222" s="51">
        <v>738</v>
      </c>
      <c r="K4222" s="51">
        <f>VLOOKUP(J4222,'Validacion reclamo de equipaje'!L:M,2,0)</f>
        <v>189</v>
      </c>
      <c r="L4222" s="51" t="str">
        <f>VLOOKUP(I4222,'Validacion reclamo de equipaje'!H:I,2,0)</f>
        <v>Nacional</v>
      </c>
      <c r="M4222" s="51" t="s">
        <v>615</v>
      </c>
    </row>
    <row r="4223" spans="1:13" x14ac:dyDescent="0.25">
      <c r="A4223">
        <v>276</v>
      </c>
      <c r="B4223" s="47" t="str">
        <f>VLOOKUP(Tabla6[[#This Row],['# Vuelo]],'Validacion reclamo de equipaje'!P:Q,2,0)</f>
        <v>MEXICO AEREO</v>
      </c>
      <c r="C4223" s="52">
        <v>0.53819444444444442</v>
      </c>
      <c r="D4223" s="52">
        <v>0.54305555555555551</v>
      </c>
      <c r="E4223" s="53">
        <f>'Reclamo de equipaje rediseñado'!$D4223-'Reclamo de equipaje rediseñado'!$C4223</f>
        <v>4.8611111111110938E-3</v>
      </c>
      <c r="F4223" s="52">
        <v>0.55208333333333337</v>
      </c>
      <c r="G4223" s="53">
        <f t="shared" si="65"/>
        <v>9.0277777777778567E-3</v>
      </c>
      <c r="H4223" s="54">
        <v>41801</v>
      </c>
      <c r="I4223" s="55" t="s">
        <v>536</v>
      </c>
      <c r="J4223" s="55">
        <v>738</v>
      </c>
      <c r="K4223" s="55">
        <f>VLOOKUP(J4223,'Validacion reclamo de equipaje'!L:M,2,0)</f>
        <v>189</v>
      </c>
      <c r="L4223" s="55" t="str">
        <f>VLOOKUP(I4223,'Validacion reclamo de equipaje'!H:I,2,0)</f>
        <v>Nacional</v>
      </c>
      <c r="M4223" s="55" t="s">
        <v>615</v>
      </c>
    </row>
    <row r="4224" spans="1:13" x14ac:dyDescent="0.25">
      <c r="A4224">
        <v>276</v>
      </c>
      <c r="B4224" s="47" t="str">
        <f>VLOOKUP(Tabla6[[#This Row],['# Vuelo]],'Validacion reclamo de equipaje'!P:Q,2,0)</f>
        <v>MEXICO AEREO</v>
      </c>
      <c r="C4224" s="48">
        <v>0.20208333333333331</v>
      </c>
      <c r="D4224" s="48">
        <v>0.22013888888888888</v>
      </c>
      <c r="E4224" s="49">
        <f>'Reclamo de equipaje rediseñado'!$D4224-'Reclamo de equipaje rediseñado'!$C4224</f>
        <v>1.8055555555555575E-2</v>
      </c>
      <c r="F4224" s="48">
        <v>0.24027777777777778</v>
      </c>
      <c r="G4224" s="49">
        <f t="shared" si="65"/>
        <v>2.0138888888888901E-2</v>
      </c>
      <c r="H4224" s="50">
        <v>41802</v>
      </c>
      <c r="I4224" s="51" t="s">
        <v>536</v>
      </c>
      <c r="J4224" s="51">
        <v>738</v>
      </c>
      <c r="K4224" s="51">
        <f>VLOOKUP(J4224,'Validacion reclamo de equipaje'!L:M,2,0)</f>
        <v>189</v>
      </c>
      <c r="L4224" s="51" t="str">
        <f>VLOOKUP(I4224,'Validacion reclamo de equipaje'!H:I,2,0)</f>
        <v>Nacional</v>
      </c>
      <c r="M4224" s="51" t="s">
        <v>615</v>
      </c>
    </row>
    <row r="4225" spans="1:13" x14ac:dyDescent="0.25">
      <c r="A4225">
        <v>276</v>
      </c>
      <c r="B4225" s="47" t="str">
        <f>VLOOKUP(Tabla6[[#This Row],['# Vuelo]],'Validacion reclamo de equipaje'!P:Q,2,0)</f>
        <v>MEXICO AEREO</v>
      </c>
      <c r="C4225" s="52">
        <v>0.88750000000000007</v>
      </c>
      <c r="D4225" s="52">
        <v>0.89583333333333337</v>
      </c>
      <c r="E4225" s="53">
        <f>'Reclamo de equipaje rediseñado'!$D4225-'Reclamo de equipaje rediseñado'!$C4225</f>
        <v>8.3333333333333037E-3</v>
      </c>
      <c r="F4225" s="52">
        <v>0.90138888888888891</v>
      </c>
      <c r="G4225" s="53">
        <f t="shared" si="65"/>
        <v>5.5555555555555358E-3</v>
      </c>
      <c r="H4225" s="54">
        <v>41804</v>
      </c>
      <c r="I4225" s="55" t="s">
        <v>536</v>
      </c>
      <c r="J4225" s="55">
        <v>738</v>
      </c>
      <c r="K4225" s="55">
        <f>VLOOKUP(J4225,'Validacion reclamo de equipaje'!L:M,2,0)</f>
        <v>189</v>
      </c>
      <c r="L4225" s="55" t="str">
        <f>VLOOKUP(I4225,'Validacion reclamo de equipaje'!H:I,2,0)</f>
        <v>Nacional</v>
      </c>
      <c r="M4225" s="55" t="s">
        <v>615</v>
      </c>
    </row>
    <row r="4226" spans="1:13" x14ac:dyDescent="0.25">
      <c r="A4226">
        <v>276</v>
      </c>
      <c r="B4226" s="47" t="str">
        <f>VLOOKUP(Tabla6[[#This Row],['# Vuelo]],'Validacion reclamo de equipaje'!P:Q,2,0)</f>
        <v>MEXICO AEREO</v>
      </c>
      <c r="C4226" s="48">
        <v>0.42777777777777781</v>
      </c>
      <c r="D4226" s="48">
        <v>0.4381944444444445</v>
      </c>
      <c r="E4226" s="49">
        <f>'Reclamo de equipaje rediseñado'!$D4226-'Reclamo de equipaje rediseñado'!$C4226</f>
        <v>1.0416666666666685E-2</v>
      </c>
      <c r="F4226" s="48">
        <v>0.44791666666666669</v>
      </c>
      <c r="G4226" s="49">
        <f t="shared" si="65"/>
        <v>9.7222222222221877E-3</v>
      </c>
      <c r="H4226" s="50">
        <v>41805</v>
      </c>
      <c r="I4226" s="51" t="s">
        <v>536</v>
      </c>
      <c r="J4226" s="51">
        <v>738</v>
      </c>
      <c r="K4226" s="51">
        <f>VLOOKUP(J4226,'Validacion reclamo de equipaje'!L:M,2,0)</f>
        <v>189</v>
      </c>
      <c r="L4226" s="51" t="str">
        <f>VLOOKUP(I4226,'Validacion reclamo de equipaje'!H:I,2,0)</f>
        <v>Nacional</v>
      </c>
      <c r="M4226" s="51" t="s">
        <v>615</v>
      </c>
    </row>
    <row r="4227" spans="1:13" x14ac:dyDescent="0.25">
      <c r="A4227">
        <v>276</v>
      </c>
      <c r="B4227" s="47" t="str">
        <f>VLOOKUP(Tabla6[[#This Row],['# Vuelo]],'Validacion reclamo de equipaje'!P:Q,2,0)</f>
        <v>MEXICO AEREO</v>
      </c>
      <c r="C4227" s="52">
        <v>0.94861111111111107</v>
      </c>
      <c r="D4227" s="52">
        <v>0.95763888888888893</v>
      </c>
      <c r="E4227" s="53">
        <f>'Reclamo de equipaje rediseñado'!$D4227-'Reclamo de equipaje rediseñado'!$C4227</f>
        <v>9.0277777777778567E-3</v>
      </c>
      <c r="F4227" s="52">
        <v>0.98055555555555562</v>
      </c>
      <c r="G4227" s="53">
        <f t="shared" ref="G4227:G4290" si="66">F4227-D4227</f>
        <v>2.2916666666666696E-2</v>
      </c>
      <c r="H4227" s="54">
        <v>41806</v>
      </c>
      <c r="I4227" s="55" t="s">
        <v>536</v>
      </c>
      <c r="J4227" s="55">
        <v>738</v>
      </c>
      <c r="K4227" s="55">
        <f>VLOOKUP(J4227,'Validacion reclamo de equipaje'!L:M,2,0)</f>
        <v>189</v>
      </c>
      <c r="L4227" s="55" t="str">
        <f>VLOOKUP(I4227,'Validacion reclamo de equipaje'!H:I,2,0)</f>
        <v>Nacional</v>
      </c>
      <c r="M4227" s="55" t="s">
        <v>615</v>
      </c>
    </row>
    <row r="4228" spans="1:13" x14ac:dyDescent="0.25">
      <c r="A4228">
        <v>276</v>
      </c>
      <c r="B4228" s="47" t="str">
        <f>VLOOKUP(Tabla6[[#This Row],['# Vuelo]],'Validacion reclamo de equipaje'!P:Q,2,0)</f>
        <v>MEXICO AEREO</v>
      </c>
      <c r="C4228" s="48">
        <v>0.25416666666666665</v>
      </c>
      <c r="D4228" s="48">
        <v>0.26944444444444443</v>
      </c>
      <c r="E4228" s="49">
        <f>'Reclamo de equipaje rediseñado'!$D4228-'Reclamo de equipaje rediseñado'!$C4228</f>
        <v>1.5277777777777779E-2</v>
      </c>
      <c r="F4228" s="48">
        <v>0.29097222222222224</v>
      </c>
      <c r="G4228" s="49">
        <f t="shared" si="66"/>
        <v>2.1527777777777812E-2</v>
      </c>
      <c r="H4228" s="50">
        <v>41807</v>
      </c>
      <c r="I4228" s="51" t="s">
        <v>536</v>
      </c>
      <c r="J4228" s="51">
        <v>738</v>
      </c>
      <c r="K4228" s="51">
        <f>VLOOKUP(J4228,'Validacion reclamo de equipaje'!L:M,2,0)</f>
        <v>189</v>
      </c>
      <c r="L4228" s="51" t="str">
        <f>VLOOKUP(I4228,'Validacion reclamo de equipaje'!H:I,2,0)</f>
        <v>Nacional</v>
      </c>
      <c r="M4228" s="51" t="s">
        <v>615</v>
      </c>
    </row>
    <row r="4229" spans="1:13" x14ac:dyDescent="0.25">
      <c r="A4229">
        <v>276</v>
      </c>
      <c r="B4229" s="47" t="str">
        <f>VLOOKUP(Tabla6[[#This Row],['# Vuelo]],'Validacion reclamo de equipaje'!P:Q,2,0)</f>
        <v>MEXICO AEREO</v>
      </c>
      <c r="C4229" s="52">
        <v>0.38541666666666669</v>
      </c>
      <c r="D4229" s="52">
        <v>0.39444444444444443</v>
      </c>
      <c r="E4229" s="53">
        <f>'Reclamo de equipaje rediseñado'!$D4229-'Reclamo de equipaje rediseñado'!$C4229</f>
        <v>9.0277777777777457E-3</v>
      </c>
      <c r="F4229" s="52">
        <v>0.40416666666666662</v>
      </c>
      <c r="G4229" s="53">
        <f t="shared" si="66"/>
        <v>9.7222222222221877E-3</v>
      </c>
      <c r="H4229" s="54">
        <v>41808</v>
      </c>
      <c r="I4229" s="55" t="s">
        <v>536</v>
      </c>
      <c r="J4229" s="55">
        <v>738</v>
      </c>
      <c r="K4229" s="55">
        <f>VLOOKUP(J4229,'Validacion reclamo de equipaje'!L:M,2,0)</f>
        <v>189</v>
      </c>
      <c r="L4229" s="55" t="str">
        <f>VLOOKUP(I4229,'Validacion reclamo de equipaje'!H:I,2,0)</f>
        <v>Nacional</v>
      </c>
      <c r="M4229" s="55" t="s">
        <v>615</v>
      </c>
    </row>
    <row r="4230" spans="1:13" x14ac:dyDescent="0.25">
      <c r="A4230">
        <v>276</v>
      </c>
      <c r="B4230" s="47" t="str">
        <f>VLOOKUP(Tabla6[[#This Row],['# Vuelo]],'Validacion reclamo de equipaje'!P:Q,2,0)</f>
        <v>MEXICO AEREO</v>
      </c>
      <c r="C4230" s="48">
        <v>0.38472222222222219</v>
      </c>
      <c r="D4230" s="48">
        <v>0.38680555555555557</v>
      </c>
      <c r="E4230" s="49">
        <f>'Reclamo de equipaje rediseñado'!$D4230-'Reclamo de equipaje rediseñado'!$C4230</f>
        <v>2.0833333333333814E-3</v>
      </c>
      <c r="F4230" s="48">
        <v>0.3972222222222222</v>
      </c>
      <c r="G4230" s="49">
        <f t="shared" si="66"/>
        <v>1.041666666666663E-2</v>
      </c>
      <c r="H4230" s="50">
        <v>41810</v>
      </c>
      <c r="I4230" s="51" t="s">
        <v>536</v>
      </c>
      <c r="J4230" s="51">
        <v>738</v>
      </c>
      <c r="K4230" s="51">
        <f>VLOOKUP(J4230,'Validacion reclamo de equipaje'!L:M,2,0)</f>
        <v>189</v>
      </c>
      <c r="L4230" s="51" t="str">
        <f>VLOOKUP(I4230,'Validacion reclamo de equipaje'!H:I,2,0)</f>
        <v>Nacional</v>
      </c>
      <c r="M4230" s="51" t="s">
        <v>615</v>
      </c>
    </row>
    <row r="4231" spans="1:13" x14ac:dyDescent="0.25">
      <c r="A4231">
        <v>276</v>
      </c>
      <c r="B4231" s="47" t="str">
        <f>VLOOKUP(Tabla6[[#This Row],['# Vuelo]],'Validacion reclamo de equipaje'!P:Q,2,0)</f>
        <v>MEXICO AEREO</v>
      </c>
      <c r="C4231" s="52">
        <v>0.38541666666666669</v>
      </c>
      <c r="D4231" s="52">
        <v>0.38819444444444445</v>
      </c>
      <c r="E4231" s="53">
        <f>'Reclamo de equipaje rediseñado'!$D4231-'Reclamo de equipaje rediseñado'!$C4231</f>
        <v>2.7777777777777679E-3</v>
      </c>
      <c r="F4231" s="52">
        <v>0.39513888888888887</v>
      </c>
      <c r="G4231" s="53">
        <f t="shared" si="66"/>
        <v>6.9444444444444198E-3</v>
      </c>
      <c r="H4231" s="54">
        <v>41813</v>
      </c>
      <c r="I4231" s="55" t="s">
        <v>536</v>
      </c>
      <c r="J4231" s="55">
        <v>738</v>
      </c>
      <c r="K4231" s="55">
        <f>VLOOKUP(J4231,'Validacion reclamo de equipaje'!L:M,2,0)</f>
        <v>189</v>
      </c>
      <c r="L4231" s="55" t="str">
        <f>VLOOKUP(I4231,'Validacion reclamo de equipaje'!H:I,2,0)</f>
        <v>Nacional</v>
      </c>
      <c r="M4231" s="55" t="s">
        <v>615</v>
      </c>
    </row>
    <row r="4232" spans="1:13" x14ac:dyDescent="0.25">
      <c r="A4232">
        <v>276</v>
      </c>
      <c r="B4232" s="47" t="str">
        <f>VLOOKUP(Tabla6[[#This Row],['# Vuelo]],'Validacion reclamo de equipaje'!P:Q,2,0)</f>
        <v>MEXICO AEREO</v>
      </c>
      <c r="C4232" s="48">
        <v>0.38472222222222219</v>
      </c>
      <c r="D4232" s="48">
        <v>0.39166666666666666</v>
      </c>
      <c r="E4232" s="49">
        <f>'Reclamo de equipaje rediseñado'!$D4232-'Reclamo de equipaje rediseñado'!$C4232</f>
        <v>6.9444444444444753E-3</v>
      </c>
      <c r="F4232" s="48">
        <v>0.39652777777777781</v>
      </c>
      <c r="G4232" s="49">
        <f t="shared" si="66"/>
        <v>4.8611111111111494E-3</v>
      </c>
      <c r="H4232" s="50">
        <v>41812</v>
      </c>
      <c r="I4232" s="51" t="s">
        <v>536</v>
      </c>
      <c r="J4232" s="51">
        <v>738</v>
      </c>
      <c r="K4232" s="51">
        <f>VLOOKUP(J4232,'Validacion reclamo de equipaje'!L:M,2,0)</f>
        <v>189</v>
      </c>
      <c r="L4232" s="51" t="str">
        <f>VLOOKUP(I4232,'Validacion reclamo de equipaje'!H:I,2,0)</f>
        <v>Nacional</v>
      </c>
      <c r="M4232" s="51" t="s">
        <v>615</v>
      </c>
    </row>
    <row r="4233" spans="1:13" x14ac:dyDescent="0.25">
      <c r="A4233">
        <v>252</v>
      </c>
      <c r="B4233" s="47" t="str">
        <f>VLOOKUP(Tabla6[[#This Row],['# Vuelo]],'Validacion reclamo de equipaje'!P:Q,2,0)</f>
        <v>MEXICO AEREO</v>
      </c>
      <c r="C4233" s="52">
        <v>0.70833333333333337</v>
      </c>
      <c r="D4233" s="52">
        <v>0.73055555555555562</v>
      </c>
      <c r="E4233" s="53">
        <f>'Reclamo de equipaje rediseñado'!$D4233-'Reclamo de equipaje rediseñado'!$C4233</f>
        <v>2.2222222222222254E-2</v>
      </c>
      <c r="F4233" s="52">
        <v>0.74097222222222225</v>
      </c>
      <c r="G4233" s="53">
        <f t="shared" si="66"/>
        <v>1.041666666666663E-2</v>
      </c>
      <c r="H4233" s="54">
        <v>41791</v>
      </c>
      <c r="I4233" s="55" t="s">
        <v>536</v>
      </c>
      <c r="J4233" s="55">
        <v>738</v>
      </c>
      <c r="K4233" s="55">
        <f>VLOOKUP(J4233,'Validacion reclamo de equipaje'!L:M,2,0)</f>
        <v>189</v>
      </c>
      <c r="L4233" s="55" t="str">
        <f>VLOOKUP(I4233,'Validacion reclamo de equipaje'!H:I,2,0)</f>
        <v>Nacional</v>
      </c>
      <c r="M4233" s="55" t="s">
        <v>615</v>
      </c>
    </row>
    <row r="4234" spans="1:13" x14ac:dyDescent="0.25">
      <c r="A4234">
        <v>252</v>
      </c>
      <c r="B4234" s="47" t="str">
        <f>VLOOKUP(Tabla6[[#This Row],['# Vuelo]],'Validacion reclamo de equipaje'!P:Q,2,0)</f>
        <v>MEXICO AEREO</v>
      </c>
      <c r="C4234" s="48">
        <v>0.75138888888888899</v>
      </c>
      <c r="D4234" s="48">
        <v>0.75555555555555554</v>
      </c>
      <c r="E4234" s="49">
        <f>'Reclamo de equipaje rediseñado'!$D4234-'Reclamo de equipaje rediseñado'!$C4234</f>
        <v>4.1666666666665408E-3</v>
      </c>
      <c r="F4234" s="48">
        <v>0.7597222222222223</v>
      </c>
      <c r="G4234" s="49">
        <f t="shared" si="66"/>
        <v>4.1666666666667629E-3</v>
      </c>
      <c r="H4234" s="50">
        <v>41792</v>
      </c>
      <c r="I4234" s="51" t="s">
        <v>536</v>
      </c>
      <c r="J4234" s="51">
        <v>738</v>
      </c>
      <c r="K4234" s="51">
        <f>VLOOKUP(J4234,'Validacion reclamo de equipaje'!L:M,2,0)</f>
        <v>189</v>
      </c>
      <c r="L4234" s="51" t="str">
        <f>VLOOKUP(I4234,'Validacion reclamo de equipaje'!H:I,2,0)</f>
        <v>Nacional</v>
      </c>
      <c r="M4234" s="51" t="s">
        <v>615</v>
      </c>
    </row>
    <row r="4235" spans="1:13" x14ac:dyDescent="0.25">
      <c r="A4235">
        <v>252</v>
      </c>
      <c r="B4235" s="47" t="str">
        <f>VLOOKUP(Tabla6[[#This Row],['# Vuelo]],'Validacion reclamo de equipaje'!P:Q,2,0)</f>
        <v>MEXICO AEREO</v>
      </c>
      <c r="C4235" s="52">
        <v>0.72222222222222221</v>
      </c>
      <c r="D4235" s="52">
        <v>0.72777777777777775</v>
      </c>
      <c r="E4235" s="53">
        <f>'Reclamo de equipaje rediseñado'!$D4235-'Reclamo de equipaje rediseñado'!$C4235</f>
        <v>5.5555555555555358E-3</v>
      </c>
      <c r="F4235" s="52">
        <v>0.73333333333333339</v>
      </c>
      <c r="G4235" s="53">
        <f t="shared" si="66"/>
        <v>5.5555555555556468E-3</v>
      </c>
      <c r="H4235" s="54">
        <v>41793</v>
      </c>
      <c r="I4235" s="55" t="s">
        <v>536</v>
      </c>
      <c r="J4235" s="55">
        <v>738</v>
      </c>
      <c r="K4235" s="55">
        <f>VLOOKUP(J4235,'Validacion reclamo de equipaje'!L:M,2,0)</f>
        <v>189</v>
      </c>
      <c r="L4235" s="55" t="str">
        <f>VLOOKUP(I4235,'Validacion reclamo de equipaje'!H:I,2,0)</f>
        <v>Nacional</v>
      </c>
      <c r="M4235" s="55" t="s">
        <v>615</v>
      </c>
    </row>
    <row r="4236" spans="1:13" x14ac:dyDescent="0.25">
      <c r="A4236">
        <v>252</v>
      </c>
      <c r="B4236" s="47" t="str">
        <f>VLOOKUP(Tabla6[[#This Row],['# Vuelo]],'Validacion reclamo de equipaje'!P:Q,2,0)</f>
        <v>MEXICO AEREO</v>
      </c>
      <c r="C4236" s="48">
        <v>0.74861111111111101</v>
      </c>
      <c r="D4236" s="48">
        <v>0.75347222222222221</v>
      </c>
      <c r="E4236" s="49">
        <f>'Reclamo de equipaje rediseñado'!$D4236-'Reclamo de equipaje rediseñado'!$C4236</f>
        <v>4.8611111111112049E-3</v>
      </c>
      <c r="F4236" s="48">
        <v>0.76388888888888884</v>
      </c>
      <c r="G4236" s="49">
        <f t="shared" si="66"/>
        <v>1.041666666666663E-2</v>
      </c>
      <c r="H4236" s="50">
        <v>41794</v>
      </c>
      <c r="I4236" s="51" t="s">
        <v>536</v>
      </c>
      <c r="J4236" s="51">
        <v>738</v>
      </c>
      <c r="K4236" s="51">
        <f>VLOOKUP(J4236,'Validacion reclamo de equipaje'!L:M,2,0)</f>
        <v>189</v>
      </c>
      <c r="L4236" s="51" t="str">
        <f>VLOOKUP(I4236,'Validacion reclamo de equipaje'!H:I,2,0)</f>
        <v>Nacional</v>
      </c>
      <c r="M4236" s="51" t="s">
        <v>615</v>
      </c>
    </row>
    <row r="4237" spans="1:13" x14ac:dyDescent="0.25">
      <c r="A4237">
        <v>252</v>
      </c>
      <c r="B4237" s="47" t="str">
        <f>VLOOKUP(Tabla6[[#This Row],['# Vuelo]],'Validacion reclamo de equipaje'!P:Q,2,0)</f>
        <v>MEXICO AEREO</v>
      </c>
      <c r="C4237" s="52">
        <v>0.71875</v>
      </c>
      <c r="D4237" s="52">
        <v>0.72430555555555554</v>
      </c>
      <c r="E4237" s="53">
        <f>'Reclamo de equipaje rediseñado'!$D4237-'Reclamo de equipaje rediseñado'!$C4237</f>
        <v>5.5555555555555358E-3</v>
      </c>
      <c r="F4237" s="52">
        <v>0.72986111111111107</v>
      </c>
      <c r="G4237" s="53">
        <f t="shared" si="66"/>
        <v>5.5555555555555358E-3</v>
      </c>
      <c r="H4237" s="54">
        <v>41795</v>
      </c>
      <c r="I4237" s="55" t="s">
        <v>536</v>
      </c>
      <c r="J4237" s="55">
        <v>738</v>
      </c>
      <c r="K4237" s="55">
        <f>VLOOKUP(J4237,'Validacion reclamo de equipaje'!L:M,2,0)</f>
        <v>189</v>
      </c>
      <c r="L4237" s="55" t="str">
        <f>VLOOKUP(I4237,'Validacion reclamo de equipaje'!H:I,2,0)</f>
        <v>Nacional</v>
      </c>
      <c r="M4237" s="55" t="s">
        <v>615</v>
      </c>
    </row>
    <row r="4238" spans="1:13" x14ac:dyDescent="0.25">
      <c r="A4238">
        <v>252</v>
      </c>
      <c r="B4238" s="47" t="str">
        <f>VLOOKUP(Tabla6[[#This Row],['# Vuelo]],'Validacion reclamo de equipaje'!P:Q,2,0)</f>
        <v>MEXICO AEREO</v>
      </c>
      <c r="C4238" s="48">
        <v>0.71666666666666667</v>
      </c>
      <c r="D4238" s="48">
        <v>0.72222222222222221</v>
      </c>
      <c r="E4238" s="49">
        <f>'Reclamo de equipaje rediseñado'!$D4238-'Reclamo de equipaje rediseñado'!$C4238</f>
        <v>5.5555555555555358E-3</v>
      </c>
      <c r="F4238" s="48">
        <v>0.7270833333333333</v>
      </c>
      <c r="G4238" s="49">
        <f t="shared" si="66"/>
        <v>4.8611111111110938E-3</v>
      </c>
      <c r="H4238" s="50">
        <v>41796</v>
      </c>
      <c r="I4238" s="51" t="s">
        <v>536</v>
      </c>
      <c r="J4238" s="51">
        <v>738</v>
      </c>
      <c r="K4238" s="51">
        <f>VLOOKUP(J4238,'Validacion reclamo de equipaje'!L:M,2,0)</f>
        <v>189</v>
      </c>
      <c r="L4238" s="51" t="str">
        <f>VLOOKUP(I4238,'Validacion reclamo de equipaje'!H:I,2,0)</f>
        <v>Nacional</v>
      </c>
      <c r="M4238" s="51" t="s">
        <v>615</v>
      </c>
    </row>
    <row r="4239" spans="1:13" x14ac:dyDescent="0.25">
      <c r="A4239">
        <v>252</v>
      </c>
      <c r="B4239" s="47" t="str">
        <f>VLOOKUP(Tabla6[[#This Row],['# Vuelo]],'Validacion reclamo de equipaje'!P:Q,2,0)</f>
        <v>MEXICO AEREO</v>
      </c>
      <c r="C4239" s="52">
        <v>0.7090277777777777</v>
      </c>
      <c r="D4239" s="52">
        <v>0.71527777777777779</v>
      </c>
      <c r="E4239" s="53">
        <f>'Reclamo de equipaje rediseñado'!$D4239-'Reclamo de equipaje rediseñado'!$C4239</f>
        <v>6.2500000000000888E-3</v>
      </c>
      <c r="F4239" s="52">
        <v>0.72222222222222221</v>
      </c>
      <c r="G4239" s="53">
        <f t="shared" si="66"/>
        <v>6.9444444444444198E-3</v>
      </c>
      <c r="H4239" s="54">
        <v>41798</v>
      </c>
      <c r="I4239" s="55" t="s">
        <v>536</v>
      </c>
      <c r="J4239" s="55">
        <v>738</v>
      </c>
      <c r="K4239" s="55">
        <f>VLOOKUP(J4239,'Validacion reclamo de equipaje'!L:M,2,0)</f>
        <v>189</v>
      </c>
      <c r="L4239" s="55" t="str">
        <f>VLOOKUP(I4239,'Validacion reclamo de equipaje'!H:I,2,0)</f>
        <v>Nacional</v>
      </c>
      <c r="M4239" s="55" t="s">
        <v>615</v>
      </c>
    </row>
    <row r="4240" spans="1:13" x14ac:dyDescent="0.25">
      <c r="A4240">
        <v>252</v>
      </c>
      <c r="B4240" s="47" t="str">
        <f>VLOOKUP(Tabla6[[#This Row],['# Vuelo]],'Validacion reclamo de equipaje'!P:Q,2,0)</f>
        <v>MEXICO AEREO</v>
      </c>
      <c r="C4240" s="48">
        <v>0.72291666666666676</v>
      </c>
      <c r="D4240" s="48">
        <v>0.72777777777777775</v>
      </c>
      <c r="E4240" s="49">
        <f>'Reclamo de equipaje rediseñado'!$D4240-'Reclamo de equipaje rediseñado'!$C4240</f>
        <v>4.8611111111109828E-3</v>
      </c>
      <c r="F4240" s="48">
        <v>0.73472222222222217</v>
      </c>
      <c r="G4240" s="49">
        <f t="shared" si="66"/>
        <v>6.9444444444444198E-3</v>
      </c>
      <c r="H4240" s="50">
        <v>41799</v>
      </c>
      <c r="I4240" s="51" t="s">
        <v>536</v>
      </c>
      <c r="J4240" s="51">
        <v>738</v>
      </c>
      <c r="K4240" s="51">
        <f>VLOOKUP(J4240,'Validacion reclamo de equipaje'!L:M,2,0)</f>
        <v>189</v>
      </c>
      <c r="L4240" s="51" t="str">
        <f>VLOOKUP(I4240,'Validacion reclamo de equipaje'!H:I,2,0)</f>
        <v>Nacional</v>
      </c>
      <c r="M4240" s="51" t="s">
        <v>615</v>
      </c>
    </row>
    <row r="4241" spans="1:13" x14ac:dyDescent="0.25">
      <c r="A4241">
        <v>252</v>
      </c>
      <c r="B4241" s="47" t="str">
        <f>VLOOKUP(Tabla6[[#This Row],['# Vuelo]],'Validacion reclamo de equipaje'!P:Q,2,0)</f>
        <v>MEXICO AEREO</v>
      </c>
      <c r="C4241" s="52">
        <v>0.70347222222222217</v>
      </c>
      <c r="D4241" s="52">
        <v>0.7090277777777777</v>
      </c>
      <c r="E4241" s="53">
        <f>'Reclamo de equipaje rediseñado'!$D4241-'Reclamo de equipaje rediseñado'!$C4241</f>
        <v>5.5555555555555358E-3</v>
      </c>
      <c r="F4241" s="52">
        <v>0.71111111111111114</v>
      </c>
      <c r="G4241" s="53">
        <f t="shared" si="66"/>
        <v>2.083333333333437E-3</v>
      </c>
      <c r="H4241" s="54">
        <v>41801</v>
      </c>
      <c r="I4241" s="55" t="s">
        <v>536</v>
      </c>
      <c r="J4241" s="55">
        <v>738</v>
      </c>
      <c r="K4241" s="55">
        <f>VLOOKUP(J4241,'Validacion reclamo de equipaje'!L:M,2,0)</f>
        <v>189</v>
      </c>
      <c r="L4241" s="55" t="str">
        <f>VLOOKUP(I4241,'Validacion reclamo de equipaje'!H:I,2,0)</f>
        <v>Nacional</v>
      </c>
      <c r="M4241" s="55" t="s">
        <v>615</v>
      </c>
    </row>
    <row r="4242" spans="1:13" x14ac:dyDescent="0.25">
      <c r="A4242">
        <v>252</v>
      </c>
      <c r="B4242" s="47" t="str">
        <f>VLOOKUP(Tabla6[[#This Row],['# Vuelo]],'Validacion reclamo de equipaje'!P:Q,2,0)</f>
        <v>MEXICO AEREO</v>
      </c>
      <c r="C4242" s="48">
        <v>0.98888888888888893</v>
      </c>
      <c r="D4242" s="48">
        <v>0.99652777777777779</v>
      </c>
      <c r="E4242" s="49">
        <f>'Reclamo de equipaje rediseñado'!$D4242-'Reclamo de equipaje rediseñado'!$C4242</f>
        <v>7.6388888888888618E-3</v>
      </c>
      <c r="F4242" s="48">
        <v>1.0013888888888889</v>
      </c>
      <c r="G4242" s="49">
        <f t="shared" si="66"/>
        <v>4.8611111111110938E-3</v>
      </c>
      <c r="H4242" s="50">
        <v>41801</v>
      </c>
      <c r="I4242" s="51" t="s">
        <v>536</v>
      </c>
      <c r="J4242" s="51">
        <v>738</v>
      </c>
      <c r="K4242" s="51">
        <f>VLOOKUP(J4242,'Validacion reclamo de equipaje'!L:M,2,0)</f>
        <v>189</v>
      </c>
      <c r="L4242" s="51" t="str">
        <f>VLOOKUP(I4242,'Validacion reclamo de equipaje'!H:I,2,0)</f>
        <v>Nacional</v>
      </c>
      <c r="M4242" s="51" t="s">
        <v>615</v>
      </c>
    </row>
    <row r="4243" spans="1:13" x14ac:dyDescent="0.25">
      <c r="A4243">
        <v>252</v>
      </c>
      <c r="B4243" s="47" t="str">
        <f>VLOOKUP(Tabla6[[#This Row],['# Vuelo]],'Validacion reclamo de equipaje'!P:Q,2,0)</f>
        <v>MEXICO AEREO</v>
      </c>
      <c r="C4243" s="52">
        <v>0.25069444444444444</v>
      </c>
      <c r="D4243" s="52">
        <v>0.26458333333333334</v>
      </c>
      <c r="E4243" s="53">
        <f>'Reclamo de equipaje rediseñado'!$D4243-'Reclamo de equipaje rediseñado'!$C4243</f>
        <v>1.3888888888888895E-2</v>
      </c>
      <c r="F4243" s="52">
        <v>0.27083333333333331</v>
      </c>
      <c r="G4243" s="53">
        <f t="shared" si="66"/>
        <v>6.2499999999999778E-3</v>
      </c>
      <c r="H4243" s="54">
        <v>41802</v>
      </c>
      <c r="I4243" s="55" t="s">
        <v>536</v>
      </c>
      <c r="J4243" s="55">
        <v>738</v>
      </c>
      <c r="K4243" s="55">
        <f>VLOOKUP(J4243,'Validacion reclamo de equipaje'!L:M,2,0)</f>
        <v>189</v>
      </c>
      <c r="L4243" s="55" t="str">
        <f>VLOOKUP(I4243,'Validacion reclamo de equipaje'!H:I,2,0)</f>
        <v>Nacional</v>
      </c>
      <c r="M4243" s="55" t="s">
        <v>615</v>
      </c>
    </row>
    <row r="4244" spans="1:13" x14ac:dyDescent="0.25">
      <c r="A4244">
        <v>252</v>
      </c>
      <c r="B4244" s="47" t="str">
        <f>VLOOKUP(Tabla6[[#This Row],['# Vuelo]],'Validacion reclamo de equipaje'!P:Q,2,0)</f>
        <v>MEXICO AEREO</v>
      </c>
      <c r="C4244" s="48">
        <v>0.54722222222222217</v>
      </c>
      <c r="D4244" s="48">
        <v>0.54791666666666672</v>
      </c>
      <c r="E4244" s="49">
        <f>'Reclamo de equipaje rediseñado'!$D4244-'Reclamo de equipaje rediseñado'!$C4244</f>
        <v>6.94444444444553E-4</v>
      </c>
      <c r="F4244" s="48">
        <v>0.54999999999999993</v>
      </c>
      <c r="G4244" s="49">
        <f t="shared" si="66"/>
        <v>2.0833333333332149E-3</v>
      </c>
      <c r="H4244" s="50">
        <v>41803</v>
      </c>
      <c r="I4244" s="51" t="s">
        <v>536</v>
      </c>
      <c r="J4244" s="51">
        <v>738</v>
      </c>
      <c r="K4244" s="51">
        <f>VLOOKUP(J4244,'Validacion reclamo de equipaje'!L:M,2,0)</f>
        <v>189</v>
      </c>
      <c r="L4244" s="51" t="str">
        <f>VLOOKUP(I4244,'Validacion reclamo de equipaje'!H:I,2,0)</f>
        <v>Nacional</v>
      </c>
      <c r="M4244" s="51" t="s">
        <v>615</v>
      </c>
    </row>
    <row r="4245" spans="1:13" x14ac:dyDescent="0.25">
      <c r="A4245">
        <v>252</v>
      </c>
      <c r="B4245" s="47" t="str">
        <f>VLOOKUP(Tabla6[[#This Row],['# Vuelo]],'Validacion reclamo de equipaje'!P:Q,2,0)</f>
        <v>MEXICO AEREO</v>
      </c>
      <c r="C4245" s="52">
        <v>0.45833333333333331</v>
      </c>
      <c r="D4245" s="52">
        <v>0.46875</v>
      </c>
      <c r="E4245" s="53">
        <f>'Reclamo de equipaje rediseñado'!$D4245-'Reclamo de equipaje rediseñado'!$C4245</f>
        <v>1.0416666666666685E-2</v>
      </c>
      <c r="F4245" s="52">
        <v>0.47291666666666665</v>
      </c>
      <c r="G4245" s="53">
        <f t="shared" si="66"/>
        <v>4.1666666666666519E-3</v>
      </c>
      <c r="H4245" s="54">
        <v>41805</v>
      </c>
      <c r="I4245" s="55" t="s">
        <v>536</v>
      </c>
      <c r="J4245" s="55">
        <v>738</v>
      </c>
      <c r="K4245" s="55">
        <f>VLOOKUP(J4245,'Validacion reclamo de equipaje'!L:M,2,0)</f>
        <v>189</v>
      </c>
      <c r="L4245" s="55" t="str">
        <f>VLOOKUP(I4245,'Validacion reclamo de equipaje'!H:I,2,0)</f>
        <v>Nacional</v>
      </c>
      <c r="M4245" s="55" t="s">
        <v>615</v>
      </c>
    </row>
    <row r="4246" spans="1:13" x14ac:dyDescent="0.25">
      <c r="A4246">
        <v>252</v>
      </c>
      <c r="B4246" s="47" t="str">
        <f>VLOOKUP(Tabla6[[#This Row],['# Vuelo]],'Validacion reclamo de equipaje'!P:Q,2,0)</f>
        <v>MEXICO AEREO</v>
      </c>
      <c r="C4246" s="48">
        <v>0.26527777777777778</v>
      </c>
      <c r="D4246" s="48">
        <v>0.2673611111111111</v>
      </c>
      <c r="E4246" s="49">
        <f>'Reclamo de equipaje rediseñado'!$D4246-'Reclamo de equipaje rediseñado'!$C4246</f>
        <v>2.0833333333333259E-3</v>
      </c>
      <c r="F4246" s="48">
        <v>0.27083333333333331</v>
      </c>
      <c r="G4246" s="49">
        <f t="shared" si="66"/>
        <v>3.4722222222222099E-3</v>
      </c>
      <c r="H4246" s="50">
        <v>41806</v>
      </c>
      <c r="I4246" s="51" t="s">
        <v>536</v>
      </c>
      <c r="J4246" s="51">
        <v>738</v>
      </c>
      <c r="K4246" s="51">
        <f>VLOOKUP(J4246,'Validacion reclamo de equipaje'!L:M,2,0)</f>
        <v>189</v>
      </c>
      <c r="L4246" s="51" t="str">
        <f>VLOOKUP(I4246,'Validacion reclamo de equipaje'!H:I,2,0)</f>
        <v>Nacional</v>
      </c>
      <c r="M4246" s="51" t="s">
        <v>615</v>
      </c>
    </row>
    <row r="4247" spans="1:13" x14ac:dyDescent="0.25">
      <c r="A4247">
        <v>252</v>
      </c>
      <c r="B4247" s="47" t="str">
        <f>VLOOKUP(Tabla6[[#This Row],['# Vuelo]],'Validacion reclamo de equipaje'!P:Q,2,0)</f>
        <v>MEXICO AEREO</v>
      </c>
      <c r="C4247" s="52">
        <v>0.70694444444444438</v>
      </c>
      <c r="D4247" s="52">
        <v>0.71111111111111114</v>
      </c>
      <c r="E4247" s="53">
        <f>'Reclamo de equipaje rediseñado'!$D4247-'Reclamo de equipaje rediseñado'!$C4247</f>
        <v>4.1666666666667629E-3</v>
      </c>
      <c r="F4247" s="52">
        <v>0.72569444444444453</v>
      </c>
      <c r="G4247" s="53">
        <f t="shared" si="66"/>
        <v>1.4583333333333393E-2</v>
      </c>
      <c r="H4247" s="54">
        <v>41807</v>
      </c>
      <c r="I4247" s="55" t="s">
        <v>536</v>
      </c>
      <c r="J4247" s="55">
        <v>738</v>
      </c>
      <c r="K4247" s="55">
        <f>VLOOKUP(J4247,'Validacion reclamo de equipaje'!L:M,2,0)</f>
        <v>189</v>
      </c>
      <c r="L4247" s="55" t="str">
        <f>VLOOKUP(I4247,'Validacion reclamo de equipaje'!H:I,2,0)</f>
        <v>Nacional</v>
      </c>
      <c r="M4247" s="55" t="s">
        <v>615</v>
      </c>
    </row>
    <row r="4248" spans="1:13" x14ac:dyDescent="0.25">
      <c r="A4248">
        <v>252</v>
      </c>
      <c r="B4248" s="47" t="str">
        <f>VLOOKUP(Tabla6[[#This Row],['# Vuelo]],'Validacion reclamo de equipaje'!P:Q,2,0)</f>
        <v>MEXICO AEREO</v>
      </c>
      <c r="C4248" s="48">
        <v>0.71527777777777779</v>
      </c>
      <c r="D4248" s="48">
        <v>0.72569444444444453</v>
      </c>
      <c r="E4248" s="49">
        <f>'Reclamo de equipaje rediseñado'!$D4248-'Reclamo de equipaje rediseñado'!$C4248</f>
        <v>1.0416666666666741E-2</v>
      </c>
      <c r="F4248" s="48">
        <v>0.73263888888888884</v>
      </c>
      <c r="G4248" s="49">
        <f t="shared" si="66"/>
        <v>6.9444444444443088E-3</v>
      </c>
      <c r="H4248" s="50">
        <v>41808</v>
      </c>
      <c r="I4248" s="51" t="s">
        <v>536</v>
      </c>
      <c r="J4248" s="51">
        <v>738</v>
      </c>
      <c r="K4248" s="51">
        <f>VLOOKUP(J4248,'Validacion reclamo de equipaje'!L:M,2,0)</f>
        <v>189</v>
      </c>
      <c r="L4248" s="51" t="str">
        <f>VLOOKUP(I4248,'Validacion reclamo de equipaje'!H:I,2,0)</f>
        <v>Nacional</v>
      </c>
      <c r="M4248" s="51" t="s">
        <v>615</v>
      </c>
    </row>
    <row r="4249" spans="1:13" x14ac:dyDescent="0.25">
      <c r="A4249">
        <v>252</v>
      </c>
      <c r="B4249" s="47" t="str">
        <f>VLOOKUP(Tabla6[[#This Row],['# Vuelo]],'Validacion reclamo de equipaje'!P:Q,2,0)</f>
        <v>MEXICO AEREO</v>
      </c>
      <c r="C4249" s="52">
        <v>0.71736111111111101</v>
      </c>
      <c r="D4249" s="52">
        <v>0.72222222222222221</v>
      </c>
      <c r="E4249" s="53">
        <f>'Reclamo de equipaje rediseñado'!$D4249-'Reclamo de equipaje rediseñado'!$C4249</f>
        <v>4.8611111111112049E-3</v>
      </c>
      <c r="F4249" s="52">
        <v>0.73055555555555562</v>
      </c>
      <c r="G4249" s="53">
        <f t="shared" si="66"/>
        <v>8.3333333333334147E-3</v>
      </c>
      <c r="H4249" s="54">
        <v>41809</v>
      </c>
      <c r="I4249" s="55" t="s">
        <v>536</v>
      </c>
      <c r="J4249" s="55">
        <v>738</v>
      </c>
      <c r="K4249" s="55">
        <f>VLOOKUP(J4249,'Validacion reclamo de equipaje'!L:M,2,0)</f>
        <v>189</v>
      </c>
      <c r="L4249" s="55" t="str">
        <f>VLOOKUP(I4249,'Validacion reclamo de equipaje'!H:I,2,0)</f>
        <v>Nacional</v>
      </c>
      <c r="M4249" s="55" t="s">
        <v>615</v>
      </c>
    </row>
    <row r="4250" spans="1:13" x14ac:dyDescent="0.25">
      <c r="A4250">
        <v>252</v>
      </c>
      <c r="B4250" s="47" t="str">
        <f>VLOOKUP(Tabla6[[#This Row],['# Vuelo]],'Validacion reclamo de equipaje'!P:Q,2,0)</f>
        <v>MEXICO AEREO</v>
      </c>
      <c r="C4250" s="48">
        <v>0.73749999999999993</v>
      </c>
      <c r="D4250" s="48">
        <v>0.74513888888888891</v>
      </c>
      <c r="E4250" s="49">
        <f>'Reclamo de equipaje rediseñado'!$D4250-'Reclamo de equipaje rediseñado'!$C4250</f>
        <v>7.6388888888889728E-3</v>
      </c>
      <c r="F4250" s="48">
        <v>0.75138888888888899</v>
      </c>
      <c r="G4250" s="49">
        <f t="shared" si="66"/>
        <v>6.2500000000000888E-3</v>
      </c>
      <c r="H4250" s="50">
        <v>41810</v>
      </c>
      <c r="I4250" s="51" t="s">
        <v>536</v>
      </c>
      <c r="J4250" s="51">
        <v>738</v>
      </c>
      <c r="K4250" s="51">
        <f>VLOOKUP(J4250,'Validacion reclamo de equipaje'!L:M,2,0)</f>
        <v>189</v>
      </c>
      <c r="L4250" s="51" t="str">
        <f>VLOOKUP(I4250,'Validacion reclamo de equipaje'!H:I,2,0)</f>
        <v>Nacional</v>
      </c>
      <c r="M4250" s="51" t="s">
        <v>615</v>
      </c>
    </row>
    <row r="4251" spans="1:13" x14ac:dyDescent="0.25">
      <c r="A4251">
        <v>228</v>
      </c>
      <c r="B4251" s="47" t="str">
        <f>VLOOKUP(Tabla6[[#This Row],['# Vuelo]],'Validacion reclamo de equipaje'!P:Q,2,0)</f>
        <v>MEXICO AEREO</v>
      </c>
      <c r="C4251" s="52">
        <v>0.69166666666666676</v>
      </c>
      <c r="D4251" s="52">
        <v>0.6958333333333333</v>
      </c>
      <c r="E4251" s="53">
        <f>'Reclamo de equipaje rediseñado'!$D4251-'Reclamo de equipaje rediseñado'!$C4251</f>
        <v>4.1666666666665408E-3</v>
      </c>
      <c r="F4251" s="52">
        <v>0.70277777777777783</v>
      </c>
      <c r="G4251" s="53">
        <f t="shared" si="66"/>
        <v>6.9444444444445308E-3</v>
      </c>
      <c r="H4251" s="54">
        <v>41791</v>
      </c>
      <c r="I4251" s="55" t="s">
        <v>536</v>
      </c>
      <c r="J4251" s="55">
        <v>738</v>
      </c>
      <c r="K4251" s="55">
        <f>VLOOKUP(J4251,'Validacion reclamo de equipaje'!L:M,2,0)</f>
        <v>189</v>
      </c>
      <c r="L4251" s="55" t="str">
        <f>VLOOKUP(I4251,'Validacion reclamo de equipaje'!H:I,2,0)</f>
        <v>Nacional</v>
      </c>
      <c r="M4251" s="55" t="s">
        <v>615</v>
      </c>
    </row>
    <row r="4252" spans="1:13" x14ac:dyDescent="0.25">
      <c r="A4252">
        <v>228</v>
      </c>
      <c r="B4252" s="47" t="str">
        <f>VLOOKUP(Tabla6[[#This Row],['# Vuelo]],'Validacion reclamo de equipaje'!P:Q,2,0)</f>
        <v>MEXICO AEREO</v>
      </c>
      <c r="C4252" s="48">
        <v>0.67569444444444438</v>
      </c>
      <c r="D4252" s="48">
        <v>0.68055555555555547</v>
      </c>
      <c r="E4252" s="49">
        <f>'Reclamo de equipaje rediseñado'!$D4252-'Reclamo de equipaje rediseñado'!$C4252</f>
        <v>4.8611111111110938E-3</v>
      </c>
      <c r="F4252" s="48">
        <v>0.6875</v>
      </c>
      <c r="G4252" s="49">
        <f t="shared" si="66"/>
        <v>6.9444444444445308E-3</v>
      </c>
      <c r="H4252" s="50">
        <v>41792</v>
      </c>
      <c r="I4252" s="51" t="s">
        <v>536</v>
      </c>
      <c r="J4252" s="51">
        <v>738</v>
      </c>
      <c r="K4252" s="51">
        <f>VLOOKUP(J4252,'Validacion reclamo de equipaje'!L:M,2,0)</f>
        <v>189</v>
      </c>
      <c r="L4252" s="51" t="str">
        <f>VLOOKUP(I4252,'Validacion reclamo de equipaje'!H:I,2,0)</f>
        <v>Nacional</v>
      </c>
      <c r="M4252" s="51" t="s">
        <v>615</v>
      </c>
    </row>
    <row r="4253" spans="1:13" x14ac:dyDescent="0.25">
      <c r="A4253">
        <v>228</v>
      </c>
      <c r="B4253" s="47" t="str">
        <f>VLOOKUP(Tabla6[[#This Row],['# Vuelo]],'Validacion reclamo de equipaje'!P:Q,2,0)</f>
        <v>MEXICO AEREO</v>
      </c>
      <c r="C4253" s="52">
        <v>0.69444444444444453</v>
      </c>
      <c r="D4253" s="52">
        <v>0.69861111111111107</v>
      </c>
      <c r="E4253" s="53">
        <f>'Reclamo de equipaje rediseñado'!$D4253-'Reclamo de equipaje rediseñado'!$C4253</f>
        <v>4.1666666666665408E-3</v>
      </c>
      <c r="F4253" s="52">
        <v>0.70277777777777783</v>
      </c>
      <c r="G4253" s="53">
        <f t="shared" si="66"/>
        <v>4.1666666666667629E-3</v>
      </c>
      <c r="H4253" s="54">
        <v>41794</v>
      </c>
      <c r="I4253" s="55" t="s">
        <v>536</v>
      </c>
      <c r="J4253" s="55">
        <v>738</v>
      </c>
      <c r="K4253" s="55">
        <f>VLOOKUP(J4253,'Validacion reclamo de equipaje'!L:M,2,0)</f>
        <v>189</v>
      </c>
      <c r="L4253" s="55" t="str">
        <f>VLOOKUP(I4253,'Validacion reclamo de equipaje'!H:I,2,0)</f>
        <v>Nacional</v>
      </c>
      <c r="M4253" s="55" t="s">
        <v>615</v>
      </c>
    </row>
    <row r="4254" spans="1:13" x14ac:dyDescent="0.25">
      <c r="A4254">
        <v>228</v>
      </c>
      <c r="B4254" s="47" t="str">
        <f>VLOOKUP(Tabla6[[#This Row],['# Vuelo]],'Validacion reclamo de equipaje'!P:Q,2,0)</f>
        <v>MEXICO AEREO</v>
      </c>
      <c r="C4254" s="48">
        <v>0.67152777777777783</v>
      </c>
      <c r="D4254" s="48">
        <v>0.67499999999999993</v>
      </c>
      <c r="E4254" s="49">
        <f>'Reclamo de equipaje rediseñado'!$D4254-'Reclamo de equipaje rediseñado'!$C4254</f>
        <v>3.4722222222220989E-3</v>
      </c>
      <c r="F4254" s="48">
        <v>0.68125000000000002</v>
      </c>
      <c r="G4254" s="49">
        <f t="shared" si="66"/>
        <v>6.2500000000000888E-3</v>
      </c>
      <c r="H4254" s="50">
        <v>41795</v>
      </c>
      <c r="I4254" s="51" t="s">
        <v>536</v>
      </c>
      <c r="J4254" s="51">
        <v>738</v>
      </c>
      <c r="K4254" s="51">
        <f>VLOOKUP(J4254,'Validacion reclamo de equipaje'!L:M,2,0)</f>
        <v>189</v>
      </c>
      <c r="L4254" s="51" t="str">
        <f>VLOOKUP(I4254,'Validacion reclamo de equipaje'!H:I,2,0)</f>
        <v>Nacional</v>
      </c>
      <c r="M4254" s="51" t="s">
        <v>615</v>
      </c>
    </row>
    <row r="4255" spans="1:13" x14ac:dyDescent="0.25">
      <c r="A4255">
        <v>228</v>
      </c>
      <c r="B4255" s="47" t="str">
        <f>VLOOKUP(Tabla6[[#This Row],['# Vuelo]],'Validacion reclamo de equipaje'!P:Q,2,0)</f>
        <v>MEXICO AEREO</v>
      </c>
      <c r="C4255" s="52">
        <v>0.68125000000000002</v>
      </c>
      <c r="D4255" s="52">
        <v>0.68472222222222223</v>
      </c>
      <c r="E4255" s="53">
        <f>'Reclamo de equipaje rediseñado'!$D4255-'Reclamo de equipaje rediseñado'!$C4255</f>
        <v>3.4722222222222099E-3</v>
      </c>
      <c r="F4255" s="52">
        <v>0.69027777777777777</v>
      </c>
      <c r="G4255" s="53">
        <f t="shared" si="66"/>
        <v>5.5555555555555358E-3</v>
      </c>
      <c r="H4255" s="54">
        <v>41796</v>
      </c>
      <c r="I4255" s="55" t="s">
        <v>536</v>
      </c>
      <c r="J4255" s="55">
        <v>738</v>
      </c>
      <c r="K4255" s="55">
        <f>VLOOKUP(J4255,'Validacion reclamo de equipaje'!L:M,2,0)</f>
        <v>189</v>
      </c>
      <c r="L4255" s="55" t="str">
        <f>VLOOKUP(I4255,'Validacion reclamo de equipaje'!H:I,2,0)</f>
        <v>Nacional</v>
      </c>
      <c r="M4255" s="55" t="s">
        <v>615</v>
      </c>
    </row>
    <row r="4256" spans="1:13" x14ac:dyDescent="0.25">
      <c r="A4256">
        <v>228</v>
      </c>
      <c r="B4256" s="47" t="str">
        <f>VLOOKUP(Tabla6[[#This Row],['# Vuelo]],'Validacion reclamo de equipaje'!P:Q,2,0)</f>
        <v>MEXICO AEREO</v>
      </c>
      <c r="C4256" s="48">
        <v>0.6875</v>
      </c>
      <c r="D4256" s="48">
        <v>0.69444444444444453</v>
      </c>
      <c r="E4256" s="49">
        <f>'Reclamo de equipaje rediseñado'!$D4256-'Reclamo de equipaje rediseñado'!$C4256</f>
        <v>6.9444444444445308E-3</v>
      </c>
      <c r="F4256" s="48">
        <v>0.7055555555555556</v>
      </c>
      <c r="G4256" s="49">
        <f t="shared" si="66"/>
        <v>1.1111111111111072E-2</v>
      </c>
      <c r="H4256" s="50">
        <v>41797</v>
      </c>
      <c r="I4256" s="51" t="s">
        <v>536</v>
      </c>
      <c r="J4256" s="51">
        <v>738</v>
      </c>
      <c r="K4256" s="51">
        <f>VLOOKUP(J4256,'Validacion reclamo de equipaje'!L:M,2,0)</f>
        <v>189</v>
      </c>
      <c r="L4256" s="51" t="str">
        <f>VLOOKUP(I4256,'Validacion reclamo de equipaje'!H:I,2,0)</f>
        <v>Nacional</v>
      </c>
      <c r="M4256" s="51" t="s">
        <v>615</v>
      </c>
    </row>
    <row r="4257" spans="1:13" x14ac:dyDescent="0.25">
      <c r="A4257">
        <v>228</v>
      </c>
      <c r="B4257" s="47" t="str">
        <f>VLOOKUP(Tabla6[[#This Row],['# Vuelo]],'Validacion reclamo de equipaje'!P:Q,2,0)</f>
        <v>MEXICO AEREO</v>
      </c>
      <c r="C4257" s="52">
        <v>0.6875</v>
      </c>
      <c r="D4257" s="52">
        <v>0.69027777777777777</v>
      </c>
      <c r="E4257" s="53">
        <f>'Reclamo de equipaje rediseñado'!$D4257-'Reclamo de equipaje rediseñado'!$C4257</f>
        <v>2.7777777777777679E-3</v>
      </c>
      <c r="F4257" s="52">
        <v>0.69861111111111107</v>
      </c>
      <c r="G4257" s="53">
        <f t="shared" si="66"/>
        <v>8.3333333333333037E-3</v>
      </c>
      <c r="H4257" s="54">
        <v>41798</v>
      </c>
      <c r="I4257" s="55" t="s">
        <v>536</v>
      </c>
      <c r="J4257" s="55">
        <v>738</v>
      </c>
      <c r="K4257" s="55">
        <f>VLOOKUP(J4257,'Validacion reclamo de equipaje'!L:M,2,0)</f>
        <v>189</v>
      </c>
      <c r="L4257" s="55" t="str">
        <f>VLOOKUP(I4257,'Validacion reclamo de equipaje'!H:I,2,0)</f>
        <v>Nacional</v>
      </c>
      <c r="M4257" s="55" t="s">
        <v>615</v>
      </c>
    </row>
    <row r="4258" spans="1:13" x14ac:dyDescent="0.25">
      <c r="A4258">
        <v>228</v>
      </c>
      <c r="B4258" s="47" t="str">
        <f>VLOOKUP(Tabla6[[#This Row],['# Vuelo]],'Validacion reclamo de equipaje'!P:Q,2,0)</f>
        <v>MEXICO AEREO</v>
      </c>
      <c r="C4258" s="48">
        <v>0.67986111111111114</v>
      </c>
      <c r="D4258" s="48">
        <v>0.68055555555555547</v>
      </c>
      <c r="E4258" s="49">
        <f>'Reclamo de equipaje rediseñado'!$D4258-'Reclamo de equipaje rediseñado'!$C4258</f>
        <v>6.9444444444433095E-4</v>
      </c>
      <c r="F4258" s="48">
        <v>0.69166666666666676</v>
      </c>
      <c r="G4258" s="49">
        <f t="shared" si="66"/>
        <v>1.1111111111111294E-2</v>
      </c>
      <c r="H4258" s="50">
        <v>41799</v>
      </c>
      <c r="I4258" s="51" t="s">
        <v>536</v>
      </c>
      <c r="J4258" s="51">
        <v>738</v>
      </c>
      <c r="K4258" s="51">
        <f>VLOOKUP(J4258,'Validacion reclamo de equipaje'!L:M,2,0)</f>
        <v>189</v>
      </c>
      <c r="L4258" s="51" t="str">
        <f>VLOOKUP(I4258,'Validacion reclamo de equipaje'!H:I,2,0)</f>
        <v>Nacional</v>
      </c>
      <c r="M4258" s="51" t="s">
        <v>615</v>
      </c>
    </row>
    <row r="4259" spans="1:13" x14ac:dyDescent="0.25">
      <c r="A4259">
        <v>228</v>
      </c>
      <c r="B4259" s="47" t="str">
        <f>VLOOKUP(Tabla6[[#This Row],['# Vuelo]],'Validacion reclamo de equipaje'!P:Q,2,0)</f>
        <v>MEXICO AEREO</v>
      </c>
      <c r="C4259" s="52">
        <v>0.43055555555555558</v>
      </c>
      <c r="D4259" s="52">
        <v>0.43958333333333338</v>
      </c>
      <c r="E4259" s="53">
        <f>'Reclamo de equipaje rediseñado'!$D4259-'Reclamo de equipaje rediseñado'!$C4259</f>
        <v>9.0277777777778012E-3</v>
      </c>
      <c r="F4259" s="52">
        <v>0.45069444444444445</v>
      </c>
      <c r="G4259" s="53">
        <f t="shared" si="66"/>
        <v>1.1111111111111072E-2</v>
      </c>
      <c r="H4259" s="54">
        <v>41801</v>
      </c>
      <c r="I4259" s="55" t="s">
        <v>536</v>
      </c>
      <c r="J4259" s="55">
        <v>738</v>
      </c>
      <c r="K4259" s="55">
        <f>VLOOKUP(J4259,'Validacion reclamo de equipaje'!L:M,2,0)</f>
        <v>189</v>
      </c>
      <c r="L4259" s="55" t="str">
        <f>VLOOKUP(I4259,'Validacion reclamo de equipaje'!H:I,2,0)</f>
        <v>Nacional</v>
      </c>
      <c r="M4259" s="55" t="s">
        <v>615</v>
      </c>
    </row>
    <row r="4260" spans="1:13" x14ac:dyDescent="0.25">
      <c r="A4260">
        <v>228</v>
      </c>
      <c r="B4260" s="47" t="str">
        <f>VLOOKUP(Tabla6[[#This Row],['# Vuelo]],'Validacion reclamo de equipaje'!P:Q,2,0)</f>
        <v>MEXICO AEREO</v>
      </c>
      <c r="C4260" s="48">
        <v>0.4604166666666667</v>
      </c>
      <c r="D4260" s="48">
        <v>0.46111111111111108</v>
      </c>
      <c r="E4260" s="49">
        <f>'Reclamo de equipaje rediseñado'!$D4260-'Reclamo de equipaje rediseñado'!$C4260</f>
        <v>6.9444444444438647E-4</v>
      </c>
      <c r="F4260" s="48">
        <v>0.46458333333333335</v>
      </c>
      <c r="G4260" s="49">
        <f t="shared" si="66"/>
        <v>3.4722222222222654E-3</v>
      </c>
      <c r="H4260" s="50">
        <v>41801</v>
      </c>
      <c r="I4260" s="51" t="s">
        <v>536</v>
      </c>
      <c r="J4260" s="51">
        <v>738</v>
      </c>
      <c r="K4260" s="51">
        <f>VLOOKUP(J4260,'Validacion reclamo de equipaje'!L:M,2,0)</f>
        <v>189</v>
      </c>
      <c r="L4260" s="51" t="str">
        <f>VLOOKUP(I4260,'Validacion reclamo de equipaje'!H:I,2,0)</f>
        <v>Nacional</v>
      </c>
      <c r="M4260" s="51" t="s">
        <v>615</v>
      </c>
    </row>
    <row r="4261" spans="1:13" x14ac:dyDescent="0.25">
      <c r="A4261">
        <v>228</v>
      </c>
      <c r="B4261" s="47" t="str">
        <f>VLOOKUP(Tabla6[[#This Row],['# Vuelo]],'Validacion reclamo de equipaje'!P:Q,2,0)</f>
        <v>MEXICO AEREO</v>
      </c>
      <c r="C4261" s="52">
        <v>0.82847222222222217</v>
      </c>
      <c r="D4261" s="52">
        <v>0.84166666666666667</v>
      </c>
      <c r="E4261" s="53">
        <f>'Reclamo de equipaje rediseñado'!$D4261-'Reclamo de equipaje rediseñado'!$C4261</f>
        <v>1.3194444444444509E-2</v>
      </c>
      <c r="F4261" s="52">
        <v>0.85416666666666663</v>
      </c>
      <c r="G4261" s="53">
        <f t="shared" si="66"/>
        <v>1.2499999999999956E-2</v>
      </c>
      <c r="H4261" s="54">
        <v>41802</v>
      </c>
      <c r="I4261" s="55" t="s">
        <v>536</v>
      </c>
      <c r="J4261" s="55">
        <v>738</v>
      </c>
      <c r="K4261" s="55">
        <f>VLOOKUP(J4261,'Validacion reclamo de equipaje'!L:M,2,0)</f>
        <v>189</v>
      </c>
      <c r="L4261" s="55" t="str">
        <f>VLOOKUP(I4261,'Validacion reclamo de equipaje'!H:I,2,0)</f>
        <v>Nacional</v>
      </c>
      <c r="M4261" s="55" t="s">
        <v>615</v>
      </c>
    </row>
    <row r="4262" spans="1:13" x14ac:dyDescent="0.25">
      <c r="A4262">
        <v>228</v>
      </c>
      <c r="B4262" s="47" t="str">
        <f>VLOOKUP(Tabla6[[#This Row],['# Vuelo]],'Validacion reclamo de equipaje'!P:Q,2,0)</f>
        <v>MEXICO AEREO</v>
      </c>
      <c r="C4262" s="48">
        <v>0.69513888888888886</v>
      </c>
      <c r="D4262" s="48">
        <v>0.70277777777777783</v>
      </c>
      <c r="E4262" s="49">
        <f>'Reclamo de equipaje rediseñado'!$D4262-'Reclamo de equipaje rediseñado'!$C4262</f>
        <v>7.6388888888889728E-3</v>
      </c>
      <c r="F4262" s="48">
        <v>0.70486111111111116</v>
      </c>
      <c r="G4262" s="49">
        <f t="shared" si="66"/>
        <v>2.0833333333333259E-3</v>
      </c>
      <c r="H4262" s="50">
        <v>41803</v>
      </c>
      <c r="I4262" s="51" t="s">
        <v>536</v>
      </c>
      <c r="J4262" s="51">
        <v>738</v>
      </c>
      <c r="K4262" s="51">
        <f>VLOOKUP(J4262,'Validacion reclamo de equipaje'!L:M,2,0)</f>
        <v>189</v>
      </c>
      <c r="L4262" s="51" t="str">
        <f>VLOOKUP(I4262,'Validacion reclamo de equipaje'!H:I,2,0)</f>
        <v>Nacional</v>
      </c>
      <c r="M4262" s="51" t="s">
        <v>615</v>
      </c>
    </row>
    <row r="4263" spans="1:13" x14ac:dyDescent="0.25">
      <c r="A4263">
        <v>228</v>
      </c>
      <c r="B4263" s="47" t="str">
        <f>VLOOKUP(Tabla6[[#This Row],['# Vuelo]],'Validacion reclamo de equipaje'!P:Q,2,0)</f>
        <v>MEXICO AEREO</v>
      </c>
      <c r="C4263" s="52">
        <v>0.71666666666666667</v>
      </c>
      <c r="D4263" s="52">
        <v>0.72430555555555554</v>
      </c>
      <c r="E4263" s="53">
        <f>'Reclamo de equipaje rediseñado'!$D4263-'Reclamo de equipaje rediseñado'!$C4263</f>
        <v>7.6388888888888618E-3</v>
      </c>
      <c r="F4263" s="52">
        <v>0.72916666666666663</v>
      </c>
      <c r="G4263" s="53">
        <f t="shared" si="66"/>
        <v>4.8611111111110938E-3</v>
      </c>
      <c r="H4263" s="54">
        <v>41804</v>
      </c>
      <c r="I4263" s="55" t="s">
        <v>536</v>
      </c>
      <c r="J4263" s="55">
        <v>738</v>
      </c>
      <c r="K4263" s="55">
        <f>VLOOKUP(J4263,'Validacion reclamo de equipaje'!L:M,2,0)</f>
        <v>189</v>
      </c>
      <c r="L4263" s="55" t="str">
        <f>VLOOKUP(I4263,'Validacion reclamo de equipaje'!H:I,2,0)</f>
        <v>Nacional</v>
      </c>
      <c r="M4263" s="55" t="s">
        <v>615</v>
      </c>
    </row>
    <row r="4264" spans="1:13" x14ac:dyDescent="0.25">
      <c r="A4264">
        <v>228</v>
      </c>
      <c r="B4264" s="47" t="str">
        <f>VLOOKUP(Tabla6[[#This Row],['# Vuelo]],'Validacion reclamo de equipaje'!P:Q,2,0)</f>
        <v>MEXICO AEREO</v>
      </c>
      <c r="C4264" s="48">
        <v>0.5493055555555556</v>
      </c>
      <c r="D4264" s="48">
        <v>0.55555555555555558</v>
      </c>
      <c r="E4264" s="49">
        <f>'Reclamo de equipaje rediseñado'!$D4264-'Reclamo de equipaje rediseñado'!$C4264</f>
        <v>6.2499999999999778E-3</v>
      </c>
      <c r="F4264" s="48">
        <v>0.57708333333333328</v>
      </c>
      <c r="G4264" s="49">
        <f t="shared" si="66"/>
        <v>2.1527777777777701E-2</v>
      </c>
      <c r="H4264" s="50">
        <v>41805</v>
      </c>
      <c r="I4264" s="51" t="s">
        <v>536</v>
      </c>
      <c r="J4264" s="51">
        <v>738</v>
      </c>
      <c r="K4264" s="51">
        <f>VLOOKUP(J4264,'Validacion reclamo de equipaje'!L:M,2,0)</f>
        <v>189</v>
      </c>
      <c r="L4264" s="51" t="str">
        <f>VLOOKUP(I4264,'Validacion reclamo de equipaje'!H:I,2,0)</f>
        <v>Nacional</v>
      </c>
      <c r="M4264" s="51" t="s">
        <v>615</v>
      </c>
    </row>
    <row r="4265" spans="1:13" x14ac:dyDescent="0.25">
      <c r="A4265">
        <v>228</v>
      </c>
      <c r="B4265" s="47" t="str">
        <f>VLOOKUP(Tabla6[[#This Row],['# Vuelo]],'Validacion reclamo de equipaje'!P:Q,2,0)</f>
        <v>MEXICO AEREO</v>
      </c>
      <c r="C4265" s="52">
        <v>0.25208333333333333</v>
      </c>
      <c r="D4265" s="52">
        <v>0.26041666666666669</v>
      </c>
      <c r="E4265" s="53">
        <f>'Reclamo de equipaje rediseñado'!$D4265-'Reclamo de equipaje rediseñado'!$C4265</f>
        <v>8.3333333333333592E-3</v>
      </c>
      <c r="F4265" s="52">
        <v>0.26805555555555555</v>
      </c>
      <c r="G4265" s="53">
        <f t="shared" si="66"/>
        <v>7.6388888888888618E-3</v>
      </c>
      <c r="H4265" s="54">
        <v>41806</v>
      </c>
      <c r="I4265" s="55" t="s">
        <v>536</v>
      </c>
      <c r="J4265" s="55">
        <v>738</v>
      </c>
      <c r="K4265" s="55">
        <f>VLOOKUP(J4265,'Validacion reclamo de equipaje'!L:M,2,0)</f>
        <v>189</v>
      </c>
      <c r="L4265" s="55" t="str">
        <f>VLOOKUP(I4265,'Validacion reclamo de equipaje'!H:I,2,0)</f>
        <v>Nacional</v>
      </c>
      <c r="M4265" s="55" t="s">
        <v>615</v>
      </c>
    </row>
    <row r="4266" spans="1:13" x14ac:dyDescent="0.25">
      <c r="A4266">
        <v>228</v>
      </c>
      <c r="B4266" s="47" t="str">
        <f>VLOOKUP(Tabla6[[#This Row],['# Vuelo]],'Validacion reclamo de equipaje'!P:Q,2,0)</f>
        <v>MEXICO AEREO</v>
      </c>
      <c r="C4266" s="48">
        <v>0.84513888888888899</v>
      </c>
      <c r="D4266" s="48">
        <v>0.85625000000000007</v>
      </c>
      <c r="E4266" s="49">
        <f>'Reclamo de equipaje rediseñado'!$D4266-'Reclamo de equipaje rediseñado'!$C4266</f>
        <v>1.1111111111111072E-2</v>
      </c>
      <c r="F4266" s="48">
        <v>0.875</v>
      </c>
      <c r="G4266" s="49">
        <f t="shared" si="66"/>
        <v>1.8749999999999933E-2</v>
      </c>
      <c r="H4266" s="50">
        <v>41807</v>
      </c>
      <c r="I4266" s="51" t="s">
        <v>536</v>
      </c>
      <c r="J4266" s="51">
        <v>738</v>
      </c>
      <c r="K4266" s="51">
        <f>VLOOKUP(J4266,'Validacion reclamo de equipaje'!L:M,2,0)</f>
        <v>189</v>
      </c>
      <c r="L4266" s="51" t="str">
        <f>VLOOKUP(I4266,'Validacion reclamo de equipaje'!H:I,2,0)</f>
        <v>Nacional</v>
      </c>
      <c r="M4266" s="51" t="s">
        <v>615</v>
      </c>
    </row>
    <row r="4267" spans="1:13" x14ac:dyDescent="0.25">
      <c r="A4267">
        <v>228</v>
      </c>
      <c r="B4267" s="47" t="str">
        <f>VLOOKUP(Tabla6[[#This Row],['# Vuelo]],'Validacion reclamo de equipaje'!P:Q,2,0)</f>
        <v>MEXICO AEREO</v>
      </c>
      <c r="C4267" s="52">
        <v>0.6777777777777777</v>
      </c>
      <c r="D4267" s="52">
        <v>0.71388888888888891</v>
      </c>
      <c r="E4267" s="53">
        <f>'Reclamo de equipaje rediseñado'!$D4267-'Reclamo de equipaje rediseñado'!$C4267</f>
        <v>3.6111111111111205E-2</v>
      </c>
      <c r="F4267" s="52">
        <v>0.71875</v>
      </c>
      <c r="G4267" s="53">
        <f t="shared" si="66"/>
        <v>4.8611111111110938E-3</v>
      </c>
      <c r="H4267" s="54">
        <v>41808</v>
      </c>
      <c r="I4267" s="55" t="s">
        <v>536</v>
      </c>
      <c r="J4267" s="55">
        <v>738</v>
      </c>
      <c r="K4267" s="55">
        <f>VLOOKUP(J4267,'Validacion reclamo de equipaje'!L:M,2,0)</f>
        <v>189</v>
      </c>
      <c r="L4267" s="55" t="str">
        <f>VLOOKUP(I4267,'Validacion reclamo de equipaje'!H:I,2,0)</f>
        <v>Nacional</v>
      </c>
      <c r="M4267" s="55" t="s">
        <v>615</v>
      </c>
    </row>
    <row r="4268" spans="1:13" x14ac:dyDescent="0.25">
      <c r="A4268">
        <v>228</v>
      </c>
      <c r="B4268" s="47" t="str">
        <f>VLOOKUP(Tabla6[[#This Row],['# Vuelo]],'Validacion reclamo de equipaje'!P:Q,2,0)</f>
        <v>MEXICO AEREO</v>
      </c>
      <c r="C4268" s="48">
        <v>0.67708333333333337</v>
      </c>
      <c r="D4268" s="48">
        <v>0.6791666666666667</v>
      </c>
      <c r="E4268" s="49">
        <f>'Reclamo de equipaje rediseñado'!$D4268-'Reclamo de equipaje rediseñado'!$C4268</f>
        <v>2.0833333333333259E-3</v>
      </c>
      <c r="F4268" s="48">
        <v>0.68541666666666667</v>
      </c>
      <c r="G4268" s="49">
        <f t="shared" si="66"/>
        <v>6.2499999999999778E-3</v>
      </c>
      <c r="H4268" s="50">
        <v>41809</v>
      </c>
      <c r="I4268" s="51" t="s">
        <v>536</v>
      </c>
      <c r="J4268" s="51">
        <v>738</v>
      </c>
      <c r="K4268" s="51">
        <f>VLOOKUP(J4268,'Validacion reclamo de equipaje'!L:M,2,0)</f>
        <v>189</v>
      </c>
      <c r="L4268" s="51" t="str">
        <f>VLOOKUP(I4268,'Validacion reclamo de equipaje'!H:I,2,0)</f>
        <v>Nacional</v>
      </c>
      <c r="M4268" s="51" t="s">
        <v>615</v>
      </c>
    </row>
    <row r="4269" spans="1:13" x14ac:dyDescent="0.25">
      <c r="A4269">
        <v>228</v>
      </c>
      <c r="B4269" s="47" t="str">
        <f>VLOOKUP(Tabla6[[#This Row],['# Vuelo]],'Validacion reclamo de equipaje'!P:Q,2,0)</f>
        <v>MEXICO AEREO</v>
      </c>
      <c r="C4269" s="52">
        <v>0.68055555555555547</v>
      </c>
      <c r="D4269" s="52">
        <v>0.6875</v>
      </c>
      <c r="E4269" s="53">
        <f>'Reclamo de equipaje rediseñado'!$D4269-'Reclamo de equipaje rediseñado'!$C4269</f>
        <v>6.9444444444445308E-3</v>
      </c>
      <c r="F4269" s="52">
        <v>0.69791666666666663</v>
      </c>
      <c r="G4269" s="53">
        <f t="shared" si="66"/>
        <v>1.041666666666663E-2</v>
      </c>
      <c r="H4269" s="54">
        <v>41810</v>
      </c>
      <c r="I4269" s="55" t="s">
        <v>536</v>
      </c>
      <c r="J4269" s="55">
        <v>738</v>
      </c>
      <c r="K4269" s="55">
        <f>VLOOKUP(J4269,'Validacion reclamo de equipaje'!L:M,2,0)</f>
        <v>189</v>
      </c>
      <c r="L4269" s="55" t="str">
        <f>VLOOKUP(I4269,'Validacion reclamo de equipaje'!H:I,2,0)</f>
        <v>Nacional</v>
      </c>
      <c r="M4269" s="55" t="s">
        <v>615</v>
      </c>
    </row>
    <row r="4270" spans="1:13" x14ac:dyDescent="0.25">
      <c r="A4270">
        <v>228</v>
      </c>
      <c r="B4270" s="47" t="str">
        <f>VLOOKUP(Tabla6[[#This Row],['# Vuelo]],'Validacion reclamo de equipaje'!P:Q,2,0)</f>
        <v>MEXICO AEREO</v>
      </c>
      <c r="C4270" s="48">
        <v>0.70347222222222217</v>
      </c>
      <c r="D4270" s="48">
        <v>0.70694444444444438</v>
      </c>
      <c r="E4270" s="49">
        <f>'Reclamo de equipaje rediseñado'!$D4270-'Reclamo de equipaje rediseñado'!$C4270</f>
        <v>3.4722222222222099E-3</v>
      </c>
      <c r="F4270" s="48">
        <v>0.71875</v>
      </c>
      <c r="G4270" s="49">
        <f t="shared" si="66"/>
        <v>1.1805555555555625E-2</v>
      </c>
      <c r="H4270" s="50">
        <v>41811</v>
      </c>
      <c r="I4270" s="51" t="s">
        <v>536</v>
      </c>
      <c r="J4270" s="51">
        <v>738</v>
      </c>
      <c r="K4270" s="51">
        <f>VLOOKUP(J4270,'Validacion reclamo de equipaje'!L:M,2,0)</f>
        <v>189</v>
      </c>
      <c r="L4270" s="51" t="str">
        <f>VLOOKUP(I4270,'Validacion reclamo de equipaje'!H:I,2,0)</f>
        <v>Nacional</v>
      </c>
      <c r="M4270" s="51" t="s">
        <v>615</v>
      </c>
    </row>
    <row r="4271" spans="1:13" x14ac:dyDescent="0.25">
      <c r="A4271">
        <v>228</v>
      </c>
      <c r="B4271" s="47" t="str">
        <f>VLOOKUP(Tabla6[[#This Row],['# Vuelo]],'Validacion reclamo de equipaje'!P:Q,2,0)</f>
        <v>MEXICO AEREO</v>
      </c>
      <c r="C4271" s="52">
        <v>0.68819444444444444</v>
      </c>
      <c r="D4271" s="52">
        <v>0.69305555555555554</v>
      </c>
      <c r="E4271" s="53">
        <f>'Reclamo de equipaje rediseñado'!$D4271-'Reclamo de equipaje rediseñado'!$C4271</f>
        <v>4.8611111111110938E-3</v>
      </c>
      <c r="F4271" s="52">
        <v>0.70208333333333339</v>
      </c>
      <c r="G4271" s="53">
        <f t="shared" si="66"/>
        <v>9.0277777777778567E-3</v>
      </c>
      <c r="H4271" s="54">
        <v>41813</v>
      </c>
      <c r="I4271" s="55" t="s">
        <v>536</v>
      </c>
      <c r="J4271" s="55">
        <v>738</v>
      </c>
      <c r="K4271" s="55">
        <f>VLOOKUP(J4271,'Validacion reclamo de equipaje'!L:M,2,0)</f>
        <v>189</v>
      </c>
      <c r="L4271" s="55" t="str">
        <f>VLOOKUP(I4271,'Validacion reclamo de equipaje'!H:I,2,0)</f>
        <v>Nacional</v>
      </c>
      <c r="M4271" s="55" t="s">
        <v>615</v>
      </c>
    </row>
    <row r="4272" spans="1:13" x14ac:dyDescent="0.25">
      <c r="A4272">
        <v>228</v>
      </c>
      <c r="B4272" s="47" t="str">
        <f>VLOOKUP(Tabla6[[#This Row],['# Vuelo]],'Validacion reclamo de equipaje'!P:Q,2,0)</f>
        <v>MEXICO AEREO</v>
      </c>
      <c r="C4272" s="48">
        <v>0.64444444444444449</v>
      </c>
      <c r="D4272" s="48">
        <v>0.69305555555555554</v>
      </c>
      <c r="E4272" s="49">
        <f>'Reclamo de equipaje rediseñado'!$D4272-'Reclamo de equipaje rediseñado'!$C4272</f>
        <v>4.8611111111111049E-2</v>
      </c>
      <c r="F4272" s="48">
        <v>0.70000000000000007</v>
      </c>
      <c r="G4272" s="49">
        <f t="shared" si="66"/>
        <v>6.9444444444445308E-3</v>
      </c>
      <c r="H4272" s="50">
        <v>41812</v>
      </c>
      <c r="I4272" s="51" t="s">
        <v>536</v>
      </c>
      <c r="J4272" s="51">
        <v>738</v>
      </c>
      <c r="K4272" s="51">
        <f>VLOOKUP(J4272,'Validacion reclamo de equipaje'!L:M,2,0)</f>
        <v>189</v>
      </c>
      <c r="L4272" s="51" t="str">
        <f>VLOOKUP(I4272,'Validacion reclamo de equipaje'!H:I,2,0)</f>
        <v>Nacional</v>
      </c>
      <c r="M4272" s="51" t="s">
        <v>615</v>
      </c>
    </row>
    <row r="4273" spans="1:13" x14ac:dyDescent="0.25">
      <c r="A4273">
        <v>214</v>
      </c>
      <c r="B4273" s="47" t="str">
        <f>VLOOKUP(Tabla6[[#This Row],['# Vuelo]],'Validacion reclamo de equipaje'!P:Q,2,0)</f>
        <v>MEXICO AEREO</v>
      </c>
      <c r="C4273" s="52">
        <v>0.63680555555555551</v>
      </c>
      <c r="D4273" s="52">
        <v>0.64374999999999993</v>
      </c>
      <c r="E4273" s="53">
        <f>'Reclamo de equipaje rediseñado'!$D4273-'Reclamo de equipaje rediseñado'!$C4273</f>
        <v>6.9444444444444198E-3</v>
      </c>
      <c r="F4273" s="52">
        <v>0.65069444444444446</v>
      </c>
      <c r="G4273" s="53">
        <f t="shared" si="66"/>
        <v>6.9444444444445308E-3</v>
      </c>
      <c r="H4273" s="54">
        <v>41791</v>
      </c>
      <c r="I4273" s="55" t="s">
        <v>536</v>
      </c>
      <c r="J4273" s="55" t="s">
        <v>535</v>
      </c>
      <c r="K4273" s="55">
        <f>VLOOKUP(J4273,'Validacion reclamo de equipaje'!L:M,2,0)</f>
        <v>50</v>
      </c>
      <c r="L4273" s="55" t="str">
        <f>VLOOKUP(I4273,'Validacion reclamo de equipaje'!H:I,2,0)</f>
        <v>Nacional</v>
      </c>
      <c r="M4273" s="55" t="s">
        <v>615</v>
      </c>
    </row>
    <row r="4274" spans="1:13" x14ac:dyDescent="0.25">
      <c r="A4274">
        <v>214</v>
      </c>
      <c r="B4274" s="47" t="str">
        <f>VLOOKUP(Tabla6[[#This Row],['# Vuelo]],'Validacion reclamo de equipaje'!P:Q,2,0)</f>
        <v>MEXICO AEREO</v>
      </c>
      <c r="C4274" s="48">
        <v>0.63263888888888886</v>
      </c>
      <c r="D4274" s="48">
        <v>0.63750000000000007</v>
      </c>
      <c r="E4274" s="49">
        <f>'Reclamo de equipaje rediseñado'!$D4274-'Reclamo de equipaje rediseñado'!$C4274</f>
        <v>4.8611111111112049E-3</v>
      </c>
      <c r="F4274" s="48">
        <v>0.6430555555555556</v>
      </c>
      <c r="G4274" s="49">
        <f t="shared" si="66"/>
        <v>5.5555555555555358E-3</v>
      </c>
      <c r="H4274" s="50">
        <v>41792</v>
      </c>
      <c r="I4274" s="51" t="s">
        <v>536</v>
      </c>
      <c r="J4274" s="51" t="s">
        <v>535</v>
      </c>
      <c r="K4274" s="51">
        <f>VLOOKUP(J4274,'Validacion reclamo de equipaje'!L:M,2,0)</f>
        <v>50</v>
      </c>
      <c r="L4274" s="51" t="str">
        <f>VLOOKUP(I4274,'Validacion reclamo de equipaje'!H:I,2,0)</f>
        <v>Nacional</v>
      </c>
      <c r="M4274" s="51" t="s">
        <v>615</v>
      </c>
    </row>
    <row r="4275" spans="1:13" x14ac:dyDescent="0.25">
      <c r="A4275">
        <v>214</v>
      </c>
      <c r="B4275" s="47" t="str">
        <f>VLOOKUP(Tabla6[[#This Row],['# Vuelo]],'Validacion reclamo de equipaje'!P:Q,2,0)</f>
        <v>MEXICO AEREO</v>
      </c>
      <c r="C4275" s="52">
        <v>0.63680555555555551</v>
      </c>
      <c r="D4275" s="52">
        <v>0.63888888888888895</v>
      </c>
      <c r="E4275" s="53">
        <f>'Reclamo de equipaje rediseñado'!$D4275-'Reclamo de equipaje rediseñado'!$C4275</f>
        <v>2.083333333333437E-3</v>
      </c>
      <c r="F4275" s="52">
        <v>0.64722222222222225</v>
      </c>
      <c r="G4275" s="53">
        <f t="shared" si="66"/>
        <v>8.3333333333333037E-3</v>
      </c>
      <c r="H4275" s="54">
        <v>41793</v>
      </c>
      <c r="I4275" s="55" t="s">
        <v>536</v>
      </c>
      <c r="J4275" s="55" t="s">
        <v>535</v>
      </c>
      <c r="K4275" s="55">
        <f>VLOOKUP(J4275,'Validacion reclamo de equipaje'!L:M,2,0)</f>
        <v>50</v>
      </c>
      <c r="L4275" s="55" t="str">
        <f>VLOOKUP(I4275,'Validacion reclamo de equipaje'!H:I,2,0)</f>
        <v>Nacional</v>
      </c>
      <c r="M4275" s="55" t="s">
        <v>615</v>
      </c>
    </row>
    <row r="4276" spans="1:13" x14ac:dyDescent="0.25">
      <c r="A4276">
        <v>214</v>
      </c>
      <c r="B4276" s="47" t="str">
        <f>VLOOKUP(Tabla6[[#This Row],['# Vuelo]],'Validacion reclamo de equipaje'!P:Q,2,0)</f>
        <v>MEXICO AEREO</v>
      </c>
      <c r="C4276" s="48">
        <v>0.63263888888888886</v>
      </c>
      <c r="D4276" s="48">
        <v>0.63750000000000007</v>
      </c>
      <c r="E4276" s="49">
        <f>'Reclamo de equipaje rediseñado'!$D4276-'Reclamo de equipaje rediseñado'!$C4276</f>
        <v>4.8611111111112049E-3</v>
      </c>
      <c r="F4276" s="48">
        <v>0.64097222222222217</v>
      </c>
      <c r="G4276" s="49">
        <f t="shared" si="66"/>
        <v>3.4722222222220989E-3</v>
      </c>
      <c r="H4276" s="50">
        <v>41794</v>
      </c>
      <c r="I4276" s="51" t="s">
        <v>536</v>
      </c>
      <c r="J4276" s="51" t="s">
        <v>535</v>
      </c>
      <c r="K4276" s="51">
        <f>VLOOKUP(J4276,'Validacion reclamo de equipaje'!L:M,2,0)</f>
        <v>50</v>
      </c>
      <c r="L4276" s="51" t="str">
        <f>VLOOKUP(I4276,'Validacion reclamo de equipaje'!H:I,2,0)</f>
        <v>Nacional</v>
      </c>
      <c r="M4276" s="51" t="s">
        <v>615</v>
      </c>
    </row>
    <row r="4277" spans="1:13" x14ac:dyDescent="0.25">
      <c r="A4277">
        <v>214</v>
      </c>
      <c r="B4277" s="47" t="str">
        <f>VLOOKUP(Tabla6[[#This Row],['# Vuelo]],'Validacion reclamo de equipaje'!P:Q,2,0)</f>
        <v>MEXICO AEREO</v>
      </c>
      <c r="C4277" s="52">
        <v>0.63750000000000007</v>
      </c>
      <c r="D4277" s="52">
        <v>0.6381944444444444</v>
      </c>
      <c r="E4277" s="53">
        <f>'Reclamo de equipaje rediseñado'!$D4277-'Reclamo de equipaje rediseñado'!$C4277</f>
        <v>6.9444444444433095E-4</v>
      </c>
      <c r="F4277" s="52">
        <v>0.64444444444444449</v>
      </c>
      <c r="G4277" s="53">
        <f t="shared" si="66"/>
        <v>6.2500000000000888E-3</v>
      </c>
      <c r="H4277" s="54">
        <v>41795</v>
      </c>
      <c r="I4277" s="55" t="s">
        <v>536</v>
      </c>
      <c r="J4277" s="55" t="s">
        <v>535</v>
      </c>
      <c r="K4277" s="55">
        <f>VLOOKUP(J4277,'Validacion reclamo de equipaje'!L:M,2,0)</f>
        <v>50</v>
      </c>
      <c r="L4277" s="55" t="str">
        <f>VLOOKUP(I4277,'Validacion reclamo de equipaje'!H:I,2,0)</f>
        <v>Nacional</v>
      </c>
      <c r="M4277" s="55" t="s">
        <v>615</v>
      </c>
    </row>
    <row r="4278" spans="1:13" x14ac:dyDescent="0.25">
      <c r="A4278">
        <v>214</v>
      </c>
      <c r="B4278" s="47" t="str">
        <f>VLOOKUP(Tabla6[[#This Row],['# Vuelo]],'Validacion reclamo de equipaje'!P:Q,2,0)</f>
        <v>MEXICO AEREO</v>
      </c>
      <c r="C4278" s="48">
        <v>0.69861111111111107</v>
      </c>
      <c r="D4278" s="48">
        <v>0.70277777777777783</v>
      </c>
      <c r="E4278" s="49">
        <f>'Reclamo de equipaje rediseñado'!$D4278-'Reclamo de equipaje rediseñado'!$C4278</f>
        <v>4.1666666666667629E-3</v>
      </c>
      <c r="F4278" s="48">
        <v>0.70763888888888893</v>
      </c>
      <c r="G4278" s="49">
        <f t="shared" si="66"/>
        <v>4.8611111111110938E-3</v>
      </c>
      <c r="H4278" s="50">
        <v>41796</v>
      </c>
      <c r="I4278" s="51" t="s">
        <v>536</v>
      </c>
      <c r="J4278" s="51" t="s">
        <v>535</v>
      </c>
      <c r="K4278" s="51">
        <f>VLOOKUP(J4278,'Validacion reclamo de equipaje'!L:M,2,0)</f>
        <v>50</v>
      </c>
      <c r="L4278" s="51" t="str">
        <f>VLOOKUP(I4278,'Validacion reclamo de equipaje'!H:I,2,0)</f>
        <v>Nacional</v>
      </c>
      <c r="M4278" s="51" t="s">
        <v>615</v>
      </c>
    </row>
    <row r="4279" spans="1:13" x14ac:dyDescent="0.25">
      <c r="A4279">
        <v>214</v>
      </c>
      <c r="B4279" s="47" t="str">
        <f>VLOOKUP(Tabla6[[#This Row],['# Vuelo]],'Validacion reclamo de equipaje'!P:Q,2,0)</f>
        <v>MEXICO AEREO</v>
      </c>
      <c r="C4279" s="52">
        <v>0.62152777777777779</v>
      </c>
      <c r="D4279" s="52">
        <v>0.62708333333333333</v>
      </c>
      <c r="E4279" s="53">
        <f>'Reclamo de equipaje rediseñado'!$D4279-'Reclamo de equipaje rediseñado'!$C4279</f>
        <v>5.5555555555555358E-3</v>
      </c>
      <c r="F4279" s="52">
        <v>0.63888888888888895</v>
      </c>
      <c r="G4279" s="53">
        <f t="shared" si="66"/>
        <v>1.1805555555555625E-2</v>
      </c>
      <c r="H4279" s="54">
        <v>41798</v>
      </c>
      <c r="I4279" s="55" t="s">
        <v>536</v>
      </c>
      <c r="J4279" s="55" t="s">
        <v>535</v>
      </c>
      <c r="K4279" s="55">
        <f>VLOOKUP(J4279,'Validacion reclamo de equipaje'!L:M,2,0)</f>
        <v>50</v>
      </c>
      <c r="L4279" s="55" t="str">
        <f>VLOOKUP(I4279,'Validacion reclamo de equipaje'!H:I,2,0)</f>
        <v>Nacional</v>
      </c>
      <c r="M4279" s="55" t="s">
        <v>615</v>
      </c>
    </row>
    <row r="4280" spans="1:13" x14ac:dyDescent="0.25">
      <c r="A4280">
        <v>214</v>
      </c>
      <c r="B4280" s="47" t="str">
        <f>VLOOKUP(Tabla6[[#This Row],['# Vuelo]],'Validacion reclamo de equipaje'!P:Q,2,0)</f>
        <v>MEXICO AEREO</v>
      </c>
      <c r="C4280" s="48">
        <v>0.63680555555555551</v>
      </c>
      <c r="D4280" s="48">
        <v>0.64236111111111105</v>
      </c>
      <c r="E4280" s="49">
        <f>'Reclamo de equipaje rediseñado'!$D4280-'Reclamo de equipaje rediseñado'!$C4280</f>
        <v>5.5555555555555358E-3</v>
      </c>
      <c r="F4280" s="48">
        <v>0.65138888888888891</v>
      </c>
      <c r="G4280" s="49">
        <f t="shared" si="66"/>
        <v>9.0277777777778567E-3</v>
      </c>
      <c r="H4280" s="50">
        <v>41799</v>
      </c>
      <c r="I4280" s="51" t="s">
        <v>536</v>
      </c>
      <c r="J4280" s="51" t="s">
        <v>535</v>
      </c>
      <c r="K4280" s="51">
        <f>VLOOKUP(J4280,'Validacion reclamo de equipaje'!L:M,2,0)</f>
        <v>50</v>
      </c>
      <c r="L4280" s="51" t="str">
        <f>VLOOKUP(I4280,'Validacion reclamo de equipaje'!H:I,2,0)</f>
        <v>Nacional</v>
      </c>
      <c r="M4280" s="51" t="s">
        <v>615</v>
      </c>
    </row>
    <row r="4281" spans="1:13" x14ac:dyDescent="0.25">
      <c r="A4281">
        <v>214</v>
      </c>
      <c r="B4281" s="47" t="str">
        <f>VLOOKUP(Tabla6[[#This Row],['# Vuelo]],'Validacion reclamo de equipaje'!P:Q,2,0)</f>
        <v>MEXICO AEREO</v>
      </c>
      <c r="C4281" s="52">
        <v>0.875</v>
      </c>
      <c r="D4281" s="52">
        <v>0.87777777777777777</v>
      </c>
      <c r="E4281" s="53">
        <f>'Reclamo de equipaje rediseñado'!$D4281-'Reclamo de equipaje rediseñado'!$C4281</f>
        <v>2.7777777777777679E-3</v>
      </c>
      <c r="F4281" s="52">
        <v>0.89027777777777783</v>
      </c>
      <c r="G4281" s="53">
        <f t="shared" si="66"/>
        <v>1.2500000000000067E-2</v>
      </c>
      <c r="H4281" s="54">
        <v>41801</v>
      </c>
      <c r="I4281" s="55" t="s">
        <v>536</v>
      </c>
      <c r="J4281" s="55" t="s">
        <v>535</v>
      </c>
      <c r="K4281" s="55">
        <f>VLOOKUP(J4281,'Validacion reclamo de equipaje'!L:M,2,0)</f>
        <v>50</v>
      </c>
      <c r="L4281" s="55" t="str">
        <f>VLOOKUP(I4281,'Validacion reclamo de equipaje'!H:I,2,0)</f>
        <v>Nacional</v>
      </c>
      <c r="M4281" s="55" t="s">
        <v>615</v>
      </c>
    </row>
    <row r="4282" spans="1:13" x14ac:dyDescent="0.25">
      <c r="A4282">
        <v>214</v>
      </c>
      <c r="B4282" s="47" t="str">
        <f>VLOOKUP(Tabla6[[#This Row],['# Vuelo]],'Validacion reclamo de equipaje'!P:Q,2,0)</f>
        <v>MEXICO AEREO</v>
      </c>
      <c r="C4282" s="48">
        <v>0.4291666666666667</v>
      </c>
      <c r="D4282" s="48">
        <v>0.43472222222222223</v>
      </c>
      <c r="E4282" s="49">
        <f>'Reclamo de equipaje rediseñado'!$D4282-'Reclamo de equipaje rediseñado'!$C4282</f>
        <v>5.5555555555555358E-3</v>
      </c>
      <c r="F4282" s="48">
        <v>0.43888888888888888</v>
      </c>
      <c r="G4282" s="49">
        <f t="shared" si="66"/>
        <v>4.1666666666666519E-3</v>
      </c>
      <c r="H4282" s="50">
        <v>41801</v>
      </c>
      <c r="I4282" s="51" t="s">
        <v>536</v>
      </c>
      <c r="J4282" s="51" t="s">
        <v>535</v>
      </c>
      <c r="K4282" s="51">
        <f>VLOOKUP(J4282,'Validacion reclamo de equipaje'!L:M,2,0)</f>
        <v>50</v>
      </c>
      <c r="L4282" s="51" t="str">
        <f>VLOOKUP(I4282,'Validacion reclamo de equipaje'!H:I,2,0)</f>
        <v>Nacional</v>
      </c>
      <c r="M4282" s="51" t="s">
        <v>615</v>
      </c>
    </row>
    <row r="4283" spans="1:13" x14ac:dyDescent="0.25">
      <c r="A4283">
        <v>214</v>
      </c>
      <c r="B4283" s="47" t="str">
        <f>VLOOKUP(Tabla6[[#This Row],['# Vuelo]],'Validacion reclamo de equipaje'!P:Q,2,0)</f>
        <v>MEXICO AEREO</v>
      </c>
      <c r="C4283" s="52">
        <v>0.26319444444444445</v>
      </c>
      <c r="D4283" s="52">
        <v>0.27361111111111108</v>
      </c>
      <c r="E4283" s="53">
        <f>'Reclamo de equipaje rediseñado'!$D4283-'Reclamo de equipaje rediseñado'!$C4283</f>
        <v>1.041666666666663E-2</v>
      </c>
      <c r="F4283" s="52">
        <v>0.29166666666666669</v>
      </c>
      <c r="G4283" s="53">
        <f t="shared" si="66"/>
        <v>1.8055555555555602E-2</v>
      </c>
      <c r="H4283" s="54">
        <v>41802</v>
      </c>
      <c r="I4283" s="55" t="s">
        <v>536</v>
      </c>
      <c r="J4283" s="55" t="s">
        <v>535</v>
      </c>
      <c r="K4283" s="55">
        <f>VLOOKUP(J4283,'Validacion reclamo de equipaje'!L:M,2,0)</f>
        <v>50</v>
      </c>
      <c r="L4283" s="55" t="str">
        <f>VLOOKUP(I4283,'Validacion reclamo de equipaje'!H:I,2,0)</f>
        <v>Nacional</v>
      </c>
      <c r="M4283" s="55" t="s">
        <v>615</v>
      </c>
    </row>
    <row r="4284" spans="1:13" x14ac:dyDescent="0.25">
      <c r="A4284">
        <v>214</v>
      </c>
      <c r="B4284" s="47" t="str">
        <f>VLOOKUP(Tabla6[[#This Row],['# Vuelo]],'Validacion reclamo de equipaje'!P:Q,2,0)</f>
        <v>MEXICO AEREO</v>
      </c>
      <c r="C4284" s="48">
        <v>0.57222222222222219</v>
      </c>
      <c r="D4284" s="48">
        <v>0.57638888888888895</v>
      </c>
      <c r="E4284" s="49">
        <f>'Reclamo de equipaje rediseñado'!$D4284-'Reclamo de equipaje rediseñado'!$C4284</f>
        <v>4.1666666666667629E-3</v>
      </c>
      <c r="F4284" s="48">
        <v>0.58194444444444449</v>
      </c>
      <c r="G4284" s="49">
        <f t="shared" si="66"/>
        <v>5.5555555555555358E-3</v>
      </c>
      <c r="H4284" s="50">
        <v>41803</v>
      </c>
      <c r="I4284" s="51" t="s">
        <v>536</v>
      </c>
      <c r="J4284" s="51" t="s">
        <v>535</v>
      </c>
      <c r="K4284" s="51">
        <f>VLOOKUP(J4284,'Validacion reclamo de equipaje'!L:M,2,0)</f>
        <v>50</v>
      </c>
      <c r="L4284" s="51" t="str">
        <f>VLOOKUP(I4284,'Validacion reclamo de equipaje'!H:I,2,0)</f>
        <v>Nacional</v>
      </c>
      <c r="M4284" s="51" t="s">
        <v>615</v>
      </c>
    </row>
    <row r="4285" spans="1:13" x14ac:dyDescent="0.25">
      <c r="A4285">
        <v>214</v>
      </c>
      <c r="B4285" s="47" t="str">
        <f>VLOOKUP(Tabla6[[#This Row],['# Vuelo]],'Validacion reclamo de equipaje'!P:Q,2,0)</f>
        <v>MEXICO AEREO</v>
      </c>
      <c r="C4285" s="52">
        <v>0.24722222222222223</v>
      </c>
      <c r="D4285" s="52">
        <v>0.2590277777777778</v>
      </c>
      <c r="E4285" s="53">
        <f>'Reclamo de equipaje rediseñado'!$D4285-'Reclamo de equipaje rediseñado'!$C4285</f>
        <v>1.1805555555555569E-2</v>
      </c>
      <c r="F4285" s="52">
        <v>0.28125</v>
      </c>
      <c r="G4285" s="53">
        <f t="shared" si="66"/>
        <v>2.2222222222222199E-2</v>
      </c>
      <c r="H4285" s="54">
        <v>41806</v>
      </c>
      <c r="I4285" s="55" t="s">
        <v>536</v>
      </c>
      <c r="J4285" s="55" t="s">
        <v>535</v>
      </c>
      <c r="K4285" s="55">
        <f>VLOOKUP(J4285,'Validacion reclamo de equipaje'!L:M,2,0)</f>
        <v>50</v>
      </c>
      <c r="L4285" s="55" t="str">
        <f>VLOOKUP(I4285,'Validacion reclamo de equipaje'!H:I,2,0)</f>
        <v>Nacional</v>
      </c>
      <c r="M4285" s="55" t="s">
        <v>615</v>
      </c>
    </row>
    <row r="4286" spans="1:13" x14ac:dyDescent="0.25">
      <c r="A4286">
        <v>214</v>
      </c>
      <c r="B4286" s="47" t="str">
        <f>VLOOKUP(Tabla6[[#This Row],['# Vuelo]],'Validacion reclamo de equipaje'!P:Q,2,0)</f>
        <v>MEXICO AEREO</v>
      </c>
      <c r="C4286" s="48">
        <v>0.84097222222222223</v>
      </c>
      <c r="D4286" s="48">
        <v>0.8520833333333333</v>
      </c>
      <c r="E4286" s="49">
        <f>'Reclamo de equipaje rediseñado'!$D4286-'Reclamo de equipaje rediseñado'!$C4286</f>
        <v>1.1111111111111072E-2</v>
      </c>
      <c r="F4286" s="48">
        <v>0.86041666666666661</v>
      </c>
      <c r="G4286" s="49">
        <f t="shared" si="66"/>
        <v>8.3333333333333037E-3</v>
      </c>
      <c r="H4286" s="50">
        <v>41807</v>
      </c>
      <c r="I4286" s="51" t="s">
        <v>536</v>
      </c>
      <c r="J4286" s="51" t="s">
        <v>535</v>
      </c>
      <c r="K4286" s="51">
        <f>VLOOKUP(J4286,'Validacion reclamo de equipaje'!L:M,2,0)</f>
        <v>50</v>
      </c>
      <c r="L4286" s="51" t="str">
        <f>VLOOKUP(I4286,'Validacion reclamo de equipaje'!H:I,2,0)</f>
        <v>Nacional</v>
      </c>
      <c r="M4286" s="51" t="s">
        <v>615</v>
      </c>
    </row>
    <row r="4287" spans="1:13" x14ac:dyDescent="0.25">
      <c r="A4287">
        <v>214</v>
      </c>
      <c r="B4287" s="47" t="str">
        <f>VLOOKUP(Tabla6[[#This Row],['# Vuelo]],'Validacion reclamo de equipaje'!P:Q,2,0)</f>
        <v>MEXICO AEREO</v>
      </c>
      <c r="C4287" s="52">
        <v>0.66111111111111109</v>
      </c>
      <c r="D4287" s="52">
        <v>0.6645833333333333</v>
      </c>
      <c r="E4287" s="53">
        <f>'Reclamo de equipaje rediseñado'!$D4287-'Reclamo de equipaje rediseñado'!$C4287</f>
        <v>3.4722222222222099E-3</v>
      </c>
      <c r="F4287" s="52">
        <v>0.66666666666666663</v>
      </c>
      <c r="G4287" s="53">
        <f t="shared" si="66"/>
        <v>2.0833333333333259E-3</v>
      </c>
      <c r="H4287" s="54">
        <v>41808</v>
      </c>
      <c r="I4287" s="55" t="s">
        <v>536</v>
      </c>
      <c r="J4287" s="55" t="s">
        <v>535</v>
      </c>
      <c r="K4287" s="55">
        <f>VLOOKUP(J4287,'Validacion reclamo de equipaje'!L:M,2,0)</f>
        <v>50</v>
      </c>
      <c r="L4287" s="55" t="str">
        <f>VLOOKUP(I4287,'Validacion reclamo de equipaje'!H:I,2,0)</f>
        <v>Nacional</v>
      </c>
      <c r="M4287" s="55" t="s">
        <v>615</v>
      </c>
    </row>
    <row r="4288" spans="1:13" x14ac:dyDescent="0.25">
      <c r="A4288">
        <v>214</v>
      </c>
      <c r="B4288" s="47" t="str">
        <f>VLOOKUP(Tabla6[[#This Row],['# Vuelo]],'Validacion reclamo de equipaje'!P:Q,2,0)</f>
        <v>MEXICO AEREO</v>
      </c>
      <c r="C4288" s="48">
        <v>0.63194444444444442</v>
      </c>
      <c r="D4288" s="48">
        <v>0.63750000000000007</v>
      </c>
      <c r="E4288" s="49">
        <f>'Reclamo de equipaje rediseñado'!$D4288-'Reclamo de equipaje rediseñado'!$C4288</f>
        <v>5.5555555555556468E-3</v>
      </c>
      <c r="F4288" s="48">
        <v>0.64236111111111105</v>
      </c>
      <c r="G4288" s="49">
        <f t="shared" si="66"/>
        <v>4.8611111111109828E-3</v>
      </c>
      <c r="H4288" s="50">
        <v>41809</v>
      </c>
      <c r="I4288" s="51" t="s">
        <v>536</v>
      </c>
      <c r="J4288" s="51" t="s">
        <v>535</v>
      </c>
      <c r="K4288" s="51">
        <f>VLOOKUP(J4288,'Validacion reclamo de equipaje'!L:M,2,0)</f>
        <v>50</v>
      </c>
      <c r="L4288" s="51" t="str">
        <f>VLOOKUP(I4288,'Validacion reclamo de equipaje'!H:I,2,0)</f>
        <v>Nacional</v>
      </c>
      <c r="M4288" s="51" t="s">
        <v>615</v>
      </c>
    </row>
    <row r="4289" spans="1:13" x14ac:dyDescent="0.25">
      <c r="A4289">
        <v>214</v>
      </c>
      <c r="B4289" s="47" t="str">
        <f>VLOOKUP(Tabla6[[#This Row],['# Vuelo]],'Validacion reclamo de equipaje'!P:Q,2,0)</f>
        <v>MEXICO AEREO</v>
      </c>
      <c r="C4289" s="52">
        <v>0.63541666666666663</v>
      </c>
      <c r="D4289" s="52">
        <v>0.63611111111111118</v>
      </c>
      <c r="E4289" s="53">
        <f>'Reclamo de equipaje rediseñado'!$D4289-'Reclamo de equipaje rediseñado'!$C4289</f>
        <v>6.94444444444553E-4</v>
      </c>
      <c r="F4289" s="52">
        <v>0.64722222222222225</v>
      </c>
      <c r="G4289" s="53">
        <f t="shared" si="66"/>
        <v>1.1111111111111072E-2</v>
      </c>
      <c r="H4289" s="54">
        <v>41810</v>
      </c>
      <c r="I4289" s="55" t="s">
        <v>536</v>
      </c>
      <c r="J4289" s="55" t="s">
        <v>535</v>
      </c>
      <c r="K4289" s="55">
        <f>VLOOKUP(J4289,'Validacion reclamo de equipaje'!L:M,2,0)</f>
        <v>50</v>
      </c>
      <c r="L4289" s="55" t="str">
        <f>VLOOKUP(I4289,'Validacion reclamo de equipaje'!H:I,2,0)</f>
        <v>Nacional</v>
      </c>
      <c r="M4289" s="55" t="s">
        <v>615</v>
      </c>
    </row>
    <row r="4290" spans="1:13" x14ac:dyDescent="0.25">
      <c r="A4290">
        <v>214</v>
      </c>
      <c r="B4290" s="47" t="str">
        <f>VLOOKUP(Tabla6[[#This Row],['# Vuelo]],'Validacion reclamo de equipaje'!P:Q,2,0)</f>
        <v>MEXICO AEREO</v>
      </c>
      <c r="C4290" s="48">
        <v>0.6333333333333333</v>
      </c>
      <c r="D4290" s="48">
        <v>0.63680555555555551</v>
      </c>
      <c r="E4290" s="49">
        <f>'Reclamo de equipaje rediseñado'!$D4290-'Reclamo de equipaje rediseñado'!$C4290</f>
        <v>3.4722222222222099E-3</v>
      </c>
      <c r="F4290" s="48">
        <v>0.64236111111111105</v>
      </c>
      <c r="G4290" s="49">
        <f t="shared" si="66"/>
        <v>5.5555555555555358E-3</v>
      </c>
      <c r="H4290" s="50">
        <v>41813</v>
      </c>
      <c r="I4290" s="51" t="s">
        <v>536</v>
      </c>
      <c r="J4290" s="51" t="s">
        <v>535</v>
      </c>
      <c r="K4290" s="51">
        <f>VLOOKUP(J4290,'Validacion reclamo de equipaje'!L:M,2,0)</f>
        <v>50</v>
      </c>
      <c r="L4290" s="51" t="str">
        <f>VLOOKUP(I4290,'Validacion reclamo de equipaje'!H:I,2,0)</f>
        <v>Nacional</v>
      </c>
      <c r="M4290" s="51" t="s">
        <v>615</v>
      </c>
    </row>
    <row r="4291" spans="1:13" x14ac:dyDescent="0.25">
      <c r="A4291">
        <v>214</v>
      </c>
      <c r="B4291" s="47" t="str">
        <f>VLOOKUP(Tabla6[[#This Row],['# Vuelo]],'Validacion reclamo de equipaje'!P:Q,2,0)</f>
        <v>MEXICO AEREO</v>
      </c>
      <c r="C4291" s="52">
        <v>0.63263888888888886</v>
      </c>
      <c r="D4291" s="52">
        <v>0.64652777777777781</v>
      </c>
      <c r="E4291" s="53">
        <f>'Reclamo de equipaje rediseñado'!$D4291-'Reclamo de equipaje rediseñado'!$C4291</f>
        <v>1.3888888888888951E-2</v>
      </c>
      <c r="F4291" s="52">
        <v>0.65069444444444446</v>
      </c>
      <c r="G4291" s="53">
        <f t="shared" ref="G4291:G4354" si="67">F4291-D4291</f>
        <v>4.1666666666666519E-3</v>
      </c>
      <c r="H4291" s="54">
        <v>41812</v>
      </c>
      <c r="I4291" s="55" t="s">
        <v>536</v>
      </c>
      <c r="J4291" s="55" t="s">
        <v>535</v>
      </c>
      <c r="K4291" s="55">
        <f>VLOOKUP(J4291,'Validacion reclamo de equipaje'!L:M,2,0)</f>
        <v>50</v>
      </c>
      <c r="L4291" s="55" t="str">
        <f>VLOOKUP(I4291,'Validacion reclamo de equipaje'!H:I,2,0)</f>
        <v>Nacional</v>
      </c>
      <c r="M4291" s="55" t="s">
        <v>615</v>
      </c>
    </row>
    <row r="4292" spans="1:13" x14ac:dyDescent="0.25">
      <c r="A4292">
        <v>186</v>
      </c>
      <c r="B4292" s="47" t="str">
        <f>VLOOKUP(Tabla6[[#This Row],['# Vuelo]],'Validacion reclamo de equipaje'!P:Q,2,0)</f>
        <v>MEXICO AEREO</v>
      </c>
      <c r="C4292" s="48">
        <v>0.99722222222222223</v>
      </c>
      <c r="D4292" s="48">
        <v>1.0041666666666667</v>
      </c>
      <c r="E4292" s="49">
        <f>'Reclamo de equipaje rediseñado'!$D4292-'Reclamo de equipaje rediseñado'!$C4292</f>
        <v>6.9444444444444198E-3</v>
      </c>
      <c r="F4292" s="48">
        <v>1.0138888888888888</v>
      </c>
      <c r="G4292" s="49">
        <f t="shared" si="67"/>
        <v>9.7222222222221877E-3</v>
      </c>
      <c r="H4292" s="50">
        <v>41791</v>
      </c>
      <c r="I4292" s="51" t="s">
        <v>536</v>
      </c>
      <c r="J4292" s="51">
        <v>738</v>
      </c>
      <c r="K4292" s="51">
        <f>VLOOKUP(J4292,'Validacion reclamo de equipaje'!L:M,2,0)</f>
        <v>189</v>
      </c>
      <c r="L4292" s="51" t="str">
        <f>VLOOKUP(I4292,'Validacion reclamo de equipaje'!H:I,2,0)</f>
        <v>Nacional</v>
      </c>
      <c r="M4292" s="51" t="s">
        <v>615</v>
      </c>
    </row>
    <row r="4293" spans="1:13" x14ac:dyDescent="0.25">
      <c r="A4293">
        <v>186</v>
      </c>
      <c r="B4293" s="47" t="str">
        <f>VLOOKUP(Tabla6[[#This Row],['# Vuelo]],'Validacion reclamo de equipaje'!P:Q,2,0)</f>
        <v>MEXICO AEREO</v>
      </c>
      <c r="C4293" s="52">
        <v>0.97152777777777777</v>
      </c>
      <c r="D4293" s="52">
        <v>0.97638888888888886</v>
      </c>
      <c r="E4293" s="53">
        <f>'Reclamo de equipaje rediseñado'!$D4293-'Reclamo de equipaje rediseñado'!$C4293</f>
        <v>4.8611111111110938E-3</v>
      </c>
      <c r="F4293" s="52">
        <v>0.9770833333333333</v>
      </c>
      <c r="G4293" s="53">
        <f t="shared" si="67"/>
        <v>6.9444444444444198E-4</v>
      </c>
      <c r="H4293" s="54">
        <v>41792</v>
      </c>
      <c r="I4293" s="55" t="s">
        <v>536</v>
      </c>
      <c r="J4293" s="55">
        <v>738</v>
      </c>
      <c r="K4293" s="55">
        <f>VLOOKUP(J4293,'Validacion reclamo de equipaje'!L:M,2,0)</f>
        <v>189</v>
      </c>
      <c r="L4293" s="55" t="str">
        <f>VLOOKUP(I4293,'Validacion reclamo de equipaje'!H:I,2,0)</f>
        <v>Nacional</v>
      </c>
      <c r="M4293" s="55" t="s">
        <v>615</v>
      </c>
    </row>
    <row r="4294" spans="1:13" x14ac:dyDescent="0.25">
      <c r="A4294">
        <v>186</v>
      </c>
      <c r="B4294" s="47" t="str">
        <f>VLOOKUP(Tabla6[[#This Row],['# Vuelo]],'Validacion reclamo de equipaje'!P:Q,2,0)</f>
        <v>MEXICO AEREO</v>
      </c>
      <c r="C4294" s="48">
        <v>0.98749999999999993</v>
      </c>
      <c r="D4294" s="48">
        <v>0.98958333333333337</v>
      </c>
      <c r="E4294" s="49">
        <f>'Reclamo de equipaje rediseñado'!$D4294-'Reclamo de equipaje rediseñado'!$C4294</f>
        <v>2.083333333333437E-3</v>
      </c>
      <c r="F4294" s="48">
        <v>0.99305555555555547</v>
      </c>
      <c r="G4294" s="49">
        <f t="shared" si="67"/>
        <v>3.4722222222220989E-3</v>
      </c>
      <c r="H4294" s="50">
        <v>41793</v>
      </c>
      <c r="I4294" s="51" t="s">
        <v>536</v>
      </c>
      <c r="J4294" s="51">
        <v>738</v>
      </c>
      <c r="K4294" s="51">
        <f>VLOOKUP(J4294,'Validacion reclamo de equipaje'!L:M,2,0)</f>
        <v>189</v>
      </c>
      <c r="L4294" s="51" t="str">
        <f>VLOOKUP(I4294,'Validacion reclamo de equipaje'!H:I,2,0)</f>
        <v>Nacional</v>
      </c>
      <c r="M4294" s="51" t="s">
        <v>615</v>
      </c>
    </row>
    <row r="4295" spans="1:13" x14ac:dyDescent="0.25">
      <c r="A4295">
        <v>186</v>
      </c>
      <c r="B4295" s="47" t="str">
        <f>VLOOKUP(Tabla6[[#This Row],['# Vuelo]],'Validacion reclamo de equipaje'!P:Q,2,0)</f>
        <v>MEXICO AEREO</v>
      </c>
      <c r="C4295" s="52">
        <v>1.0055555555555555</v>
      </c>
      <c r="D4295" s="52">
        <v>1.0083333333333333</v>
      </c>
      <c r="E4295" s="53">
        <f>'Reclamo de equipaje rediseñado'!$D4295-'Reclamo de equipaje rediseñado'!$C4295</f>
        <v>2.7777777777777679E-3</v>
      </c>
      <c r="F4295" s="52">
        <v>1.0173611111111112</v>
      </c>
      <c r="G4295" s="53">
        <f t="shared" si="67"/>
        <v>9.0277777777778567E-3</v>
      </c>
      <c r="H4295" s="54">
        <v>41794</v>
      </c>
      <c r="I4295" s="55" t="s">
        <v>536</v>
      </c>
      <c r="J4295" s="55">
        <v>738</v>
      </c>
      <c r="K4295" s="55">
        <f>VLOOKUP(J4295,'Validacion reclamo de equipaje'!L:M,2,0)</f>
        <v>189</v>
      </c>
      <c r="L4295" s="55" t="str">
        <f>VLOOKUP(I4295,'Validacion reclamo de equipaje'!H:I,2,0)</f>
        <v>Nacional</v>
      </c>
      <c r="M4295" s="55" t="s">
        <v>615</v>
      </c>
    </row>
    <row r="4296" spans="1:13" x14ac:dyDescent="0.25">
      <c r="A4296">
        <v>186</v>
      </c>
      <c r="B4296" s="47" t="str">
        <f>VLOOKUP(Tabla6[[#This Row],['# Vuelo]],'Validacion reclamo de equipaje'!P:Q,2,0)</f>
        <v>MEXICO AEREO</v>
      </c>
      <c r="C4296" s="48">
        <v>0.97222222222222221</v>
      </c>
      <c r="D4296" s="48">
        <v>0.98819444444444438</v>
      </c>
      <c r="E4296" s="49">
        <f>'Reclamo de equipaje rediseñado'!$D4296-'Reclamo de equipaje rediseñado'!$C4296</f>
        <v>1.5972222222222165E-2</v>
      </c>
      <c r="F4296" s="48">
        <v>0.99444444444444446</v>
      </c>
      <c r="G4296" s="49">
        <f t="shared" si="67"/>
        <v>6.2500000000000888E-3</v>
      </c>
      <c r="H4296" s="50">
        <v>41795</v>
      </c>
      <c r="I4296" s="51" t="s">
        <v>536</v>
      </c>
      <c r="J4296" s="51">
        <v>738</v>
      </c>
      <c r="K4296" s="51">
        <f>VLOOKUP(J4296,'Validacion reclamo de equipaje'!L:M,2,0)</f>
        <v>189</v>
      </c>
      <c r="L4296" s="51" t="str">
        <f>VLOOKUP(I4296,'Validacion reclamo de equipaje'!H:I,2,0)</f>
        <v>Nacional</v>
      </c>
      <c r="M4296" s="51" t="s">
        <v>615</v>
      </c>
    </row>
    <row r="4297" spans="1:13" x14ac:dyDescent="0.25">
      <c r="A4297">
        <v>186</v>
      </c>
      <c r="B4297" s="47" t="str">
        <f>VLOOKUP(Tabla6[[#This Row],['# Vuelo]],'Validacion reclamo de equipaje'!P:Q,2,0)</f>
        <v>MEXICO AEREO</v>
      </c>
      <c r="C4297" s="52">
        <v>0.97499999999999998</v>
      </c>
      <c r="D4297" s="52">
        <v>0.97569444444444453</v>
      </c>
      <c r="E4297" s="53">
        <f>'Reclamo de equipaje rediseñado'!$D4297-'Reclamo de equipaje rediseñado'!$C4297</f>
        <v>6.94444444444553E-4</v>
      </c>
      <c r="F4297" s="52">
        <v>0.98472222222222217</v>
      </c>
      <c r="G4297" s="53">
        <f t="shared" si="67"/>
        <v>9.0277777777776347E-3</v>
      </c>
      <c r="H4297" s="54">
        <v>41796</v>
      </c>
      <c r="I4297" s="55" t="s">
        <v>536</v>
      </c>
      <c r="J4297" s="55">
        <v>738</v>
      </c>
      <c r="K4297" s="55">
        <f>VLOOKUP(J4297,'Validacion reclamo de equipaje'!L:M,2,0)</f>
        <v>189</v>
      </c>
      <c r="L4297" s="55" t="str">
        <f>VLOOKUP(I4297,'Validacion reclamo de equipaje'!H:I,2,0)</f>
        <v>Nacional</v>
      </c>
      <c r="M4297" s="55" t="s">
        <v>615</v>
      </c>
    </row>
    <row r="4298" spans="1:13" x14ac:dyDescent="0.25">
      <c r="A4298">
        <v>186</v>
      </c>
      <c r="B4298" s="47" t="str">
        <f>VLOOKUP(Tabla6[[#This Row],['# Vuelo]],'Validacion reclamo de equipaje'!P:Q,2,0)</f>
        <v>MEXICO AEREO</v>
      </c>
      <c r="C4298" s="48">
        <v>0.97222222222222221</v>
      </c>
      <c r="D4298" s="48">
        <v>0.97916666666666663</v>
      </c>
      <c r="E4298" s="49">
        <f>'Reclamo de equipaje rediseñado'!$D4298-'Reclamo de equipaje rediseñado'!$C4298</f>
        <v>6.9444444444444198E-3</v>
      </c>
      <c r="F4298" s="48">
        <v>0.98472222222222217</v>
      </c>
      <c r="G4298" s="49">
        <f t="shared" si="67"/>
        <v>5.5555555555555358E-3</v>
      </c>
      <c r="H4298" s="50">
        <v>41797</v>
      </c>
      <c r="I4298" s="51" t="s">
        <v>536</v>
      </c>
      <c r="J4298" s="51">
        <v>738</v>
      </c>
      <c r="K4298" s="51">
        <f>VLOOKUP(J4298,'Validacion reclamo de equipaje'!L:M,2,0)</f>
        <v>189</v>
      </c>
      <c r="L4298" s="51" t="str">
        <f>VLOOKUP(I4298,'Validacion reclamo de equipaje'!H:I,2,0)</f>
        <v>Nacional</v>
      </c>
      <c r="M4298" s="51" t="s">
        <v>615</v>
      </c>
    </row>
    <row r="4299" spans="1:13" x14ac:dyDescent="0.25">
      <c r="A4299">
        <v>186</v>
      </c>
      <c r="B4299" s="47" t="str">
        <f>VLOOKUP(Tabla6[[#This Row],['# Vuelo]],'Validacion reclamo de equipaje'!P:Q,2,0)</f>
        <v>MEXICO AEREO</v>
      </c>
      <c r="C4299" s="52">
        <v>0.97013888888888899</v>
      </c>
      <c r="D4299" s="52">
        <v>0.97638888888888886</v>
      </c>
      <c r="E4299" s="53">
        <f>'Reclamo de equipaje rediseñado'!$D4299-'Reclamo de equipaje rediseñado'!$C4299</f>
        <v>6.2499999999998668E-3</v>
      </c>
      <c r="F4299" s="52">
        <v>0.98472222222222217</v>
      </c>
      <c r="G4299" s="53">
        <f t="shared" si="67"/>
        <v>8.3333333333333037E-3</v>
      </c>
      <c r="H4299" s="54">
        <v>41798</v>
      </c>
      <c r="I4299" s="55" t="s">
        <v>536</v>
      </c>
      <c r="J4299" s="55">
        <v>738</v>
      </c>
      <c r="K4299" s="55">
        <f>VLOOKUP(J4299,'Validacion reclamo de equipaje'!L:M,2,0)</f>
        <v>189</v>
      </c>
      <c r="L4299" s="55" t="str">
        <f>VLOOKUP(I4299,'Validacion reclamo de equipaje'!H:I,2,0)</f>
        <v>Nacional</v>
      </c>
      <c r="M4299" s="55" t="s">
        <v>615</v>
      </c>
    </row>
    <row r="4300" spans="1:13" x14ac:dyDescent="0.25">
      <c r="A4300">
        <v>186</v>
      </c>
      <c r="B4300" s="47" t="str">
        <f>VLOOKUP(Tabla6[[#This Row],['# Vuelo]],'Validacion reclamo de equipaje'!P:Q,2,0)</f>
        <v>MEXICO AEREO</v>
      </c>
      <c r="C4300" s="48">
        <v>0.97222222222222221</v>
      </c>
      <c r="D4300" s="48">
        <v>0.97569444444444453</v>
      </c>
      <c r="E4300" s="49">
        <f>'Reclamo de equipaje rediseñado'!$D4300-'Reclamo de equipaje rediseñado'!$C4300</f>
        <v>3.4722222222223209E-3</v>
      </c>
      <c r="F4300" s="48">
        <v>0.98263888888888884</v>
      </c>
      <c r="G4300" s="49">
        <f t="shared" si="67"/>
        <v>6.9444444444443088E-3</v>
      </c>
      <c r="H4300" s="50">
        <v>41799</v>
      </c>
      <c r="I4300" s="51" t="s">
        <v>536</v>
      </c>
      <c r="J4300" s="51">
        <v>738</v>
      </c>
      <c r="K4300" s="51">
        <f>VLOOKUP(J4300,'Validacion reclamo de equipaje'!L:M,2,0)</f>
        <v>189</v>
      </c>
      <c r="L4300" s="51" t="str">
        <f>VLOOKUP(I4300,'Validacion reclamo de equipaje'!H:I,2,0)</f>
        <v>Nacional</v>
      </c>
      <c r="M4300" s="51" t="s">
        <v>615</v>
      </c>
    </row>
    <row r="4301" spans="1:13" x14ac:dyDescent="0.25">
      <c r="A4301">
        <v>186</v>
      </c>
      <c r="B4301" s="47" t="str">
        <f>VLOOKUP(Tabla6[[#This Row],['# Vuelo]],'Validacion reclamo de equipaje'!P:Q,2,0)</f>
        <v>MEXICO AEREO</v>
      </c>
      <c r="C4301" s="52">
        <v>0.59097222222222223</v>
      </c>
      <c r="D4301" s="52">
        <v>0.60069444444444442</v>
      </c>
      <c r="E4301" s="53">
        <f>'Reclamo de equipaje rediseñado'!$D4301-'Reclamo de equipaje rediseñado'!$C4301</f>
        <v>9.7222222222221877E-3</v>
      </c>
      <c r="F4301" s="52">
        <v>0.60486111111111118</v>
      </c>
      <c r="G4301" s="53">
        <f t="shared" si="67"/>
        <v>4.1666666666667629E-3</v>
      </c>
      <c r="H4301" s="54">
        <v>41800</v>
      </c>
      <c r="I4301" s="55" t="s">
        <v>536</v>
      </c>
      <c r="J4301" s="55">
        <v>738</v>
      </c>
      <c r="K4301" s="55">
        <f>VLOOKUP(J4301,'Validacion reclamo de equipaje'!L:M,2,0)</f>
        <v>189</v>
      </c>
      <c r="L4301" s="55" t="str">
        <f>VLOOKUP(I4301,'Validacion reclamo de equipaje'!H:I,2,0)</f>
        <v>Nacional</v>
      </c>
      <c r="M4301" s="55" t="s">
        <v>615</v>
      </c>
    </row>
    <row r="4302" spans="1:13" x14ac:dyDescent="0.25">
      <c r="A4302">
        <v>186</v>
      </c>
      <c r="B4302" s="47" t="str">
        <f>VLOOKUP(Tabla6[[#This Row],['# Vuelo]],'Validacion reclamo de equipaje'!P:Q,2,0)</f>
        <v>MEXICO AEREO</v>
      </c>
      <c r="C4302" s="48">
        <v>0.21944444444444444</v>
      </c>
      <c r="D4302" s="48">
        <v>0.23472222222222219</v>
      </c>
      <c r="E4302" s="49">
        <f>'Reclamo de equipaje rediseñado'!$D4302-'Reclamo de equipaje rediseñado'!$C4302</f>
        <v>1.5277777777777751E-2</v>
      </c>
      <c r="F4302" s="48">
        <v>0.25277777777777777</v>
      </c>
      <c r="G4302" s="49">
        <f t="shared" si="67"/>
        <v>1.8055555555555575E-2</v>
      </c>
      <c r="H4302" s="50">
        <v>41801</v>
      </c>
      <c r="I4302" s="51" t="s">
        <v>536</v>
      </c>
      <c r="J4302" s="51">
        <v>738</v>
      </c>
      <c r="K4302" s="51">
        <f>VLOOKUP(J4302,'Validacion reclamo de equipaje'!L:M,2,0)</f>
        <v>189</v>
      </c>
      <c r="L4302" s="51" t="str">
        <f>VLOOKUP(I4302,'Validacion reclamo de equipaje'!H:I,2,0)</f>
        <v>Nacional</v>
      </c>
      <c r="M4302" s="51" t="s">
        <v>615</v>
      </c>
    </row>
    <row r="4303" spans="1:13" x14ac:dyDescent="0.25">
      <c r="A4303">
        <v>186</v>
      </c>
      <c r="B4303" s="47" t="str">
        <f>VLOOKUP(Tabla6[[#This Row],['# Vuelo]],'Validacion reclamo de equipaje'!P:Q,2,0)</f>
        <v>MEXICO AEREO</v>
      </c>
      <c r="C4303" s="52">
        <v>0.5625</v>
      </c>
      <c r="D4303" s="52">
        <v>0.5708333333333333</v>
      </c>
      <c r="E4303" s="53">
        <f>'Reclamo de equipaje rediseñado'!$D4303-'Reclamo de equipaje rediseñado'!$C4303</f>
        <v>8.3333333333333037E-3</v>
      </c>
      <c r="F4303" s="52">
        <v>0.58819444444444446</v>
      </c>
      <c r="G4303" s="53">
        <f t="shared" si="67"/>
        <v>1.736111111111116E-2</v>
      </c>
      <c r="H4303" s="54">
        <v>41802</v>
      </c>
      <c r="I4303" s="55" t="s">
        <v>536</v>
      </c>
      <c r="J4303" s="55">
        <v>738</v>
      </c>
      <c r="K4303" s="55">
        <f>VLOOKUP(J4303,'Validacion reclamo de equipaje'!L:M,2,0)</f>
        <v>189</v>
      </c>
      <c r="L4303" s="55" t="str">
        <f>VLOOKUP(I4303,'Validacion reclamo de equipaje'!H:I,2,0)</f>
        <v>Nacional</v>
      </c>
      <c r="M4303" s="55" t="s">
        <v>615</v>
      </c>
    </row>
    <row r="4304" spans="1:13" x14ac:dyDescent="0.25">
      <c r="A4304">
        <v>186</v>
      </c>
      <c r="B4304" s="47" t="str">
        <f>VLOOKUP(Tabla6[[#This Row],['# Vuelo]],'Validacion reclamo de equipaje'!P:Q,2,0)</f>
        <v>MEXICO AEREO</v>
      </c>
      <c r="C4304" s="48">
        <v>0.4597222222222222</v>
      </c>
      <c r="D4304" s="48">
        <v>0.46527777777777773</v>
      </c>
      <c r="E4304" s="49">
        <f>'Reclamo de equipaje rediseñado'!$D4304-'Reclamo de equipaje rediseñado'!$C4304</f>
        <v>5.5555555555555358E-3</v>
      </c>
      <c r="F4304" s="48">
        <v>0.47291666666666665</v>
      </c>
      <c r="G4304" s="49">
        <f t="shared" si="67"/>
        <v>7.6388888888889173E-3</v>
      </c>
      <c r="H4304" s="50">
        <v>41803</v>
      </c>
      <c r="I4304" s="51" t="s">
        <v>536</v>
      </c>
      <c r="J4304" s="51">
        <v>738</v>
      </c>
      <c r="K4304" s="51">
        <f>VLOOKUP(J4304,'Validacion reclamo de equipaje'!L:M,2,0)</f>
        <v>189</v>
      </c>
      <c r="L4304" s="51" t="str">
        <f>VLOOKUP(I4304,'Validacion reclamo de equipaje'!H:I,2,0)</f>
        <v>Nacional</v>
      </c>
      <c r="M4304" s="51" t="s">
        <v>615</v>
      </c>
    </row>
    <row r="4305" spans="1:13" x14ac:dyDescent="0.25">
      <c r="A4305">
        <v>186</v>
      </c>
      <c r="B4305" s="47" t="str">
        <f>VLOOKUP(Tabla6[[#This Row],['# Vuelo]],'Validacion reclamo de equipaje'!P:Q,2,0)</f>
        <v>MEXICO AEREO</v>
      </c>
      <c r="C4305" s="52">
        <v>0.70972222222222225</v>
      </c>
      <c r="D4305" s="52">
        <v>0.72152777777777777</v>
      </c>
      <c r="E4305" s="53">
        <f>'Reclamo de equipaje rediseñado'!$D4305-'Reclamo de equipaje rediseñado'!$C4305</f>
        <v>1.1805555555555514E-2</v>
      </c>
      <c r="F4305" s="52">
        <v>0.72638888888888886</v>
      </c>
      <c r="G4305" s="53">
        <f t="shared" si="67"/>
        <v>4.8611111111110938E-3</v>
      </c>
      <c r="H4305" s="54">
        <v>41804</v>
      </c>
      <c r="I4305" s="55" t="s">
        <v>536</v>
      </c>
      <c r="J4305" s="55">
        <v>738</v>
      </c>
      <c r="K4305" s="55">
        <f>VLOOKUP(J4305,'Validacion reclamo de equipaje'!L:M,2,0)</f>
        <v>189</v>
      </c>
      <c r="L4305" s="55" t="str">
        <f>VLOOKUP(I4305,'Validacion reclamo de equipaje'!H:I,2,0)</f>
        <v>Nacional</v>
      </c>
      <c r="M4305" s="55" t="s">
        <v>615</v>
      </c>
    </row>
    <row r="4306" spans="1:13" x14ac:dyDescent="0.25">
      <c r="A4306">
        <v>186</v>
      </c>
      <c r="B4306" s="47" t="str">
        <f>VLOOKUP(Tabla6[[#This Row],['# Vuelo]],'Validacion reclamo de equipaje'!P:Q,2,0)</f>
        <v>MEXICO AEREO</v>
      </c>
      <c r="C4306" s="48">
        <v>0.75138888888888899</v>
      </c>
      <c r="D4306" s="48">
        <v>0.79722222222222217</v>
      </c>
      <c r="E4306" s="49">
        <f>'Reclamo de equipaje rediseñado'!$D4306-'Reclamo de equipaje rediseñado'!$C4306</f>
        <v>4.5833333333333171E-2</v>
      </c>
      <c r="F4306" s="48">
        <v>0.8041666666666667</v>
      </c>
      <c r="G4306" s="49">
        <f t="shared" si="67"/>
        <v>6.9444444444445308E-3</v>
      </c>
      <c r="H4306" s="50">
        <v>41805</v>
      </c>
      <c r="I4306" s="51" t="s">
        <v>536</v>
      </c>
      <c r="J4306" s="51">
        <v>738</v>
      </c>
      <c r="K4306" s="51">
        <f>VLOOKUP(J4306,'Validacion reclamo de equipaje'!L:M,2,0)</f>
        <v>189</v>
      </c>
      <c r="L4306" s="51" t="str">
        <f>VLOOKUP(I4306,'Validacion reclamo de equipaje'!H:I,2,0)</f>
        <v>Nacional</v>
      </c>
      <c r="M4306" s="51" t="s">
        <v>615</v>
      </c>
    </row>
    <row r="4307" spans="1:13" x14ac:dyDescent="0.25">
      <c r="A4307">
        <v>186</v>
      </c>
      <c r="B4307" s="47" t="str">
        <f>VLOOKUP(Tabla6[[#This Row],['# Vuelo]],'Validacion reclamo de equipaje'!P:Q,2,0)</f>
        <v>MEXICO AEREO</v>
      </c>
      <c r="C4307" s="52">
        <v>0.94861111111111107</v>
      </c>
      <c r="D4307" s="52">
        <v>0.96180555555555547</v>
      </c>
      <c r="E4307" s="53">
        <f>'Reclamo de equipaje rediseñado'!$D4307-'Reclamo de equipaje rediseñado'!$C4307</f>
        <v>1.3194444444444398E-2</v>
      </c>
      <c r="F4307" s="52">
        <v>0.98333333333333339</v>
      </c>
      <c r="G4307" s="53">
        <f t="shared" si="67"/>
        <v>2.1527777777777923E-2</v>
      </c>
      <c r="H4307" s="54">
        <v>41806</v>
      </c>
      <c r="I4307" s="55" t="s">
        <v>536</v>
      </c>
      <c r="J4307" s="55">
        <v>738</v>
      </c>
      <c r="K4307" s="55">
        <f>VLOOKUP(J4307,'Validacion reclamo de equipaje'!L:M,2,0)</f>
        <v>189</v>
      </c>
      <c r="L4307" s="55" t="str">
        <f>VLOOKUP(I4307,'Validacion reclamo de equipaje'!H:I,2,0)</f>
        <v>Nacional</v>
      </c>
      <c r="M4307" s="55" t="s">
        <v>615</v>
      </c>
    </row>
    <row r="4308" spans="1:13" x14ac:dyDescent="0.25">
      <c r="A4308">
        <v>186</v>
      </c>
      <c r="B4308" s="47" t="str">
        <f>VLOOKUP(Tabla6[[#This Row],['# Vuelo]],'Validacion reclamo de equipaje'!P:Q,2,0)</f>
        <v>MEXICO AEREO</v>
      </c>
      <c r="C4308" s="48">
        <v>0.68194444444444446</v>
      </c>
      <c r="D4308" s="48">
        <v>0.69513888888888886</v>
      </c>
      <c r="E4308" s="49">
        <f>'Reclamo de equipaje rediseñado'!$D4308-'Reclamo de equipaje rediseñado'!$C4308</f>
        <v>1.3194444444444398E-2</v>
      </c>
      <c r="F4308" s="48">
        <v>0.69791666666666663</v>
      </c>
      <c r="G4308" s="49">
        <f t="shared" si="67"/>
        <v>2.7777777777777679E-3</v>
      </c>
      <c r="H4308" s="50">
        <v>41807</v>
      </c>
      <c r="I4308" s="51" t="s">
        <v>536</v>
      </c>
      <c r="J4308" s="51">
        <v>738</v>
      </c>
      <c r="K4308" s="51">
        <f>VLOOKUP(J4308,'Validacion reclamo de equipaje'!L:M,2,0)</f>
        <v>189</v>
      </c>
      <c r="L4308" s="51" t="str">
        <f>VLOOKUP(I4308,'Validacion reclamo de equipaje'!H:I,2,0)</f>
        <v>Nacional</v>
      </c>
      <c r="M4308" s="51" t="s">
        <v>615</v>
      </c>
    </row>
    <row r="4309" spans="1:13" x14ac:dyDescent="0.25">
      <c r="A4309">
        <v>186</v>
      </c>
      <c r="B4309" s="47" t="str">
        <f>VLOOKUP(Tabla6[[#This Row],['# Vuelo]],'Validacion reclamo de equipaje'!P:Q,2,0)</f>
        <v>MEXICO AEREO</v>
      </c>
      <c r="C4309" s="52">
        <v>0.98263888888888884</v>
      </c>
      <c r="D4309" s="52">
        <v>0.98402777777777783</v>
      </c>
      <c r="E4309" s="53">
        <f>'Reclamo de equipaje rediseñado'!$D4309-'Reclamo de equipaje rediseñado'!$C4309</f>
        <v>1.388888888888995E-3</v>
      </c>
      <c r="F4309" s="52">
        <v>0.98819444444444438</v>
      </c>
      <c r="G4309" s="53">
        <f t="shared" si="67"/>
        <v>4.1666666666665408E-3</v>
      </c>
      <c r="H4309" s="54">
        <v>41808</v>
      </c>
      <c r="I4309" s="55" t="s">
        <v>536</v>
      </c>
      <c r="J4309" s="55">
        <v>738</v>
      </c>
      <c r="K4309" s="55">
        <f>VLOOKUP(J4309,'Validacion reclamo de equipaje'!L:M,2,0)</f>
        <v>189</v>
      </c>
      <c r="L4309" s="55" t="str">
        <f>VLOOKUP(I4309,'Validacion reclamo de equipaje'!H:I,2,0)</f>
        <v>Nacional</v>
      </c>
      <c r="M4309" s="55" t="s">
        <v>615</v>
      </c>
    </row>
    <row r="4310" spans="1:13" x14ac:dyDescent="0.25">
      <c r="A4310">
        <v>186</v>
      </c>
      <c r="B4310" s="47" t="str">
        <f>VLOOKUP(Tabla6[[#This Row],['# Vuelo]],'Validacion reclamo de equipaje'!P:Q,2,0)</f>
        <v>MEXICO AEREO</v>
      </c>
      <c r="C4310" s="48">
        <v>0.98125000000000007</v>
      </c>
      <c r="D4310" s="48">
        <v>0.9902777777777777</v>
      </c>
      <c r="E4310" s="49">
        <f>'Reclamo de equipaje rediseñado'!$D4310-'Reclamo de equipaje rediseñado'!$C4310</f>
        <v>9.0277777777776347E-3</v>
      </c>
      <c r="F4310" s="48">
        <v>0.99930555555555556</v>
      </c>
      <c r="G4310" s="49">
        <f t="shared" si="67"/>
        <v>9.0277777777778567E-3</v>
      </c>
      <c r="H4310" s="50">
        <v>41809</v>
      </c>
      <c r="I4310" s="51" t="s">
        <v>536</v>
      </c>
      <c r="J4310" s="51">
        <v>738</v>
      </c>
      <c r="K4310" s="51">
        <f>VLOOKUP(J4310,'Validacion reclamo de equipaje'!L:M,2,0)</f>
        <v>189</v>
      </c>
      <c r="L4310" s="51" t="str">
        <f>VLOOKUP(I4310,'Validacion reclamo de equipaje'!H:I,2,0)</f>
        <v>Nacional</v>
      </c>
      <c r="M4310" s="51" t="s">
        <v>615</v>
      </c>
    </row>
    <row r="4311" spans="1:13" x14ac:dyDescent="0.25">
      <c r="A4311">
        <v>186</v>
      </c>
      <c r="B4311" s="47" t="str">
        <f>VLOOKUP(Tabla6[[#This Row],['# Vuelo]],'Validacion reclamo de equipaje'!P:Q,2,0)</f>
        <v>MEXICO AEREO</v>
      </c>
      <c r="C4311" s="52">
        <v>5.486111111111111E-2</v>
      </c>
      <c r="D4311" s="52">
        <v>6.1805555555555558E-2</v>
      </c>
      <c r="E4311" s="53">
        <f>'Reclamo de equipaje rediseñado'!$D4311-'Reclamo de equipaje rediseñado'!$C4311</f>
        <v>6.9444444444444475E-3</v>
      </c>
      <c r="F4311" s="52">
        <v>7.2916666666666671E-2</v>
      </c>
      <c r="G4311" s="53">
        <f t="shared" si="67"/>
        <v>1.1111111111111113E-2</v>
      </c>
      <c r="H4311" s="54">
        <v>41810</v>
      </c>
      <c r="I4311" s="55" t="s">
        <v>536</v>
      </c>
      <c r="J4311" s="55">
        <v>738</v>
      </c>
      <c r="K4311" s="55">
        <f>VLOOKUP(J4311,'Validacion reclamo de equipaje'!L:M,2,0)</f>
        <v>189</v>
      </c>
      <c r="L4311" s="55" t="str">
        <f>VLOOKUP(I4311,'Validacion reclamo de equipaje'!H:I,2,0)</f>
        <v>Nacional</v>
      </c>
      <c r="M4311" s="55" t="s">
        <v>615</v>
      </c>
    </row>
    <row r="4312" spans="1:13" x14ac:dyDescent="0.25">
      <c r="A4312">
        <v>186</v>
      </c>
      <c r="B4312" s="47" t="str">
        <f>VLOOKUP(Tabla6[[#This Row],['# Vuelo]],'Validacion reclamo de equipaje'!P:Q,2,0)</f>
        <v>MEXICO AEREO</v>
      </c>
      <c r="C4312" s="48">
        <v>0.96736111111111101</v>
      </c>
      <c r="D4312" s="48">
        <v>0.97430555555555554</v>
      </c>
      <c r="E4312" s="49">
        <f>'Reclamo de equipaje rediseñado'!$D4312-'Reclamo de equipaje rediseñado'!$C4312</f>
        <v>6.9444444444445308E-3</v>
      </c>
      <c r="F4312" s="48">
        <v>0.98472222222222217</v>
      </c>
      <c r="G4312" s="49">
        <f t="shared" si="67"/>
        <v>1.041666666666663E-2</v>
      </c>
      <c r="H4312" s="50">
        <v>41811</v>
      </c>
      <c r="I4312" s="51" t="s">
        <v>536</v>
      </c>
      <c r="J4312" s="51">
        <v>738</v>
      </c>
      <c r="K4312" s="51">
        <f>VLOOKUP(J4312,'Validacion reclamo de equipaje'!L:M,2,0)</f>
        <v>189</v>
      </c>
      <c r="L4312" s="51" t="str">
        <f>VLOOKUP(I4312,'Validacion reclamo de equipaje'!H:I,2,0)</f>
        <v>Nacional</v>
      </c>
      <c r="M4312" s="51" t="s">
        <v>615</v>
      </c>
    </row>
    <row r="4313" spans="1:13" x14ac:dyDescent="0.25">
      <c r="A4313">
        <v>186</v>
      </c>
      <c r="B4313" s="47" t="str">
        <f>VLOOKUP(Tabla6[[#This Row],['# Vuelo]],'Validacion reclamo de equipaje'!P:Q,2,0)</f>
        <v>MEXICO AEREO</v>
      </c>
      <c r="C4313" s="52">
        <v>0.97083333333333333</v>
      </c>
      <c r="D4313" s="52">
        <v>0.97638888888888886</v>
      </c>
      <c r="E4313" s="53">
        <f>'Reclamo de equipaje rediseñado'!$D4313-'Reclamo de equipaje rediseñado'!$C4313</f>
        <v>5.5555555555555358E-3</v>
      </c>
      <c r="F4313" s="52">
        <v>0.98749999999999993</v>
      </c>
      <c r="G4313" s="53">
        <f t="shared" si="67"/>
        <v>1.1111111111111072E-2</v>
      </c>
      <c r="H4313" s="54">
        <v>41812</v>
      </c>
      <c r="I4313" s="55" t="s">
        <v>536</v>
      </c>
      <c r="J4313" s="55">
        <v>738</v>
      </c>
      <c r="K4313" s="55">
        <f>VLOOKUP(J4313,'Validacion reclamo de equipaje'!L:M,2,0)</f>
        <v>189</v>
      </c>
      <c r="L4313" s="55" t="str">
        <f>VLOOKUP(I4313,'Validacion reclamo de equipaje'!H:I,2,0)</f>
        <v>Nacional</v>
      </c>
      <c r="M4313" s="55" t="s">
        <v>615</v>
      </c>
    </row>
    <row r="4314" spans="1:13" x14ac:dyDescent="0.25">
      <c r="A4314">
        <v>186</v>
      </c>
      <c r="B4314" s="47" t="str">
        <f>VLOOKUP(Tabla6[[#This Row],['# Vuelo]],'Validacion reclamo de equipaje'!P:Q,2,0)</f>
        <v>MEXICO AEREO</v>
      </c>
      <c r="C4314" s="48">
        <v>4.5138888888888888E-2</v>
      </c>
      <c r="D4314" s="48">
        <v>4.8611111111111112E-2</v>
      </c>
      <c r="E4314" s="49">
        <f>'Reclamo de equipaje rediseñado'!$D4314-'Reclamo de equipaje rediseñado'!$C4314</f>
        <v>3.4722222222222238E-3</v>
      </c>
      <c r="F4314" s="48">
        <v>5.9722222222222225E-2</v>
      </c>
      <c r="G4314" s="49">
        <f t="shared" si="67"/>
        <v>1.1111111111111113E-2</v>
      </c>
      <c r="H4314" s="50">
        <v>41813</v>
      </c>
      <c r="I4314" s="51" t="s">
        <v>536</v>
      </c>
      <c r="J4314" s="51">
        <v>738</v>
      </c>
      <c r="K4314" s="51">
        <f>VLOOKUP(J4314,'Validacion reclamo de equipaje'!L:M,2,0)</f>
        <v>189</v>
      </c>
      <c r="L4314" s="51" t="str">
        <f>VLOOKUP(I4314,'Validacion reclamo de equipaje'!H:I,2,0)</f>
        <v>Nacional</v>
      </c>
      <c r="M4314" s="51" t="s">
        <v>615</v>
      </c>
    </row>
    <row r="4315" spans="1:13" x14ac:dyDescent="0.25">
      <c r="A4315">
        <v>160</v>
      </c>
      <c r="B4315" s="47" t="str">
        <f>VLOOKUP(Tabla6[[#This Row],['# Vuelo]],'Validacion reclamo de equipaje'!P:Q,2,0)</f>
        <v>MEXICO AEREO</v>
      </c>
      <c r="C4315" s="52">
        <v>0.92569444444444438</v>
      </c>
      <c r="D4315" s="52">
        <v>0.93194444444444446</v>
      </c>
      <c r="E4315" s="53">
        <f>'Reclamo de equipaje rediseñado'!$D4315-'Reclamo de equipaje rediseñado'!$C4315</f>
        <v>6.2500000000000888E-3</v>
      </c>
      <c r="F4315" s="52">
        <v>0.94097222222222221</v>
      </c>
      <c r="G4315" s="53">
        <f t="shared" si="67"/>
        <v>9.0277777777777457E-3</v>
      </c>
      <c r="H4315" s="54">
        <v>41791</v>
      </c>
      <c r="I4315" s="55" t="s">
        <v>536</v>
      </c>
      <c r="J4315" s="55">
        <v>738</v>
      </c>
      <c r="K4315" s="55">
        <f>VLOOKUP(J4315,'Validacion reclamo de equipaje'!L:M,2,0)</f>
        <v>189</v>
      </c>
      <c r="L4315" s="55" t="str">
        <f>VLOOKUP(I4315,'Validacion reclamo de equipaje'!H:I,2,0)</f>
        <v>Nacional</v>
      </c>
      <c r="M4315" s="55" t="s">
        <v>615</v>
      </c>
    </row>
    <row r="4316" spans="1:13" x14ac:dyDescent="0.25">
      <c r="A4316">
        <v>160</v>
      </c>
      <c r="B4316" s="47" t="str">
        <f>VLOOKUP(Tabla6[[#This Row],['# Vuelo]],'Validacion reclamo de equipaje'!P:Q,2,0)</f>
        <v>MEXICO AEREO</v>
      </c>
      <c r="C4316" s="48">
        <v>0.92986111111111114</v>
      </c>
      <c r="D4316" s="48">
        <v>0.93402777777777779</v>
      </c>
      <c r="E4316" s="49">
        <f>'Reclamo de equipaje rediseñado'!$D4316-'Reclamo de equipaje rediseñado'!$C4316</f>
        <v>4.1666666666666519E-3</v>
      </c>
      <c r="F4316" s="48">
        <v>0.94861111111111107</v>
      </c>
      <c r="G4316" s="49">
        <f t="shared" si="67"/>
        <v>1.4583333333333282E-2</v>
      </c>
      <c r="H4316" s="50">
        <v>41792</v>
      </c>
      <c r="I4316" s="51" t="s">
        <v>536</v>
      </c>
      <c r="J4316" s="51">
        <v>738</v>
      </c>
      <c r="K4316" s="51">
        <f>VLOOKUP(J4316,'Validacion reclamo de equipaje'!L:M,2,0)</f>
        <v>189</v>
      </c>
      <c r="L4316" s="51" t="str">
        <f>VLOOKUP(I4316,'Validacion reclamo de equipaje'!H:I,2,0)</f>
        <v>Nacional</v>
      </c>
      <c r="M4316" s="51" t="s">
        <v>615</v>
      </c>
    </row>
    <row r="4317" spans="1:13" x14ac:dyDescent="0.25">
      <c r="A4317">
        <v>160</v>
      </c>
      <c r="B4317" s="47" t="str">
        <f>VLOOKUP(Tabla6[[#This Row],['# Vuelo]],'Validacion reclamo de equipaje'!P:Q,2,0)</f>
        <v>MEXICO AEREO</v>
      </c>
      <c r="C4317" s="52">
        <v>0.92708333333333337</v>
      </c>
      <c r="D4317" s="52">
        <v>0.93055555555555547</v>
      </c>
      <c r="E4317" s="53">
        <f>'Reclamo de equipaje rediseñado'!$D4317-'Reclamo de equipaje rediseñado'!$C4317</f>
        <v>3.4722222222220989E-3</v>
      </c>
      <c r="F4317" s="52">
        <v>0.93819444444444444</v>
      </c>
      <c r="G4317" s="53">
        <f t="shared" si="67"/>
        <v>7.6388888888889728E-3</v>
      </c>
      <c r="H4317" s="54">
        <v>41793</v>
      </c>
      <c r="I4317" s="55" t="s">
        <v>536</v>
      </c>
      <c r="J4317" s="55">
        <v>738</v>
      </c>
      <c r="K4317" s="55">
        <f>VLOOKUP(J4317,'Validacion reclamo de equipaje'!L:M,2,0)</f>
        <v>189</v>
      </c>
      <c r="L4317" s="55" t="str">
        <f>VLOOKUP(I4317,'Validacion reclamo de equipaje'!H:I,2,0)</f>
        <v>Nacional</v>
      </c>
      <c r="M4317" s="55" t="s">
        <v>615</v>
      </c>
    </row>
    <row r="4318" spans="1:13" x14ac:dyDescent="0.25">
      <c r="A4318">
        <v>160</v>
      </c>
      <c r="B4318" s="47" t="str">
        <f>VLOOKUP(Tabla6[[#This Row],['# Vuelo]],'Validacion reclamo de equipaje'!P:Q,2,0)</f>
        <v>MEXICO AEREO</v>
      </c>
      <c r="C4318" s="48">
        <v>0.90972222222222221</v>
      </c>
      <c r="D4318" s="48">
        <v>0.9145833333333333</v>
      </c>
      <c r="E4318" s="49">
        <f>'Reclamo de equipaje rediseñado'!$D4318-'Reclamo de equipaje rediseñado'!$C4318</f>
        <v>4.8611111111110938E-3</v>
      </c>
      <c r="F4318" s="48">
        <v>0.92152777777777783</v>
      </c>
      <c r="G4318" s="49">
        <f t="shared" si="67"/>
        <v>6.9444444444445308E-3</v>
      </c>
      <c r="H4318" s="50">
        <v>41794</v>
      </c>
      <c r="I4318" s="51" t="s">
        <v>536</v>
      </c>
      <c r="J4318" s="51">
        <v>738</v>
      </c>
      <c r="K4318" s="51">
        <f>VLOOKUP(J4318,'Validacion reclamo de equipaje'!L:M,2,0)</f>
        <v>189</v>
      </c>
      <c r="L4318" s="51" t="str">
        <f>VLOOKUP(I4318,'Validacion reclamo de equipaje'!H:I,2,0)</f>
        <v>Nacional</v>
      </c>
      <c r="M4318" s="51" t="s">
        <v>615</v>
      </c>
    </row>
    <row r="4319" spans="1:13" x14ac:dyDescent="0.25">
      <c r="A4319">
        <v>160</v>
      </c>
      <c r="B4319" s="47" t="str">
        <f>VLOOKUP(Tabla6[[#This Row],['# Vuelo]],'Validacion reclamo de equipaje'!P:Q,2,0)</f>
        <v>MEXICO AEREO</v>
      </c>
      <c r="C4319" s="52">
        <v>0.93055555555555547</v>
      </c>
      <c r="D4319" s="52">
        <v>0.93888888888888899</v>
      </c>
      <c r="E4319" s="53">
        <f>'Reclamo de equipaje rediseñado'!$D4319-'Reclamo de equipaje rediseñado'!$C4319</f>
        <v>8.3333333333335258E-3</v>
      </c>
      <c r="F4319" s="52">
        <v>0.95694444444444438</v>
      </c>
      <c r="G4319" s="53">
        <f t="shared" si="67"/>
        <v>1.805555555555538E-2</v>
      </c>
      <c r="H4319" s="54">
        <v>41796</v>
      </c>
      <c r="I4319" s="55" t="s">
        <v>536</v>
      </c>
      <c r="J4319" s="55">
        <v>738</v>
      </c>
      <c r="K4319" s="55">
        <f>VLOOKUP(J4319,'Validacion reclamo de equipaje'!L:M,2,0)</f>
        <v>189</v>
      </c>
      <c r="L4319" s="55" t="str">
        <f>VLOOKUP(I4319,'Validacion reclamo de equipaje'!H:I,2,0)</f>
        <v>Nacional</v>
      </c>
      <c r="M4319" s="55" t="s">
        <v>615</v>
      </c>
    </row>
    <row r="4320" spans="1:13" x14ac:dyDescent="0.25">
      <c r="A4320">
        <v>160</v>
      </c>
      <c r="B4320" s="47" t="str">
        <f>VLOOKUP(Tabla6[[#This Row],['# Vuelo]],'Validacion reclamo de equipaje'!P:Q,2,0)</f>
        <v>MEXICO AEREO</v>
      </c>
      <c r="C4320" s="48">
        <v>0.92013888888888884</v>
      </c>
      <c r="D4320" s="48">
        <v>0.9243055555555556</v>
      </c>
      <c r="E4320" s="49">
        <f>'Reclamo de equipaje rediseñado'!$D4320-'Reclamo de equipaje rediseñado'!$C4320</f>
        <v>4.1666666666667629E-3</v>
      </c>
      <c r="F4320" s="48">
        <v>0.93611111111111101</v>
      </c>
      <c r="G4320" s="49">
        <f t="shared" si="67"/>
        <v>1.1805555555555403E-2</v>
      </c>
      <c r="H4320" s="50">
        <v>41798</v>
      </c>
      <c r="I4320" s="51" t="s">
        <v>536</v>
      </c>
      <c r="J4320" s="51">
        <v>738</v>
      </c>
      <c r="K4320" s="51">
        <f>VLOOKUP(J4320,'Validacion reclamo de equipaje'!L:M,2,0)</f>
        <v>189</v>
      </c>
      <c r="L4320" s="51" t="str">
        <f>VLOOKUP(I4320,'Validacion reclamo de equipaje'!H:I,2,0)</f>
        <v>Nacional</v>
      </c>
      <c r="M4320" s="51" t="s">
        <v>615</v>
      </c>
    </row>
    <row r="4321" spans="1:13" x14ac:dyDescent="0.25">
      <c r="A4321">
        <v>160</v>
      </c>
      <c r="B4321" s="47" t="str">
        <f>VLOOKUP(Tabla6[[#This Row],['# Vuelo]],'Validacion reclamo de equipaje'!P:Q,2,0)</f>
        <v>MEXICO AEREO</v>
      </c>
      <c r="C4321" s="52">
        <v>0.92708333333333337</v>
      </c>
      <c r="D4321" s="52">
        <v>0.93055555555555547</v>
      </c>
      <c r="E4321" s="53">
        <f>'Reclamo de equipaje rediseñado'!$D4321-'Reclamo de equipaje rediseñado'!$C4321</f>
        <v>3.4722222222220989E-3</v>
      </c>
      <c r="F4321" s="52">
        <v>0.95208333333333339</v>
      </c>
      <c r="G4321" s="53">
        <f t="shared" si="67"/>
        <v>2.1527777777777923E-2</v>
      </c>
      <c r="H4321" s="54">
        <v>41799</v>
      </c>
      <c r="I4321" s="55" t="s">
        <v>536</v>
      </c>
      <c r="J4321" s="55">
        <v>738</v>
      </c>
      <c r="K4321" s="55">
        <f>VLOOKUP(J4321,'Validacion reclamo de equipaje'!L:M,2,0)</f>
        <v>189</v>
      </c>
      <c r="L4321" s="55" t="str">
        <f>VLOOKUP(I4321,'Validacion reclamo de equipaje'!H:I,2,0)</f>
        <v>Nacional</v>
      </c>
      <c r="M4321" s="55" t="s">
        <v>615</v>
      </c>
    </row>
    <row r="4322" spans="1:13" x14ac:dyDescent="0.25">
      <c r="A4322">
        <v>160</v>
      </c>
      <c r="B4322" s="47" t="str">
        <f>VLOOKUP(Tabla6[[#This Row],['# Vuelo]],'Validacion reclamo de equipaje'!P:Q,2,0)</f>
        <v>MEXICO AEREO</v>
      </c>
      <c r="C4322" s="48">
        <v>0.37013888888888885</v>
      </c>
      <c r="D4322" s="48">
        <v>0.37638888888888888</v>
      </c>
      <c r="E4322" s="49">
        <f>'Reclamo de equipaje rediseñado'!$D4322-'Reclamo de equipaje rediseñado'!$C4322</f>
        <v>6.2500000000000333E-3</v>
      </c>
      <c r="F4322" s="48">
        <v>0.38680555555555557</v>
      </c>
      <c r="G4322" s="49">
        <f t="shared" si="67"/>
        <v>1.0416666666666685E-2</v>
      </c>
      <c r="H4322" s="50">
        <v>41800</v>
      </c>
      <c r="I4322" s="51" t="s">
        <v>536</v>
      </c>
      <c r="J4322" s="51">
        <v>738</v>
      </c>
      <c r="K4322" s="51">
        <f>VLOOKUP(J4322,'Validacion reclamo de equipaje'!L:M,2,0)</f>
        <v>189</v>
      </c>
      <c r="L4322" s="51" t="str">
        <f>VLOOKUP(I4322,'Validacion reclamo de equipaje'!H:I,2,0)</f>
        <v>Nacional</v>
      </c>
      <c r="M4322" s="51" t="s">
        <v>615</v>
      </c>
    </row>
    <row r="4323" spans="1:13" x14ac:dyDescent="0.25">
      <c r="A4323">
        <v>160</v>
      </c>
      <c r="B4323" s="47" t="str">
        <f>VLOOKUP(Tabla6[[#This Row],['# Vuelo]],'Validacion reclamo de equipaje'!P:Q,2,0)</f>
        <v>MEXICO AEREO</v>
      </c>
      <c r="C4323" s="52">
        <v>0.51388888888888895</v>
      </c>
      <c r="D4323" s="52">
        <v>0.52152777777777781</v>
      </c>
      <c r="E4323" s="53">
        <f>'Reclamo de equipaje rediseñado'!$D4323-'Reclamo de equipaje rediseñado'!$C4323</f>
        <v>7.6388888888888618E-3</v>
      </c>
      <c r="F4323" s="52">
        <v>0.53125</v>
      </c>
      <c r="G4323" s="53">
        <f t="shared" si="67"/>
        <v>9.7222222222221877E-3</v>
      </c>
      <c r="H4323" s="54">
        <v>41801</v>
      </c>
      <c r="I4323" s="55" t="s">
        <v>536</v>
      </c>
      <c r="J4323" s="55">
        <v>738</v>
      </c>
      <c r="K4323" s="55">
        <f>VLOOKUP(J4323,'Validacion reclamo de equipaje'!L:M,2,0)</f>
        <v>189</v>
      </c>
      <c r="L4323" s="55" t="str">
        <f>VLOOKUP(I4323,'Validacion reclamo de equipaje'!H:I,2,0)</f>
        <v>Nacional</v>
      </c>
      <c r="M4323" s="55" t="s">
        <v>615</v>
      </c>
    </row>
    <row r="4324" spans="1:13" x14ac:dyDescent="0.25">
      <c r="A4324">
        <v>160</v>
      </c>
      <c r="B4324" s="47" t="str">
        <f>VLOOKUP(Tabla6[[#This Row],['# Vuelo]],'Validacion reclamo de equipaje'!P:Q,2,0)</f>
        <v>MEXICO AEREO</v>
      </c>
      <c r="C4324" s="48">
        <v>0.45208333333333334</v>
      </c>
      <c r="D4324" s="48">
        <v>0.4548611111111111</v>
      </c>
      <c r="E4324" s="49">
        <f>'Reclamo de equipaje rediseñado'!$D4324-'Reclamo de equipaje rediseñado'!$C4324</f>
        <v>2.7777777777777679E-3</v>
      </c>
      <c r="F4324" s="48">
        <v>0.46180555555555558</v>
      </c>
      <c r="G4324" s="49">
        <f t="shared" si="67"/>
        <v>6.9444444444444753E-3</v>
      </c>
      <c r="H4324" s="50">
        <v>41803</v>
      </c>
      <c r="I4324" s="51" t="s">
        <v>536</v>
      </c>
      <c r="J4324" s="51">
        <v>738</v>
      </c>
      <c r="K4324" s="51">
        <f>VLOOKUP(J4324,'Validacion reclamo de equipaje'!L:M,2,0)</f>
        <v>189</v>
      </c>
      <c r="L4324" s="51" t="str">
        <f>VLOOKUP(I4324,'Validacion reclamo de equipaje'!H:I,2,0)</f>
        <v>Nacional</v>
      </c>
      <c r="M4324" s="51" t="s">
        <v>615</v>
      </c>
    </row>
    <row r="4325" spans="1:13" x14ac:dyDescent="0.25">
      <c r="A4325">
        <v>160</v>
      </c>
      <c r="B4325" s="47" t="str">
        <f>VLOOKUP(Tabla6[[#This Row],['# Vuelo]],'Validacion reclamo de equipaje'!P:Q,2,0)</f>
        <v>MEXICO AEREO</v>
      </c>
      <c r="C4325" s="52">
        <v>0.88194444444444453</v>
      </c>
      <c r="D4325" s="52">
        <v>0.8930555555555556</v>
      </c>
      <c r="E4325" s="53">
        <f>'Reclamo de equipaje rediseñado'!$D4325-'Reclamo de equipaje rediseñado'!$C4325</f>
        <v>1.1111111111111072E-2</v>
      </c>
      <c r="F4325" s="52">
        <v>0.90138888888888891</v>
      </c>
      <c r="G4325" s="53">
        <f t="shared" si="67"/>
        <v>8.3333333333333037E-3</v>
      </c>
      <c r="H4325" s="54">
        <v>41807</v>
      </c>
      <c r="I4325" s="55" t="s">
        <v>536</v>
      </c>
      <c r="J4325" s="55">
        <v>738</v>
      </c>
      <c r="K4325" s="55">
        <f>VLOOKUP(J4325,'Validacion reclamo de equipaje'!L:M,2,0)</f>
        <v>189</v>
      </c>
      <c r="L4325" s="55" t="str">
        <f>VLOOKUP(I4325,'Validacion reclamo de equipaje'!H:I,2,0)</f>
        <v>Nacional</v>
      </c>
      <c r="M4325" s="55" t="s">
        <v>615</v>
      </c>
    </row>
    <row r="4326" spans="1:13" x14ac:dyDescent="0.25">
      <c r="A4326">
        <v>160</v>
      </c>
      <c r="B4326" s="47" t="str">
        <f>VLOOKUP(Tabla6[[#This Row],['# Vuelo]],'Validacion reclamo de equipaje'!P:Q,2,0)</f>
        <v>MEXICO AEREO</v>
      </c>
      <c r="C4326" s="48">
        <v>0.92638888888888893</v>
      </c>
      <c r="D4326" s="48">
        <v>0.9375</v>
      </c>
      <c r="E4326" s="49">
        <f>'Reclamo de equipaje rediseñado'!$D4326-'Reclamo de equipaje rediseñado'!$C4326</f>
        <v>1.1111111111111072E-2</v>
      </c>
      <c r="F4326" s="48">
        <v>0.94097222222222221</v>
      </c>
      <c r="G4326" s="49">
        <f t="shared" si="67"/>
        <v>3.4722222222222099E-3</v>
      </c>
      <c r="H4326" s="50">
        <v>41808</v>
      </c>
      <c r="I4326" s="51" t="s">
        <v>536</v>
      </c>
      <c r="J4326" s="51">
        <v>738</v>
      </c>
      <c r="K4326" s="51">
        <f>VLOOKUP(J4326,'Validacion reclamo de equipaje'!L:M,2,0)</f>
        <v>189</v>
      </c>
      <c r="L4326" s="51" t="str">
        <f>VLOOKUP(I4326,'Validacion reclamo de equipaje'!H:I,2,0)</f>
        <v>Nacional</v>
      </c>
      <c r="M4326" s="51" t="s">
        <v>615</v>
      </c>
    </row>
    <row r="4327" spans="1:13" x14ac:dyDescent="0.25">
      <c r="A4327">
        <v>160</v>
      </c>
      <c r="B4327" s="47" t="str">
        <f>VLOOKUP(Tabla6[[#This Row],['# Vuelo]],'Validacion reclamo de equipaje'!P:Q,2,0)</f>
        <v>MEXICO AEREO</v>
      </c>
      <c r="C4327" s="52">
        <v>0.94861111111111107</v>
      </c>
      <c r="D4327" s="52">
        <v>0.95763888888888893</v>
      </c>
      <c r="E4327" s="53">
        <f>'Reclamo de equipaje rediseñado'!$D4327-'Reclamo de equipaje rediseñado'!$C4327</f>
        <v>9.0277777777778567E-3</v>
      </c>
      <c r="F4327" s="52">
        <v>0.96527777777777779</v>
      </c>
      <c r="G4327" s="53">
        <f t="shared" si="67"/>
        <v>7.6388888888888618E-3</v>
      </c>
      <c r="H4327" s="54">
        <v>41809</v>
      </c>
      <c r="I4327" s="55" t="s">
        <v>536</v>
      </c>
      <c r="J4327" s="55">
        <v>738</v>
      </c>
      <c r="K4327" s="55">
        <f>VLOOKUP(J4327,'Validacion reclamo de equipaje'!L:M,2,0)</f>
        <v>189</v>
      </c>
      <c r="L4327" s="55" t="str">
        <f>VLOOKUP(I4327,'Validacion reclamo de equipaje'!H:I,2,0)</f>
        <v>Nacional</v>
      </c>
      <c r="M4327" s="55" t="s">
        <v>615</v>
      </c>
    </row>
    <row r="4328" spans="1:13" x14ac:dyDescent="0.25">
      <c r="A4328">
        <v>160</v>
      </c>
      <c r="B4328" s="47" t="str">
        <f>VLOOKUP(Tabla6[[#This Row],['# Vuelo]],'Validacion reclamo de equipaje'!P:Q,2,0)</f>
        <v>MEXICO AEREO</v>
      </c>
      <c r="C4328" s="48">
        <v>0.93680555555555556</v>
      </c>
      <c r="D4328" s="48">
        <v>0.94513888888888886</v>
      </c>
      <c r="E4328" s="49">
        <f>'Reclamo de equipaje rediseñado'!$D4328-'Reclamo de equipaje rediseñado'!$C4328</f>
        <v>8.3333333333333037E-3</v>
      </c>
      <c r="F4328" s="48">
        <v>0.95624999999999993</v>
      </c>
      <c r="G4328" s="49">
        <f t="shared" si="67"/>
        <v>1.1111111111111072E-2</v>
      </c>
      <c r="H4328" s="50">
        <v>41810</v>
      </c>
      <c r="I4328" s="51" t="s">
        <v>536</v>
      </c>
      <c r="J4328" s="51">
        <v>738</v>
      </c>
      <c r="K4328" s="51">
        <f>VLOOKUP(J4328,'Validacion reclamo de equipaje'!L:M,2,0)</f>
        <v>189</v>
      </c>
      <c r="L4328" s="51" t="str">
        <f>VLOOKUP(I4328,'Validacion reclamo de equipaje'!H:I,2,0)</f>
        <v>Nacional</v>
      </c>
      <c r="M4328" s="51" t="s">
        <v>615</v>
      </c>
    </row>
    <row r="4329" spans="1:13" x14ac:dyDescent="0.25">
      <c r="A4329">
        <v>160</v>
      </c>
      <c r="B4329" s="47" t="str">
        <f>VLOOKUP(Tabla6[[#This Row],['# Vuelo]],'Validacion reclamo de equipaje'!P:Q,2,0)</f>
        <v>MEXICO AEREO</v>
      </c>
      <c r="C4329" s="52">
        <v>0.92499999999999993</v>
      </c>
      <c r="D4329" s="52">
        <v>0.93125000000000002</v>
      </c>
      <c r="E4329" s="53">
        <f>'Reclamo de equipaje rediseñado'!$D4329-'Reclamo de equipaje rediseñado'!$C4329</f>
        <v>6.2500000000000888E-3</v>
      </c>
      <c r="F4329" s="52">
        <v>22.34</v>
      </c>
      <c r="G4329" s="53">
        <f t="shared" si="67"/>
        <v>21.408750000000001</v>
      </c>
      <c r="H4329" s="54">
        <v>41812</v>
      </c>
      <c r="I4329" s="55" t="s">
        <v>536</v>
      </c>
      <c r="J4329" s="55">
        <v>738</v>
      </c>
      <c r="K4329" s="55">
        <f>VLOOKUP(J4329,'Validacion reclamo de equipaje'!L:M,2,0)</f>
        <v>189</v>
      </c>
      <c r="L4329" s="55" t="str">
        <f>VLOOKUP(I4329,'Validacion reclamo de equipaje'!H:I,2,0)</f>
        <v>Nacional</v>
      </c>
      <c r="M4329" s="55" t="s">
        <v>615</v>
      </c>
    </row>
    <row r="4330" spans="1:13" x14ac:dyDescent="0.25">
      <c r="A4330">
        <v>160</v>
      </c>
      <c r="B4330" s="47" t="str">
        <f>VLOOKUP(Tabla6[[#This Row],['# Vuelo]],'Validacion reclamo de equipaje'!P:Q,2,0)</f>
        <v>MEXICO AEREO</v>
      </c>
      <c r="C4330" s="48">
        <v>0.92708333333333337</v>
      </c>
      <c r="D4330" s="48">
        <v>0.93402777777777779</v>
      </c>
      <c r="E4330" s="49">
        <f>'Reclamo de equipaje rediseñado'!$D4330-'Reclamo de equipaje rediseñado'!$C4330</f>
        <v>6.9444444444444198E-3</v>
      </c>
      <c r="F4330" s="48">
        <v>0.94097222222222221</v>
      </c>
      <c r="G4330" s="49">
        <f t="shared" si="67"/>
        <v>6.9444444444444198E-3</v>
      </c>
      <c r="H4330" s="50">
        <v>41813</v>
      </c>
      <c r="I4330" s="51" t="s">
        <v>536</v>
      </c>
      <c r="J4330" s="51">
        <v>738</v>
      </c>
      <c r="K4330" s="51">
        <f>VLOOKUP(J4330,'Validacion reclamo de equipaje'!L:M,2,0)</f>
        <v>189</v>
      </c>
      <c r="L4330" s="51" t="str">
        <f>VLOOKUP(I4330,'Validacion reclamo de equipaje'!H:I,2,0)</f>
        <v>Nacional</v>
      </c>
      <c r="M4330" s="51" t="s">
        <v>615</v>
      </c>
    </row>
    <row r="4331" spans="1:13" x14ac:dyDescent="0.25">
      <c r="A4331">
        <v>156</v>
      </c>
      <c r="B4331" s="47" t="str">
        <f>VLOOKUP(Tabla6[[#This Row],['# Vuelo]],'Validacion reclamo de equipaje'!P:Q,2,0)</f>
        <v>MEXICO AEREO</v>
      </c>
      <c r="C4331" s="52">
        <v>0.54999999999999993</v>
      </c>
      <c r="D4331" s="52">
        <v>0.55208333333333337</v>
      </c>
      <c r="E4331" s="53">
        <f>'Reclamo de equipaje rediseñado'!$D4331-'Reclamo de equipaje rediseñado'!$C4331</f>
        <v>2.083333333333437E-3</v>
      </c>
      <c r="F4331" s="52">
        <v>0.55694444444444446</v>
      </c>
      <c r="G4331" s="53">
        <f t="shared" si="67"/>
        <v>4.8611111111110938E-3</v>
      </c>
      <c r="H4331" s="54">
        <v>41792</v>
      </c>
      <c r="I4331" s="55" t="s">
        <v>536</v>
      </c>
      <c r="J4331" s="55" t="s">
        <v>565</v>
      </c>
      <c r="K4331" s="55">
        <f>VLOOKUP(J4331,'Validacion reclamo de equipaje'!L:M,2,0)</f>
        <v>99</v>
      </c>
      <c r="L4331" s="55" t="str">
        <f>VLOOKUP(I4331,'Validacion reclamo de equipaje'!H:I,2,0)</f>
        <v>Nacional</v>
      </c>
      <c r="M4331" s="55" t="s">
        <v>615</v>
      </c>
    </row>
    <row r="4332" spans="1:13" x14ac:dyDescent="0.25">
      <c r="A4332">
        <v>156</v>
      </c>
      <c r="B4332" s="47" t="str">
        <f>VLOOKUP(Tabla6[[#This Row],['# Vuelo]],'Validacion reclamo de equipaje'!P:Q,2,0)</f>
        <v>MEXICO AEREO</v>
      </c>
      <c r="C4332" s="48">
        <v>0.55555555555555558</v>
      </c>
      <c r="D4332" s="48">
        <v>0.55833333333333335</v>
      </c>
      <c r="E4332" s="49">
        <f>'Reclamo de equipaje rediseñado'!$D4332-'Reclamo de equipaje rediseñado'!$C4332</f>
        <v>2.7777777777777679E-3</v>
      </c>
      <c r="F4332" s="48">
        <v>0.5625</v>
      </c>
      <c r="G4332" s="49">
        <f t="shared" si="67"/>
        <v>4.1666666666666519E-3</v>
      </c>
      <c r="H4332" s="50">
        <v>41793</v>
      </c>
      <c r="I4332" s="51" t="s">
        <v>536</v>
      </c>
      <c r="J4332" s="51" t="s">
        <v>565</v>
      </c>
      <c r="K4332" s="51">
        <f>VLOOKUP(J4332,'Validacion reclamo de equipaje'!L:M,2,0)</f>
        <v>99</v>
      </c>
      <c r="L4332" s="51" t="str">
        <f>VLOOKUP(I4332,'Validacion reclamo de equipaje'!H:I,2,0)</f>
        <v>Nacional</v>
      </c>
      <c r="M4332" s="51" t="s">
        <v>615</v>
      </c>
    </row>
    <row r="4333" spans="1:13" x14ac:dyDescent="0.25">
      <c r="A4333">
        <v>156</v>
      </c>
      <c r="B4333" s="47" t="str">
        <f>VLOOKUP(Tabla6[[#This Row],['# Vuelo]],'Validacion reclamo de equipaje'!P:Q,2,0)</f>
        <v>MEXICO AEREO</v>
      </c>
      <c r="C4333" s="52">
        <v>0.58263888888888882</v>
      </c>
      <c r="D4333" s="52">
        <v>0.59097222222222223</v>
      </c>
      <c r="E4333" s="53">
        <f>'Reclamo de equipaje rediseñado'!$D4333-'Reclamo de equipaje rediseñado'!$C4333</f>
        <v>8.3333333333334147E-3</v>
      </c>
      <c r="F4333" s="52">
        <v>0.59513888888888888</v>
      </c>
      <c r="G4333" s="53">
        <f t="shared" si="67"/>
        <v>4.1666666666666519E-3</v>
      </c>
      <c r="H4333" s="54">
        <v>41794</v>
      </c>
      <c r="I4333" s="55" t="s">
        <v>536</v>
      </c>
      <c r="J4333" s="55" t="s">
        <v>565</v>
      </c>
      <c r="K4333" s="55">
        <f>VLOOKUP(J4333,'Validacion reclamo de equipaje'!L:M,2,0)</f>
        <v>99</v>
      </c>
      <c r="L4333" s="55" t="str">
        <f>VLOOKUP(I4333,'Validacion reclamo de equipaje'!H:I,2,0)</f>
        <v>Nacional</v>
      </c>
      <c r="M4333" s="55" t="s">
        <v>615</v>
      </c>
    </row>
    <row r="4334" spans="1:13" x14ac:dyDescent="0.25">
      <c r="A4334">
        <v>156</v>
      </c>
      <c r="B4334" s="47" t="str">
        <f>VLOOKUP(Tabla6[[#This Row],['# Vuelo]],'Validacion reclamo de equipaje'!P:Q,2,0)</f>
        <v>MEXICO AEREO</v>
      </c>
      <c r="C4334" s="48">
        <v>0.55763888888888891</v>
      </c>
      <c r="D4334" s="48">
        <v>0.5625</v>
      </c>
      <c r="E4334" s="49">
        <f>'Reclamo de equipaje rediseñado'!$D4334-'Reclamo de equipaje rediseñado'!$C4334</f>
        <v>4.8611111111110938E-3</v>
      </c>
      <c r="F4334" s="48">
        <v>0.56944444444444442</v>
      </c>
      <c r="G4334" s="49">
        <f t="shared" si="67"/>
        <v>6.9444444444444198E-3</v>
      </c>
      <c r="H4334" s="50">
        <v>41795</v>
      </c>
      <c r="I4334" s="51" t="s">
        <v>536</v>
      </c>
      <c r="J4334" s="51" t="s">
        <v>565</v>
      </c>
      <c r="K4334" s="51">
        <f>VLOOKUP(J4334,'Validacion reclamo de equipaje'!L:M,2,0)</f>
        <v>99</v>
      </c>
      <c r="L4334" s="51" t="str">
        <f>VLOOKUP(I4334,'Validacion reclamo de equipaje'!H:I,2,0)</f>
        <v>Nacional</v>
      </c>
      <c r="M4334" s="51" t="s">
        <v>615</v>
      </c>
    </row>
    <row r="4335" spans="1:13" x14ac:dyDescent="0.25">
      <c r="A4335">
        <v>156</v>
      </c>
      <c r="B4335" s="47" t="str">
        <f>VLOOKUP(Tabla6[[#This Row],['# Vuelo]],'Validacion reclamo de equipaje'!P:Q,2,0)</f>
        <v>MEXICO AEREO</v>
      </c>
      <c r="C4335" s="52">
        <v>0.54513888888888895</v>
      </c>
      <c r="D4335" s="52">
        <v>0.55069444444444449</v>
      </c>
      <c r="E4335" s="53">
        <f>'Reclamo de equipaje rediseñado'!$D4335-'Reclamo de equipaje rediseñado'!$C4335</f>
        <v>5.5555555555555358E-3</v>
      </c>
      <c r="F4335" s="52">
        <v>0.55694444444444446</v>
      </c>
      <c r="G4335" s="53">
        <f t="shared" si="67"/>
        <v>6.2499999999999778E-3</v>
      </c>
      <c r="H4335" s="54">
        <v>41796</v>
      </c>
      <c r="I4335" s="55" t="s">
        <v>536</v>
      </c>
      <c r="J4335" s="55" t="s">
        <v>565</v>
      </c>
      <c r="K4335" s="55">
        <f>VLOOKUP(J4335,'Validacion reclamo de equipaje'!L:M,2,0)</f>
        <v>99</v>
      </c>
      <c r="L4335" s="55" t="str">
        <f>VLOOKUP(I4335,'Validacion reclamo de equipaje'!H:I,2,0)</f>
        <v>Nacional</v>
      </c>
      <c r="M4335" s="55" t="s">
        <v>615</v>
      </c>
    </row>
    <row r="4336" spans="1:13" x14ac:dyDescent="0.25">
      <c r="A4336">
        <v>156</v>
      </c>
      <c r="B4336" s="47" t="str">
        <f>VLOOKUP(Tabla6[[#This Row],['# Vuelo]],'Validacion reclamo de equipaje'!P:Q,2,0)</f>
        <v>MEXICO AEREO</v>
      </c>
      <c r="C4336" s="48">
        <v>0.91388888888888886</v>
      </c>
      <c r="D4336" s="48">
        <v>0.92291666666666661</v>
      </c>
      <c r="E4336" s="49">
        <f>'Reclamo de equipaje rediseñado'!$D4336-'Reclamo de equipaje rediseñado'!$C4336</f>
        <v>9.0277777777777457E-3</v>
      </c>
      <c r="F4336" s="48">
        <v>0.93125000000000002</v>
      </c>
      <c r="G4336" s="49">
        <f t="shared" si="67"/>
        <v>8.3333333333334147E-3</v>
      </c>
      <c r="H4336" s="50">
        <v>41801</v>
      </c>
      <c r="I4336" s="51" t="s">
        <v>536</v>
      </c>
      <c r="J4336" s="51" t="s">
        <v>565</v>
      </c>
      <c r="K4336" s="51">
        <f>VLOOKUP(J4336,'Validacion reclamo de equipaje'!L:M,2,0)</f>
        <v>99</v>
      </c>
      <c r="L4336" s="51" t="str">
        <f>VLOOKUP(I4336,'Validacion reclamo de equipaje'!H:I,2,0)</f>
        <v>Nacional</v>
      </c>
      <c r="M4336" s="51" t="s">
        <v>615</v>
      </c>
    </row>
    <row r="4337" spans="1:13" x14ac:dyDescent="0.25">
      <c r="A4337">
        <v>156</v>
      </c>
      <c r="B4337" s="47" t="str">
        <f>VLOOKUP(Tabla6[[#This Row],['# Vuelo]],'Validacion reclamo de equipaje'!P:Q,2,0)</f>
        <v>MEXICO AEREO</v>
      </c>
      <c r="C4337" s="52">
        <v>0.93611111111111101</v>
      </c>
      <c r="D4337" s="52">
        <v>0.94444444444444453</v>
      </c>
      <c r="E4337" s="53">
        <f>'Reclamo de equipaje rediseñado'!$D4337-'Reclamo de equipaje rediseñado'!$C4337</f>
        <v>8.3333333333335258E-3</v>
      </c>
      <c r="F4337" s="52">
        <v>0.94652777777777775</v>
      </c>
      <c r="G4337" s="53">
        <f t="shared" si="67"/>
        <v>2.0833333333332149E-3</v>
      </c>
      <c r="H4337" s="54">
        <v>41801</v>
      </c>
      <c r="I4337" s="55" t="s">
        <v>536</v>
      </c>
      <c r="J4337" s="55" t="s">
        <v>565</v>
      </c>
      <c r="K4337" s="55">
        <f>VLOOKUP(J4337,'Validacion reclamo de equipaje'!L:M,2,0)</f>
        <v>99</v>
      </c>
      <c r="L4337" s="55" t="str">
        <f>VLOOKUP(I4337,'Validacion reclamo de equipaje'!H:I,2,0)</f>
        <v>Nacional</v>
      </c>
      <c r="M4337" s="55" t="s">
        <v>615</v>
      </c>
    </row>
    <row r="4338" spans="1:13" x14ac:dyDescent="0.25">
      <c r="A4338">
        <v>156</v>
      </c>
      <c r="B4338" s="47" t="str">
        <f>VLOOKUP(Tabla6[[#This Row],['# Vuelo]],'Validacion reclamo de equipaje'!P:Q,2,0)</f>
        <v>MEXICO AEREO</v>
      </c>
      <c r="C4338" s="48">
        <v>0.89097222222222217</v>
      </c>
      <c r="D4338" s="48">
        <v>0.90347222222222223</v>
      </c>
      <c r="E4338" s="49">
        <f>'Reclamo de equipaje rediseñado'!$D4338-'Reclamo de equipaje rediseñado'!$C4338</f>
        <v>1.2500000000000067E-2</v>
      </c>
      <c r="F4338" s="48">
        <v>0.91736111111111107</v>
      </c>
      <c r="G4338" s="49">
        <f t="shared" si="67"/>
        <v>1.388888888888884E-2</v>
      </c>
      <c r="H4338" s="50">
        <v>41802</v>
      </c>
      <c r="I4338" s="51" t="s">
        <v>536</v>
      </c>
      <c r="J4338" s="51" t="s">
        <v>565</v>
      </c>
      <c r="K4338" s="51">
        <f>VLOOKUP(J4338,'Validacion reclamo de equipaje'!L:M,2,0)</f>
        <v>99</v>
      </c>
      <c r="L4338" s="51" t="str">
        <f>VLOOKUP(I4338,'Validacion reclamo de equipaje'!H:I,2,0)</f>
        <v>Nacional</v>
      </c>
      <c r="M4338" s="51" t="s">
        <v>615</v>
      </c>
    </row>
    <row r="4339" spans="1:13" x14ac:dyDescent="0.25">
      <c r="A4339">
        <v>156</v>
      </c>
      <c r="B4339" s="47" t="str">
        <f>VLOOKUP(Tabla6[[#This Row],['# Vuelo]],'Validacion reclamo de equipaje'!P:Q,2,0)</f>
        <v>MEXICO AEREO</v>
      </c>
      <c r="C4339" s="52">
        <v>0.65138888888888891</v>
      </c>
      <c r="D4339" s="52">
        <v>0.65763888888888888</v>
      </c>
      <c r="E4339" s="53">
        <f>'Reclamo de equipaje rediseñado'!$D4339-'Reclamo de equipaje rediseñado'!$C4339</f>
        <v>6.2499999999999778E-3</v>
      </c>
      <c r="F4339" s="52">
        <v>0.66041666666666665</v>
      </c>
      <c r="G4339" s="53">
        <f t="shared" si="67"/>
        <v>2.7777777777777679E-3</v>
      </c>
      <c r="H4339" s="54">
        <v>41803</v>
      </c>
      <c r="I4339" s="55" t="s">
        <v>536</v>
      </c>
      <c r="J4339" s="55" t="s">
        <v>565</v>
      </c>
      <c r="K4339" s="55">
        <f>VLOOKUP(J4339,'Validacion reclamo de equipaje'!L:M,2,0)</f>
        <v>99</v>
      </c>
      <c r="L4339" s="55" t="str">
        <f>VLOOKUP(I4339,'Validacion reclamo de equipaje'!H:I,2,0)</f>
        <v>Nacional</v>
      </c>
      <c r="M4339" s="55" t="s">
        <v>615</v>
      </c>
    </row>
    <row r="4340" spans="1:13" x14ac:dyDescent="0.25">
      <c r="A4340">
        <v>156</v>
      </c>
      <c r="B4340" s="47" t="str">
        <f>VLOOKUP(Tabla6[[#This Row],['# Vuelo]],'Validacion reclamo de equipaje'!P:Q,2,0)</f>
        <v>MEXICO AEREO</v>
      </c>
      <c r="C4340" s="48">
        <v>0.82986111111111116</v>
      </c>
      <c r="D4340" s="48">
        <v>0.84305555555555556</v>
      </c>
      <c r="E4340" s="49">
        <f>'Reclamo de equipaje rediseñado'!$D4340-'Reclamo de equipaje rediseñado'!$C4340</f>
        <v>1.3194444444444398E-2</v>
      </c>
      <c r="F4340" s="48">
        <v>0.86041666666666661</v>
      </c>
      <c r="G4340" s="49">
        <f t="shared" si="67"/>
        <v>1.7361111111111049E-2</v>
      </c>
      <c r="H4340" s="50">
        <v>41806</v>
      </c>
      <c r="I4340" s="51" t="s">
        <v>536</v>
      </c>
      <c r="J4340" s="51" t="s">
        <v>565</v>
      </c>
      <c r="K4340" s="51">
        <f>VLOOKUP(J4340,'Validacion reclamo de equipaje'!L:M,2,0)</f>
        <v>99</v>
      </c>
      <c r="L4340" s="51" t="str">
        <f>VLOOKUP(I4340,'Validacion reclamo de equipaje'!H:I,2,0)</f>
        <v>Nacional</v>
      </c>
      <c r="M4340" s="51" t="s">
        <v>615</v>
      </c>
    </row>
    <row r="4341" spans="1:13" x14ac:dyDescent="0.25">
      <c r="A4341">
        <v>156</v>
      </c>
      <c r="B4341" s="47" t="str">
        <f>VLOOKUP(Tabla6[[#This Row],['# Vuelo]],'Validacion reclamo de equipaje'!P:Q,2,0)</f>
        <v>MEXICO AEREO</v>
      </c>
      <c r="C4341" s="52">
        <v>0.55972222222222223</v>
      </c>
      <c r="D4341" s="52">
        <v>0.56944444444444442</v>
      </c>
      <c r="E4341" s="53">
        <f>'Reclamo de equipaje rediseñado'!$D4341-'Reclamo de equipaje rediseñado'!$C4341</f>
        <v>9.7222222222221877E-3</v>
      </c>
      <c r="F4341" s="52">
        <v>0.57638888888888895</v>
      </c>
      <c r="G4341" s="53">
        <f t="shared" si="67"/>
        <v>6.9444444444445308E-3</v>
      </c>
      <c r="H4341" s="54">
        <v>41808</v>
      </c>
      <c r="I4341" s="55" t="s">
        <v>536</v>
      </c>
      <c r="J4341" s="55" t="s">
        <v>565</v>
      </c>
      <c r="K4341" s="55">
        <f>VLOOKUP(J4341,'Validacion reclamo de equipaje'!L:M,2,0)</f>
        <v>99</v>
      </c>
      <c r="L4341" s="55" t="str">
        <f>VLOOKUP(I4341,'Validacion reclamo de equipaje'!H:I,2,0)</f>
        <v>Nacional</v>
      </c>
      <c r="M4341" s="55" t="s">
        <v>615</v>
      </c>
    </row>
    <row r="4342" spans="1:13" x14ac:dyDescent="0.25">
      <c r="A4342">
        <v>156</v>
      </c>
      <c r="B4342" s="47" t="str">
        <f>VLOOKUP(Tabla6[[#This Row],['# Vuelo]],'Validacion reclamo de equipaje'!P:Q,2,0)</f>
        <v>MEXICO AEREO</v>
      </c>
      <c r="C4342" s="48">
        <v>0.55763888888888891</v>
      </c>
      <c r="D4342" s="48">
        <v>0.56388888888888888</v>
      </c>
      <c r="E4342" s="49">
        <f>'Reclamo de equipaje rediseñado'!$D4342-'Reclamo de equipaje rediseñado'!$C4342</f>
        <v>6.2499999999999778E-3</v>
      </c>
      <c r="F4342" s="48">
        <v>0.57361111111111118</v>
      </c>
      <c r="G4342" s="49">
        <f t="shared" si="67"/>
        <v>9.7222222222222987E-3</v>
      </c>
      <c r="H4342" s="50">
        <v>41809</v>
      </c>
      <c r="I4342" s="51" t="s">
        <v>536</v>
      </c>
      <c r="J4342" s="51" t="s">
        <v>565</v>
      </c>
      <c r="K4342" s="51">
        <f>VLOOKUP(J4342,'Validacion reclamo de equipaje'!L:M,2,0)</f>
        <v>99</v>
      </c>
      <c r="L4342" s="51" t="str">
        <f>VLOOKUP(I4342,'Validacion reclamo de equipaje'!H:I,2,0)</f>
        <v>Nacional</v>
      </c>
      <c r="M4342" s="51" t="s">
        <v>615</v>
      </c>
    </row>
    <row r="4343" spans="1:13" x14ac:dyDescent="0.25">
      <c r="A4343">
        <v>156</v>
      </c>
      <c r="B4343" s="47" t="str">
        <f>VLOOKUP(Tabla6[[#This Row],['# Vuelo]],'Validacion reclamo de equipaje'!P:Q,2,0)</f>
        <v>MEXICO AEREO</v>
      </c>
      <c r="C4343" s="52">
        <v>0.5541666666666667</v>
      </c>
      <c r="D4343" s="52">
        <v>0.55555555555555558</v>
      </c>
      <c r="E4343" s="53">
        <f>'Reclamo de equipaje rediseñado'!$D4343-'Reclamo de equipaje rediseñado'!$C4343</f>
        <v>1.388888888888884E-3</v>
      </c>
      <c r="F4343" s="52">
        <v>0.56388888888888888</v>
      </c>
      <c r="G4343" s="53">
        <f t="shared" si="67"/>
        <v>8.3333333333333037E-3</v>
      </c>
      <c r="H4343" s="54">
        <v>41810</v>
      </c>
      <c r="I4343" s="55" t="s">
        <v>536</v>
      </c>
      <c r="J4343" s="55" t="s">
        <v>565</v>
      </c>
      <c r="K4343" s="55">
        <f>VLOOKUP(J4343,'Validacion reclamo de equipaje'!L:M,2,0)</f>
        <v>99</v>
      </c>
      <c r="L4343" s="55" t="str">
        <f>VLOOKUP(I4343,'Validacion reclamo de equipaje'!H:I,2,0)</f>
        <v>Nacional</v>
      </c>
      <c r="M4343" s="55" t="s">
        <v>615</v>
      </c>
    </row>
    <row r="4344" spans="1:13" x14ac:dyDescent="0.25">
      <c r="A4344">
        <v>128</v>
      </c>
      <c r="B4344" s="47" t="str">
        <f>VLOOKUP(Tabla6[[#This Row],['# Vuelo]],'Validacion reclamo de equipaje'!P:Q,2,0)</f>
        <v>MEXICO AEREO</v>
      </c>
      <c r="C4344" s="48">
        <v>0.84236111111111101</v>
      </c>
      <c r="D4344" s="48">
        <v>0.84791666666666676</v>
      </c>
      <c r="E4344" s="49">
        <f>'Reclamo de equipaje rediseñado'!$D4344-'Reclamo de equipaje rediseñado'!$C4344</f>
        <v>5.5555555555557579E-3</v>
      </c>
      <c r="F4344" s="48">
        <v>0.86041666666666661</v>
      </c>
      <c r="G4344" s="49">
        <f t="shared" si="67"/>
        <v>1.2499999999999845E-2</v>
      </c>
      <c r="H4344" s="50">
        <v>41791</v>
      </c>
      <c r="I4344" s="51" t="s">
        <v>536</v>
      </c>
      <c r="J4344" s="51">
        <v>738</v>
      </c>
      <c r="K4344" s="51">
        <f>VLOOKUP(J4344,'Validacion reclamo de equipaje'!L:M,2,0)</f>
        <v>189</v>
      </c>
      <c r="L4344" s="51" t="str">
        <f>VLOOKUP(I4344,'Validacion reclamo de equipaje'!H:I,2,0)</f>
        <v>Nacional</v>
      </c>
      <c r="M4344" s="51" t="s">
        <v>615</v>
      </c>
    </row>
    <row r="4345" spans="1:13" x14ac:dyDescent="0.25">
      <c r="A4345">
        <v>128</v>
      </c>
      <c r="B4345" s="47" t="str">
        <f>VLOOKUP(Tabla6[[#This Row],['# Vuelo]],'Validacion reclamo de equipaje'!P:Q,2,0)</f>
        <v>MEXICO AEREO</v>
      </c>
      <c r="C4345" s="52">
        <v>0.84513888888888899</v>
      </c>
      <c r="D4345" s="52">
        <v>0.85</v>
      </c>
      <c r="E4345" s="53">
        <f>'Reclamo de equipaje rediseñado'!$D4345-'Reclamo de equipaje rediseñado'!$C4345</f>
        <v>4.8611111111109828E-3</v>
      </c>
      <c r="F4345" s="52">
        <v>0.8569444444444444</v>
      </c>
      <c r="G4345" s="53">
        <f t="shared" si="67"/>
        <v>6.9444444444444198E-3</v>
      </c>
      <c r="H4345" s="54">
        <v>41792</v>
      </c>
      <c r="I4345" s="55" t="s">
        <v>536</v>
      </c>
      <c r="J4345" s="55">
        <v>738</v>
      </c>
      <c r="K4345" s="55">
        <f>VLOOKUP(J4345,'Validacion reclamo de equipaje'!L:M,2,0)</f>
        <v>189</v>
      </c>
      <c r="L4345" s="55" t="str">
        <f>VLOOKUP(I4345,'Validacion reclamo de equipaje'!H:I,2,0)</f>
        <v>Nacional</v>
      </c>
      <c r="M4345" s="55" t="s">
        <v>615</v>
      </c>
    </row>
    <row r="4346" spans="1:13" x14ac:dyDescent="0.25">
      <c r="A4346">
        <v>128</v>
      </c>
      <c r="B4346" s="47" t="str">
        <f>VLOOKUP(Tabla6[[#This Row],['# Vuelo]],'Validacion reclamo de equipaje'!P:Q,2,0)</f>
        <v>MEXICO AEREO</v>
      </c>
      <c r="C4346" s="48">
        <v>0.85416666666666663</v>
      </c>
      <c r="D4346" s="48">
        <v>0.86111111111111116</v>
      </c>
      <c r="E4346" s="49">
        <f>'Reclamo de equipaje rediseñado'!$D4346-'Reclamo de equipaje rediseñado'!$C4346</f>
        <v>6.9444444444445308E-3</v>
      </c>
      <c r="F4346" s="48">
        <v>0.86944444444444446</v>
      </c>
      <c r="G4346" s="49">
        <f t="shared" si="67"/>
        <v>8.3333333333333037E-3</v>
      </c>
      <c r="H4346" s="50">
        <v>41793</v>
      </c>
      <c r="I4346" s="51" t="s">
        <v>536</v>
      </c>
      <c r="J4346" s="51">
        <v>738</v>
      </c>
      <c r="K4346" s="51">
        <f>VLOOKUP(J4346,'Validacion reclamo de equipaje'!L:M,2,0)</f>
        <v>189</v>
      </c>
      <c r="L4346" s="51" t="str">
        <f>VLOOKUP(I4346,'Validacion reclamo de equipaje'!H:I,2,0)</f>
        <v>Nacional</v>
      </c>
      <c r="M4346" s="51" t="s">
        <v>615</v>
      </c>
    </row>
    <row r="4347" spans="1:13" x14ac:dyDescent="0.25">
      <c r="A4347">
        <v>128</v>
      </c>
      <c r="B4347" s="47" t="str">
        <f>VLOOKUP(Tabla6[[#This Row],['# Vuelo]],'Validacion reclamo de equipaje'!P:Q,2,0)</f>
        <v>MEXICO AEREO</v>
      </c>
      <c r="C4347" s="52">
        <v>0.875</v>
      </c>
      <c r="D4347" s="52">
        <v>0.88055555555555554</v>
      </c>
      <c r="E4347" s="53">
        <f>'Reclamo de equipaje rediseñado'!$D4347-'Reclamo de equipaje rediseñado'!$C4347</f>
        <v>5.5555555555555358E-3</v>
      </c>
      <c r="F4347" s="52">
        <v>0.88888888888888884</v>
      </c>
      <c r="G4347" s="53">
        <f t="shared" si="67"/>
        <v>8.3333333333333037E-3</v>
      </c>
      <c r="H4347" s="54">
        <v>41794</v>
      </c>
      <c r="I4347" s="55" t="s">
        <v>536</v>
      </c>
      <c r="J4347" s="55">
        <v>738</v>
      </c>
      <c r="K4347" s="55">
        <f>VLOOKUP(J4347,'Validacion reclamo de equipaje'!L:M,2,0)</f>
        <v>189</v>
      </c>
      <c r="L4347" s="55" t="str">
        <f>VLOOKUP(I4347,'Validacion reclamo de equipaje'!H:I,2,0)</f>
        <v>Nacional</v>
      </c>
      <c r="M4347" s="55" t="s">
        <v>615</v>
      </c>
    </row>
    <row r="4348" spans="1:13" x14ac:dyDescent="0.25">
      <c r="A4348">
        <v>128</v>
      </c>
      <c r="B4348" s="47" t="str">
        <f>VLOOKUP(Tabla6[[#This Row],['# Vuelo]],'Validacion reclamo de equipaje'!P:Q,2,0)</f>
        <v>MEXICO AEREO</v>
      </c>
      <c r="C4348" s="48">
        <v>0.84375</v>
      </c>
      <c r="D4348" s="48">
        <v>0.84861111111111109</v>
      </c>
      <c r="E4348" s="49">
        <f>'Reclamo de equipaje rediseñado'!$D4348-'Reclamo de equipaje rediseñado'!$C4348</f>
        <v>4.8611111111110938E-3</v>
      </c>
      <c r="F4348" s="48">
        <v>0.85902777777777783</v>
      </c>
      <c r="G4348" s="49">
        <f t="shared" si="67"/>
        <v>1.0416666666666741E-2</v>
      </c>
      <c r="H4348" s="50">
        <v>41796</v>
      </c>
      <c r="I4348" s="51" t="s">
        <v>536</v>
      </c>
      <c r="J4348" s="51">
        <v>738</v>
      </c>
      <c r="K4348" s="51">
        <f>VLOOKUP(J4348,'Validacion reclamo de equipaje'!L:M,2,0)</f>
        <v>189</v>
      </c>
      <c r="L4348" s="51" t="str">
        <f>VLOOKUP(I4348,'Validacion reclamo de equipaje'!H:I,2,0)</f>
        <v>Nacional</v>
      </c>
      <c r="M4348" s="51" t="s">
        <v>615</v>
      </c>
    </row>
    <row r="4349" spans="1:13" x14ac:dyDescent="0.25">
      <c r="A4349">
        <v>128</v>
      </c>
      <c r="B4349" s="47" t="str">
        <f>VLOOKUP(Tabla6[[#This Row],['# Vuelo]],'Validacion reclamo de equipaje'!P:Q,2,0)</f>
        <v>MEXICO AEREO</v>
      </c>
      <c r="C4349" s="52">
        <v>0.84305555555555556</v>
      </c>
      <c r="D4349" s="52">
        <v>0.84930555555555554</v>
      </c>
      <c r="E4349" s="53">
        <f>'Reclamo de equipaje rediseñado'!$D4349-'Reclamo de equipaje rediseñado'!$C4349</f>
        <v>6.2499999999999778E-3</v>
      </c>
      <c r="F4349" s="52">
        <v>0.8520833333333333</v>
      </c>
      <c r="G4349" s="53">
        <f t="shared" si="67"/>
        <v>2.7777777777777679E-3</v>
      </c>
      <c r="H4349" s="54">
        <v>41797</v>
      </c>
      <c r="I4349" s="55" t="s">
        <v>536</v>
      </c>
      <c r="J4349" s="55">
        <v>738</v>
      </c>
      <c r="K4349" s="55">
        <f>VLOOKUP(J4349,'Validacion reclamo de equipaje'!L:M,2,0)</f>
        <v>189</v>
      </c>
      <c r="L4349" s="55" t="str">
        <f>VLOOKUP(I4349,'Validacion reclamo de equipaje'!H:I,2,0)</f>
        <v>Nacional</v>
      </c>
      <c r="M4349" s="55" t="s">
        <v>615</v>
      </c>
    </row>
    <row r="4350" spans="1:13" x14ac:dyDescent="0.25">
      <c r="A4350">
        <v>128</v>
      </c>
      <c r="B4350" s="47" t="str">
        <f>VLOOKUP(Tabla6[[#This Row],['# Vuelo]],'Validacion reclamo de equipaje'!P:Q,2,0)</f>
        <v>MEXICO AEREO</v>
      </c>
      <c r="C4350" s="48">
        <v>0.86111111111111116</v>
      </c>
      <c r="D4350" s="48">
        <v>0.8666666666666667</v>
      </c>
      <c r="E4350" s="49">
        <f>'Reclamo de equipaje rediseñado'!$D4350-'Reclamo de equipaje rediseñado'!$C4350</f>
        <v>5.5555555555555358E-3</v>
      </c>
      <c r="F4350" s="48">
        <v>0.88055555555555554</v>
      </c>
      <c r="G4350" s="49">
        <f t="shared" si="67"/>
        <v>1.388888888888884E-2</v>
      </c>
      <c r="H4350" s="50">
        <v>41798</v>
      </c>
      <c r="I4350" s="51" t="s">
        <v>536</v>
      </c>
      <c r="J4350" s="51">
        <v>738</v>
      </c>
      <c r="K4350" s="51">
        <f>VLOOKUP(J4350,'Validacion reclamo de equipaje'!L:M,2,0)</f>
        <v>189</v>
      </c>
      <c r="L4350" s="51" t="str">
        <f>VLOOKUP(I4350,'Validacion reclamo de equipaje'!H:I,2,0)</f>
        <v>Nacional</v>
      </c>
      <c r="M4350" s="51" t="s">
        <v>615</v>
      </c>
    </row>
    <row r="4351" spans="1:13" x14ac:dyDescent="0.25">
      <c r="A4351">
        <v>128</v>
      </c>
      <c r="B4351" s="47" t="str">
        <f>VLOOKUP(Tabla6[[#This Row],['# Vuelo]],'Validacion reclamo de equipaje'!P:Q,2,0)</f>
        <v>MEXICO AEREO</v>
      </c>
      <c r="C4351" s="52">
        <v>0.48125000000000001</v>
      </c>
      <c r="D4351" s="52">
        <v>0.48888888888888887</v>
      </c>
      <c r="E4351" s="53">
        <f>'Reclamo de equipaje rediseñado'!$D4351-'Reclamo de equipaje rediseñado'!$C4351</f>
        <v>7.6388888888888618E-3</v>
      </c>
      <c r="F4351" s="52">
        <v>0.49861111111111112</v>
      </c>
      <c r="G4351" s="53">
        <f t="shared" si="67"/>
        <v>9.7222222222222432E-3</v>
      </c>
      <c r="H4351" s="54">
        <v>41800</v>
      </c>
      <c r="I4351" s="55" t="s">
        <v>536</v>
      </c>
      <c r="J4351" s="55">
        <v>738</v>
      </c>
      <c r="K4351" s="55">
        <f>VLOOKUP(J4351,'Validacion reclamo de equipaje'!L:M,2,0)</f>
        <v>189</v>
      </c>
      <c r="L4351" s="55" t="str">
        <f>VLOOKUP(I4351,'Validacion reclamo de equipaje'!H:I,2,0)</f>
        <v>Nacional</v>
      </c>
      <c r="M4351" s="55" t="s">
        <v>615</v>
      </c>
    </row>
    <row r="4352" spans="1:13" x14ac:dyDescent="0.25">
      <c r="A4352">
        <v>128</v>
      </c>
      <c r="B4352" s="47" t="str">
        <f>VLOOKUP(Tabla6[[#This Row],['# Vuelo]],'Validacion reclamo de equipaje'!P:Q,2,0)</f>
        <v>MEXICO AEREO</v>
      </c>
      <c r="C4352" s="48">
        <v>7.2916666666666671E-2</v>
      </c>
      <c r="D4352" s="48">
        <v>8.1944444444444445E-2</v>
      </c>
      <c r="E4352" s="49">
        <f>'Reclamo de equipaje rediseñado'!$D4352-'Reclamo de equipaje rediseñado'!$C4352</f>
        <v>9.0277777777777735E-3</v>
      </c>
      <c r="F4352" s="48">
        <v>9.3055555555555558E-2</v>
      </c>
      <c r="G4352" s="49">
        <f t="shared" si="67"/>
        <v>1.1111111111111113E-2</v>
      </c>
      <c r="H4352" s="50">
        <v>41802</v>
      </c>
      <c r="I4352" s="51" t="s">
        <v>536</v>
      </c>
      <c r="J4352" s="51">
        <v>738</v>
      </c>
      <c r="K4352" s="51">
        <f>VLOOKUP(J4352,'Validacion reclamo de equipaje'!L:M,2,0)</f>
        <v>189</v>
      </c>
      <c r="L4352" s="51" t="str">
        <f>VLOOKUP(I4352,'Validacion reclamo de equipaje'!H:I,2,0)</f>
        <v>Nacional</v>
      </c>
      <c r="M4352" s="51" t="s">
        <v>615</v>
      </c>
    </row>
    <row r="4353" spans="1:13" x14ac:dyDescent="0.25">
      <c r="A4353">
        <v>128</v>
      </c>
      <c r="B4353" s="47" t="str">
        <f>VLOOKUP(Tabla6[[#This Row],['# Vuelo]],'Validacion reclamo de equipaje'!P:Q,2,0)</f>
        <v>MEXICO AEREO</v>
      </c>
      <c r="C4353" s="52">
        <v>0.44305555555555554</v>
      </c>
      <c r="D4353" s="52">
        <v>0.4465277777777778</v>
      </c>
      <c r="E4353" s="53">
        <f>'Reclamo de equipaje rediseñado'!$D4353-'Reclamo de equipaje rediseñado'!$C4353</f>
        <v>3.4722222222222654E-3</v>
      </c>
      <c r="F4353" s="52">
        <v>0.4513888888888889</v>
      </c>
      <c r="G4353" s="53">
        <f t="shared" si="67"/>
        <v>4.8611111111110938E-3</v>
      </c>
      <c r="H4353" s="54">
        <v>41803</v>
      </c>
      <c r="I4353" s="55" t="s">
        <v>536</v>
      </c>
      <c r="J4353" s="55">
        <v>738</v>
      </c>
      <c r="K4353" s="55">
        <f>VLOOKUP(J4353,'Validacion reclamo de equipaje'!L:M,2,0)</f>
        <v>189</v>
      </c>
      <c r="L4353" s="55" t="str">
        <f>VLOOKUP(I4353,'Validacion reclamo de equipaje'!H:I,2,0)</f>
        <v>Nacional</v>
      </c>
      <c r="M4353" s="55" t="s">
        <v>615</v>
      </c>
    </row>
    <row r="4354" spans="1:13" x14ac:dyDescent="0.25">
      <c r="A4354">
        <v>128</v>
      </c>
      <c r="B4354" s="47" t="str">
        <f>VLOOKUP(Tabla6[[#This Row],['# Vuelo]],'Validacion reclamo de equipaje'!P:Q,2,0)</f>
        <v>MEXICO AEREO</v>
      </c>
      <c r="C4354" s="48">
        <v>0.72222222222222221</v>
      </c>
      <c r="D4354" s="48">
        <v>0.73055555555555562</v>
      </c>
      <c r="E4354" s="49">
        <f>'Reclamo de equipaje rediseñado'!$D4354-'Reclamo de equipaje rediseñado'!$C4354</f>
        <v>8.3333333333334147E-3</v>
      </c>
      <c r="F4354" s="48">
        <v>0.74583333333333324</v>
      </c>
      <c r="G4354" s="49">
        <f t="shared" si="67"/>
        <v>1.5277777777777612E-2</v>
      </c>
      <c r="H4354" s="50">
        <v>41805</v>
      </c>
      <c r="I4354" s="51" t="s">
        <v>536</v>
      </c>
      <c r="J4354" s="51">
        <v>738</v>
      </c>
      <c r="K4354" s="51">
        <f>VLOOKUP(J4354,'Validacion reclamo de equipaje'!L:M,2,0)</f>
        <v>189</v>
      </c>
      <c r="L4354" s="51" t="str">
        <f>VLOOKUP(I4354,'Validacion reclamo de equipaje'!H:I,2,0)</f>
        <v>Nacional</v>
      </c>
      <c r="M4354" s="51" t="s">
        <v>615</v>
      </c>
    </row>
    <row r="4355" spans="1:13" x14ac:dyDescent="0.25">
      <c r="A4355">
        <v>128</v>
      </c>
      <c r="B4355" s="47" t="str">
        <f>VLOOKUP(Tabla6[[#This Row],['# Vuelo]],'Validacion reclamo de equipaje'!P:Q,2,0)</f>
        <v>MEXICO AEREO</v>
      </c>
      <c r="C4355" s="52">
        <v>0.9</v>
      </c>
      <c r="D4355" s="52">
        <v>0.91805555555555562</v>
      </c>
      <c r="E4355" s="53">
        <f>'Reclamo de equipaje rediseñado'!$D4355-'Reclamo de equipaje rediseñado'!$C4355</f>
        <v>1.8055555555555602E-2</v>
      </c>
      <c r="F4355" s="52">
        <v>0.93055555555555547</v>
      </c>
      <c r="G4355" s="53">
        <f t="shared" ref="G4355:G4418" si="68">F4355-D4355</f>
        <v>1.2499999999999845E-2</v>
      </c>
      <c r="H4355" s="54">
        <v>41806</v>
      </c>
      <c r="I4355" s="55" t="s">
        <v>536</v>
      </c>
      <c r="J4355" s="55">
        <v>738</v>
      </c>
      <c r="K4355" s="55">
        <f>VLOOKUP(J4355,'Validacion reclamo de equipaje'!L:M,2,0)</f>
        <v>189</v>
      </c>
      <c r="L4355" s="55" t="str">
        <f>VLOOKUP(I4355,'Validacion reclamo de equipaje'!H:I,2,0)</f>
        <v>Nacional</v>
      </c>
      <c r="M4355" s="55" t="s">
        <v>615</v>
      </c>
    </row>
    <row r="4356" spans="1:13" x14ac:dyDescent="0.25">
      <c r="A4356">
        <v>128</v>
      </c>
      <c r="B4356" s="47" t="str">
        <f>VLOOKUP(Tabla6[[#This Row],['# Vuelo]],'Validacion reclamo de equipaje'!P:Q,2,0)</f>
        <v>MEXICO AEREO</v>
      </c>
      <c r="C4356" s="48">
        <v>0.88888888888888884</v>
      </c>
      <c r="D4356" s="48">
        <v>0.89513888888888893</v>
      </c>
      <c r="E4356" s="49">
        <f>'Reclamo de equipaje rediseñado'!$D4356-'Reclamo de equipaje rediseñado'!$C4356</f>
        <v>6.2500000000000888E-3</v>
      </c>
      <c r="F4356" s="48">
        <v>0.90347222222222223</v>
      </c>
      <c r="G4356" s="49">
        <f t="shared" si="68"/>
        <v>8.3333333333333037E-3</v>
      </c>
      <c r="H4356" s="50">
        <v>41807</v>
      </c>
      <c r="I4356" s="51" t="s">
        <v>536</v>
      </c>
      <c r="J4356" s="51">
        <v>738</v>
      </c>
      <c r="K4356" s="51">
        <f>VLOOKUP(J4356,'Validacion reclamo de equipaje'!L:M,2,0)</f>
        <v>189</v>
      </c>
      <c r="L4356" s="51" t="str">
        <f>VLOOKUP(I4356,'Validacion reclamo de equipaje'!H:I,2,0)</f>
        <v>Nacional</v>
      </c>
      <c r="M4356" s="51" t="s">
        <v>615</v>
      </c>
    </row>
    <row r="4357" spans="1:13" x14ac:dyDescent="0.25">
      <c r="A4357">
        <v>128</v>
      </c>
      <c r="B4357" s="47" t="str">
        <f>VLOOKUP(Tabla6[[#This Row],['# Vuelo]],'Validacion reclamo de equipaje'!P:Q,2,0)</f>
        <v>MEXICO AEREO</v>
      </c>
      <c r="C4357" s="52">
        <v>0.84375</v>
      </c>
      <c r="D4357" s="52">
        <v>0.84791666666666676</v>
      </c>
      <c r="E4357" s="53">
        <f>'Reclamo de equipaje rediseñado'!$D4357-'Reclamo de equipaje rediseñado'!$C4357</f>
        <v>4.1666666666667629E-3</v>
      </c>
      <c r="F4357" s="52">
        <v>0.85416666666666663</v>
      </c>
      <c r="G4357" s="53">
        <f t="shared" si="68"/>
        <v>6.2499999999998668E-3</v>
      </c>
      <c r="H4357" s="54">
        <v>41808</v>
      </c>
      <c r="I4357" s="55" t="s">
        <v>536</v>
      </c>
      <c r="J4357" s="55">
        <v>738</v>
      </c>
      <c r="K4357" s="55">
        <f>VLOOKUP(J4357,'Validacion reclamo de equipaje'!L:M,2,0)</f>
        <v>189</v>
      </c>
      <c r="L4357" s="55" t="str">
        <f>VLOOKUP(I4357,'Validacion reclamo de equipaje'!H:I,2,0)</f>
        <v>Nacional</v>
      </c>
      <c r="M4357" s="55" t="s">
        <v>615</v>
      </c>
    </row>
    <row r="4358" spans="1:13" x14ac:dyDescent="0.25">
      <c r="A4358">
        <v>128</v>
      </c>
      <c r="B4358" s="47" t="str">
        <f>VLOOKUP(Tabla6[[#This Row],['# Vuelo]],'Validacion reclamo de equipaje'!P:Q,2,0)</f>
        <v>MEXICO AEREO</v>
      </c>
      <c r="C4358" s="48">
        <v>0.89027777777777783</v>
      </c>
      <c r="D4358" s="48">
        <v>0.8979166666666667</v>
      </c>
      <c r="E4358" s="49">
        <f>'Reclamo de equipaje rediseñado'!$D4358-'Reclamo de equipaje rediseñado'!$C4358</f>
        <v>7.6388888888888618E-3</v>
      </c>
      <c r="F4358" s="48">
        <v>0.90208333333333324</v>
      </c>
      <c r="G4358" s="49">
        <f t="shared" si="68"/>
        <v>4.1666666666665408E-3</v>
      </c>
      <c r="H4358" s="50">
        <v>41809</v>
      </c>
      <c r="I4358" s="51" t="s">
        <v>536</v>
      </c>
      <c r="J4358" s="51">
        <v>738</v>
      </c>
      <c r="K4358" s="51">
        <f>VLOOKUP(J4358,'Validacion reclamo de equipaje'!L:M,2,0)</f>
        <v>189</v>
      </c>
      <c r="L4358" s="51" t="str">
        <f>VLOOKUP(I4358,'Validacion reclamo de equipaje'!H:I,2,0)</f>
        <v>Nacional</v>
      </c>
      <c r="M4358" s="51" t="s">
        <v>615</v>
      </c>
    </row>
    <row r="4359" spans="1:13" x14ac:dyDescent="0.25">
      <c r="A4359">
        <v>128</v>
      </c>
      <c r="B4359" s="47" t="str">
        <f>VLOOKUP(Tabla6[[#This Row],['# Vuelo]],'Validacion reclamo de equipaje'!P:Q,2,0)</f>
        <v>MEXICO AEREO</v>
      </c>
      <c r="C4359" s="52">
        <v>0.93680555555555556</v>
      </c>
      <c r="D4359" s="52">
        <v>0.94097222222222221</v>
      </c>
      <c r="E4359" s="53">
        <f>'Reclamo de equipaje rediseñado'!$D4359-'Reclamo de equipaje rediseñado'!$C4359</f>
        <v>4.1666666666666519E-3</v>
      </c>
      <c r="F4359" s="52">
        <v>0.94374999999999998</v>
      </c>
      <c r="G4359" s="53">
        <f t="shared" si="68"/>
        <v>2.7777777777777679E-3</v>
      </c>
      <c r="H4359" s="54">
        <v>41811</v>
      </c>
      <c r="I4359" s="55" t="s">
        <v>536</v>
      </c>
      <c r="J4359" s="55">
        <v>738</v>
      </c>
      <c r="K4359" s="55">
        <f>VLOOKUP(J4359,'Validacion reclamo de equipaje'!L:M,2,0)</f>
        <v>189</v>
      </c>
      <c r="L4359" s="55" t="str">
        <f>VLOOKUP(I4359,'Validacion reclamo de equipaje'!H:I,2,0)</f>
        <v>Nacional</v>
      </c>
      <c r="M4359" s="55" t="s">
        <v>615</v>
      </c>
    </row>
    <row r="4360" spans="1:13" x14ac:dyDescent="0.25">
      <c r="A4360">
        <v>128</v>
      </c>
      <c r="B4360" s="47" t="str">
        <f>VLOOKUP(Tabla6[[#This Row],['# Vuelo]],'Validacion reclamo de equipaje'!P:Q,2,0)</f>
        <v>MEXICO AEREO</v>
      </c>
      <c r="C4360" s="48">
        <v>0.85902777777777783</v>
      </c>
      <c r="D4360" s="48">
        <v>0.86458333333333337</v>
      </c>
      <c r="E4360" s="49">
        <f>'Reclamo de equipaje rediseñado'!$D4360-'Reclamo de equipaje rediseñado'!$C4360</f>
        <v>5.5555555555555358E-3</v>
      </c>
      <c r="F4360" s="48">
        <v>0.87152777777777779</v>
      </c>
      <c r="G4360" s="49">
        <f t="shared" si="68"/>
        <v>6.9444444444444198E-3</v>
      </c>
      <c r="H4360" s="50">
        <v>41812</v>
      </c>
      <c r="I4360" s="51" t="s">
        <v>536</v>
      </c>
      <c r="J4360" s="51">
        <v>738</v>
      </c>
      <c r="K4360" s="51">
        <f>VLOOKUP(J4360,'Validacion reclamo de equipaje'!L:M,2,0)</f>
        <v>189</v>
      </c>
      <c r="L4360" s="51" t="str">
        <f>VLOOKUP(I4360,'Validacion reclamo de equipaje'!H:I,2,0)</f>
        <v>Nacional</v>
      </c>
      <c r="M4360" s="51" t="s">
        <v>615</v>
      </c>
    </row>
    <row r="4361" spans="1:13" x14ac:dyDescent="0.25">
      <c r="A4361">
        <v>128</v>
      </c>
      <c r="B4361" s="47" t="str">
        <f>VLOOKUP(Tabla6[[#This Row],['# Vuelo]],'Validacion reclamo de equipaje'!P:Q,2,0)</f>
        <v>MEXICO AEREO</v>
      </c>
      <c r="C4361" s="52">
        <v>0.87152777777777779</v>
      </c>
      <c r="D4361" s="52">
        <v>0.875</v>
      </c>
      <c r="E4361" s="53">
        <f>'Reclamo de equipaje rediseñado'!$D4361-'Reclamo de equipaje rediseñado'!$C4361</f>
        <v>3.4722222222222099E-3</v>
      </c>
      <c r="F4361" s="52">
        <v>0.88541666666666663</v>
      </c>
      <c r="G4361" s="53">
        <f t="shared" si="68"/>
        <v>1.041666666666663E-2</v>
      </c>
      <c r="H4361" s="54">
        <v>41813</v>
      </c>
      <c r="I4361" s="55" t="s">
        <v>536</v>
      </c>
      <c r="J4361" s="55">
        <v>738</v>
      </c>
      <c r="K4361" s="55">
        <f>VLOOKUP(J4361,'Validacion reclamo de equipaje'!L:M,2,0)</f>
        <v>189</v>
      </c>
      <c r="L4361" s="55" t="str">
        <f>VLOOKUP(I4361,'Validacion reclamo de equipaje'!H:I,2,0)</f>
        <v>Nacional</v>
      </c>
      <c r="M4361" s="55" t="s">
        <v>615</v>
      </c>
    </row>
    <row r="4362" spans="1:13" x14ac:dyDescent="0.25">
      <c r="A4362">
        <v>126</v>
      </c>
      <c r="B4362" s="47" t="str">
        <f>VLOOKUP(Tabla6[[#This Row],['# Vuelo]],'Validacion reclamo de equipaje'!P:Q,2,0)</f>
        <v>MEXICO AEREO</v>
      </c>
      <c r="C4362" s="48">
        <v>0.80625000000000002</v>
      </c>
      <c r="D4362" s="48">
        <v>0.80763888888888891</v>
      </c>
      <c r="E4362" s="49">
        <f>'Reclamo de equipaje rediseñado'!$D4362-'Reclamo de equipaje rediseñado'!$C4362</f>
        <v>1.388888888888884E-3</v>
      </c>
      <c r="F4362" s="48">
        <v>0.81458333333333333</v>
      </c>
      <c r="G4362" s="49">
        <f t="shared" si="68"/>
        <v>6.9444444444444198E-3</v>
      </c>
      <c r="H4362" s="50">
        <v>41799</v>
      </c>
      <c r="I4362" s="51" t="s">
        <v>536</v>
      </c>
      <c r="J4362" s="51">
        <v>738</v>
      </c>
      <c r="K4362" s="51">
        <f>VLOOKUP(J4362,'Validacion reclamo de equipaje'!L:M,2,0)</f>
        <v>189</v>
      </c>
      <c r="L4362" s="51" t="str">
        <f>VLOOKUP(I4362,'Validacion reclamo de equipaje'!H:I,2,0)</f>
        <v>Nacional</v>
      </c>
      <c r="M4362" s="51" t="s">
        <v>615</v>
      </c>
    </row>
    <row r="4363" spans="1:13" x14ac:dyDescent="0.25">
      <c r="A4363">
        <v>126</v>
      </c>
      <c r="B4363" s="47" t="str">
        <f>VLOOKUP(Tabla6[[#This Row],['# Vuelo]],'Validacion reclamo de equipaje'!P:Q,2,0)</f>
        <v>MEXICO AEREO</v>
      </c>
      <c r="C4363" s="52">
        <v>0.27013888888888887</v>
      </c>
      <c r="D4363" s="52">
        <v>0.27986111111111112</v>
      </c>
      <c r="E4363" s="53">
        <f>'Reclamo de equipaje rediseñado'!$D4363-'Reclamo de equipaje rediseñado'!$C4363</f>
        <v>9.7222222222222432E-3</v>
      </c>
      <c r="F4363" s="52">
        <v>0.29166666666666669</v>
      </c>
      <c r="G4363" s="53">
        <f t="shared" si="68"/>
        <v>1.1805555555555569E-2</v>
      </c>
      <c r="H4363" s="54">
        <v>41805</v>
      </c>
      <c r="I4363" s="55" t="s">
        <v>536</v>
      </c>
      <c r="J4363" s="55">
        <v>738</v>
      </c>
      <c r="K4363" s="55">
        <f>VLOOKUP(J4363,'Validacion reclamo de equipaje'!L:M,2,0)</f>
        <v>189</v>
      </c>
      <c r="L4363" s="55" t="str">
        <f>VLOOKUP(I4363,'Validacion reclamo de equipaje'!H:I,2,0)</f>
        <v>Nacional</v>
      </c>
      <c r="M4363" s="55" t="s">
        <v>615</v>
      </c>
    </row>
    <row r="4364" spans="1:13" x14ac:dyDescent="0.25">
      <c r="A4364">
        <v>126</v>
      </c>
      <c r="B4364" s="47" t="str">
        <f>VLOOKUP(Tabla6[[#This Row],['# Vuelo]],'Validacion reclamo de equipaje'!P:Q,2,0)</f>
        <v>MEXICO AEREO</v>
      </c>
      <c r="C4364" s="48">
        <v>0.79166666666666663</v>
      </c>
      <c r="D4364" s="48">
        <v>0.79861111111111116</v>
      </c>
      <c r="E4364" s="49">
        <f>'Reclamo de equipaje rediseñado'!$D4364-'Reclamo de equipaje rediseñado'!$C4364</f>
        <v>6.9444444444445308E-3</v>
      </c>
      <c r="F4364" s="48">
        <v>0.80694444444444446</v>
      </c>
      <c r="G4364" s="49">
        <f t="shared" si="68"/>
        <v>8.3333333333333037E-3</v>
      </c>
      <c r="H4364" s="50">
        <v>41811</v>
      </c>
      <c r="I4364" s="51" t="s">
        <v>536</v>
      </c>
      <c r="J4364" s="51">
        <v>738</v>
      </c>
      <c r="K4364" s="51">
        <f>VLOOKUP(J4364,'Validacion reclamo de equipaje'!L:M,2,0)</f>
        <v>189</v>
      </c>
      <c r="L4364" s="51" t="str">
        <f>VLOOKUP(I4364,'Validacion reclamo de equipaje'!H:I,2,0)</f>
        <v>Nacional</v>
      </c>
      <c r="M4364" s="51" t="s">
        <v>615</v>
      </c>
    </row>
    <row r="4365" spans="1:13" x14ac:dyDescent="0.25">
      <c r="A4365">
        <v>120</v>
      </c>
      <c r="B4365" s="47" t="str">
        <f>VLOOKUP(Tabla6[[#This Row],['# Vuelo]],'Validacion reclamo de equipaje'!P:Q,2,0)</f>
        <v>MEXICO AEREO</v>
      </c>
      <c r="C4365" s="52">
        <v>0.41180555555555554</v>
      </c>
      <c r="D4365" s="52">
        <v>0.42222222222222222</v>
      </c>
      <c r="E4365" s="53">
        <f>'Reclamo de equipaje rediseñado'!$D4365-'Reclamo de equipaje rediseñado'!$C4365</f>
        <v>1.0416666666666685E-2</v>
      </c>
      <c r="F4365" s="52">
        <v>0.43124999999999997</v>
      </c>
      <c r="G4365" s="53">
        <f t="shared" si="68"/>
        <v>9.0277777777777457E-3</v>
      </c>
      <c r="H4365" s="54">
        <v>41791</v>
      </c>
      <c r="I4365" s="55" t="s">
        <v>536</v>
      </c>
      <c r="J4365" s="55" t="s">
        <v>565</v>
      </c>
      <c r="K4365" s="55">
        <f>VLOOKUP(J4365,'Validacion reclamo de equipaje'!L:M,2,0)</f>
        <v>99</v>
      </c>
      <c r="L4365" s="55" t="str">
        <f>VLOOKUP(I4365,'Validacion reclamo de equipaje'!H:I,2,0)</f>
        <v>Nacional</v>
      </c>
      <c r="M4365" s="55" t="s">
        <v>615</v>
      </c>
    </row>
    <row r="4366" spans="1:13" x14ac:dyDescent="0.25">
      <c r="A4366">
        <v>120</v>
      </c>
      <c r="B4366" s="47" t="str">
        <f>VLOOKUP(Tabla6[[#This Row],['# Vuelo]],'Validacion reclamo de equipaje'!P:Q,2,0)</f>
        <v>MEXICO AEREO</v>
      </c>
      <c r="C4366" s="48">
        <v>0.42152777777777778</v>
      </c>
      <c r="D4366" s="48">
        <v>0.42638888888888887</v>
      </c>
      <c r="E4366" s="49">
        <f>'Reclamo de equipaje rediseñado'!$D4366-'Reclamo de equipaje rediseñado'!$C4366</f>
        <v>4.8611111111110938E-3</v>
      </c>
      <c r="F4366" s="48">
        <v>0.43541666666666662</v>
      </c>
      <c r="G4366" s="49">
        <f t="shared" si="68"/>
        <v>9.0277777777777457E-3</v>
      </c>
      <c r="H4366" s="50">
        <v>41793</v>
      </c>
      <c r="I4366" s="51" t="s">
        <v>536</v>
      </c>
      <c r="J4366" s="51" t="s">
        <v>565</v>
      </c>
      <c r="K4366" s="51">
        <f>VLOOKUP(J4366,'Validacion reclamo de equipaje'!L:M,2,0)</f>
        <v>99</v>
      </c>
      <c r="L4366" s="51" t="str">
        <f>VLOOKUP(I4366,'Validacion reclamo de equipaje'!H:I,2,0)</f>
        <v>Nacional</v>
      </c>
      <c r="M4366" s="51" t="s">
        <v>615</v>
      </c>
    </row>
    <row r="4367" spans="1:13" x14ac:dyDescent="0.25">
      <c r="A4367">
        <v>120</v>
      </c>
      <c r="B4367" s="47" t="str">
        <f>VLOOKUP(Tabla6[[#This Row],['# Vuelo]],'Validacion reclamo de equipaje'!P:Q,2,0)</f>
        <v>MEXICO AEREO</v>
      </c>
      <c r="C4367" s="52">
        <v>0.41875000000000001</v>
      </c>
      <c r="D4367" s="52">
        <v>0.42430555555555555</v>
      </c>
      <c r="E4367" s="53">
        <f>'Reclamo de equipaje rediseñado'!$D4367-'Reclamo de equipaje rediseñado'!$C4367</f>
        <v>5.5555555555555358E-3</v>
      </c>
      <c r="F4367" s="52">
        <v>0.43055555555555558</v>
      </c>
      <c r="G4367" s="53">
        <f t="shared" si="68"/>
        <v>6.2500000000000333E-3</v>
      </c>
      <c r="H4367" s="54">
        <v>41794</v>
      </c>
      <c r="I4367" s="55" t="s">
        <v>536</v>
      </c>
      <c r="J4367" s="55" t="s">
        <v>565</v>
      </c>
      <c r="K4367" s="55">
        <f>VLOOKUP(J4367,'Validacion reclamo de equipaje'!L:M,2,0)</f>
        <v>99</v>
      </c>
      <c r="L4367" s="55" t="str">
        <f>VLOOKUP(I4367,'Validacion reclamo de equipaje'!H:I,2,0)</f>
        <v>Nacional</v>
      </c>
      <c r="M4367" s="55" t="s">
        <v>615</v>
      </c>
    </row>
    <row r="4368" spans="1:13" x14ac:dyDescent="0.25">
      <c r="A4368">
        <v>120</v>
      </c>
      <c r="B4368" s="47" t="str">
        <f>VLOOKUP(Tabla6[[#This Row],['# Vuelo]],'Validacion reclamo de equipaje'!P:Q,2,0)</f>
        <v>MEXICO AEREO</v>
      </c>
      <c r="C4368" s="48">
        <v>0.43472222222222223</v>
      </c>
      <c r="D4368" s="48">
        <v>0.43888888888888888</v>
      </c>
      <c r="E4368" s="49">
        <f>'Reclamo de equipaje rediseñado'!$D4368-'Reclamo de equipaje rediseñado'!$C4368</f>
        <v>4.1666666666666519E-3</v>
      </c>
      <c r="F4368" s="48">
        <v>0.45</v>
      </c>
      <c r="G4368" s="49">
        <f t="shared" si="68"/>
        <v>1.1111111111111127E-2</v>
      </c>
      <c r="H4368" s="50">
        <v>41795</v>
      </c>
      <c r="I4368" s="51" t="s">
        <v>536</v>
      </c>
      <c r="J4368" s="51" t="s">
        <v>565</v>
      </c>
      <c r="K4368" s="51">
        <f>VLOOKUP(J4368,'Validacion reclamo de equipaje'!L:M,2,0)</f>
        <v>99</v>
      </c>
      <c r="L4368" s="51" t="str">
        <f>VLOOKUP(I4368,'Validacion reclamo de equipaje'!H:I,2,0)</f>
        <v>Nacional</v>
      </c>
      <c r="M4368" s="51" t="s">
        <v>615</v>
      </c>
    </row>
    <row r="4369" spans="1:13" x14ac:dyDescent="0.25">
      <c r="A4369">
        <v>120</v>
      </c>
      <c r="B4369" s="47" t="str">
        <f>VLOOKUP(Tabla6[[#This Row],['# Vuelo]],'Validacion reclamo de equipaje'!P:Q,2,0)</f>
        <v>MEXICO AEREO</v>
      </c>
      <c r="C4369" s="52">
        <v>0.41944444444444445</v>
      </c>
      <c r="D4369" s="52">
        <v>0.42430555555555555</v>
      </c>
      <c r="E4369" s="53">
        <f>'Reclamo de equipaje rediseñado'!$D4369-'Reclamo de equipaje rediseñado'!$C4369</f>
        <v>4.8611111111110938E-3</v>
      </c>
      <c r="F4369" s="52">
        <v>0.43472222222222223</v>
      </c>
      <c r="G4369" s="53">
        <f t="shared" si="68"/>
        <v>1.0416666666666685E-2</v>
      </c>
      <c r="H4369" s="54">
        <v>41796</v>
      </c>
      <c r="I4369" s="55" t="s">
        <v>536</v>
      </c>
      <c r="J4369" s="55" t="s">
        <v>565</v>
      </c>
      <c r="K4369" s="55">
        <f>VLOOKUP(J4369,'Validacion reclamo de equipaje'!L:M,2,0)</f>
        <v>99</v>
      </c>
      <c r="L4369" s="55" t="str">
        <f>VLOOKUP(I4369,'Validacion reclamo de equipaje'!H:I,2,0)</f>
        <v>Nacional</v>
      </c>
      <c r="M4369" s="55" t="s">
        <v>615</v>
      </c>
    </row>
    <row r="4370" spans="1:13" x14ac:dyDescent="0.25">
      <c r="A4370">
        <v>120</v>
      </c>
      <c r="B4370" s="47" t="str">
        <f>VLOOKUP(Tabla6[[#This Row],['# Vuelo]],'Validacion reclamo de equipaje'!P:Q,2,0)</f>
        <v>MEXICO AEREO</v>
      </c>
      <c r="C4370" s="48">
        <v>0.41736111111111113</v>
      </c>
      <c r="D4370" s="48">
        <v>0.42222222222222222</v>
      </c>
      <c r="E4370" s="49">
        <f>'Reclamo de equipaje rediseñado'!$D4370-'Reclamo de equipaje rediseñado'!$C4370</f>
        <v>4.8611111111110938E-3</v>
      </c>
      <c r="F4370" s="48">
        <v>0.43055555555555558</v>
      </c>
      <c r="G4370" s="49">
        <f t="shared" si="68"/>
        <v>8.3333333333333592E-3</v>
      </c>
      <c r="H4370" s="50">
        <v>41797</v>
      </c>
      <c r="I4370" s="51" t="s">
        <v>536</v>
      </c>
      <c r="J4370" s="51" t="s">
        <v>565</v>
      </c>
      <c r="K4370" s="51">
        <f>VLOOKUP(J4370,'Validacion reclamo de equipaje'!L:M,2,0)</f>
        <v>99</v>
      </c>
      <c r="L4370" s="51" t="str">
        <f>VLOOKUP(I4370,'Validacion reclamo de equipaje'!H:I,2,0)</f>
        <v>Nacional</v>
      </c>
      <c r="M4370" s="51" t="s">
        <v>615</v>
      </c>
    </row>
    <row r="4371" spans="1:13" x14ac:dyDescent="0.25">
      <c r="A4371">
        <v>120</v>
      </c>
      <c r="B4371" s="47" t="str">
        <f>VLOOKUP(Tabla6[[#This Row],['# Vuelo]],'Validacion reclamo de equipaje'!P:Q,2,0)</f>
        <v>MEXICO AEREO</v>
      </c>
      <c r="C4371" s="52">
        <v>0.42430555555555555</v>
      </c>
      <c r="D4371" s="52">
        <v>0.42777777777777781</v>
      </c>
      <c r="E4371" s="53">
        <f>'Reclamo de equipaje rediseñado'!$D4371-'Reclamo de equipaje rediseñado'!$C4371</f>
        <v>3.4722222222222654E-3</v>
      </c>
      <c r="F4371" s="52">
        <v>0.43888888888888888</v>
      </c>
      <c r="G4371" s="53">
        <f t="shared" si="68"/>
        <v>1.1111111111111072E-2</v>
      </c>
      <c r="H4371" s="54">
        <v>41798</v>
      </c>
      <c r="I4371" s="55" t="s">
        <v>536</v>
      </c>
      <c r="J4371" s="55" t="s">
        <v>565</v>
      </c>
      <c r="K4371" s="55">
        <f>VLOOKUP(J4371,'Validacion reclamo de equipaje'!L:M,2,0)</f>
        <v>99</v>
      </c>
      <c r="L4371" s="55" t="str">
        <f>VLOOKUP(I4371,'Validacion reclamo de equipaje'!H:I,2,0)</f>
        <v>Nacional</v>
      </c>
      <c r="M4371" s="55" t="s">
        <v>615</v>
      </c>
    </row>
    <row r="4372" spans="1:13" x14ac:dyDescent="0.25">
      <c r="A4372">
        <v>120</v>
      </c>
      <c r="B4372" s="47" t="str">
        <f>VLOOKUP(Tabla6[[#This Row],['# Vuelo]],'Validacion reclamo de equipaje'!P:Q,2,0)</f>
        <v>MEXICO AEREO</v>
      </c>
      <c r="C4372" s="48">
        <v>0.44791666666666669</v>
      </c>
      <c r="D4372" s="48">
        <v>0.46180555555555558</v>
      </c>
      <c r="E4372" s="49">
        <f>'Reclamo de equipaje rediseñado'!$D4372-'Reclamo de equipaje rediseñado'!$C4372</f>
        <v>1.3888888888888895E-2</v>
      </c>
      <c r="F4372" s="48">
        <v>0.47083333333333338</v>
      </c>
      <c r="G4372" s="49">
        <f t="shared" si="68"/>
        <v>9.0277777777778012E-3</v>
      </c>
      <c r="H4372" s="50">
        <v>41799</v>
      </c>
      <c r="I4372" s="51" t="s">
        <v>536</v>
      </c>
      <c r="J4372" s="51" t="s">
        <v>565</v>
      </c>
      <c r="K4372" s="51">
        <f>VLOOKUP(J4372,'Validacion reclamo de equipaje'!L:M,2,0)</f>
        <v>99</v>
      </c>
      <c r="L4372" s="51" t="str">
        <f>VLOOKUP(I4372,'Validacion reclamo de equipaje'!H:I,2,0)</f>
        <v>Nacional</v>
      </c>
      <c r="M4372" s="51" t="s">
        <v>615</v>
      </c>
    </row>
    <row r="4373" spans="1:13" x14ac:dyDescent="0.25">
      <c r="A4373">
        <v>120</v>
      </c>
      <c r="B4373" s="47" t="str">
        <f>VLOOKUP(Tabla6[[#This Row],['# Vuelo]],'Validacion reclamo de equipaje'!P:Q,2,0)</f>
        <v>MEXICO AEREO</v>
      </c>
      <c r="C4373" s="52">
        <v>0.46527777777777773</v>
      </c>
      <c r="D4373" s="52">
        <v>0.47291666666666665</v>
      </c>
      <c r="E4373" s="53">
        <f>'Reclamo de equipaje rediseñado'!$D4373-'Reclamo de equipaje rediseñado'!$C4373</f>
        <v>7.6388888888889173E-3</v>
      </c>
      <c r="F4373" s="52">
        <v>0.49652777777777773</v>
      </c>
      <c r="G4373" s="53">
        <f t="shared" si="68"/>
        <v>2.3611111111111083E-2</v>
      </c>
      <c r="H4373" s="54">
        <v>41801</v>
      </c>
      <c r="I4373" s="55" t="s">
        <v>536</v>
      </c>
      <c r="J4373" s="55" t="s">
        <v>565</v>
      </c>
      <c r="K4373" s="55">
        <f>VLOOKUP(J4373,'Validacion reclamo de equipaje'!L:M,2,0)</f>
        <v>99</v>
      </c>
      <c r="L4373" s="55" t="str">
        <f>VLOOKUP(I4373,'Validacion reclamo de equipaje'!H:I,2,0)</f>
        <v>Nacional</v>
      </c>
      <c r="M4373" s="55" t="s">
        <v>615</v>
      </c>
    </row>
    <row r="4374" spans="1:13" x14ac:dyDescent="0.25">
      <c r="A4374">
        <v>120</v>
      </c>
      <c r="B4374" s="47" t="str">
        <f>VLOOKUP(Tabla6[[#This Row],['# Vuelo]],'Validacion reclamo de equipaje'!P:Q,2,0)</f>
        <v>MEXICO AEREO</v>
      </c>
      <c r="C4374" s="48">
        <v>0.54861111111111105</v>
      </c>
      <c r="D4374" s="48">
        <v>0.55902777777777779</v>
      </c>
      <c r="E4374" s="49">
        <f>'Reclamo de equipaje rediseñado'!$D4374-'Reclamo de equipaje rediseñado'!$C4374</f>
        <v>1.0416666666666741E-2</v>
      </c>
      <c r="F4374" s="48">
        <v>0.56111111111111112</v>
      </c>
      <c r="G4374" s="49">
        <f t="shared" si="68"/>
        <v>2.0833333333333259E-3</v>
      </c>
      <c r="H4374" s="50">
        <v>41801</v>
      </c>
      <c r="I4374" s="51" t="s">
        <v>536</v>
      </c>
      <c r="J4374" s="51" t="s">
        <v>565</v>
      </c>
      <c r="K4374" s="51">
        <f>VLOOKUP(J4374,'Validacion reclamo de equipaje'!L:M,2,0)</f>
        <v>99</v>
      </c>
      <c r="L4374" s="51" t="str">
        <f>VLOOKUP(I4374,'Validacion reclamo de equipaje'!H:I,2,0)</f>
        <v>Nacional</v>
      </c>
      <c r="M4374" s="51" t="s">
        <v>615</v>
      </c>
    </row>
    <row r="4375" spans="1:13" x14ac:dyDescent="0.25">
      <c r="A4375">
        <v>120</v>
      </c>
      <c r="B4375" s="47" t="str">
        <f>VLOOKUP(Tabla6[[#This Row],['# Vuelo]],'Validacion reclamo de equipaje'!P:Q,2,0)</f>
        <v>MEXICO AEREO</v>
      </c>
      <c r="C4375" s="52">
        <v>0.20902777777777778</v>
      </c>
      <c r="D4375" s="52">
        <v>0.2388888888888889</v>
      </c>
      <c r="E4375" s="53">
        <f>'Reclamo de equipaje rediseñado'!$D4375-'Reclamo de equipaje rediseñado'!$C4375</f>
        <v>2.9861111111111116E-2</v>
      </c>
      <c r="F4375" s="52">
        <v>0.2673611111111111</v>
      </c>
      <c r="G4375" s="53">
        <f t="shared" si="68"/>
        <v>2.8472222222222204E-2</v>
      </c>
      <c r="H4375" s="54">
        <v>41802</v>
      </c>
      <c r="I4375" s="55" t="s">
        <v>536</v>
      </c>
      <c r="J4375" s="55" t="s">
        <v>565</v>
      </c>
      <c r="K4375" s="55">
        <f>VLOOKUP(J4375,'Validacion reclamo de equipaje'!L:M,2,0)</f>
        <v>99</v>
      </c>
      <c r="L4375" s="55" t="str">
        <f>VLOOKUP(I4375,'Validacion reclamo de equipaje'!H:I,2,0)</f>
        <v>Nacional</v>
      </c>
      <c r="M4375" s="55" t="s">
        <v>615</v>
      </c>
    </row>
    <row r="4376" spans="1:13" x14ac:dyDescent="0.25">
      <c r="A4376">
        <v>120</v>
      </c>
      <c r="B4376" s="47" t="str">
        <f>VLOOKUP(Tabla6[[#This Row],['# Vuelo]],'Validacion reclamo de equipaje'!P:Q,2,0)</f>
        <v>MEXICO AEREO</v>
      </c>
      <c r="C4376" s="48">
        <v>0.94305555555555554</v>
      </c>
      <c r="D4376" s="48">
        <v>0.95416666666666661</v>
      </c>
      <c r="E4376" s="49">
        <f>'Reclamo de equipaje rediseñado'!$D4376-'Reclamo de equipaje rediseñado'!$C4376</f>
        <v>1.1111111111111072E-2</v>
      </c>
      <c r="F4376" s="48">
        <v>0.95624999999999993</v>
      </c>
      <c r="G4376" s="49">
        <f t="shared" si="68"/>
        <v>2.0833333333333259E-3</v>
      </c>
      <c r="H4376" s="50">
        <v>41803</v>
      </c>
      <c r="I4376" s="51" t="s">
        <v>536</v>
      </c>
      <c r="J4376" s="51" t="s">
        <v>565</v>
      </c>
      <c r="K4376" s="51">
        <f>VLOOKUP(J4376,'Validacion reclamo de equipaje'!L:M,2,0)</f>
        <v>99</v>
      </c>
      <c r="L4376" s="51" t="str">
        <f>VLOOKUP(I4376,'Validacion reclamo de equipaje'!H:I,2,0)</f>
        <v>Nacional</v>
      </c>
      <c r="M4376" s="51" t="s">
        <v>615</v>
      </c>
    </row>
    <row r="4377" spans="1:13" x14ac:dyDescent="0.25">
      <c r="A4377">
        <v>120</v>
      </c>
      <c r="B4377" s="47" t="str">
        <f>VLOOKUP(Tabla6[[#This Row],['# Vuelo]],'Validacion reclamo de equipaje'!P:Q,2,0)</f>
        <v>MEXICO AEREO</v>
      </c>
      <c r="C4377" s="52">
        <v>0.8930555555555556</v>
      </c>
      <c r="D4377" s="52">
        <v>0.90486111111111101</v>
      </c>
      <c r="E4377" s="53">
        <f>'Reclamo de equipaje rediseñado'!$D4377-'Reclamo de equipaje rediseñado'!$C4377</f>
        <v>1.1805555555555403E-2</v>
      </c>
      <c r="F4377" s="52">
        <v>0.90972222222222221</v>
      </c>
      <c r="G4377" s="53">
        <f t="shared" si="68"/>
        <v>4.8611111111112049E-3</v>
      </c>
      <c r="H4377" s="54">
        <v>41804</v>
      </c>
      <c r="I4377" s="55" t="s">
        <v>536</v>
      </c>
      <c r="J4377" s="55" t="s">
        <v>565</v>
      </c>
      <c r="K4377" s="55">
        <f>VLOOKUP(J4377,'Validacion reclamo de equipaje'!L:M,2,0)</f>
        <v>99</v>
      </c>
      <c r="L4377" s="55" t="str">
        <f>VLOOKUP(I4377,'Validacion reclamo de equipaje'!H:I,2,0)</f>
        <v>Nacional</v>
      </c>
      <c r="M4377" s="55" t="s">
        <v>615</v>
      </c>
    </row>
    <row r="4378" spans="1:13" x14ac:dyDescent="0.25">
      <c r="A4378">
        <v>120</v>
      </c>
      <c r="B4378" s="47" t="str">
        <f>VLOOKUP(Tabla6[[#This Row],['# Vuelo]],'Validacion reclamo de equipaje'!P:Q,2,0)</f>
        <v>MEXICO AEREO</v>
      </c>
      <c r="C4378" s="48">
        <v>0.4381944444444445</v>
      </c>
      <c r="D4378" s="48">
        <v>0.4458333333333333</v>
      </c>
      <c r="E4378" s="49">
        <f>'Reclamo de equipaje rediseñado'!$D4378-'Reclamo de equipaje rediseñado'!$C4378</f>
        <v>7.6388888888888062E-3</v>
      </c>
      <c r="F4378" s="48">
        <v>0.45347222222222222</v>
      </c>
      <c r="G4378" s="49">
        <f t="shared" si="68"/>
        <v>7.6388888888889173E-3</v>
      </c>
      <c r="H4378" s="50">
        <v>41805</v>
      </c>
      <c r="I4378" s="51" t="s">
        <v>536</v>
      </c>
      <c r="J4378" s="51" t="s">
        <v>565</v>
      </c>
      <c r="K4378" s="51">
        <f>VLOOKUP(J4378,'Validacion reclamo de equipaje'!L:M,2,0)</f>
        <v>99</v>
      </c>
      <c r="L4378" s="51" t="str">
        <f>VLOOKUP(I4378,'Validacion reclamo de equipaje'!H:I,2,0)</f>
        <v>Nacional</v>
      </c>
      <c r="M4378" s="51" t="s">
        <v>615</v>
      </c>
    </row>
    <row r="4379" spans="1:13" x14ac:dyDescent="0.25">
      <c r="A4379">
        <v>120</v>
      </c>
      <c r="B4379" s="47" t="str">
        <f>VLOOKUP(Tabla6[[#This Row],['# Vuelo]],'Validacion reclamo de equipaje'!P:Q,2,0)</f>
        <v>MEXICO AEREO</v>
      </c>
      <c r="C4379" s="52">
        <v>0.82500000000000007</v>
      </c>
      <c r="D4379" s="52">
        <v>0.83888888888888891</v>
      </c>
      <c r="E4379" s="53">
        <f>'Reclamo de equipaje rediseñado'!$D4379-'Reclamo de equipaje rediseñado'!$C4379</f>
        <v>1.388888888888884E-2</v>
      </c>
      <c r="F4379" s="52">
        <v>0.85416666666666663</v>
      </c>
      <c r="G4379" s="53">
        <f t="shared" si="68"/>
        <v>1.5277777777777724E-2</v>
      </c>
      <c r="H4379" s="54">
        <v>41806</v>
      </c>
      <c r="I4379" s="55" t="s">
        <v>536</v>
      </c>
      <c r="J4379" s="55" t="s">
        <v>565</v>
      </c>
      <c r="K4379" s="55">
        <f>VLOOKUP(J4379,'Validacion reclamo de equipaje'!L:M,2,0)</f>
        <v>99</v>
      </c>
      <c r="L4379" s="55" t="str">
        <f>VLOOKUP(I4379,'Validacion reclamo de equipaje'!H:I,2,0)</f>
        <v>Nacional</v>
      </c>
      <c r="M4379" s="55" t="s">
        <v>615</v>
      </c>
    </row>
    <row r="4380" spans="1:13" x14ac:dyDescent="0.25">
      <c r="A4380">
        <v>120</v>
      </c>
      <c r="B4380" s="47" t="str">
        <f>VLOOKUP(Tabla6[[#This Row],['# Vuelo]],'Validacion reclamo de equipaje'!P:Q,2,0)</f>
        <v>MEXICO AEREO</v>
      </c>
      <c r="C4380" s="48">
        <v>0.2638888888888889</v>
      </c>
      <c r="D4380" s="48">
        <v>0.27916666666666667</v>
      </c>
      <c r="E4380" s="49">
        <f>'Reclamo de equipaje rediseñado'!$D4380-'Reclamo de equipaje rediseñado'!$C4380</f>
        <v>1.5277777777777779E-2</v>
      </c>
      <c r="F4380" s="48">
        <v>0.2951388888888889</v>
      </c>
      <c r="G4380" s="49">
        <f t="shared" si="68"/>
        <v>1.5972222222222221E-2</v>
      </c>
      <c r="H4380" s="50">
        <v>41807</v>
      </c>
      <c r="I4380" s="51" t="s">
        <v>536</v>
      </c>
      <c r="J4380" s="51" t="s">
        <v>565</v>
      </c>
      <c r="K4380" s="51">
        <f>VLOOKUP(J4380,'Validacion reclamo de equipaje'!L:M,2,0)</f>
        <v>99</v>
      </c>
      <c r="L4380" s="51" t="str">
        <f>VLOOKUP(I4380,'Validacion reclamo de equipaje'!H:I,2,0)</f>
        <v>Nacional</v>
      </c>
      <c r="M4380" s="51" t="s">
        <v>615</v>
      </c>
    </row>
    <row r="4381" spans="1:13" x14ac:dyDescent="0.25">
      <c r="A4381">
        <v>120</v>
      </c>
      <c r="B4381" s="47" t="str">
        <f>VLOOKUP(Tabla6[[#This Row],['# Vuelo]],'Validacion reclamo de equipaje'!P:Q,2,0)</f>
        <v>MEXICO AEREO</v>
      </c>
      <c r="C4381" s="52">
        <v>0.4284722222222222</v>
      </c>
      <c r="D4381" s="52">
        <v>0.4381944444444445</v>
      </c>
      <c r="E4381" s="53">
        <f>'Reclamo de equipaje rediseñado'!$D4381-'Reclamo de equipaje rediseñado'!$C4381</f>
        <v>9.7222222222222987E-3</v>
      </c>
      <c r="F4381" s="52">
        <v>0.44444444444444442</v>
      </c>
      <c r="G4381" s="53">
        <f t="shared" si="68"/>
        <v>6.2499999999999223E-3</v>
      </c>
      <c r="H4381" s="54">
        <v>41808</v>
      </c>
      <c r="I4381" s="55" t="s">
        <v>536</v>
      </c>
      <c r="J4381" s="55" t="s">
        <v>565</v>
      </c>
      <c r="K4381" s="55">
        <f>VLOOKUP(J4381,'Validacion reclamo de equipaje'!L:M,2,0)</f>
        <v>99</v>
      </c>
      <c r="L4381" s="55" t="str">
        <f>VLOOKUP(I4381,'Validacion reclamo de equipaje'!H:I,2,0)</f>
        <v>Nacional</v>
      </c>
      <c r="M4381" s="55" t="s">
        <v>615</v>
      </c>
    </row>
    <row r="4382" spans="1:13" x14ac:dyDescent="0.25">
      <c r="A4382">
        <v>120</v>
      </c>
      <c r="B4382" s="47" t="str">
        <f>VLOOKUP(Tabla6[[#This Row],['# Vuelo]],'Validacion reclamo de equipaje'!P:Q,2,0)</f>
        <v>MEXICO AEREO</v>
      </c>
      <c r="C4382" s="48">
        <v>0.43055555555555558</v>
      </c>
      <c r="D4382" s="48">
        <v>0.43194444444444446</v>
      </c>
      <c r="E4382" s="49">
        <f>'Reclamo de equipaje rediseñado'!$D4382-'Reclamo de equipaje rediseñado'!$C4382</f>
        <v>1.388888888888884E-3</v>
      </c>
      <c r="F4382" s="48">
        <v>0.43611111111111112</v>
      </c>
      <c r="G4382" s="49">
        <f t="shared" si="68"/>
        <v>4.1666666666666519E-3</v>
      </c>
      <c r="H4382" s="50">
        <v>41809</v>
      </c>
      <c r="I4382" s="51" t="s">
        <v>536</v>
      </c>
      <c r="J4382" s="51" t="s">
        <v>565</v>
      </c>
      <c r="K4382" s="51">
        <f>VLOOKUP(J4382,'Validacion reclamo de equipaje'!L:M,2,0)</f>
        <v>99</v>
      </c>
      <c r="L4382" s="51" t="str">
        <f>VLOOKUP(I4382,'Validacion reclamo de equipaje'!H:I,2,0)</f>
        <v>Nacional</v>
      </c>
      <c r="M4382" s="51" t="s">
        <v>615</v>
      </c>
    </row>
    <row r="4383" spans="1:13" x14ac:dyDescent="0.25">
      <c r="A4383">
        <v>120</v>
      </c>
      <c r="B4383" s="47" t="str">
        <f>VLOOKUP(Tabla6[[#This Row],['# Vuelo]],'Validacion reclamo de equipaje'!P:Q,2,0)</f>
        <v>MEXICO AEREO</v>
      </c>
      <c r="C4383" s="52">
        <v>0.42083333333333334</v>
      </c>
      <c r="D4383" s="52">
        <v>0.42499999999999999</v>
      </c>
      <c r="E4383" s="53">
        <f>'Reclamo de equipaje rediseñado'!$D4383-'Reclamo de equipaje rediseñado'!$C4383</f>
        <v>4.1666666666666519E-3</v>
      </c>
      <c r="F4383" s="52">
        <v>0.43194444444444446</v>
      </c>
      <c r="G4383" s="53">
        <f t="shared" si="68"/>
        <v>6.9444444444444753E-3</v>
      </c>
      <c r="H4383" s="54">
        <v>41810</v>
      </c>
      <c r="I4383" s="55" t="s">
        <v>536</v>
      </c>
      <c r="J4383" s="55" t="s">
        <v>565</v>
      </c>
      <c r="K4383" s="55">
        <f>VLOOKUP(J4383,'Validacion reclamo de equipaje'!L:M,2,0)</f>
        <v>99</v>
      </c>
      <c r="L4383" s="55" t="str">
        <f>VLOOKUP(I4383,'Validacion reclamo de equipaje'!H:I,2,0)</f>
        <v>Nacional</v>
      </c>
      <c r="M4383" s="55" t="s">
        <v>615</v>
      </c>
    </row>
    <row r="4384" spans="1:13" x14ac:dyDescent="0.25">
      <c r="A4384">
        <v>120</v>
      </c>
      <c r="B4384" s="47" t="str">
        <f>VLOOKUP(Tabla6[[#This Row],['# Vuelo]],'Validacion reclamo de equipaje'!P:Q,2,0)</f>
        <v>MEXICO AEREO</v>
      </c>
      <c r="C4384" s="48">
        <v>0.42569444444444443</v>
      </c>
      <c r="D4384" s="48">
        <v>0.43402777777777773</v>
      </c>
      <c r="E4384" s="49">
        <f>'Reclamo de equipaje rediseñado'!$D4384-'Reclamo de equipaje rediseñado'!$C4384</f>
        <v>8.3333333333333037E-3</v>
      </c>
      <c r="F4384" s="48">
        <v>0.43888888888888888</v>
      </c>
      <c r="G4384" s="49">
        <f t="shared" si="68"/>
        <v>4.8611111111111494E-3</v>
      </c>
      <c r="H4384" s="50">
        <v>41811</v>
      </c>
      <c r="I4384" s="51" t="s">
        <v>536</v>
      </c>
      <c r="J4384" s="51" t="s">
        <v>565</v>
      </c>
      <c r="K4384" s="51">
        <f>VLOOKUP(J4384,'Validacion reclamo de equipaje'!L:M,2,0)</f>
        <v>99</v>
      </c>
      <c r="L4384" s="51" t="str">
        <f>VLOOKUP(I4384,'Validacion reclamo de equipaje'!H:I,2,0)</f>
        <v>Nacional</v>
      </c>
      <c r="M4384" s="51" t="s">
        <v>615</v>
      </c>
    </row>
    <row r="4385" spans="1:13" x14ac:dyDescent="0.25">
      <c r="A4385">
        <v>120</v>
      </c>
      <c r="B4385" s="47" t="str">
        <f>VLOOKUP(Tabla6[[#This Row],['# Vuelo]],'Validacion reclamo de equipaje'!P:Q,2,0)</f>
        <v>MEXICO AEREO</v>
      </c>
      <c r="C4385" s="52">
        <v>0.43402777777777773</v>
      </c>
      <c r="D4385" s="52">
        <v>0.4375</v>
      </c>
      <c r="E4385" s="53">
        <f>'Reclamo de equipaje rediseñado'!$D4385-'Reclamo de equipaje rediseñado'!$C4385</f>
        <v>3.4722222222222654E-3</v>
      </c>
      <c r="F4385" s="52">
        <v>0.44930555555555557</v>
      </c>
      <c r="G4385" s="53">
        <f t="shared" si="68"/>
        <v>1.1805555555555569E-2</v>
      </c>
      <c r="H4385" s="54">
        <v>41813</v>
      </c>
      <c r="I4385" s="55" t="s">
        <v>536</v>
      </c>
      <c r="J4385" s="55" t="s">
        <v>565</v>
      </c>
      <c r="K4385" s="55">
        <f>VLOOKUP(J4385,'Validacion reclamo de equipaje'!L:M,2,0)</f>
        <v>99</v>
      </c>
      <c r="L4385" s="55" t="str">
        <f>VLOOKUP(I4385,'Validacion reclamo de equipaje'!H:I,2,0)</f>
        <v>Nacional</v>
      </c>
      <c r="M4385" s="55" t="s">
        <v>615</v>
      </c>
    </row>
    <row r="4386" spans="1:13" x14ac:dyDescent="0.25">
      <c r="A4386">
        <v>120</v>
      </c>
      <c r="B4386" s="47" t="str">
        <f>VLOOKUP(Tabla6[[#This Row],['# Vuelo]],'Validacion reclamo de equipaje'!P:Q,2,0)</f>
        <v>MEXICO AEREO</v>
      </c>
      <c r="C4386" s="48">
        <v>0.43194444444444446</v>
      </c>
      <c r="D4386" s="48">
        <v>0.4375</v>
      </c>
      <c r="E4386" s="49">
        <f>'Reclamo de equipaje rediseñado'!$D4386-'Reclamo de equipaje rediseñado'!$C4386</f>
        <v>5.5555555555555358E-3</v>
      </c>
      <c r="F4386" s="48">
        <v>0.4465277777777778</v>
      </c>
      <c r="G4386" s="49">
        <f t="shared" si="68"/>
        <v>9.0277777777778012E-3</v>
      </c>
      <c r="H4386" s="50">
        <v>41812</v>
      </c>
      <c r="I4386" s="51" t="s">
        <v>536</v>
      </c>
      <c r="J4386" s="51" t="s">
        <v>565</v>
      </c>
      <c r="K4386" s="51">
        <f>VLOOKUP(J4386,'Validacion reclamo de equipaje'!L:M,2,0)</f>
        <v>99</v>
      </c>
      <c r="L4386" s="51" t="str">
        <f>VLOOKUP(I4386,'Validacion reclamo de equipaje'!H:I,2,0)</f>
        <v>Nacional</v>
      </c>
      <c r="M4386" s="51" t="s">
        <v>615</v>
      </c>
    </row>
    <row r="4387" spans="1:13" x14ac:dyDescent="0.25">
      <c r="A4387">
        <v>108</v>
      </c>
      <c r="B4387" s="47" t="str">
        <f>VLOOKUP(Tabla6[[#This Row],['# Vuelo]],'Validacion reclamo de equipaje'!P:Q,2,0)</f>
        <v>MEXICO AEREO</v>
      </c>
      <c r="C4387" s="52">
        <v>0.51666666666666672</v>
      </c>
      <c r="D4387" s="52">
        <v>0.52013888888888882</v>
      </c>
      <c r="E4387" s="53">
        <f>'Reclamo de equipaje rediseñado'!$D4387-'Reclamo de equipaje rediseñado'!$C4387</f>
        <v>3.4722222222220989E-3</v>
      </c>
      <c r="F4387" s="52">
        <v>0.52777777777777779</v>
      </c>
      <c r="G4387" s="53">
        <f t="shared" si="68"/>
        <v>7.6388888888889728E-3</v>
      </c>
      <c r="H4387" s="54">
        <v>41791</v>
      </c>
      <c r="I4387" s="55" t="s">
        <v>536</v>
      </c>
      <c r="J4387" s="55" t="s">
        <v>565</v>
      </c>
      <c r="K4387" s="55">
        <f>VLOOKUP(J4387,'Validacion reclamo de equipaje'!L:M,2,0)</f>
        <v>99</v>
      </c>
      <c r="L4387" s="55" t="str">
        <f>VLOOKUP(I4387,'Validacion reclamo de equipaje'!H:I,2,0)</f>
        <v>Nacional</v>
      </c>
      <c r="M4387" s="55" t="s">
        <v>615</v>
      </c>
    </row>
    <row r="4388" spans="1:13" x14ac:dyDescent="0.25">
      <c r="A4388">
        <v>108</v>
      </c>
      <c r="B4388" s="47" t="str">
        <f>VLOOKUP(Tabla6[[#This Row],['# Vuelo]],'Validacion reclamo de equipaje'!P:Q,2,0)</f>
        <v>MEXICO AEREO</v>
      </c>
      <c r="C4388" s="48">
        <v>0.50972222222222219</v>
      </c>
      <c r="D4388" s="48">
        <v>0.51180555555555551</v>
      </c>
      <c r="E4388" s="49">
        <f>'Reclamo de equipaje rediseñado'!$D4388-'Reclamo de equipaje rediseñado'!$C4388</f>
        <v>2.0833333333333259E-3</v>
      </c>
      <c r="F4388" s="48">
        <v>0.51597222222222217</v>
      </c>
      <c r="G4388" s="49">
        <f t="shared" si="68"/>
        <v>4.1666666666666519E-3</v>
      </c>
      <c r="H4388" s="50">
        <v>41792</v>
      </c>
      <c r="I4388" s="51" t="s">
        <v>536</v>
      </c>
      <c r="J4388" s="51" t="s">
        <v>565</v>
      </c>
      <c r="K4388" s="51">
        <f>VLOOKUP(J4388,'Validacion reclamo de equipaje'!L:M,2,0)</f>
        <v>99</v>
      </c>
      <c r="L4388" s="51" t="str">
        <f>VLOOKUP(I4388,'Validacion reclamo de equipaje'!H:I,2,0)</f>
        <v>Nacional</v>
      </c>
      <c r="M4388" s="51" t="s">
        <v>615</v>
      </c>
    </row>
    <row r="4389" spans="1:13" x14ac:dyDescent="0.25">
      <c r="A4389">
        <v>108</v>
      </c>
      <c r="B4389" s="47" t="str">
        <f>VLOOKUP(Tabla6[[#This Row],['# Vuelo]],'Validacion reclamo de equipaje'!P:Q,2,0)</f>
        <v>MEXICO AEREO</v>
      </c>
      <c r="C4389" s="52">
        <v>0.50555555555555554</v>
      </c>
      <c r="D4389" s="52">
        <v>0.51041666666666663</v>
      </c>
      <c r="E4389" s="53">
        <f>'Reclamo de equipaje rediseñado'!$D4389-'Reclamo de equipaje rediseñado'!$C4389</f>
        <v>4.8611111111110938E-3</v>
      </c>
      <c r="F4389" s="52">
        <v>0.52152777777777781</v>
      </c>
      <c r="G4389" s="53">
        <f t="shared" si="68"/>
        <v>1.1111111111111183E-2</v>
      </c>
      <c r="H4389" s="54">
        <v>41793</v>
      </c>
      <c r="I4389" s="55" t="s">
        <v>536</v>
      </c>
      <c r="J4389" s="55" t="s">
        <v>565</v>
      </c>
      <c r="K4389" s="55">
        <f>VLOOKUP(J4389,'Validacion reclamo de equipaje'!L:M,2,0)</f>
        <v>99</v>
      </c>
      <c r="L4389" s="55" t="str">
        <f>VLOOKUP(I4389,'Validacion reclamo de equipaje'!H:I,2,0)</f>
        <v>Nacional</v>
      </c>
      <c r="M4389" s="55" t="s">
        <v>615</v>
      </c>
    </row>
    <row r="4390" spans="1:13" x14ac:dyDescent="0.25">
      <c r="A4390">
        <v>108</v>
      </c>
      <c r="B4390" s="47" t="str">
        <f>VLOOKUP(Tabla6[[#This Row],['# Vuelo]],'Validacion reclamo de equipaje'!P:Q,2,0)</f>
        <v>MEXICO AEREO</v>
      </c>
      <c r="C4390" s="48">
        <v>0.50208333333333333</v>
      </c>
      <c r="D4390" s="48">
        <v>0.50902777777777775</v>
      </c>
      <c r="E4390" s="49">
        <f>'Reclamo de equipaje rediseñado'!$D4390-'Reclamo de equipaje rediseñado'!$C4390</f>
        <v>6.9444444444444198E-3</v>
      </c>
      <c r="F4390" s="48">
        <v>0.51388888888888895</v>
      </c>
      <c r="G4390" s="49">
        <f t="shared" si="68"/>
        <v>4.8611111111112049E-3</v>
      </c>
      <c r="H4390" s="50">
        <v>41794</v>
      </c>
      <c r="I4390" s="51" t="s">
        <v>536</v>
      </c>
      <c r="J4390" s="51" t="s">
        <v>565</v>
      </c>
      <c r="K4390" s="51">
        <f>VLOOKUP(J4390,'Validacion reclamo de equipaje'!L:M,2,0)</f>
        <v>99</v>
      </c>
      <c r="L4390" s="51" t="str">
        <f>VLOOKUP(I4390,'Validacion reclamo de equipaje'!H:I,2,0)</f>
        <v>Nacional</v>
      </c>
      <c r="M4390" s="51" t="s">
        <v>615</v>
      </c>
    </row>
    <row r="4391" spans="1:13" x14ac:dyDescent="0.25">
      <c r="A4391">
        <v>108</v>
      </c>
      <c r="B4391" s="47" t="str">
        <f>VLOOKUP(Tabla6[[#This Row],['# Vuelo]],'Validacion reclamo de equipaje'!P:Q,2,0)</f>
        <v>MEXICO AEREO</v>
      </c>
      <c r="C4391" s="52">
        <v>0.51388888888888895</v>
      </c>
      <c r="D4391" s="52">
        <v>0.52083333333333337</v>
      </c>
      <c r="E4391" s="53">
        <f>'Reclamo de equipaje rediseñado'!$D4391-'Reclamo de equipaje rediseñado'!$C4391</f>
        <v>6.9444444444444198E-3</v>
      </c>
      <c r="F4391" s="52">
        <v>0.52638888888888891</v>
      </c>
      <c r="G4391" s="53">
        <f t="shared" si="68"/>
        <v>5.5555555555555358E-3</v>
      </c>
      <c r="H4391" s="54">
        <v>41795</v>
      </c>
      <c r="I4391" s="55" t="s">
        <v>536</v>
      </c>
      <c r="J4391" s="55" t="s">
        <v>565</v>
      </c>
      <c r="K4391" s="55">
        <f>VLOOKUP(J4391,'Validacion reclamo de equipaje'!L:M,2,0)</f>
        <v>99</v>
      </c>
      <c r="L4391" s="55" t="str">
        <f>VLOOKUP(I4391,'Validacion reclamo de equipaje'!H:I,2,0)</f>
        <v>Nacional</v>
      </c>
      <c r="M4391" s="55" t="s">
        <v>615</v>
      </c>
    </row>
    <row r="4392" spans="1:13" x14ac:dyDescent="0.25">
      <c r="A4392">
        <v>108</v>
      </c>
      <c r="B4392" s="47" t="str">
        <f>VLOOKUP(Tabla6[[#This Row],['# Vuelo]],'Validacion reclamo de equipaje'!P:Q,2,0)</f>
        <v>MEXICO AEREO</v>
      </c>
      <c r="C4392" s="48">
        <v>0.51250000000000007</v>
      </c>
      <c r="D4392" s="48">
        <v>0.5131944444444444</v>
      </c>
      <c r="E4392" s="49">
        <f>'Reclamo de equipaje rediseñado'!$D4392-'Reclamo de equipaje rediseñado'!$C4392</f>
        <v>6.9444444444433095E-4</v>
      </c>
      <c r="F4392" s="48">
        <v>0.51944444444444449</v>
      </c>
      <c r="G4392" s="49">
        <f t="shared" si="68"/>
        <v>6.2500000000000888E-3</v>
      </c>
      <c r="H4392" s="50">
        <v>41796</v>
      </c>
      <c r="I4392" s="51" t="s">
        <v>536</v>
      </c>
      <c r="J4392" s="51" t="s">
        <v>565</v>
      </c>
      <c r="K4392" s="51">
        <f>VLOOKUP(J4392,'Validacion reclamo de equipaje'!L:M,2,0)</f>
        <v>99</v>
      </c>
      <c r="L4392" s="51" t="str">
        <f>VLOOKUP(I4392,'Validacion reclamo de equipaje'!H:I,2,0)</f>
        <v>Nacional</v>
      </c>
      <c r="M4392" s="51" t="s">
        <v>615</v>
      </c>
    </row>
    <row r="4393" spans="1:13" x14ac:dyDescent="0.25">
      <c r="A4393">
        <v>108</v>
      </c>
      <c r="B4393" s="47" t="str">
        <f>VLOOKUP(Tabla6[[#This Row],['# Vuelo]],'Validacion reclamo de equipaje'!P:Q,2,0)</f>
        <v>MEXICO AEREO</v>
      </c>
      <c r="C4393" s="52">
        <v>0.52638888888888891</v>
      </c>
      <c r="D4393" s="52">
        <v>0.53541666666666665</v>
      </c>
      <c r="E4393" s="53">
        <f>'Reclamo de equipaje rediseñado'!$D4393-'Reclamo de equipaje rediseñado'!$C4393</f>
        <v>9.0277777777777457E-3</v>
      </c>
      <c r="F4393" s="52">
        <v>0.54097222222222219</v>
      </c>
      <c r="G4393" s="53">
        <f t="shared" si="68"/>
        <v>5.5555555555555358E-3</v>
      </c>
      <c r="H4393" s="54">
        <v>41797</v>
      </c>
      <c r="I4393" s="55" t="s">
        <v>536</v>
      </c>
      <c r="J4393" s="55" t="s">
        <v>565</v>
      </c>
      <c r="K4393" s="55">
        <f>VLOOKUP(J4393,'Validacion reclamo de equipaje'!L:M,2,0)</f>
        <v>99</v>
      </c>
      <c r="L4393" s="55" t="str">
        <f>VLOOKUP(I4393,'Validacion reclamo de equipaje'!H:I,2,0)</f>
        <v>Nacional</v>
      </c>
      <c r="M4393" s="55" t="s">
        <v>615</v>
      </c>
    </row>
    <row r="4394" spans="1:13" x14ac:dyDescent="0.25">
      <c r="A4394">
        <v>108</v>
      </c>
      <c r="B4394" s="47" t="str">
        <f>VLOOKUP(Tabla6[[#This Row],['# Vuelo]],'Validacion reclamo de equipaje'!P:Q,2,0)</f>
        <v>MEXICO AEREO</v>
      </c>
      <c r="C4394" s="48">
        <v>0.5</v>
      </c>
      <c r="D4394" s="48">
        <v>0.50347222222222221</v>
      </c>
      <c r="E4394" s="49">
        <f>'Reclamo de equipaje rediseñado'!$D4394-'Reclamo de equipaje rediseñado'!$C4394</f>
        <v>3.4722222222222099E-3</v>
      </c>
      <c r="F4394" s="48">
        <v>0.50694444444444442</v>
      </c>
      <c r="G4394" s="49">
        <f t="shared" si="68"/>
        <v>3.4722222222222099E-3</v>
      </c>
      <c r="H4394" s="50">
        <v>41798</v>
      </c>
      <c r="I4394" s="51" t="s">
        <v>536</v>
      </c>
      <c r="J4394" s="51" t="s">
        <v>565</v>
      </c>
      <c r="K4394" s="51">
        <f>VLOOKUP(J4394,'Validacion reclamo de equipaje'!L:M,2,0)</f>
        <v>99</v>
      </c>
      <c r="L4394" s="51" t="str">
        <f>VLOOKUP(I4394,'Validacion reclamo de equipaje'!H:I,2,0)</f>
        <v>Nacional</v>
      </c>
      <c r="M4394" s="51" t="s">
        <v>615</v>
      </c>
    </row>
    <row r="4395" spans="1:13" x14ac:dyDescent="0.25">
      <c r="A4395">
        <v>108</v>
      </c>
      <c r="B4395" s="47" t="str">
        <f>VLOOKUP(Tabla6[[#This Row],['# Vuelo]],'Validacion reclamo de equipaje'!P:Q,2,0)</f>
        <v>MEXICO AEREO</v>
      </c>
      <c r="C4395" s="52">
        <v>0.50486111111111109</v>
      </c>
      <c r="D4395" s="52">
        <v>0.50763888888888886</v>
      </c>
      <c r="E4395" s="53">
        <f>'Reclamo de equipaje rediseñado'!$D4395-'Reclamo de equipaje rediseñado'!$C4395</f>
        <v>2.7777777777777679E-3</v>
      </c>
      <c r="F4395" s="52">
        <v>0.52152777777777781</v>
      </c>
      <c r="G4395" s="53">
        <f t="shared" si="68"/>
        <v>1.3888888888888951E-2</v>
      </c>
      <c r="H4395" s="54">
        <v>41799</v>
      </c>
      <c r="I4395" s="55" t="s">
        <v>536</v>
      </c>
      <c r="J4395" s="55" t="s">
        <v>565</v>
      </c>
      <c r="K4395" s="55">
        <f>VLOOKUP(J4395,'Validacion reclamo de equipaje'!L:M,2,0)</f>
        <v>99</v>
      </c>
      <c r="L4395" s="55" t="str">
        <f>VLOOKUP(I4395,'Validacion reclamo de equipaje'!H:I,2,0)</f>
        <v>Nacional</v>
      </c>
      <c r="M4395" s="55" t="s">
        <v>615</v>
      </c>
    </row>
    <row r="4396" spans="1:13" x14ac:dyDescent="0.25">
      <c r="A4396">
        <v>108</v>
      </c>
      <c r="B4396" s="47" t="str">
        <f>VLOOKUP(Tabla6[[#This Row],['# Vuelo]],'Validacion reclamo de equipaje'!P:Q,2,0)</f>
        <v>MEXICO AEREO</v>
      </c>
      <c r="C4396" s="48">
        <v>0.45763888888888887</v>
      </c>
      <c r="D4396" s="48">
        <v>0.46527777777777773</v>
      </c>
      <c r="E4396" s="49">
        <f>'Reclamo de equipaje rediseñado'!$D4396-'Reclamo de equipaje rediseñado'!$C4396</f>
        <v>7.6388888888888618E-3</v>
      </c>
      <c r="F4396" s="48">
        <v>0.47500000000000003</v>
      </c>
      <c r="G4396" s="49">
        <f t="shared" si="68"/>
        <v>9.7222222222222987E-3</v>
      </c>
      <c r="H4396" s="50">
        <v>41801</v>
      </c>
      <c r="I4396" s="51" t="s">
        <v>536</v>
      </c>
      <c r="J4396" s="51" t="s">
        <v>565</v>
      </c>
      <c r="K4396" s="51">
        <f>VLOOKUP(J4396,'Validacion reclamo de equipaje'!L:M,2,0)</f>
        <v>99</v>
      </c>
      <c r="L4396" s="51" t="str">
        <f>VLOOKUP(I4396,'Validacion reclamo de equipaje'!H:I,2,0)</f>
        <v>Nacional</v>
      </c>
      <c r="M4396" s="51" t="s">
        <v>615</v>
      </c>
    </row>
    <row r="4397" spans="1:13" x14ac:dyDescent="0.25">
      <c r="A4397">
        <v>108</v>
      </c>
      <c r="B4397" s="47" t="str">
        <f>VLOOKUP(Tabla6[[#This Row],['# Vuelo]],'Validacion reclamo de equipaje'!P:Q,2,0)</f>
        <v>MEXICO AEREO</v>
      </c>
      <c r="C4397" s="52">
        <v>0.73541666666666661</v>
      </c>
      <c r="D4397" s="52">
        <v>0.74097222222222225</v>
      </c>
      <c r="E4397" s="53">
        <f>'Reclamo de equipaje rediseñado'!$D4397-'Reclamo de equipaje rediseñado'!$C4397</f>
        <v>5.5555555555556468E-3</v>
      </c>
      <c r="F4397" s="52">
        <v>0.74722222222222223</v>
      </c>
      <c r="G4397" s="53">
        <f t="shared" si="68"/>
        <v>6.2499999999999778E-3</v>
      </c>
      <c r="H4397" s="54">
        <v>41801</v>
      </c>
      <c r="I4397" s="55" t="s">
        <v>536</v>
      </c>
      <c r="J4397" s="55" t="s">
        <v>565</v>
      </c>
      <c r="K4397" s="55">
        <f>VLOOKUP(J4397,'Validacion reclamo de equipaje'!L:M,2,0)</f>
        <v>99</v>
      </c>
      <c r="L4397" s="55" t="str">
        <f>VLOOKUP(I4397,'Validacion reclamo de equipaje'!H:I,2,0)</f>
        <v>Nacional</v>
      </c>
      <c r="M4397" s="55" t="s">
        <v>615</v>
      </c>
    </row>
    <row r="4398" spans="1:13" x14ac:dyDescent="0.25">
      <c r="A4398">
        <v>108</v>
      </c>
      <c r="B4398" s="47" t="str">
        <f>VLOOKUP(Tabla6[[#This Row],['# Vuelo]],'Validacion reclamo de equipaje'!P:Q,2,0)</f>
        <v>MEXICO AEREO</v>
      </c>
      <c r="C4398" s="48">
        <v>0.82777777777777783</v>
      </c>
      <c r="D4398" s="48">
        <v>0.8520833333333333</v>
      </c>
      <c r="E4398" s="49">
        <f>'Reclamo de equipaje rediseñado'!$D4398-'Reclamo de equipaje rediseñado'!$C4398</f>
        <v>2.4305555555555469E-2</v>
      </c>
      <c r="F4398" s="48">
        <v>0.87083333333333324</v>
      </c>
      <c r="G4398" s="49">
        <f t="shared" si="68"/>
        <v>1.8749999999999933E-2</v>
      </c>
      <c r="H4398" s="50">
        <v>41802</v>
      </c>
      <c r="I4398" s="51" t="s">
        <v>536</v>
      </c>
      <c r="J4398" s="51" t="s">
        <v>565</v>
      </c>
      <c r="K4398" s="51">
        <f>VLOOKUP(J4398,'Validacion reclamo de equipaje'!L:M,2,0)</f>
        <v>99</v>
      </c>
      <c r="L4398" s="51" t="str">
        <f>VLOOKUP(I4398,'Validacion reclamo de equipaje'!H:I,2,0)</f>
        <v>Nacional</v>
      </c>
      <c r="M4398" s="51" t="s">
        <v>615</v>
      </c>
    </row>
    <row r="4399" spans="1:13" x14ac:dyDescent="0.25">
      <c r="A4399">
        <v>108</v>
      </c>
      <c r="B4399" s="47" t="str">
        <f>VLOOKUP(Tabla6[[#This Row],['# Vuelo]],'Validacion reclamo de equipaje'!P:Q,2,0)</f>
        <v>MEXICO AEREO</v>
      </c>
      <c r="C4399" s="52">
        <v>0.84166666666666667</v>
      </c>
      <c r="D4399" s="52">
        <v>0.84513888888888899</v>
      </c>
      <c r="E4399" s="53">
        <f>'Reclamo de equipaje rediseñado'!$D4399-'Reclamo de equipaje rediseñado'!$C4399</f>
        <v>3.4722222222223209E-3</v>
      </c>
      <c r="F4399" s="52">
        <v>0.85277777777777775</v>
      </c>
      <c r="G4399" s="53">
        <f t="shared" si="68"/>
        <v>7.6388888888887507E-3</v>
      </c>
      <c r="H4399" s="54">
        <v>41804</v>
      </c>
      <c r="I4399" s="55" t="s">
        <v>536</v>
      </c>
      <c r="J4399" s="55" t="s">
        <v>565</v>
      </c>
      <c r="K4399" s="55">
        <f>VLOOKUP(J4399,'Validacion reclamo de equipaje'!L:M,2,0)</f>
        <v>99</v>
      </c>
      <c r="L4399" s="55" t="str">
        <f>VLOOKUP(I4399,'Validacion reclamo de equipaje'!H:I,2,0)</f>
        <v>Nacional</v>
      </c>
      <c r="M4399" s="55" t="s">
        <v>615</v>
      </c>
    </row>
    <row r="4400" spans="1:13" x14ac:dyDescent="0.25">
      <c r="A4400">
        <v>108</v>
      </c>
      <c r="B4400" s="47" t="str">
        <f>VLOOKUP(Tabla6[[#This Row],['# Vuelo]],'Validacion reclamo de equipaje'!P:Q,2,0)</f>
        <v>MEXICO AEREO</v>
      </c>
      <c r="C4400" s="48">
        <v>0.4236111111111111</v>
      </c>
      <c r="D4400" s="48">
        <v>0.44166666666666665</v>
      </c>
      <c r="E4400" s="49">
        <f>'Reclamo de equipaje rediseñado'!$D4400-'Reclamo de equipaje rediseñado'!$C4400</f>
        <v>1.8055555555555547E-2</v>
      </c>
      <c r="F4400" s="48">
        <v>0.4513888888888889</v>
      </c>
      <c r="G4400" s="49">
        <f t="shared" si="68"/>
        <v>9.7222222222222432E-3</v>
      </c>
      <c r="H4400" s="50">
        <v>41805</v>
      </c>
      <c r="I4400" s="51" t="s">
        <v>536</v>
      </c>
      <c r="J4400" s="51" t="s">
        <v>565</v>
      </c>
      <c r="K4400" s="51">
        <f>VLOOKUP(J4400,'Validacion reclamo de equipaje'!L:M,2,0)</f>
        <v>99</v>
      </c>
      <c r="L4400" s="51" t="str">
        <f>VLOOKUP(I4400,'Validacion reclamo de equipaje'!H:I,2,0)</f>
        <v>Nacional</v>
      </c>
      <c r="M4400" s="51" t="s">
        <v>615</v>
      </c>
    </row>
    <row r="4401" spans="1:13" x14ac:dyDescent="0.25">
      <c r="A4401">
        <v>108</v>
      </c>
      <c r="B4401" s="47" t="str">
        <f>VLOOKUP(Tabla6[[#This Row],['# Vuelo]],'Validacion reclamo de equipaje'!P:Q,2,0)</f>
        <v>MEXICO AEREO</v>
      </c>
      <c r="C4401" s="52">
        <v>0.82847222222222217</v>
      </c>
      <c r="D4401" s="52">
        <v>0.84236111111111101</v>
      </c>
      <c r="E4401" s="53">
        <f>'Reclamo de equipaje rediseñado'!$D4401-'Reclamo de equipaje rediseñado'!$C4401</f>
        <v>1.388888888888884E-2</v>
      </c>
      <c r="F4401" s="52">
        <v>0.85833333333333339</v>
      </c>
      <c r="G4401" s="53">
        <f t="shared" si="68"/>
        <v>1.5972222222222388E-2</v>
      </c>
      <c r="H4401" s="54">
        <v>41806</v>
      </c>
      <c r="I4401" s="55" t="s">
        <v>536</v>
      </c>
      <c r="J4401" s="55" t="s">
        <v>565</v>
      </c>
      <c r="K4401" s="55">
        <f>VLOOKUP(J4401,'Validacion reclamo de equipaje'!L:M,2,0)</f>
        <v>99</v>
      </c>
      <c r="L4401" s="55" t="str">
        <f>VLOOKUP(I4401,'Validacion reclamo de equipaje'!H:I,2,0)</f>
        <v>Nacional</v>
      </c>
      <c r="M4401" s="55" t="s">
        <v>615</v>
      </c>
    </row>
    <row r="4402" spans="1:13" x14ac:dyDescent="0.25">
      <c r="A4402">
        <v>108</v>
      </c>
      <c r="B4402" s="47" t="str">
        <f>VLOOKUP(Tabla6[[#This Row],['# Vuelo]],'Validacion reclamo de equipaje'!P:Q,2,0)</f>
        <v>MEXICO AEREO</v>
      </c>
      <c r="C4402" s="48">
        <v>0.84791666666666676</v>
      </c>
      <c r="D4402" s="48">
        <v>0.8618055555555556</v>
      </c>
      <c r="E4402" s="49">
        <f>'Reclamo de equipaje rediseñado'!$D4402-'Reclamo de equipaje rediseñado'!$C4402</f>
        <v>1.388888888888884E-2</v>
      </c>
      <c r="F4402" s="48">
        <v>0.88124999999999998</v>
      </c>
      <c r="G4402" s="49">
        <f t="shared" si="68"/>
        <v>1.9444444444444375E-2</v>
      </c>
      <c r="H4402" s="50">
        <v>41807</v>
      </c>
      <c r="I4402" s="51" t="s">
        <v>536</v>
      </c>
      <c r="J4402" s="51" t="s">
        <v>565</v>
      </c>
      <c r="K4402" s="51">
        <f>VLOOKUP(J4402,'Validacion reclamo de equipaje'!L:M,2,0)</f>
        <v>99</v>
      </c>
      <c r="L4402" s="51" t="str">
        <f>VLOOKUP(I4402,'Validacion reclamo de equipaje'!H:I,2,0)</f>
        <v>Nacional</v>
      </c>
      <c r="M4402" s="51" t="s">
        <v>615</v>
      </c>
    </row>
    <row r="4403" spans="1:13" x14ac:dyDescent="0.25">
      <c r="A4403">
        <v>108</v>
      </c>
      <c r="B4403" s="47" t="str">
        <f>VLOOKUP(Tabla6[[#This Row],['# Vuelo]],'Validacion reclamo de equipaje'!P:Q,2,0)</f>
        <v>MEXICO AEREO</v>
      </c>
      <c r="C4403" s="52">
        <v>0.50555555555555554</v>
      </c>
      <c r="D4403" s="52">
        <v>0.5180555555555556</v>
      </c>
      <c r="E4403" s="53">
        <f>'Reclamo de equipaje rediseñado'!$D4403-'Reclamo de equipaje rediseñado'!$C4403</f>
        <v>1.2500000000000067E-2</v>
      </c>
      <c r="F4403" s="52">
        <v>0.52430555555555558</v>
      </c>
      <c r="G4403" s="53">
        <f t="shared" si="68"/>
        <v>6.2499999999999778E-3</v>
      </c>
      <c r="H4403" s="54">
        <v>41808</v>
      </c>
      <c r="I4403" s="55" t="s">
        <v>536</v>
      </c>
      <c r="J4403" s="55" t="s">
        <v>565</v>
      </c>
      <c r="K4403" s="55">
        <f>VLOOKUP(J4403,'Validacion reclamo de equipaje'!L:M,2,0)</f>
        <v>99</v>
      </c>
      <c r="L4403" s="55" t="str">
        <f>VLOOKUP(I4403,'Validacion reclamo de equipaje'!H:I,2,0)</f>
        <v>Nacional</v>
      </c>
      <c r="M4403" s="55" t="s">
        <v>615</v>
      </c>
    </row>
    <row r="4404" spans="1:13" x14ac:dyDescent="0.25">
      <c r="A4404">
        <v>108</v>
      </c>
      <c r="B4404" s="47" t="str">
        <f>VLOOKUP(Tabla6[[#This Row],['# Vuelo]],'Validacion reclamo de equipaje'!P:Q,2,0)</f>
        <v>MEXICO AEREO</v>
      </c>
      <c r="C4404" s="48">
        <v>0.50902777777777775</v>
      </c>
      <c r="D4404" s="48">
        <v>0.51388888888888895</v>
      </c>
      <c r="E4404" s="49">
        <f>'Reclamo de equipaje rediseñado'!$D4404-'Reclamo de equipaje rediseñado'!$C4404</f>
        <v>4.8611111111112049E-3</v>
      </c>
      <c r="F4404" s="48">
        <v>0.52152777777777781</v>
      </c>
      <c r="G4404" s="49">
        <f t="shared" si="68"/>
        <v>7.6388888888888618E-3</v>
      </c>
      <c r="H4404" s="50">
        <v>41809</v>
      </c>
      <c r="I4404" s="51" t="s">
        <v>536</v>
      </c>
      <c r="J4404" s="51" t="s">
        <v>565</v>
      </c>
      <c r="K4404" s="51">
        <f>VLOOKUP(J4404,'Validacion reclamo de equipaje'!L:M,2,0)</f>
        <v>99</v>
      </c>
      <c r="L4404" s="51" t="str">
        <f>VLOOKUP(I4404,'Validacion reclamo de equipaje'!H:I,2,0)</f>
        <v>Nacional</v>
      </c>
      <c r="M4404" s="51" t="s">
        <v>615</v>
      </c>
    </row>
    <row r="4405" spans="1:13" x14ac:dyDescent="0.25">
      <c r="A4405">
        <v>108</v>
      </c>
      <c r="B4405" s="47" t="str">
        <f>VLOOKUP(Tabla6[[#This Row],['# Vuelo]],'Validacion reclamo de equipaje'!P:Q,2,0)</f>
        <v>MEXICO AEREO</v>
      </c>
      <c r="C4405" s="52">
        <v>0.50694444444444442</v>
      </c>
      <c r="D4405" s="52">
        <v>0.50972222222222219</v>
      </c>
      <c r="E4405" s="53">
        <f>'Reclamo de equipaje rediseñado'!$D4405-'Reclamo de equipaje rediseñado'!$C4405</f>
        <v>2.7777777777777679E-3</v>
      </c>
      <c r="F4405" s="52">
        <v>0.51736111111111105</v>
      </c>
      <c r="G4405" s="53">
        <f t="shared" si="68"/>
        <v>7.6388888888888618E-3</v>
      </c>
      <c r="H4405" s="54">
        <v>41810</v>
      </c>
      <c r="I4405" s="55" t="s">
        <v>536</v>
      </c>
      <c r="J4405" s="55" t="s">
        <v>565</v>
      </c>
      <c r="K4405" s="55">
        <f>VLOOKUP(J4405,'Validacion reclamo de equipaje'!L:M,2,0)</f>
        <v>99</v>
      </c>
      <c r="L4405" s="55" t="str">
        <f>VLOOKUP(I4405,'Validacion reclamo de equipaje'!H:I,2,0)</f>
        <v>Nacional</v>
      </c>
      <c r="M4405" s="55" t="s">
        <v>615</v>
      </c>
    </row>
    <row r="4406" spans="1:13" x14ac:dyDescent="0.25">
      <c r="A4406">
        <v>108</v>
      </c>
      <c r="B4406" s="47" t="str">
        <f>VLOOKUP(Tabla6[[#This Row],['# Vuelo]],'Validacion reclamo de equipaje'!P:Q,2,0)</f>
        <v>MEXICO AEREO</v>
      </c>
      <c r="C4406" s="48">
        <v>0.52916666666666667</v>
      </c>
      <c r="D4406" s="48">
        <v>0.53472222222222221</v>
      </c>
      <c r="E4406" s="49">
        <f>'Reclamo de equipaje rediseñado'!$D4406-'Reclamo de equipaje rediseñado'!$C4406</f>
        <v>5.5555555555555358E-3</v>
      </c>
      <c r="F4406" s="48">
        <v>0.54375000000000007</v>
      </c>
      <c r="G4406" s="49">
        <f t="shared" si="68"/>
        <v>9.0277777777778567E-3</v>
      </c>
      <c r="H4406" s="50">
        <v>41811</v>
      </c>
      <c r="I4406" s="51" t="s">
        <v>536</v>
      </c>
      <c r="J4406" s="51" t="s">
        <v>565</v>
      </c>
      <c r="K4406" s="51">
        <f>VLOOKUP(J4406,'Validacion reclamo de equipaje'!L:M,2,0)</f>
        <v>99</v>
      </c>
      <c r="L4406" s="51" t="str">
        <f>VLOOKUP(I4406,'Validacion reclamo de equipaje'!H:I,2,0)</f>
        <v>Nacional</v>
      </c>
      <c r="M4406" s="51" t="s">
        <v>615</v>
      </c>
    </row>
    <row r="4407" spans="1:13" x14ac:dyDescent="0.25">
      <c r="A4407">
        <v>108</v>
      </c>
      <c r="B4407" s="47" t="str">
        <f>VLOOKUP(Tabla6[[#This Row],['# Vuelo]],'Validacion reclamo de equipaje'!P:Q,2,0)</f>
        <v>MEXICO AEREO</v>
      </c>
      <c r="C4407" s="52">
        <v>0.51388888888888895</v>
      </c>
      <c r="D4407" s="52">
        <v>0.52777777777777779</v>
      </c>
      <c r="E4407" s="53">
        <f>'Reclamo de equipaje rediseñado'!$D4407-'Reclamo de equipaje rediseñado'!$C4407</f>
        <v>1.388888888888884E-2</v>
      </c>
      <c r="F4407" s="52">
        <v>0.54861111111111105</v>
      </c>
      <c r="G4407" s="53">
        <f t="shared" si="68"/>
        <v>2.0833333333333259E-2</v>
      </c>
      <c r="H4407" s="54">
        <v>41812</v>
      </c>
      <c r="I4407" s="55" t="s">
        <v>536</v>
      </c>
      <c r="J4407" s="55" t="s">
        <v>565</v>
      </c>
      <c r="K4407" s="55">
        <f>VLOOKUP(J4407,'Validacion reclamo de equipaje'!L:M,2,0)</f>
        <v>99</v>
      </c>
      <c r="L4407" s="55" t="str">
        <f>VLOOKUP(I4407,'Validacion reclamo de equipaje'!H:I,2,0)</f>
        <v>Nacional</v>
      </c>
      <c r="M4407" s="55" t="s">
        <v>615</v>
      </c>
    </row>
    <row r="4408" spans="1:13" x14ac:dyDescent="0.25">
      <c r="A4408">
        <v>104</v>
      </c>
      <c r="B4408" s="47" t="str">
        <f>VLOOKUP(Tabla6[[#This Row],['# Vuelo]],'Validacion reclamo de equipaje'!P:Q,2,0)</f>
        <v>MEXICO AEREO</v>
      </c>
      <c r="C4408" s="48">
        <v>0.47083333333333338</v>
      </c>
      <c r="D4408" s="48">
        <v>0.47430555555555554</v>
      </c>
      <c r="E4408" s="49">
        <f>'Reclamo de equipaje rediseñado'!$D4408-'Reclamo de equipaje rediseñado'!$C4408</f>
        <v>3.4722222222221544E-3</v>
      </c>
      <c r="F4408" s="48">
        <v>0.47916666666666669</v>
      </c>
      <c r="G4408" s="49">
        <f t="shared" si="68"/>
        <v>4.8611111111111494E-3</v>
      </c>
      <c r="H4408" s="50">
        <v>41792</v>
      </c>
      <c r="I4408" s="51" t="s">
        <v>536</v>
      </c>
      <c r="J4408" s="51" t="s">
        <v>565</v>
      </c>
      <c r="K4408" s="51">
        <f>VLOOKUP(J4408,'Validacion reclamo de equipaje'!L:M,2,0)</f>
        <v>99</v>
      </c>
      <c r="L4408" s="51" t="str">
        <f>VLOOKUP(I4408,'Validacion reclamo de equipaje'!H:I,2,0)</f>
        <v>Nacional</v>
      </c>
      <c r="M4408" s="51" t="s">
        <v>615</v>
      </c>
    </row>
    <row r="4409" spans="1:13" x14ac:dyDescent="0.25">
      <c r="A4409">
        <v>104</v>
      </c>
      <c r="B4409" s="47" t="str">
        <f>VLOOKUP(Tabla6[[#This Row],['# Vuelo]],'Validacion reclamo de equipaje'!P:Q,2,0)</f>
        <v>MEXICO AEREO</v>
      </c>
      <c r="C4409" s="52">
        <v>0.46180555555555558</v>
      </c>
      <c r="D4409" s="52">
        <v>0.46527777777777773</v>
      </c>
      <c r="E4409" s="53">
        <f>'Reclamo de equipaje rediseñado'!$D4409-'Reclamo de equipaje rediseñado'!$C4409</f>
        <v>3.4722222222221544E-3</v>
      </c>
      <c r="F4409" s="52">
        <v>0.47083333333333338</v>
      </c>
      <c r="G4409" s="53">
        <f t="shared" si="68"/>
        <v>5.5555555555556468E-3</v>
      </c>
      <c r="H4409" s="54">
        <v>41793</v>
      </c>
      <c r="I4409" s="55" t="s">
        <v>536</v>
      </c>
      <c r="J4409" s="55" t="s">
        <v>565</v>
      </c>
      <c r="K4409" s="55">
        <f>VLOOKUP(J4409,'Validacion reclamo de equipaje'!L:M,2,0)</f>
        <v>99</v>
      </c>
      <c r="L4409" s="55" t="str">
        <f>VLOOKUP(I4409,'Validacion reclamo de equipaje'!H:I,2,0)</f>
        <v>Nacional</v>
      </c>
      <c r="M4409" s="55" t="s">
        <v>615</v>
      </c>
    </row>
    <row r="4410" spans="1:13" x14ac:dyDescent="0.25">
      <c r="A4410">
        <v>104</v>
      </c>
      <c r="B4410" s="47" t="str">
        <f>VLOOKUP(Tabla6[[#This Row],['# Vuelo]],'Validacion reclamo de equipaje'!P:Q,2,0)</f>
        <v>MEXICO AEREO</v>
      </c>
      <c r="C4410" s="48">
        <v>0.47152777777777777</v>
      </c>
      <c r="D4410" s="48">
        <v>0.47430555555555554</v>
      </c>
      <c r="E4410" s="49">
        <f>'Reclamo de equipaje rediseñado'!$D4410-'Reclamo de equipaje rediseñado'!$C4410</f>
        <v>2.7777777777777679E-3</v>
      </c>
      <c r="F4410" s="48">
        <v>0.48541666666666666</v>
      </c>
      <c r="G4410" s="49">
        <f t="shared" si="68"/>
        <v>1.1111111111111127E-2</v>
      </c>
      <c r="H4410" s="50">
        <v>41794</v>
      </c>
      <c r="I4410" s="51" t="s">
        <v>536</v>
      </c>
      <c r="J4410" s="51" t="s">
        <v>565</v>
      </c>
      <c r="K4410" s="51">
        <f>VLOOKUP(J4410,'Validacion reclamo de equipaje'!L:M,2,0)</f>
        <v>99</v>
      </c>
      <c r="L4410" s="51" t="str">
        <f>VLOOKUP(I4410,'Validacion reclamo de equipaje'!H:I,2,0)</f>
        <v>Nacional</v>
      </c>
      <c r="M4410" s="51" t="s">
        <v>615</v>
      </c>
    </row>
    <row r="4411" spans="1:13" x14ac:dyDescent="0.25">
      <c r="A4411">
        <v>104</v>
      </c>
      <c r="B4411" s="47" t="str">
        <f>VLOOKUP(Tabla6[[#This Row],['# Vuelo]],'Validacion reclamo de equipaje'!P:Q,2,0)</f>
        <v>MEXICO AEREO</v>
      </c>
      <c r="C4411" s="52">
        <v>0.47291666666666665</v>
      </c>
      <c r="D4411" s="52">
        <v>0.4770833333333333</v>
      </c>
      <c r="E4411" s="53">
        <f>'Reclamo de equipaje rediseñado'!$D4411-'Reclamo de equipaje rediseñado'!$C4411</f>
        <v>4.1666666666666519E-3</v>
      </c>
      <c r="F4411" s="52">
        <v>0.48402777777777778</v>
      </c>
      <c r="G4411" s="53">
        <f t="shared" si="68"/>
        <v>6.9444444444444753E-3</v>
      </c>
      <c r="H4411" s="54">
        <v>41795</v>
      </c>
      <c r="I4411" s="55" t="s">
        <v>536</v>
      </c>
      <c r="J4411" s="55" t="s">
        <v>565</v>
      </c>
      <c r="K4411" s="55">
        <f>VLOOKUP(J4411,'Validacion reclamo de equipaje'!L:M,2,0)</f>
        <v>99</v>
      </c>
      <c r="L4411" s="55" t="str">
        <f>VLOOKUP(I4411,'Validacion reclamo de equipaje'!H:I,2,0)</f>
        <v>Nacional</v>
      </c>
      <c r="M4411" s="55" t="s">
        <v>615</v>
      </c>
    </row>
    <row r="4412" spans="1:13" x14ac:dyDescent="0.25">
      <c r="A4412">
        <v>104</v>
      </c>
      <c r="B4412" s="47" t="str">
        <f>VLOOKUP(Tabla6[[#This Row],['# Vuelo]],'Validacion reclamo de equipaje'!P:Q,2,0)</f>
        <v>MEXICO AEREO</v>
      </c>
      <c r="C4412" s="48">
        <v>0.47083333333333338</v>
      </c>
      <c r="D4412" s="48">
        <v>0.48125000000000001</v>
      </c>
      <c r="E4412" s="49">
        <f>'Reclamo de equipaje rediseñado'!$D4412-'Reclamo de equipaje rediseñado'!$C4412</f>
        <v>1.041666666666663E-2</v>
      </c>
      <c r="F4412" s="48">
        <v>0.48402777777777778</v>
      </c>
      <c r="G4412" s="49">
        <f t="shared" si="68"/>
        <v>2.7777777777777679E-3</v>
      </c>
      <c r="H4412" s="50">
        <v>41796</v>
      </c>
      <c r="I4412" s="51" t="s">
        <v>536</v>
      </c>
      <c r="J4412" s="51" t="s">
        <v>565</v>
      </c>
      <c r="K4412" s="51">
        <f>VLOOKUP(J4412,'Validacion reclamo de equipaje'!L:M,2,0)</f>
        <v>99</v>
      </c>
      <c r="L4412" s="51" t="str">
        <f>VLOOKUP(I4412,'Validacion reclamo de equipaje'!H:I,2,0)</f>
        <v>Nacional</v>
      </c>
      <c r="M4412" s="51" t="s">
        <v>615</v>
      </c>
    </row>
    <row r="4413" spans="1:13" x14ac:dyDescent="0.25">
      <c r="A4413">
        <v>104</v>
      </c>
      <c r="B4413" s="47" t="str">
        <f>VLOOKUP(Tabla6[[#This Row],['# Vuelo]],'Validacion reclamo de equipaje'!P:Q,2,0)</f>
        <v>MEXICO AEREO</v>
      </c>
      <c r="C4413" s="52">
        <v>0.4680555555555555</v>
      </c>
      <c r="D4413" s="52">
        <v>0.47291666666666665</v>
      </c>
      <c r="E4413" s="53">
        <f>'Reclamo de equipaje rediseñado'!$D4413-'Reclamo de equipaje rediseñado'!$C4413</f>
        <v>4.8611111111111494E-3</v>
      </c>
      <c r="F4413" s="52">
        <v>0.47569444444444442</v>
      </c>
      <c r="G4413" s="53">
        <f t="shared" si="68"/>
        <v>2.7777777777777679E-3</v>
      </c>
      <c r="H4413" s="54">
        <v>41799</v>
      </c>
      <c r="I4413" s="55" t="s">
        <v>536</v>
      </c>
      <c r="J4413" s="55" t="s">
        <v>565</v>
      </c>
      <c r="K4413" s="55">
        <f>VLOOKUP(J4413,'Validacion reclamo de equipaje'!L:M,2,0)</f>
        <v>99</v>
      </c>
      <c r="L4413" s="55" t="str">
        <f>VLOOKUP(I4413,'Validacion reclamo de equipaje'!H:I,2,0)</f>
        <v>Nacional</v>
      </c>
      <c r="M4413" s="55" t="s">
        <v>615</v>
      </c>
    </row>
    <row r="4414" spans="1:13" x14ac:dyDescent="0.25">
      <c r="A4414">
        <v>104</v>
      </c>
      <c r="B4414" s="47" t="str">
        <f>VLOOKUP(Tabla6[[#This Row],['# Vuelo]],'Validacion reclamo de equipaje'!P:Q,2,0)</f>
        <v>MEXICO AEREO</v>
      </c>
      <c r="C4414" s="48">
        <v>0.46180555555555558</v>
      </c>
      <c r="D4414" s="48">
        <v>0.46875</v>
      </c>
      <c r="E4414" s="49">
        <f>'Reclamo de equipaje rediseñado'!$D4414-'Reclamo de equipaje rediseñado'!$C4414</f>
        <v>6.9444444444444198E-3</v>
      </c>
      <c r="F4414" s="48">
        <v>0.4777777777777778</v>
      </c>
      <c r="G4414" s="49">
        <f t="shared" si="68"/>
        <v>9.0277777777778012E-3</v>
      </c>
      <c r="H4414" s="50">
        <v>41801</v>
      </c>
      <c r="I4414" s="51" t="s">
        <v>536</v>
      </c>
      <c r="J4414" s="51" t="s">
        <v>565</v>
      </c>
      <c r="K4414" s="51">
        <f>VLOOKUP(J4414,'Validacion reclamo de equipaje'!L:M,2,0)</f>
        <v>99</v>
      </c>
      <c r="L4414" s="51" t="str">
        <f>VLOOKUP(I4414,'Validacion reclamo de equipaje'!H:I,2,0)</f>
        <v>Nacional</v>
      </c>
      <c r="M4414" s="51" t="s">
        <v>615</v>
      </c>
    </row>
    <row r="4415" spans="1:13" x14ac:dyDescent="0.25">
      <c r="A4415">
        <v>104</v>
      </c>
      <c r="B4415" s="47" t="str">
        <f>VLOOKUP(Tabla6[[#This Row],['# Vuelo]],'Validacion reclamo de equipaje'!P:Q,2,0)</f>
        <v>MEXICO AEREO</v>
      </c>
      <c r="C4415" s="52">
        <v>0.22430555555555556</v>
      </c>
      <c r="D4415" s="52">
        <v>0.24583333333333335</v>
      </c>
      <c r="E4415" s="53">
        <f>'Reclamo de equipaje rediseñado'!$D4415-'Reclamo de equipaje rediseñado'!$C4415</f>
        <v>2.1527777777777785E-2</v>
      </c>
      <c r="F4415" s="52">
        <v>0.26666666666666666</v>
      </c>
      <c r="G4415" s="53">
        <f t="shared" si="68"/>
        <v>2.0833333333333315E-2</v>
      </c>
      <c r="H4415" s="54">
        <v>41801</v>
      </c>
      <c r="I4415" s="55" t="s">
        <v>536</v>
      </c>
      <c r="J4415" s="55" t="s">
        <v>565</v>
      </c>
      <c r="K4415" s="55">
        <f>VLOOKUP(J4415,'Validacion reclamo de equipaje'!L:M,2,0)</f>
        <v>99</v>
      </c>
      <c r="L4415" s="55" t="str">
        <f>VLOOKUP(I4415,'Validacion reclamo de equipaje'!H:I,2,0)</f>
        <v>Nacional</v>
      </c>
      <c r="M4415" s="55" t="s">
        <v>615</v>
      </c>
    </row>
    <row r="4416" spans="1:13" x14ac:dyDescent="0.25">
      <c r="A4416">
        <v>104</v>
      </c>
      <c r="B4416" s="47" t="str">
        <f>VLOOKUP(Tabla6[[#This Row],['# Vuelo]],'Validacion reclamo de equipaje'!P:Q,2,0)</f>
        <v>MEXICO AEREO</v>
      </c>
      <c r="C4416" s="48">
        <v>0.22916666666666666</v>
      </c>
      <c r="D4416" s="48">
        <v>0.25069444444444444</v>
      </c>
      <c r="E4416" s="49">
        <f>'Reclamo de equipaje rediseñado'!$D4416-'Reclamo de equipaje rediseñado'!$C4416</f>
        <v>2.1527777777777785E-2</v>
      </c>
      <c r="F4416" s="48">
        <v>0.25486111111111109</v>
      </c>
      <c r="G4416" s="49">
        <f t="shared" si="68"/>
        <v>4.1666666666666519E-3</v>
      </c>
      <c r="H4416" s="50">
        <v>41802</v>
      </c>
      <c r="I4416" s="51" t="s">
        <v>536</v>
      </c>
      <c r="J4416" s="51" t="s">
        <v>565</v>
      </c>
      <c r="K4416" s="51">
        <f>VLOOKUP(J4416,'Validacion reclamo de equipaje'!L:M,2,0)</f>
        <v>99</v>
      </c>
      <c r="L4416" s="51" t="str">
        <f>VLOOKUP(I4416,'Validacion reclamo de equipaje'!H:I,2,0)</f>
        <v>Nacional</v>
      </c>
      <c r="M4416" s="51" t="s">
        <v>615</v>
      </c>
    </row>
    <row r="4417" spans="1:13" x14ac:dyDescent="0.25">
      <c r="A4417">
        <v>104</v>
      </c>
      <c r="B4417" s="47" t="str">
        <f>VLOOKUP(Tabla6[[#This Row],['# Vuelo]],'Validacion reclamo de equipaje'!P:Q,2,0)</f>
        <v>MEXICO AEREO</v>
      </c>
      <c r="C4417" s="52">
        <v>0.8979166666666667</v>
      </c>
      <c r="D4417" s="52">
        <v>0.90138888888888891</v>
      </c>
      <c r="E4417" s="53">
        <f>'Reclamo de equipaje rediseñado'!$D4417-'Reclamo de equipaje rediseñado'!$C4417</f>
        <v>3.4722222222222099E-3</v>
      </c>
      <c r="F4417" s="52">
        <v>0.90625</v>
      </c>
      <c r="G4417" s="53">
        <f t="shared" si="68"/>
        <v>4.8611111111110938E-3</v>
      </c>
      <c r="H4417" s="54">
        <v>41803</v>
      </c>
      <c r="I4417" s="55" t="s">
        <v>536</v>
      </c>
      <c r="J4417" s="55" t="s">
        <v>565</v>
      </c>
      <c r="K4417" s="55">
        <f>VLOOKUP(J4417,'Validacion reclamo de equipaje'!L:M,2,0)</f>
        <v>99</v>
      </c>
      <c r="L4417" s="55" t="str">
        <f>VLOOKUP(I4417,'Validacion reclamo de equipaje'!H:I,2,0)</f>
        <v>Nacional</v>
      </c>
      <c r="M4417" s="55" t="s">
        <v>615</v>
      </c>
    </row>
    <row r="4418" spans="1:13" x14ac:dyDescent="0.25">
      <c r="A4418">
        <v>104</v>
      </c>
      <c r="B4418" s="47" t="str">
        <f>VLOOKUP(Tabla6[[#This Row],['# Vuelo]],'Validacion reclamo de equipaje'!P:Q,2,0)</f>
        <v>MEXICO AEREO</v>
      </c>
      <c r="C4418" s="48">
        <v>0.25486111111111109</v>
      </c>
      <c r="D4418" s="48">
        <v>0.26527777777777778</v>
      </c>
      <c r="E4418" s="49">
        <f>'Reclamo de equipaje rediseñado'!$D4418-'Reclamo de equipaje rediseñado'!$C4418</f>
        <v>1.0416666666666685E-2</v>
      </c>
      <c r="F4418" s="48">
        <v>0.28958333333333336</v>
      </c>
      <c r="G4418" s="49">
        <f t="shared" si="68"/>
        <v>2.430555555555558E-2</v>
      </c>
      <c r="H4418" s="50">
        <v>41807</v>
      </c>
      <c r="I4418" s="51" t="s">
        <v>536</v>
      </c>
      <c r="J4418" s="51" t="s">
        <v>565</v>
      </c>
      <c r="K4418" s="51">
        <f>VLOOKUP(J4418,'Validacion reclamo de equipaje'!L:M,2,0)</f>
        <v>99</v>
      </c>
      <c r="L4418" s="51" t="str">
        <f>VLOOKUP(I4418,'Validacion reclamo de equipaje'!H:I,2,0)</f>
        <v>Nacional</v>
      </c>
      <c r="M4418" s="51" t="s">
        <v>615</v>
      </c>
    </row>
    <row r="4419" spans="1:13" x14ac:dyDescent="0.25">
      <c r="A4419">
        <v>104</v>
      </c>
      <c r="B4419" s="47" t="str">
        <f>VLOOKUP(Tabla6[[#This Row],['# Vuelo]],'Validacion reclamo de equipaje'!P:Q,2,0)</f>
        <v>MEXICO AEREO</v>
      </c>
      <c r="C4419" s="52">
        <v>0.46111111111111108</v>
      </c>
      <c r="D4419" s="52">
        <v>0.47152777777777777</v>
      </c>
      <c r="E4419" s="53">
        <f>'Reclamo de equipaje rediseñado'!$D4419-'Reclamo de equipaje rediseñado'!$C4419</f>
        <v>1.0416666666666685E-2</v>
      </c>
      <c r="F4419" s="52">
        <v>0.47638888888888892</v>
      </c>
      <c r="G4419" s="53">
        <f t="shared" ref="G4419:G4482" si="69">F4419-D4419</f>
        <v>4.8611111111111494E-3</v>
      </c>
      <c r="H4419" s="54">
        <v>41808</v>
      </c>
      <c r="I4419" s="55" t="s">
        <v>536</v>
      </c>
      <c r="J4419" s="55" t="s">
        <v>565</v>
      </c>
      <c r="K4419" s="55">
        <f>VLOOKUP(J4419,'Validacion reclamo de equipaje'!L:M,2,0)</f>
        <v>99</v>
      </c>
      <c r="L4419" s="55" t="str">
        <f>VLOOKUP(I4419,'Validacion reclamo de equipaje'!H:I,2,0)</f>
        <v>Nacional</v>
      </c>
      <c r="M4419" s="55" t="s">
        <v>615</v>
      </c>
    </row>
    <row r="4420" spans="1:13" x14ac:dyDescent="0.25">
      <c r="A4420">
        <v>104</v>
      </c>
      <c r="B4420" s="47" t="str">
        <f>VLOOKUP(Tabla6[[#This Row],['# Vuelo]],'Validacion reclamo de equipaje'!P:Q,2,0)</f>
        <v>MEXICO AEREO</v>
      </c>
      <c r="C4420" s="48">
        <v>0.46319444444444446</v>
      </c>
      <c r="D4420" s="48">
        <v>0.4680555555555555</v>
      </c>
      <c r="E4420" s="49">
        <f>'Reclamo de equipaje rediseñado'!$D4420-'Reclamo de equipaje rediseñado'!$C4420</f>
        <v>4.8611111111110383E-3</v>
      </c>
      <c r="F4420" s="48">
        <v>0.47361111111111115</v>
      </c>
      <c r="G4420" s="49">
        <f t="shared" si="69"/>
        <v>5.5555555555556468E-3</v>
      </c>
      <c r="H4420" s="50">
        <v>41809</v>
      </c>
      <c r="I4420" s="51" t="s">
        <v>536</v>
      </c>
      <c r="J4420" s="51" t="s">
        <v>565</v>
      </c>
      <c r="K4420" s="51">
        <f>VLOOKUP(J4420,'Validacion reclamo de equipaje'!L:M,2,0)</f>
        <v>99</v>
      </c>
      <c r="L4420" s="51" t="str">
        <f>VLOOKUP(I4420,'Validacion reclamo de equipaje'!H:I,2,0)</f>
        <v>Nacional</v>
      </c>
      <c r="M4420" s="51" t="s">
        <v>615</v>
      </c>
    </row>
    <row r="4421" spans="1:13" x14ac:dyDescent="0.25">
      <c r="A4421">
        <v>104</v>
      </c>
      <c r="B4421" s="47" t="str">
        <f>VLOOKUP(Tabla6[[#This Row],['# Vuelo]],'Validacion reclamo de equipaje'!P:Q,2,0)</f>
        <v>MEXICO AEREO</v>
      </c>
      <c r="C4421" s="52">
        <v>0.46597222222222223</v>
      </c>
      <c r="D4421" s="52">
        <v>0.47222222222222227</v>
      </c>
      <c r="E4421" s="53">
        <f>'Reclamo de equipaje rediseñado'!$D4421-'Reclamo de equipaje rediseñado'!$C4421</f>
        <v>6.2500000000000333E-3</v>
      </c>
      <c r="F4421" s="52">
        <v>0.47916666666666669</v>
      </c>
      <c r="G4421" s="53">
        <f t="shared" si="69"/>
        <v>6.9444444444444198E-3</v>
      </c>
      <c r="H4421" s="54">
        <v>41810</v>
      </c>
      <c r="I4421" s="55" t="s">
        <v>536</v>
      </c>
      <c r="J4421" s="55" t="s">
        <v>565</v>
      </c>
      <c r="K4421" s="55">
        <f>VLOOKUP(J4421,'Validacion reclamo de equipaje'!L:M,2,0)</f>
        <v>99</v>
      </c>
      <c r="L4421" s="55" t="str">
        <f>VLOOKUP(I4421,'Validacion reclamo de equipaje'!H:I,2,0)</f>
        <v>Nacional</v>
      </c>
      <c r="M4421" s="55" t="s">
        <v>615</v>
      </c>
    </row>
    <row r="4422" spans="1:13" x14ac:dyDescent="0.25">
      <c r="A4422">
        <v>104</v>
      </c>
      <c r="B4422" s="47" t="str">
        <f>VLOOKUP(Tabla6[[#This Row],['# Vuelo]],'Validacion reclamo de equipaje'!P:Q,2,0)</f>
        <v>MEXICO AEREO</v>
      </c>
      <c r="C4422" s="48">
        <v>0.50624999999999998</v>
      </c>
      <c r="D4422" s="48">
        <v>0.5083333333333333</v>
      </c>
      <c r="E4422" s="49">
        <f>'Reclamo de equipaje rediseñado'!$D4422-'Reclamo de equipaje rediseñado'!$C4422</f>
        <v>2.0833333333333259E-3</v>
      </c>
      <c r="F4422" s="48">
        <v>0.5180555555555556</v>
      </c>
      <c r="G4422" s="49">
        <f t="shared" si="69"/>
        <v>9.7222222222222987E-3</v>
      </c>
      <c r="H4422" s="50">
        <v>41813</v>
      </c>
      <c r="I4422" s="51" t="s">
        <v>536</v>
      </c>
      <c r="J4422" s="51" t="s">
        <v>565</v>
      </c>
      <c r="K4422" s="51">
        <f>VLOOKUP(J4422,'Validacion reclamo de equipaje'!L:M,2,0)</f>
        <v>99</v>
      </c>
      <c r="L4422" s="51" t="str">
        <f>VLOOKUP(I4422,'Validacion reclamo de equipaje'!H:I,2,0)</f>
        <v>Nacional</v>
      </c>
      <c r="M4422" s="51" t="s">
        <v>615</v>
      </c>
    </row>
    <row r="4423" spans="1:13" x14ac:dyDescent="0.25">
      <c r="A4423">
        <v>100</v>
      </c>
      <c r="B4423" s="47" t="str">
        <f>VLOOKUP(Tabla6[[#This Row],['# Vuelo]],'Validacion reclamo de equipaje'!P:Q,2,0)</f>
        <v>MEXICO AEREO</v>
      </c>
      <c r="C4423" s="52">
        <v>0.35555555555555557</v>
      </c>
      <c r="D4423" s="52">
        <v>0.3611111111111111</v>
      </c>
      <c r="E4423" s="53">
        <f>'Reclamo de equipaje rediseñado'!$D4423-'Reclamo de equipaje rediseñado'!$C4423</f>
        <v>5.5555555555555358E-3</v>
      </c>
      <c r="F4423" s="52">
        <v>0.36388888888888887</v>
      </c>
      <c r="G4423" s="53">
        <f t="shared" si="69"/>
        <v>2.7777777777777679E-3</v>
      </c>
      <c r="H4423" s="54">
        <v>41792</v>
      </c>
      <c r="I4423" s="55" t="s">
        <v>536</v>
      </c>
      <c r="J4423" s="55">
        <v>738</v>
      </c>
      <c r="K4423" s="55">
        <f>VLOOKUP(J4423,'Validacion reclamo de equipaje'!L:M,2,0)</f>
        <v>189</v>
      </c>
      <c r="L4423" s="55" t="str">
        <f>VLOOKUP(I4423,'Validacion reclamo de equipaje'!H:I,2,0)</f>
        <v>Nacional</v>
      </c>
      <c r="M4423" s="55" t="s">
        <v>615</v>
      </c>
    </row>
    <row r="4424" spans="1:13" x14ac:dyDescent="0.25">
      <c r="A4424">
        <v>100</v>
      </c>
      <c r="B4424" s="47" t="str">
        <f>VLOOKUP(Tabla6[[#This Row],['# Vuelo]],'Validacion reclamo de equipaje'!P:Q,2,0)</f>
        <v>MEXICO AEREO</v>
      </c>
      <c r="C4424" s="48">
        <v>0.35625000000000001</v>
      </c>
      <c r="D4424" s="48">
        <v>0.3611111111111111</v>
      </c>
      <c r="E4424" s="49">
        <f>'Reclamo de equipaje rediseñado'!$D4424-'Reclamo de equipaje rediseñado'!$C4424</f>
        <v>4.8611111111110938E-3</v>
      </c>
      <c r="F4424" s="48">
        <v>0.36874999999999997</v>
      </c>
      <c r="G4424" s="49">
        <f t="shared" si="69"/>
        <v>7.6388888888888618E-3</v>
      </c>
      <c r="H4424" s="50">
        <v>41793</v>
      </c>
      <c r="I4424" s="51" t="s">
        <v>536</v>
      </c>
      <c r="J4424" s="51">
        <v>738</v>
      </c>
      <c r="K4424" s="51">
        <f>VLOOKUP(J4424,'Validacion reclamo de equipaje'!L:M,2,0)</f>
        <v>189</v>
      </c>
      <c r="L4424" s="51" t="str">
        <f>VLOOKUP(I4424,'Validacion reclamo de equipaje'!H:I,2,0)</f>
        <v>Nacional</v>
      </c>
      <c r="M4424" s="51" t="s">
        <v>615</v>
      </c>
    </row>
    <row r="4425" spans="1:13" x14ac:dyDescent="0.25">
      <c r="A4425">
        <v>100</v>
      </c>
      <c r="B4425" s="47" t="str">
        <f>VLOOKUP(Tabla6[[#This Row],['# Vuelo]],'Validacion reclamo de equipaje'!P:Q,2,0)</f>
        <v>MEXICO AEREO</v>
      </c>
      <c r="C4425" s="52">
        <v>0.35625000000000001</v>
      </c>
      <c r="D4425" s="52">
        <v>0.3611111111111111</v>
      </c>
      <c r="E4425" s="53">
        <f>'Reclamo de equipaje rediseñado'!$D4425-'Reclamo de equipaje rediseñado'!$C4425</f>
        <v>4.8611111111110938E-3</v>
      </c>
      <c r="F4425" s="52">
        <v>0.36944444444444446</v>
      </c>
      <c r="G4425" s="53">
        <f t="shared" si="69"/>
        <v>8.3333333333333592E-3</v>
      </c>
      <c r="H4425" s="54">
        <v>41794</v>
      </c>
      <c r="I4425" s="55" t="s">
        <v>536</v>
      </c>
      <c r="J4425" s="55">
        <v>738</v>
      </c>
      <c r="K4425" s="55">
        <f>VLOOKUP(J4425,'Validacion reclamo de equipaje'!L:M,2,0)</f>
        <v>189</v>
      </c>
      <c r="L4425" s="55" t="str">
        <f>VLOOKUP(I4425,'Validacion reclamo de equipaje'!H:I,2,0)</f>
        <v>Nacional</v>
      </c>
      <c r="M4425" s="55" t="s">
        <v>615</v>
      </c>
    </row>
    <row r="4426" spans="1:13" x14ac:dyDescent="0.25">
      <c r="A4426">
        <v>100</v>
      </c>
      <c r="B4426" s="47" t="str">
        <f>VLOOKUP(Tabla6[[#This Row],['# Vuelo]],'Validacion reclamo de equipaje'!P:Q,2,0)</f>
        <v>MEXICO AEREO</v>
      </c>
      <c r="C4426" s="48">
        <v>0.3576388888888889</v>
      </c>
      <c r="D4426" s="48">
        <v>0.36180555555555555</v>
      </c>
      <c r="E4426" s="49">
        <f>'Reclamo de equipaje rediseñado'!$D4426-'Reclamo de equipaje rediseñado'!$C4426</f>
        <v>4.1666666666666519E-3</v>
      </c>
      <c r="F4426" s="48">
        <v>0.37152777777777773</v>
      </c>
      <c r="G4426" s="49">
        <f t="shared" si="69"/>
        <v>9.7222222222221877E-3</v>
      </c>
      <c r="H4426" s="50">
        <v>41795</v>
      </c>
      <c r="I4426" s="51" t="s">
        <v>536</v>
      </c>
      <c r="J4426" s="51">
        <v>738</v>
      </c>
      <c r="K4426" s="51">
        <f>VLOOKUP(J4426,'Validacion reclamo de equipaje'!L:M,2,0)</f>
        <v>189</v>
      </c>
      <c r="L4426" s="51" t="str">
        <f>VLOOKUP(I4426,'Validacion reclamo de equipaje'!H:I,2,0)</f>
        <v>Nacional</v>
      </c>
      <c r="M4426" s="51" t="s">
        <v>615</v>
      </c>
    </row>
    <row r="4427" spans="1:13" x14ac:dyDescent="0.25">
      <c r="A4427">
        <v>100</v>
      </c>
      <c r="B4427" s="47" t="str">
        <f>VLOOKUP(Tabla6[[#This Row],['# Vuelo]],'Validacion reclamo de equipaje'!P:Q,2,0)</f>
        <v>MEXICO AEREO</v>
      </c>
      <c r="C4427" s="52">
        <v>0.3520833333333333</v>
      </c>
      <c r="D4427" s="52">
        <v>0.3576388888888889</v>
      </c>
      <c r="E4427" s="53">
        <f>'Reclamo de equipaje rediseñado'!$D4427-'Reclamo de equipaje rediseñado'!$C4427</f>
        <v>5.5555555555555913E-3</v>
      </c>
      <c r="F4427" s="52">
        <v>0.36736111111111108</v>
      </c>
      <c r="G4427" s="53">
        <f t="shared" si="69"/>
        <v>9.7222222222221877E-3</v>
      </c>
      <c r="H4427" s="54">
        <v>41796</v>
      </c>
      <c r="I4427" s="55" t="s">
        <v>536</v>
      </c>
      <c r="J4427" s="55">
        <v>738</v>
      </c>
      <c r="K4427" s="55">
        <f>VLOOKUP(J4427,'Validacion reclamo de equipaje'!L:M,2,0)</f>
        <v>189</v>
      </c>
      <c r="L4427" s="55" t="str">
        <f>VLOOKUP(I4427,'Validacion reclamo de equipaje'!H:I,2,0)</f>
        <v>Nacional</v>
      </c>
      <c r="M4427" s="55" t="s">
        <v>615</v>
      </c>
    </row>
    <row r="4428" spans="1:13" x14ac:dyDescent="0.25">
      <c r="A4428">
        <v>100</v>
      </c>
      <c r="B4428" s="47" t="str">
        <f>VLOOKUP(Tabla6[[#This Row],['# Vuelo]],'Validacion reclamo de equipaje'!P:Q,2,0)</f>
        <v>MEXICO AEREO</v>
      </c>
      <c r="C4428" s="48">
        <v>0.34513888888888888</v>
      </c>
      <c r="D4428" s="48">
        <v>0.3520833333333333</v>
      </c>
      <c r="E4428" s="49">
        <f>'Reclamo de equipaje rediseñado'!$D4428-'Reclamo de equipaje rediseñado'!$C4428</f>
        <v>6.9444444444444198E-3</v>
      </c>
      <c r="F4428" s="48">
        <v>0.35833333333333334</v>
      </c>
      <c r="G4428" s="49">
        <f t="shared" si="69"/>
        <v>6.2500000000000333E-3</v>
      </c>
      <c r="H4428" s="50">
        <v>41797</v>
      </c>
      <c r="I4428" s="51" t="s">
        <v>536</v>
      </c>
      <c r="J4428" s="51">
        <v>738</v>
      </c>
      <c r="K4428" s="51">
        <f>VLOOKUP(J4428,'Validacion reclamo de equipaje'!L:M,2,0)</f>
        <v>189</v>
      </c>
      <c r="L4428" s="51" t="str">
        <f>VLOOKUP(I4428,'Validacion reclamo de equipaje'!H:I,2,0)</f>
        <v>Nacional</v>
      </c>
      <c r="M4428" s="51" t="s">
        <v>615</v>
      </c>
    </row>
    <row r="4429" spans="1:13" x14ac:dyDescent="0.25">
      <c r="A4429">
        <v>100</v>
      </c>
      <c r="B4429" s="47" t="str">
        <f>VLOOKUP(Tabla6[[#This Row],['# Vuelo]],'Validacion reclamo de equipaje'!P:Q,2,0)</f>
        <v>MEXICO AEREO</v>
      </c>
      <c r="C4429" s="52">
        <v>0.3444444444444445</v>
      </c>
      <c r="D4429" s="52">
        <v>0.34722222222222227</v>
      </c>
      <c r="E4429" s="53">
        <f>'Reclamo de equipaje rediseñado'!$D4429-'Reclamo de equipaje rediseñado'!$C4429</f>
        <v>2.7777777777777679E-3</v>
      </c>
      <c r="F4429" s="52">
        <v>0.35416666666666669</v>
      </c>
      <c r="G4429" s="53">
        <f t="shared" si="69"/>
        <v>6.9444444444444198E-3</v>
      </c>
      <c r="H4429" s="54">
        <v>41799</v>
      </c>
      <c r="I4429" s="55" t="s">
        <v>536</v>
      </c>
      <c r="J4429" s="55">
        <v>738</v>
      </c>
      <c r="K4429" s="55">
        <f>VLOOKUP(J4429,'Validacion reclamo de equipaje'!L:M,2,0)</f>
        <v>189</v>
      </c>
      <c r="L4429" s="55" t="str">
        <f>VLOOKUP(I4429,'Validacion reclamo de equipaje'!H:I,2,0)</f>
        <v>Nacional</v>
      </c>
      <c r="M4429" s="55" t="s">
        <v>615</v>
      </c>
    </row>
    <row r="4430" spans="1:13" x14ac:dyDescent="0.25">
      <c r="A4430">
        <v>100</v>
      </c>
      <c r="B4430" s="47" t="str">
        <f>VLOOKUP(Tabla6[[#This Row],['# Vuelo]],'Validacion reclamo de equipaje'!P:Q,2,0)</f>
        <v>MEXICO AEREO</v>
      </c>
      <c r="C4430" s="48">
        <v>0.89583333333333337</v>
      </c>
      <c r="D4430" s="48">
        <v>0.90277777777777779</v>
      </c>
      <c r="E4430" s="49">
        <f>'Reclamo de equipaje rediseñado'!$D4430-'Reclamo de equipaje rediseñado'!$C4430</f>
        <v>6.9444444444444198E-3</v>
      </c>
      <c r="F4430" s="48">
        <v>0.91111111111111109</v>
      </c>
      <c r="G4430" s="49">
        <f t="shared" si="69"/>
        <v>8.3333333333333037E-3</v>
      </c>
      <c r="H4430" s="50">
        <v>41801</v>
      </c>
      <c r="I4430" s="51" t="s">
        <v>536</v>
      </c>
      <c r="J4430" s="51">
        <v>738</v>
      </c>
      <c r="K4430" s="51">
        <f>VLOOKUP(J4430,'Validacion reclamo de equipaje'!L:M,2,0)</f>
        <v>189</v>
      </c>
      <c r="L4430" s="51" t="str">
        <f>VLOOKUP(I4430,'Validacion reclamo de equipaje'!H:I,2,0)</f>
        <v>Nacional</v>
      </c>
      <c r="M4430" s="51" t="s">
        <v>615</v>
      </c>
    </row>
    <row r="4431" spans="1:13" x14ac:dyDescent="0.25">
      <c r="A4431">
        <v>100</v>
      </c>
      <c r="B4431" s="47" t="str">
        <f>VLOOKUP(Tabla6[[#This Row],['# Vuelo]],'Validacion reclamo de equipaje'!P:Q,2,0)</f>
        <v>MEXICO AEREO</v>
      </c>
      <c r="C4431" s="52">
        <v>0.54305555555555551</v>
      </c>
      <c r="D4431" s="52">
        <v>0.5493055555555556</v>
      </c>
      <c r="E4431" s="53">
        <f>'Reclamo de equipaje rediseñado'!$D4431-'Reclamo de equipaje rediseñado'!$C4431</f>
        <v>6.2500000000000888E-3</v>
      </c>
      <c r="F4431" s="52">
        <v>0.55347222222222225</v>
      </c>
      <c r="G4431" s="53">
        <f t="shared" si="69"/>
        <v>4.1666666666666519E-3</v>
      </c>
      <c r="H4431" s="54">
        <v>41801</v>
      </c>
      <c r="I4431" s="55" t="s">
        <v>536</v>
      </c>
      <c r="J4431" s="55">
        <v>738</v>
      </c>
      <c r="K4431" s="55">
        <f>VLOOKUP(J4431,'Validacion reclamo de equipaje'!L:M,2,0)</f>
        <v>189</v>
      </c>
      <c r="L4431" s="55" t="str">
        <f>VLOOKUP(I4431,'Validacion reclamo de equipaje'!H:I,2,0)</f>
        <v>Nacional</v>
      </c>
      <c r="M4431" s="55" t="s">
        <v>615</v>
      </c>
    </row>
    <row r="4432" spans="1:13" x14ac:dyDescent="0.25">
      <c r="A4432">
        <v>100</v>
      </c>
      <c r="B4432" s="47" t="str">
        <f>VLOOKUP(Tabla6[[#This Row],['# Vuelo]],'Validacion reclamo de equipaje'!P:Q,2,0)</f>
        <v>MEXICO AEREO</v>
      </c>
      <c r="C4432" s="48">
        <v>0.98611111111111116</v>
      </c>
      <c r="D4432" s="48">
        <v>0.9916666666666667</v>
      </c>
      <c r="E4432" s="49">
        <f>'Reclamo de equipaje rediseñado'!$D4432-'Reclamo de equipaje rediseñado'!$C4432</f>
        <v>5.5555555555555358E-3</v>
      </c>
      <c r="F4432" s="48">
        <v>1.0034722222222221</v>
      </c>
      <c r="G4432" s="49">
        <f t="shared" si="69"/>
        <v>1.1805555555555403E-2</v>
      </c>
      <c r="H4432" s="50">
        <v>41802</v>
      </c>
      <c r="I4432" s="51" t="s">
        <v>536</v>
      </c>
      <c r="J4432" s="51">
        <v>738</v>
      </c>
      <c r="K4432" s="51">
        <f>VLOOKUP(J4432,'Validacion reclamo de equipaje'!L:M,2,0)</f>
        <v>189</v>
      </c>
      <c r="L4432" s="51" t="str">
        <f>VLOOKUP(I4432,'Validacion reclamo de equipaje'!H:I,2,0)</f>
        <v>Nacional</v>
      </c>
      <c r="M4432" s="51" t="s">
        <v>615</v>
      </c>
    </row>
    <row r="4433" spans="1:13" x14ac:dyDescent="0.25">
      <c r="A4433">
        <v>100</v>
      </c>
      <c r="B4433" s="47" t="str">
        <f>VLOOKUP(Tabla6[[#This Row],['# Vuelo]],'Validacion reclamo de equipaje'!P:Q,2,0)</f>
        <v>MEXICO AEREO</v>
      </c>
      <c r="C4433" s="52">
        <v>0.21388888888888891</v>
      </c>
      <c r="D4433" s="52">
        <v>0.21805555555555556</v>
      </c>
      <c r="E4433" s="53">
        <f>'Reclamo de equipaje rediseñado'!$D4433-'Reclamo de equipaje rediseñado'!$C4433</f>
        <v>4.1666666666666519E-3</v>
      </c>
      <c r="F4433" s="52">
        <v>0.22569444444444445</v>
      </c>
      <c r="G4433" s="53">
        <f t="shared" si="69"/>
        <v>7.6388888888888895E-3</v>
      </c>
      <c r="H4433" s="54">
        <v>41802</v>
      </c>
      <c r="I4433" s="55" t="s">
        <v>536</v>
      </c>
      <c r="J4433" s="55">
        <v>738</v>
      </c>
      <c r="K4433" s="55">
        <f>VLOOKUP(J4433,'Validacion reclamo de equipaje'!L:M,2,0)</f>
        <v>189</v>
      </c>
      <c r="L4433" s="55" t="str">
        <f>VLOOKUP(I4433,'Validacion reclamo de equipaje'!H:I,2,0)</f>
        <v>Nacional</v>
      </c>
      <c r="M4433" s="55" t="s">
        <v>615</v>
      </c>
    </row>
    <row r="4434" spans="1:13" x14ac:dyDescent="0.25">
      <c r="A4434">
        <v>100</v>
      </c>
      <c r="B4434" s="47" t="str">
        <f>VLOOKUP(Tabla6[[#This Row],['# Vuelo]],'Validacion reclamo de equipaje'!P:Q,2,0)</f>
        <v>MEXICO AEREO</v>
      </c>
      <c r="C4434" s="48">
        <v>0.92361111111111116</v>
      </c>
      <c r="D4434" s="48">
        <v>0.9277777777777777</v>
      </c>
      <c r="E4434" s="49">
        <f>'Reclamo de equipaje rediseñado'!$D4434-'Reclamo de equipaje rediseñado'!$C4434</f>
        <v>4.1666666666665408E-3</v>
      </c>
      <c r="F4434" s="48">
        <v>0.93125000000000002</v>
      </c>
      <c r="G4434" s="49">
        <f t="shared" si="69"/>
        <v>3.4722222222223209E-3</v>
      </c>
      <c r="H4434" s="50">
        <v>41803</v>
      </c>
      <c r="I4434" s="51" t="s">
        <v>536</v>
      </c>
      <c r="J4434" s="51">
        <v>738</v>
      </c>
      <c r="K4434" s="51">
        <f>VLOOKUP(J4434,'Validacion reclamo de equipaje'!L:M,2,0)</f>
        <v>189</v>
      </c>
      <c r="L4434" s="51" t="str">
        <f>VLOOKUP(I4434,'Validacion reclamo de equipaje'!H:I,2,0)</f>
        <v>Nacional</v>
      </c>
      <c r="M4434" s="51" t="s">
        <v>615</v>
      </c>
    </row>
    <row r="4435" spans="1:13" x14ac:dyDescent="0.25">
      <c r="A4435">
        <v>100</v>
      </c>
      <c r="B4435" s="47" t="str">
        <f>VLOOKUP(Tabla6[[#This Row],['# Vuelo]],'Validacion reclamo de equipaje'!P:Q,2,0)</f>
        <v>MEXICO AEREO</v>
      </c>
      <c r="C4435" s="52">
        <v>0.87083333333333324</v>
      </c>
      <c r="D4435" s="52">
        <v>0.87986111111111109</v>
      </c>
      <c r="E4435" s="53">
        <f>'Reclamo de equipaje rediseñado'!$D4435-'Reclamo de equipaje rediseñado'!$C4435</f>
        <v>9.0277777777778567E-3</v>
      </c>
      <c r="F4435" s="52">
        <v>0.88888888888888884</v>
      </c>
      <c r="G4435" s="53">
        <f t="shared" si="69"/>
        <v>9.0277777777777457E-3</v>
      </c>
      <c r="H4435" s="54">
        <v>41804</v>
      </c>
      <c r="I4435" s="55" t="s">
        <v>536</v>
      </c>
      <c r="J4435" s="55">
        <v>738</v>
      </c>
      <c r="K4435" s="55">
        <f>VLOOKUP(J4435,'Validacion reclamo de equipaje'!L:M,2,0)</f>
        <v>189</v>
      </c>
      <c r="L4435" s="55" t="str">
        <f>VLOOKUP(I4435,'Validacion reclamo de equipaje'!H:I,2,0)</f>
        <v>Nacional</v>
      </c>
      <c r="M4435" s="55" t="s">
        <v>615</v>
      </c>
    </row>
    <row r="4436" spans="1:13" x14ac:dyDescent="0.25">
      <c r="A4436">
        <v>100</v>
      </c>
      <c r="B4436" s="47" t="str">
        <f>VLOOKUP(Tabla6[[#This Row],['# Vuelo]],'Validacion reclamo de equipaje'!P:Q,2,0)</f>
        <v>MEXICO AEREO</v>
      </c>
      <c r="C4436" s="48">
        <v>0.27569444444444446</v>
      </c>
      <c r="D4436" s="48">
        <v>0.29166666666666669</v>
      </c>
      <c r="E4436" s="49">
        <f>'Reclamo de equipaje rediseñado'!$D4436-'Reclamo de equipaje rediseñado'!$C4436</f>
        <v>1.5972222222222221E-2</v>
      </c>
      <c r="F4436" s="48">
        <v>0.30555555555555552</v>
      </c>
      <c r="G4436" s="49">
        <f t="shared" si="69"/>
        <v>1.388888888888884E-2</v>
      </c>
      <c r="H4436" s="50">
        <v>41805</v>
      </c>
      <c r="I4436" s="51" t="s">
        <v>536</v>
      </c>
      <c r="J4436" s="51">
        <v>738</v>
      </c>
      <c r="K4436" s="51">
        <f>VLOOKUP(J4436,'Validacion reclamo de equipaje'!L:M,2,0)</f>
        <v>189</v>
      </c>
      <c r="L4436" s="51" t="str">
        <f>VLOOKUP(I4436,'Validacion reclamo de equipaje'!H:I,2,0)</f>
        <v>Nacional</v>
      </c>
      <c r="M4436" s="51" t="s">
        <v>615</v>
      </c>
    </row>
    <row r="4437" spans="1:13" x14ac:dyDescent="0.25">
      <c r="A4437">
        <v>100</v>
      </c>
      <c r="B4437" s="47" t="str">
        <f>VLOOKUP(Tabla6[[#This Row],['# Vuelo]],'Validacion reclamo de equipaje'!P:Q,2,0)</f>
        <v>MEXICO AEREO</v>
      </c>
      <c r="C4437" s="52">
        <v>0.8305555555555556</v>
      </c>
      <c r="D4437" s="52">
        <v>0.84166666666666667</v>
      </c>
      <c r="E4437" s="53">
        <f>'Reclamo de equipaje rediseñado'!$D4437-'Reclamo de equipaje rediseñado'!$C4437</f>
        <v>1.1111111111111072E-2</v>
      </c>
      <c r="F4437" s="52">
        <v>0.85763888888888884</v>
      </c>
      <c r="G4437" s="53">
        <f t="shared" si="69"/>
        <v>1.5972222222222165E-2</v>
      </c>
      <c r="H4437" s="54">
        <v>41806</v>
      </c>
      <c r="I4437" s="55" t="s">
        <v>536</v>
      </c>
      <c r="J4437" s="55">
        <v>738</v>
      </c>
      <c r="K4437" s="55">
        <f>VLOOKUP(J4437,'Validacion reclamo de equipaje'!L:M,2,0)</f>
        <v>189</v>
      </c>
      <c r="L4437" s="55" t="str">
        <f>VLOOKUP(I4437,'Validacion reclamo de equipaje'!H:I,2,0)</f>
        <v>Nacional</v>
      </c>
      <c r="M4437" s="55" t="s">
        <v>615</v>
      </c>
    </row>
    <row r="4438" spans="1:13" x14ac:dyDescent="0.25">
      <c r="A4438">
        <v>100</v>
      </c>
      <c r="B4438" s="47" t="str">
        <f>VLOOKUP(Tabla6[[#This Row],['# Vuelo]],'Validacion reclamo de equipaje'!P:Q,2,0)</f>
        <v>MEXICO AEREO</v>
      </c>
      <c r="C4438" s="48">
        <v>0.26041666666666669</v>
      </c>
      <c r="D4438" s="48">
        <v>0.26597222222222222</v>
      </c>
      <c r="E4438" s="49">
        <f>'Reclamo de equipaje rediseñado'!$D4438-'Reclamo de equipaje rediseñado'!$C4438</f>
        <v>5.5555555555555358E-3</v>
      </c>
      <c r="F4438" s="48">
        <v>0.2722222222222222</v>
      </c>
      <c r="G4438" s="49">
        <f t="shared" si="69"/>
        <v>6.2499999999999778E-3</v>
      </c>
      <c r="H4438" s="50">
        <v>41807</v>
      </c>
      <c r="I4438" s="51" t="s">
        <v>536</v>
      </c>
      <c r="J4438" s="51">
        <v>738</v>
      </c>
      <c r="K4438" s="51">
        <f>VLOOKUP(J4438,'Validacion reclamo de equipaje'!L:M,2,0)</f>
        <v>189</v>
      </c>
      <c r="L4438" s="51" t="str">
        <f>VLOOKUP(I4438,'Validacion reclamo de equipaje'!H:I,2,0)</f>
        <v>Nacional</v>
      </c>
      <c r="M4438" s="51" t="s">
        <v>615</v>
      </c>
    </row>
    <row r="4439" spans="1:13" x14ac:dyDescent="0.25">
      <c r="A4439">
        <v>100</v>
      </c>
      <c r="B4439" s="47" t="str">
        <f>VLOOKUP(Tabla6[[#This Row],['# Vuelo]],'Validacion reclamo de equipaje'!P:Q,2,0)</f>
        <v>MEXICO AEREO</v>
      </c>
      <c r="C4439" s="52">
        <v>0.36458333333333331</v>
      </c>
      <c r="D4439" s="52">
        <v>0.375</v>
      </c>
      <c r="E4439" s="53">
        <f>'Reclamo de equipaje rediseñado'!$D4439-'Reclamo de equipaje rediseñado'!$C4439</f>
        <v>1.0416666666666685E-2</v>
      </c>
      <c r="F4439" s="52">
        <v>0.37847222222222227</v>
      </c>
      <c r="G4439" s="53">
        <f t="shared" si="69"/>
        <v>3.4722222222222654E-3</v>
      </c>
      <c r="H4439" s="54">
        <v>41808</v>
      </c>
      <c r="I4439" s="55" t="s">
        <v>536</v>
      </c>
      <c r="J4439" s="55">
        <v>738</v>
      </c>
      <c r="K4439" s="55">
        <f>VLOOKUP(J4439,'Validacion reclamo de equipaje'!L:M,2,0)</f>
        <v>189</v>
      </c>
      <c r="L4439" s="55" t="str">
        <f>VLOOKUP(I4439,'Validacion reclamo de equipaje'!H:I,2,0)</f>
        <v>Nacional</v>
      </c>
      <c r="M4439" s="55" t="s">
        <v>615</v>
      </c>
    </row>
    <row r="4440" spans="1:13" x14ac:dyDescent="0.25">
      <c r="A4440">
        <v>100</v>
      </c>
      <c r="B4440" s="47" t="str">
        <f>VLOOKUP(Tabla6[[#This Row],['# Vuelo]],'Validacion reclamo de equipaje'!P:Q,2,0)</f>
        <v>MEXICO AEREO</v>
      </c>
      <c r="C4440" s="48">
        <v>0.3527777777777778</v>
      </c>
      <c r="D4440" s="48">
        <v>0.3576388888888889</v>
      </c>
      <c r="E4440" s="49">
        <f>'Reclamo de equipaje rediseñado'!$D4440-'Reclamo de equipaje rediseñado'!$C4440</f>
        <v>4.8611111111110938E-3</v>
      </c>
      <c r="F4440" s="48">
        <v>0.37013888888888885</v>
      </c>
      <c r="G4440" s="49">
        <f t="shared" si="69"/>
        <v>1.2499999999999956E-2</v>
      </c>
      <c r="H4440" s="50">
        <v>41809</v>
      </c>
      <c r="I4440" s="51" t="s">
        <v>536</v>
      </c>
      <c r="J4440" s="51">
        <v>738</v>
      </c>
      <c r="K4440" s="51">
        <f>VLOOKUP(J4440,'Validacion reclamo de equipaje'!L:M,2,0)</f>
        <v>189</v>
      </c>
      <c r="L4440" s="51" t="str">
        <f>VLOOKUP(I4440,'Validacion reclamo de equipaje'!H:I,2,0)</f>
        <v>Nacional</v>
      </c>
      <c r="M4440" s="51" t="s">
        <v>615</v>
      </c>
    </row>
    <row r="4441" spans="1:13" x14ac:dyDescent="0.25">
      <c r="A4441">
        <v>100</v>
      </c>
      <c r="B4441" s="47" t="str">
        <f>VLOOKUP(Tabla6[[#This Row],['# Vuelo]],'Validacion reclamo de equipaje'!P:Q,2,0)</f>
        <v>MEXICO AEREO</v>
      </c>
      <c r="C4441" s="52">
        <v>0.36180555555555555</v>
      </c>
      <c r="D4441" s="52">
        <v>0.36388888888888887</v>
      </c>
      <c r="E4441" s="53">
        <f>'Reclamo de equipaje rediseñado'!$D4441-'Reclamo de equipaje rediseñado'!$C4441</f>
        <v>2.0833333333333259E-3</v>
      </c>
      <c r="F4441" s="52">
        <v>0.36944444444444446</v>
      </c>
      <c r="G4441" s="53">
        <f t="shared" si="69"/>
        <v>5.5555555555555913E-3</v>
      </c>
      <c r="H4441" s="54">
        <v>41810</v>
      </c>
      <c r="I4441" s="55" t="s">
        <v>536</v>
      </c>
      <c r="J4441" s="55">
        <v>738</v>
      </c>
      <c r="K4441" s="55">
        <f>VLOOKUP(J4441,'Validacion reclamo de equipaje'!L:M,2,0)</f>
        <v>189</v>
      </c>
      <c r="L4441" s="55" t="str">
        <f>VLOOKUP(I4441,'Validacion reclamo de equipaje'!H:I,2,0)</f>
        <v>Nacional</v>
      </c>
      <c r="M4441" s="55" t="s">
        <v>615</v>
      </c>
    </row>
    <row r="4442" spans="1:13" x14ac:dyDescent="0.25">
      <c r="A4442">
        <v>100</v>
      </c>
      <c r="B4442" s="47" t="str">
        <f>VLOOKUP(Tabla6[[#This Row],['# Vuelo]],'Validacion reclamo de equipaje'!P:Q,2,0)</f>
        <v>MEXICO AEREO</v>
      </c>
      <c r="C4442" s="48">
        <v>0.34375</v>
      </c>
      <c r="D4442" s="48">
        <v>0.35138888888888892</v>
      </c>
      <c r="E4442" s="49">
        <f>'Reclamo de equipaje rediseñado'!$D4442-'Reclamo de equipaje rediseñado'!$C4442</f>
        <v>7.6388888888889173E-3</v>
      </c>
      <c r="F4442" s="48">
        <v>0.35416666666666669</v>
      </c>
      <c r="G4442" s="49">
        <f t="shared" si="69"/>
        <v>2.7777777777777679E-3</v>
      </c>
      <c r="H4442" s="50">
        <v>41813</v>
      </c>
      <c r="I4442" s="51" t="s">
        <v>536</v>
      </c>
      <c r="J4442" s="51">
        <v>738</v>
      </c>
      <c r="K4442" s="51">
        <f>VLOOKUP(J4442,'Validacion reclamo de equipaje'!L:M,2,0)</f>
        <v>189</v>
      </c>
      <c r="L4442" s="51" t="str">
        <f>VLOOKUP(I4442,'Validacion reclamo de equipaje'!H:I,2,0)</f>
        <v>Nacional</v>
      </c>
      <c r="M4442" s="51" t="s">
        <v>615</v>
      </c>
    </row>
    <row r="4443" spans="1:13" x14ac:dyDescent="0.25">
      <c r="A4443">
        <v>248</v>
      </c>
      <c r="B4443" s="47" t="str">
        <f>VLOOKUP(Tabla6[[#This Row],['# Vuelo]],'Validacion reclamo de equipaje'!P:Q,2,0)</f>
        <v>VUELOS AL NORTE</v>
      </c>
      <c r="C4443" s="52">
        <v>0.51041666666666663</v>
      </c>
      <c r="D4443" s="52">
        <v>0.52638888888888891</v>
      </c>
      <c r="E4443" s="53">
        <f>'Reclamo de equipaje rediseñado'!$D4443-'Reclamo de equipaje rediseñado'!$C4443</f>
        <v>1.5972222222222276E-2</v>
      </c>
      <c r="F4443" s="52">
        <v>0.54722222222222217</v>
      </c>
      <c r="G4443" s="53">
        <f t="shared" si="69"/>
        <v>2.0833333333333259E-2</v>
      </c>
      <c r="H4443" s="54">
        <v>41791</v>
      </c>
      <c r="I4443" s="55" t="s">
        <v>555</v>
      </c>
      <c r="J4443" s="55">
        <v>737</v>
      </c>
      <c r="K4443" s="55">
        <f>VLOOKUP(J4443,'Validacion reclamo de equipaje'!L:M,2,0)</f>
        <v>169</v>
      </c>
      <c r="L4443" s="55" t="str">
        <f>VLOOKUP(I4443,'Validacion reclamo de equipaje'!H:I,2,0)</f>
        <v>Internacional</v>
      </c>
      <c r="M4443" s="55" t="s">
        <v>615</v>
      </c>
    </row>
    <row r="4444" spans="1:13" x14ac:dyDescent="0.25">
      <c r="A4444">
        <v>248</v>
      </c>
      <c r="B4444" s="47" t="str">
        <f>VLOOKUP(Tabla6[[#This Row],['# Vuelo]],'Validacion reclamo de equipaje'!P:Q,2,0)</f>
        <v>VUELOS AL NORTE</v>
      </c>
      <c r="C4444" s="48">
        <v>0.50972222222222219</v>
      </c>
      <c r="D4444" s="48">
        <v>0.52569444444444446</v>
      </c>
      <c r="E4444" s="49">
        <f>'Reclamo de equipaje rediseñado'!$D4444-'Reclamo de equipaje rediseñado'!$C4444</f>
        <v>1.5972222222222276E-2</v>
      </c>
      <c r="F4444" s="48">
        <v>0.54027777777777775</v>
      </c>
      <c r="G4444" s="49">
        <f t="shared" si="69"/>
        <v>1.4583333333333282E-2</v>
      </c>
      <c r="H4444" s="50">
        <v>41792</v>
      </c>
      <c r="I4444" s="51" t="s">
        <v>555</v>
      </c>
      <c r="J4444" s="51">
        <v>737</v>
      </c>
      <c r="K4444" s="51">
        <f>VLOOKUP(J4444,'Validacion reclamo de equipaje'!L:M,2,0)</f>
        <v>169</v>
      </c>
      <c r="L4444" s="51" t="str">
        <f>VLOOKUP(I4444,'Validacion reclamo de equipaje'!H:I,2,0)</f>
        <v>Internacional</v>
      </c>
      <c r="M4444" s="51" t="s">
        <v>615</v>
      </c>
    </row>
    <row r="4445" spans="1:13" x14ac:dyDescent="0.25">
      <c r="A4445">
        <v>248</v>
      </c>
      <c r="B4445" s="47" t="str">
        <f>VLOOKUP(Tabla6[[#This Row],['# Vuelo]],'Validacion reclamo de equipaje'!P:Q,2,0)</f>
        <v>VUELOS AL NORTE</v>
      </c>
      <c r="C4445" s="52">
        <v>0.51111111111111118</v>
      </c>
      <c r="D4445" s="52">
        <v>0.52430555555555558</v>
      </c>
      <c r="E4445" s="53">
        <f>'Reclamo de equipaje rediseñado'!$D4445-'Reclamo de equipaje rediseñado'!$C4445</f>
        <v>1.3194444444444398E-2</v>
      </c>
      <c r="F4445" s="52">
        <v>0.54097222222222219</v>
      </c>
      <c r="G4445" s="53">
        <f t="shared" si="69"/>
        <v>1.6666666666666607E-2</v>
      </c>
      <c r="H4445" s="54">
        <v>41793</v>
      </c>
      <c r="I4445" s="55" t="s">
        <v>555</v>
      </c>
      <c r="J4445" s="55">
        <v>737</v>
      </c>
      <c r="K4445" s="55">
        <f>VLOOKUP(J4445,'Validacion reclamo de equipaje'!L:M,2,0)</f>
        <v>169</v>
      </c>
      <c r="L4445" s="55" t="str">
        <f>VLOOKUP(I4445,'Validacion reclamo de equipaje'!H:I,2,0)</f>
        <v>Internacional</v>
      </c>
      <c r="M4445" s="55" t="s">
        <v>615</v>
      </c>
    </row>
    <row r="4446" spans="1:13" x14ac:dyDescent="0.25">
      <c r="A4446">
        <v>248</v>
      </c>
      <c r="B4446" s="47" t="str">
        <f>VLOOKUP(Tabla6[[#This Row],['# Vuelo]],'Validacion reclamo de equipaje'!P:Q,2,0)</f>
        <v>VUELOS AL NORTE</v>
      </c>
      <c r="C4446" s="48">
        <v>0.54652777777777783</v>
      </c>
      <c r="D4446" s="48">
        <v>0.5625</v>
      </c>
      <c r="E4446" s="49">
        <f>'Reclamo de equipaje rediseñado'!$D4446-'Reclamo de equipaje rediseñado'!$C4446</f>
        <v>1.5972222222222165E-2</v>
      </c>
      <c r="F4446" s="48">
        <v>0.58333333333333337</v>
      </c>
      <c r="G4446" s="49">
        <f t="shared" si="69"/>
        <v>2.083333333333337E-2</v>
      </c>
      <c r="H4446" s="50">
        <v>41794</v>
      </c>
      <c r="I4446" s="51" t="s">
        <v>555</v>
      </c>
      <c r="J4446" s="51">
        <v>737</v>
      </c>
      <c r="K4446" s="51">
        <f>VLOOKUP(J4446,'Validacion reclamo de equipaje'!L:M,2,0)</f>
        <v>169</v>
      </c>
      <c r="L4446" s="51" t="str">
        <f>VLOOKUP(I4446,'Validacion reclamo de equipaje'!H:I,2,0)</f>
        <v>Internacional</v>
      </c>
      <c r="M4446" s="51" t="s">
        <v>615</v>
      </c>
    </row>
    <row r="4447" spans="1:13" x14ac:dyDescent="0.25">
      <c r="A4447">
        <v>248</v>
      </c>
      <c r="B4447" s="47" t="str">
        <f>VLOOKUP(Tabla6[[#This Row],['# Vuelo]],'Validacion reclamo de equipaje'!P:Q,2,0)</f>
        <v>VUELOS AL NORTE</v>
      </c>
      <c r="C4447" s="52">
        <v>0.51250000000000007</v>
      </c>
      <c r="D4447" s="52">
        <v>0.53125</v>
      </c>
      <c r="E4447" s="53">
        <f>'Reclamo de equipaje rediseñado'!$D4447-'Reclamo de equipaje rediseñado'!$C4447</f>
        <v>1.8749999999999933E-2</v>
      </c>
      <c r="F4447" s="52">
        <v>0.54583333333333328</v>
      </c>
      <c r="G4447" s="53">
        <f t="shared" si="69"/>
        <v>1.4583333333333282E-2</v>
      </c>
      <c r="H4447" s="54">
        <v>41795</v>
      </c>
      <c r="I4447" s="55" t="s">
        <v>555</v>
      </c>
      <c r="J4447" s="55">
        <v>737</v>
      </c>
      <c r="K4447" s="55">
        <f>VLOOKUP(J4447,'Validacion reclamo de equipaje'!L:M,2,0)</f>
        <v>169</v>
      </c>
      <c r="L4447" s="55" t="str">
        <f>VLOOKUP(I4447,'Validacion reclamo de equipaje'!H:I,2,0)</f>
        <v>Internacional</v>
      </c>
      <c r="M4447" s="55" t="s">
        <v>615</v>
      </c>
    </row>
    <row r="4448" spans="1:13" x14ac:dyDescent="0.25">
      <c r="A4448">
        <v>248</v>
      </c>
      <c r="B4448" s="47" t="str">
        <f>VLOOKUP(Tabla6[[#This Row],['# Vuelo]],'Validacion reclamo de equipaje'!P:Q,2,0)</f>
        <v>VUELOS AL NORTE</v>
      </c>
      <c r="C4448" s="48">
        <v>0.50138888888888888</v>
      </c>
      <c r="D4448" s="48">
        <v>0.51597222222222217</v>
      </c>
      <c r="E4448" s="49">
        <f>'Reclamo de equipaje rediseñado'!$D4448-'Reclamo de equipaje rediseñado'!$C4448</f>
        <v>1.4583333333333282E-2</v>
      </c>
      <c r="F4448" s="48">
        <v>0.52986111111111112</v>
      </c>
      <c r="G4448" s="49">
        <f t="shared" si="69"/>
        <v>1.3888888888888951E-2</v>
      </c>
      <c r="H4448" s="50">
        <v>41796</v>
      </c>
      <c r="I4448" s="51" t="s">
        <v>555</v>
      </c>
      <c r="J4448" s="51">
        <v>737</v>
      </c>
      <c r="K4448" s="51">
        <f>VLOOKUP(J4448,'Validacion reclamo de equipaje'!L:M,2,0)</f>
        <v>169</v>
      </c>
      <c r="L4448" s="51" t="str">
        <f>VLOOKUP(I4448,'Validacion reclamo de equipaje'!H:I,2,0)</f>
        <v>Internacional</v>
      </c>
      <c r="M4448" s="51" t="s">
        <v>615</v>
      </c>
    </row>
    <row r="4449" spans="1:13" x14ac:dyDescent="0.25">
      <c r="A4449">
        <v>248</v>
      </c>
      <c r="B4449" s="47" t="str">
        <f>VLOOKUP(Tabla6[[#This Row],['# Vuelo]],'Validacion reclamo de equipaje'!P:Q,2,0)</f>
        <v>VUELOS AL NORTE</v>
      </c>
      <c r="C4449" s="52">
        <v>0.5</v>
      </c>
      <c r="D4449" s="52">
        <v>0.51458333333333328</v>
      </c>
      <c r="E4449" s="53">
        <f>'Reclamo de equipaje rediseñado'!$D4449-'Reclamo de equipaje rediseñado'!$C4449</f>
        <v>1.4583333333333282E-2</v>
      </c>
      <c r="F4449" s="52">
        <v>0.53611111111111109</v>
      </c>
      <c r="G4449" s="53">
        <f t="shared" si="69"/>
        <v>2.1527777777777812E-2</v>
      </c>
      <c r="H4449" s="54">
        <v>41797</v>
      </c>
      <c r="I4449" s="55" t="s">
        <v>555</v>
      </c>
      <c r="J4449" s="55">
        <v>737</v>
      </c>
      <c r="K4449" s="55">
        <f>VLOOKUP(J4449,'Validacion reclamo de equipaje'!L:M,2,0)</f>
        <v>169</v>
      </c>
      <c r="L4449" s="55" t="str">
        <f>VLOOKUP(I4449,'Validacion reclamo de equipaje'!H:I,2,0)</f>
        <v>Internacional</v>
      </c>
      <c r="M4449" s="55" t="s">
        <v>615</v>
      </c>
    </row>
    <row r="4450" spans="1:13" x14ac:dyDescent="0.25">
      <c r="A4450">
        <v>248</v>
      </c>
      <c r="B4450" s="47" t="str">
        <f>VLOOKUP(Tabla6[[#This Row],['# Vuelo]],'Validacion reclamo de equipaje'!P:Q,2,0)</f>
        <v>VUELOS AL NORTE</v>
      </c>
      <c r="C4450" s="48">
        <v>0.49444444444444446</v>
      </c>
      <c r="D4450" s="48">
        <v>0.50763888888888886</v>
      </c>
      <c r="E4450" s="49">
        <f>'Reclamo de equipaje rediseñado'!$D4450-'Reclamo de equipaje rediseñado'!$C4450</f>
        <v>1.3194444444444398E-2</v>
      </c>
      <c r="F4450" s="48">
        <v>0.52500000000000002</v>
      </c>
      <c r="G4450" s="49">
        <f t="shared" si="69"/>
        <v>1.736111111111116E-2</v>
      </c>
      <c r="H4450" s="50">
        <v>41798</v>
      </c>
      <c r="I4450" s="51" t="s">
        <v>555</v>
      </c>
      <c r="J4450" s="51">
        <v>737</v>
      </c>
      <c r="K4450" s="51">
        <f>VLOOKUP(J4450,'Validacion reclamo de equipaje'!L:M,2,0)</f>
        <v>169</v>
      </c>
      <c r="L4450" s="51" t="str">
        <f>VLOOKUP(I4450,'Validacion reclamo de equipaje'!H:I,2,0)</f>
        <v>Internacional</v>
      </c>
      <c r="M4450" s="51" t="s">
        <v>615</v>
      </c>
    </row>
    <row r="4451" spans="1:13" x14ac:dyDescent="0.25">
      <c r="A4451">
        <v>248</v>
      </c>
      <c r="B4451" s="47" t="str">
        <f>VLOOKUP(Tabla6[[#This Row],['# Vuelo]],'Validacion reclamo de equipaje'!P:Q,2,0)</f>
        <v>VUELOS AL NORTE</v>
      </c>
      <c r="C4451" s="52">
        <v>0.67569444444444438</v>
      </c>
      <c r="D4451" s="52">
        <v>0.68402777777777779</v>
      </c>
      <c r="E4451" s="53">
        <f>'Reclamo de equipaje rediseñado'!$D4451-'Reclamo de equipaje rediseñado'!$C4451</f>
        <v>8.3333333333334147E-3</v>
      </c>
      <c r="F4451" s="52">
        <v>0.69791666666666663</v>
      </c>
      <c r="G4451" s="53">
        <f t="shared" si="69"/>
        <v>1.388888888888884E-2</v>
      </c>
      <c r="H4451" s="54">
        <v>41801</v>
      </c>
      <c r="I4451" s="55" t="s">
        <v>555</v>
      </c>
      <c r="J4451" s="55">
        <v>737</v>
      </c>
      <c r="K4451" s="55">
        <f>VLOOKUP(J4451,'Validacion reclamo de equipaje'!L:M,2,0)</f>
        <v>169</v>
      </c>
      <c r="L4451" s="55" t="str">
        <f>VLOOKUP(I4451,'Validacion reclamo de equipaje'!H:I,2,0)</f>
        <v>Internacional</v>
      </c>
      <c r="M4451" s="55" t="s">
        <v>615</v>
      </c>
    </row>
    <row r="4452" spans="1:13" x14ac:dyDescent="0.25">
      <c r="A4452">
        <v>248</v>
      </c>
      <c r="B4452" s="47" t="str">
        <f>VLOOKUP(Tabla6[[#This Row],['# Vuelo]],'Validacion reclamo de equipaje'!P:Q,2,0)</f>
        <v>VUELOS AL NORTE</v>
      </c>
      <c r="C4452" s="48">
        <v>0.83750000000000002</v>
      </c>
      <c r="D4452" s="48">
        <v>0.85</v>
      </c>
      <c r="E4452" s="49">
        <f>'Reclamo de equipaje rediseñado'!$D4452-'Reclamo de equipaje rediseñado'!$C4452</f>
        <v>1.2499999999999956E-2</v>
      </c>
      <c r="F4452" s="48">
        <v>0.875</v>
      </c>
      <c r="G4452" s="49">
        <f t="shared" si="69"/>
        <v>2.5000000000000022E-2</v>
      </c>
      <c r="H4452" s="50">
        <v>41802</v>
      </c>
      <c r="I4452" s="51" t="s">
        <v>555</v>
      </c>
      <c r="J4452" s="51">
        <v>737</v>
      </c>
      <c r="K4452" s="51">
        <f>VLOOKUP(J4452,'Validacion reclamo de equipaje'!L:M,2,0)</f>
        <v>169</v>
      </c>
      <c r="L4452" s="51" t="str">
        <f>VLOOKUP(I4452,'Validacion reclamo de equipaje'!H:I,2,0)</f>
        <v>Internacional</v>
      </c>
      <c r="M4452" s="51" t="s">
        <v>615</v>
      </c>
    </row>
    <row r="4453" spans="1:13" x14ac:dyDescent="0.25">
      <c r="A4453">
        <v>248</v>
      </c>
      <c r="B4453" s="47" t="str">
        <f>VLOOKUP(Tabla6[[#This Row],['# Vuelo]],'Validacion reclamo de equipaje'!P:Q,2,0)</f>
        <v>VUELOS AL NORTE</v>
      </c>
      <c r="C4453" s="52">
        <v>0.84652777777777777</v>
      </c>
      <c r="D4453" s="52">
        <v>0.86249999999999993</v>
      </c>
      <c r="E4453" s="53">
        <f>'Reclamo de equipaje rediseñado'!$D4453-'Reclamo de equipaje rediseñado'!$C4453</f>
        <v>1.5972222222222165E-2</v>
      </c>
      <c r="F4453" s="52">
        <v>0.8930555555555556</v>
      </c>
      <c r="G4453" s="53">
        <f t="shared" si="69"/>
        <v>3.0555555555555669E-2</v>
      </c>
      <c r="H4453" s="54">
        <v>41803</v>
      </c>
      <c r="I4453" s="55" t="s">
        <v>555</v>
      </c>
      <c r="J4453" s="55">
        <v>737</v>
      </c>
      <c r="K4453" s="55">
        <f>VLOOKUP(J4453,'Validacion reclamo de equipaje'!L:M,2,0)</f>
        <v>169</v>
      </c>
      <c r="L4453" s="55" t="str">
        <f>VLOOKUP(I4453,'Validacion reclamo de equipaje'!H:I,2,0)</f>
        <v>Internacional</v>
      </c>
      <c r="M4453" s="55" t="s">
        <v>615</v>
      </c>
    </row>
    <row r="4454" spans="1:13" x14ac:dyDescent="0.25">
      <c r="A4454">
        <v>248</v>
      </c>
      <c r="B4454" s="47" t="str">
        <f>VLOOKUP(Tabla6[[#This Row],['# Vuelo]],'Validacion reclamo de equipaje'!P:Q,2,0)</f>
        <v>VUELOS AL NORTE</v>
      </c>
      <c r="C4454" s="48">
        <v>0.95000000000000007</v>
      </c>
      <c r="D4454" s="48">
        <v>0.95694444444444438</v>
      </c>
      <c r="E4454" s="49">
        <f>'Reclamo de equipaje rediseñado'!$D4454-'Reclamo de equipaje rediseñado'!$C4454</f>
        <v>6.9444444444443088E-3</v>
      </c>
      <c r="F4454" s="48">
        <v>0.97777777777777775</v>
      </c>
      <c r="G4454" s="49">
        <f t="shared" si="69"/>
        <v>2.083333333333337E-2</v>
      </c>
      <c r="H4454" s="50">
        <v>41804</v>
      </c>
      <c r="I4454" s="51" t="s">
        <v>555</v>
      </c>
      <c r="J4454" s="51">
        <v>737</v>
      </c>
      <c r="K4454" s="51">
        <f>VLOOKUP(J4454,'Validacion reclamo de equipaje'!L:M,2,0)</f>
        <v>169</v>
      </c>
      <c r="L4454" s="51" t="str">
        <f>VLOOKUP(I4454,'Validacion reclamo de equipaje'!H:I,2,0)</f>
        <v>Internacional</v>
      </c>
      <c r="M4454" s="51" t="s">
        <v>615</v>
      </c>
    </row>
    <row r="4455" spans="1:13" x14ac:dyDescent="0.25">
      <c r="A4455">
        <v>248</v>
      </c>
      <c r="B4455" s="47" t="str">
        <f>VLOOKUP(Tabla6[[#This Row],['# Vuelo]],'Validacion reclamo de equipaje'!P:Q,2,0)</f>
        <v>VUELOS AL NORTE</v>
      </c>
      <c r="C4455" s="52">
        <v>0.46666666666666662</v>
      </c>
      <c r="D4455" s="52">
        <v>0.47361111111111115</v>
      </c>
      <c r="E4455" s="53">
        <f>'Reclamo de equipaje rediseñado'!$D4455-'Reclamo de equipaje rediseñado'!$C4455</f>
        <v>6.9444444444445308E-3</v>
      </c>
      <c r="F4455" s="52">
        <v>0.4861111111111111</v>
      </c>
      <c r="G4455" s="53">
        <f t="shared" si="69"/>
        <v>1.2499999999999956E-2</v>
      </c>
      <c r="H4455" s="54">
        <v>41805</v>
      </c>
      <c r="I4455" s="55" t="s">
        <v>555</v>
      </c>
      <c r="J4455" s="55">
        <v>737</v>
      </c>
      <c r="K4455" s="55">
        <f>VLOOKUP(J4455,'Validacion reclamo de equipaje'!L:M,2,0)</f>
        <v>169</v>
      </c>
      <c r="L4455" s="55" t="str">
        <f>VLOOKUP(I4455,'Validacion reclamo de equipaje'!H:I,2,0)</f>
        <v>Internacional</v>
      </c>
      <c r="M4455" s="55" t="s">
        <v>615</v>
      </c>
    </row>
    <row r="4456" spans="1:13" x14ac:dyDescent="0.25">
      <c r="A4456">
        <v>248</v>
      </c>
      <c r="B4456" s="47" t="str">
        <f>VLOOKUP(Tabla6[[#This Row],['# Vuelo]],'Validacion reclamo de equipaje'!P:Q,2,0)</f>
        <v>VUELOS AL NORTE</v>
      </c>
      <c r="C4456" s="48">
        <v>0.25555555555555559</v>
      </c>
      <c r="D4456" s="48">
        <v>0.27013888888888887</v>
      </c>
      <c r="E4456" s="49">
        <f>'Reclamo de equipaje rediseñado'!$D4456-'Reclamo de equipaje rediseñado'!$C4456</f>
        <v>1.4583333333333282E-2</v>
      </c>
      <c r="F4456" s="48">
        <v>0.28472222222222221</v>
      </c>
      <c r="G4456" s="49">
        <f t="shared" si="69"/>
        <v>1.4583333333333337E-2</v>
      </c>
      <c r="H4456" s="50">
        <v>41806</v>
      </c>
      <c r="I4456" s="51" t="s">
        <v>555</v>
      </c>
      <c r="J4456" s="51">
        <v>737</v>
      </c>
      <c r="K4456" s="51">
        <f>VLOOKUP(J4456,'Validacion reclamo de equipaje'!L:M,2,0)</f>
        <v>169</v>
      </c>
      <c r="L4456" s="51" t="str">
        <f>VLOOKUP(I4456,'Validacion reclamo de equipaje'!H:I,2,0)</f>
        <v>Internacional</v>
      </c>
      <c r="M4456" s="51" t="s">
        <v>615</v>
      </c>
    </row>
    <row r="4457" spans="1:13" x14ac:dyDescent="0.25">
      <c r="A4457">
        <v>248</v>
      </c>
      <c r="B4457" s="47" t="str">
        <f>VLOOKUP(Tabla6[[#This Row],['# Vuelo]],'Validacion reclamo de equipaje'!P:Q,2,0)</f>
        <v>VUELOS AL NORTE</v>
      </c>
      <c r="C4457" s="52">
        <v>0.83819444444444446</v>
      </c>
      <c r="D4457" s="52">
        <v>0.8569444444444444</v>
      </c>
      <c r="E4457" s="53">
        <f>'Reclamo de equipaje rediseñado'!$D4457-'Reclamo de equipaje rediseñado'!$C4457</f>
        <v>1.8749999999999933E-2</v>
      </c>
      <c r="F4457" s="52">
        <v>0.86319444444444438</v>
      </c>
      <c r="G4457" s="53">
        <f t="shared" si="69"/>
        <v>6.2499999999999778E-3</v>
      </c>
      <c r="H4457" s="54">
        <v>41807</v>
      </c>
      <c r="I4457" s="55" t="s">
        <v>555</v>
      </c>
      <c r="J4457" s="55">
        <v>737</v>
      </c>
      <c r="K4457" s="55">
        <f>VLOOKUP(J4457,'Validacion reclamo de equipaje'!L:M,2,0)</f>
        <v>169</v>
      </c>
      <c r="L4457" s="55" t="str">
        <f>VLOOKUP(I4457,'Validacion reclamo de equipaje'!H:I,2,0)</f>
        <v>Internacional</v>
      </c>
      <c r="M4457" s="55" t="s">
        <v>615</v>
      </c>
    </row>
    <row r="4458" spans="1:13" x14ac:dyDescent="0.25">
      <c r="A4458">
        <v>248</v>
      </c>
      <c r="B4458" s="47" t="str">
        <f>VLOOKUP(Tabla6[[#This Row],['# Vuelo]],'Validacion reclamo de equipaje'!P:Q,2,0)</f>
        <v>VUELOS AL NORTE</v>
      </c>
      <c r="C4458" s="48">
        <v>0.49444444444444446</v>
      </c>
      <c r="D4458" s="48">
        <v>0.51180555555555551</v>
      </c>
      <c r="E4458" s="49">
        <f>'Reclamo de equipaje rediseñado'!$D4458-'Reclamo de equipaje rediseñado'!$C4458</f>
        <v>1.7361111111111049E-2</v>
      </c>
      <c r="F4458" s="48">
        <v>0.53125</v>
      </c>
      <c r="G4458" s="49">
        <f t="shared" si="69"/>
        <v>1.9444444444444486E-2</v>
      </c>
      <c r="H4458" s="50">
        <v>41808</v>
      </c>
      <c r="I4458" s="51" t="s">
        <v>555</v>
      </c>
      <c r="J4458" s="51">
        <v>737</v>
      </c>
      <c r="K4458" s="51">
        <f>VLOOKUP(J4458,'Validacion reclamo de equipaje'!L:M,2,0)</f>
        <v>169</v>
      </c>
      <c r="L4458" s="51" t="str">
        <f>VLOOKUP(I4458,'Validacion reclamo de equipaje'!H:I,2,0)</f>
        <v>Internacional</v>
      </c>
      <c r="M4458" s="51" t="s">
        <v>615</v>
      </c>
    </row>
    <row r="4459" spans="1:13" x14ac:dyDescent="0.25">
      <c r="A4459">
        <v>248</v>
      </c>
      <c r="B4459" s="47" t="str">
        <f>VLOOKUP(Tabla6[[#This Row],['# Vuelo]],'Validacion reclamo de equipaje'!P:Q,2,0)</f>
        <v>VUELOS AL NORTE</v>
      </c>
      <c r="C4459" s="52">
        <v>0.50416666666666665</v>
      </c>
      <c r="D4459" s="52">
        <v>0.51458333333333328</v>
      </c>
      <c r="E4459" s="53">
        <f>'Reclamo de equipaje rediseñado'!$D4459-'Reclamo de equipaje rediseñado'!$C4459</f>
        <v>1.041666666666663E-2</v>
      </c>
      <c r="F4459" s="52">
        <v>0.53472222222222221</v>
      </c>
      <c r="G4459" s="53">
        <f t="shared" si="69"/>
        <v>2.0138888888888928E-2</v>
      </c>
      <c r="H4459" s="54">
        <v>41809</v>
      </c>
      <c r="I4459" s="55" t="s">
        <v>555</v>
      </c>
      <c r="J4459" s="55">
        <v>737</v>
      </c>
      <c r="K4459" s="55">
        <f>VLOOKUP(J4459,'Validacion reclamo de equipaje'!L:M,2,0)</f>
        <v>169</v>
      </c>
      <c r="L4459" s="55" t="str">
        <f>VLOOKUP(I4459,'Validacion reclamo de equipaje'!H:I,2,0)</f>
        <v>Internacional</v>
      </c>
      <c r="M4459" s="55" t="s">
        <v>615</v>
      </c>
    </row>
    <row r="4460" spans="1:13" x14ac:dyDescent="0.25">
      <c r="A4460">
        <v>248</v>
      </c>
      <c r="B4460" s="47" t="str">
        <f>VLOOKUP(Tabla6[[#This Row],['# Vuelo]],'Validacion reclamo de equipaje'!P:Q,2,0)</f>
        <v>VUELOS AL NORTE</v>
      </c>
      <c r="C4460" s="48">
        <v>0.50972222222222219</v>
      </c>
      <c r="D4460" s="48">
        <v>0.52361111111111114</v>
      </c>
      <c r="E4460" s="49">
        <f>'Reclamo de equipaje rediseñado'!$D4460-'Reclamo de equipaje rediseñado'!$C4460</f>
        <v>1.3888888888888951E-2</v>
      </c>
      <c r="F4460" s="48">
        <v>0.53819444444444442</v>
      </c>
      <c r="G4460" s="49">
        <f t="shared" si="69"/>
        <v>1.4583333333333282E-2</v>
      </c>
      <c r="H4460" s="50">
        <v>41810</v>
      </c>
      <c r="I4460" s="51" t="s">
        <v>555</v>
      </c>
      <c r="J4460" s="51">
        <v>737</v>
      </c>
      <c r="K4460" s="51">
        <f>VLOOKUP(J4460,'Validacion reclamo de equipaje'!L:M,2,0)</f>
        <v>169</v>
      </c>
      <c r="L4460" s="51" t="str">
        <f>VLOOKUP(I4460,'Validacion reclamo de equipaje'!H:I,2,0)</f>
        <v>Internacional</v>
      </c>
      <c r="M4460" s="51" t="s">
        <v>615</v>
      </c>
    </row>
    <row r="4461" spans="1:13" x14ac:dyDescent="0.25">
      <c r="A4461">
        <v>248</v>
      </c>
      <c r="B4461" s="47" t="str">
        <f>VLOOKUP(Tabla6[[#This Row],['# Vuelo]],'Validacion reclamo de equipaje'!P:Q,2,0)</f>
        <v>VUELOS AL NORTE</v>
      </c>
      <c r="C4461" s="52">
        <v>0.51180555555555551</v>
      </c>
      <c r="D4461" s="52">
        <v>0.52430555555555558</v>
      </c>
      <c r="E4461" s="53">
        <f>'Reclamo de equipaje rediseñado'!$D4461-'Reclamo de equipaje rediseñado'!$C4461</f>
        <v>1.2500000000000067E-2</v>
      </c>
      <c r="F4461" s="52">
        <v>0.53888888888888886</v>
      </c>
      <c r="G4461" s="53">
        <f t="shared" si="69"/>
        <v>1.4583333333333282E-2</v>
      </c>
      <c r="H4461" s="54">
        <v>41811</v>
      </c>
      <c r="I4461" s="55" t="s">
        <v>555</v>
      </c>
      <c r="J4461" s="55">
        <v>737</v>
      </c>
      <c r="K4461" s="55">
        <f>VLOOKUP(J4461,'Validacion reclamo de equipaje'!L:M,2,0)</f>
        <v>169</v>
      </c>
      <c r="L4461" s="55" t="str">
        <f>VLOOKUP(I4461,'Validacion reclamo de equipaje'!H:I,2,0)</f>
        <v>Internacional</v>
      </c>
      <c r="M4461" s="55" t="s">
        <v>615</v>
      </c>
    </row>
    <row r="4462" spans="1:13" x14ac:dyDescent="0.25">
      <c r="A4462">
        <v>248</v>
      </c>
      <c r="B4462" s="47" t="str">
        <f>VLOOKUP(Tabla6[[#This Row],['# Vuelo]],'Validacion reclamo de equipaje'!P:Q,2,0)</f>
        <v>VUELOS AL NORTE</v>
      </c>
      <c r="C4462" s="48">
        <v>0.4770833333333333</v>
      </c>
      <c r="D4462" s="48">
        <v>0.51041666666666663</v>
      </c>
      <c r="E4462" s="49">
        <f>'Reclamo de equipaje rediseñado'!$D4462-'Reclamo de equipaje rediseñado'!$C4462</f>
        <v>3.3333333333333326E-2</v>
      </c>
      <c r="F4462" s="48">
        <v>0.52777777777777779</v>
      </c>
      <c r="G4462" s="49">
        <f t="shared" si="69"/>
        <v>1.736111111111116E-2</v>
      </c>
      <c r="H4462" s="50">
        <v>41813</v>
      </c>
      <c r="I4462" s="51" t="s">
        <v>555</v>
      </c>
      <c r="J4462" s="51">
        <v>737</v>
      </c>
      <c r="K4462" s="51">
        <f>VLOOKUP(J4462,'Validacion reclamo de equipaje'!L:M,2,0)</f>
        <v>169</v>
      </c>
      <c r="L4462" s="51" t="str">
        <f>VLOOKUP(I4462,'Validacion reclamo de equipaje'!H:I,2,0)</f>
        <v>Internacional</v>
      </c>
      <c r="M4462" s="51" t="s">
        <v>615</v>
      </c>
    </row>
    <row r="4463" spans="1:13" x14ac:dyDescent="0.25">
      <c r="A4463">
        <v>248</v>
      </c>
      <c r="B4463" s="47" t="str">
        <f>VLOOKUP(Tabla6[[#This Row],['# Vuelo]],'Validacion reclamo de equipaje'!P:Q,2,0)</f>
        <v>VUELOS AL NORTE</v>
      </c>
      <c r="C4463" s="52">
        <v>0.51111111111111118</v>
      </c>
      <c r="D4463" s="52">
        <v>0.52361111111111114</v>
      </c>
      <c r="E4463" s="53">
        <f>'Reclamo de equipaje rediseñado'!$D4463-'Reclamo de equipaje rediseñado'!$C4463</f>
        <v>1.2499999999999956E-2</v>
      </c>
      <c r="F4463" s="52">
        <v>0.55347222222222225</v>
      </c>
      <c r="G4463" s="53">
        <f t="shared" si="69"/>
        <v>2.9861111111111116E-2</v>
      </c>
      <c r="H4463" s="54">
        <v>41812</v>
      </c>
      <c r="I4463" s="55" t="s">
        <v>555</v>
      </c>
      <c r="J4463" s="55">
        <v>737</v>
      </c>
      <c r="K4463" s="55">
        <f>VLOOKUP(J4463,'Validacion reclamo de equipaje'!L:M,2,0)</f>
        <v>169</v>
      </c>
      <c r="L4463" s="55" t="str">
        <f>VLOOKUP(I4463,'Validacion reclamo de equipaje'!H:I,2,0)</f>
        <v>Internacional</v>
      </c>
      <c r="M4463" s="55" t="s">
        <v>615</v>
      </c>
    </row>
    <row r="4464" spans="1:13" x14ac:dyDescent="0.25">
      <c r="A4464">
        <v>242</v>
      </c>
      <c r="B4464" s="47" t="str">
        <f>VLOOKUP(Tabla6[[#This Row],['# Vuelo]],'Validacion reclamo de equipaje'!P:Q,2,0)</f>
        <v>VUELOS AL NORTE</v>
      </c>
      <c r="C4464" s="48">
        <v>0.23750000000000002</v>
      </c>
      <c r="D4464" s="48">
        <v>0.2638888888888889</v>
      </c>
      <c r="E4464" s="49">
        <f>'Reclamo de equipaje rediseñado'!$D4464-'Reclamo de equipaje rediseñado'!$C4464</f>
        <v>2.6388888888888878E-2</v>
      </c>
      <c r="F4464" s="48">
        <v>0.28611111111111115</v>
      </c>
      <c r="G4464" s="49">
        <f t="shared" si="69"/>
        <v>2.2222222222222254E-2</v>
      </c>
      <c r="H4464" s="50">
        <v>41792</v>
      </c>
      <c r="I4464" s="51" t="s">
        <v>555</v>
      </c>
      <c r="J4464" s="51" t="s">
        <v>554</v>
      </c>
      <c r="K4464" s="51">
        <f>VLOOKUP(J4464,'Validacion reclamo de equipaje'!L:M,2,0)</f>
        <v>189</v>
      </c>
      <c r="L4464" s="51" t="str">
        <f>VLOOKUP(I4464,'Validacion reclamo de equipaje'!H:I,2,0)</f>
        <v>Internacional</v>
      </c>
      <c r="M4464" s="51" t="s">
        <v>615</v>
      </c>
    </row>
    <row r="4465" spans="1:13" x14ac:dyDescent="0.25">
      <c r="A4465">
        <v>242</v>
      </c>
      <c r="B4465" s="47" t="str">
        <f>VLOOKUP(Tabla6[[#This Row],['# Vuelo]],'Validacion reclamo de equipaje'!P:Q,2,0)</f>
        <v>VUELOS AL NORTE</v>
      </c>
      <c r="C4465" s="52">
        <v>0.22916666666666666</v>
      </c>
      <c r="D4465" s="52">
        <v>0.24652777777777779</v>
      </c>
      <c r="E4465" s="53">
        <f>'Reclamo de equipaje rediseñado'!$D4465-'Reclamo de equipaje rediseñado'!$C4465</f>
        <v>1.7361111111111133E-2</v>
      </c>
      <c r="F4465" s="52">
        <v>0.27430555555555552</v>
      </c>
      <c r="G4465" s="53">
        <f t="shared" si="69"/>
        <v>2.7777777777777735E-2</v>
      </c>
      <c r="H4465" s="54">
        <v>41793</v>
      </c>
      <c r="I4465" s="55" t="s">
        <v>555</v>
      </c>
      <c r="J4465" s="55" t="s">
        <v>554</v>
      </c>
      <c r="K4465" s="55">
        <f>VLOOKUP(J4465,'Validacion reclamo de equipaje'!L:M,2,0)</f>
        <v>189</v>
      </c>
      <c r="L4465" s="55" t="str">
        <f>VLOOKUP(I4465,'Validacion reclamo de equipaje'!H:I,2,0)</f>
        <v>Internacional</v>
      </c>
      <c r="M4465" s="55" t="s">
        <v>615</v>
      </c>
    </row>
    <row r="4466" spans="1:13" x14ac:dyDescent="0.25">
      <c r="A4466">
        <v>242</v>
      </c>
      <c r="B4466" s="47" t="str">
        <f>VLOOKUP(Tabla6[[#This Row],['# Vuelo]],'Validacion reclamo de equipaje'!P:Q,2,0)</f>
        <v>VUELOS AL NORTE</v>
      </c>
      <c r="C4466" s="48">
        <v>0.2298611111111111</v>
      </c>
      <c r="D4466" s="48">
        <v>0.24374999999999999</v>
      </c>
      <c r="E4466" s="49">
        <f>'Reclamo de equipaje rediseñado'!$D4466-'Reclamo de equipaje rediseñado'!$C4466</f>
        <v>1.3888888888888895E-2</v>
      </c>
      <c r="F4466" s="48">
        <v>0.27638888888888885</v>
      </c>
      <c r="G4466" s="49">
        <f t="shared" si="69"/>
        <v>3.2638888888888856E-2</v>
      </c>
      <c r="H4466" s="50">
        <v>41794</v>
      </c>
      <c r="I4466" s="51" t="s">
        <v>555</v>
      </c>
      <c r="J4466" s="51" t="s">
        <v>554</v>
      </c>
      <c r="K4466" s="51">
        <f>VLOOKUP(J4466,'Validacion reclamo de equipaje'!L:M,2,0)</f>
        <v>189</v>
      </c>
      <c r="L4466" s="51" t="str">
        <f>VLOOKUP(I4466,'Validacion reclamo de equipaje'!H:I,2,0)</f>
        <v>Internacional</v>
      </c>
      <c r="M4466" s="51" t="s">
        <v>615</v>
      </c>
    </row>
    <row r="4467" spans="1:13" x14ac:dyDescent="0.25">
      <c r="A4467">
        <v>242</v>
      </c>
      <c r="B4467" s="47" t="str">
        <f>VLOOKUP(Tabla6[[#This Row],['# Vuelo]],'Validacion reclamo de equipaje'!P:Q,2,0)</f>
        <v>VUELOS AL NORTE</v>
      </c>
      <c r="C4467" s="52">
        <v>0.22222222222222221</v>
      </c>
      <c r="D4467" s="52">
        <v>0.22708333333333333</v>
      </c>
      <c r="E4467" s="53">
        <f>'Reclamo de equipaje rediseñado'!$D4467-'Reclamo de equipaje rediseñado'!$C4467</f>
        <v>4.8611111111111216E-3</v>
      </c>
      <c r="F4467" s="52">
        <v>0.26458333333333334</v>
      </c>
      <c r="G4467" s="53">
        <f t="shared" si="69"/>
        <v>3.7500000000000006E-2</v>
      </c>
      <c r="H4467" s="54">
        <v>41795</v>
      </c>
      <c r="I4467" s="55" t="s">
        <v>555</v>
      </c>
      <c r="J4467" s="55" t="s">
        <v>554</v>
      </c>
      <c r="K4467" s="55">
        <f>VLOOKUP(J4467,'Validacion reclamo de equipaje'!L:M,2,0)</f>
        <v>189</v>
      </c>
      <c r="L4467" s="55" t="str">
        <f>VLOOKUP(I4467,'Validacion reclamo de equipaje'!H:I,2,0)</f>
        <v>Internacional</v>
      </c>
      <c r="M4467" s="55" t="s">
        <v>615</v>
      </c>
    </row>
    <row r="4468" spans="1:13" x14ac:dyDescent="0.25">
      <c r="A4468">
        <v>242</v>
      </c>
      <c r="B4468" s="47" t="str">
        <f>VLOOKUP(Tabla6[[#This Row],['# Vuelo]],'Validacion reclamo de equipaje'!P:Q,2,0)</f>
        <v>VUELOS AL NORTE</v>
      </c>
      <c r="C4468" s="48">
        <v>0.23680555555555557</v>
      </c>
      <c r="D4468" s="48">
        <v>0.25625000000000003</v>
      </c>
      <c r="E4468" s="49">
        <f>'Reclamo de equipaje rediseñado'!$D4468-'Reclamo de equipaje rediseñado'!$C4468</f>
        <v>1.9444444444444459E-2</v>
      </c>
      <c r="F4468" s="48">
        <v>0.27638888888888885</v>
      </c>
      <c r="G4468" s="49">
        <f t="shared" si="69"/>
        <v>2.0138888888888817E-2</v>
      </c>
      <c r="H4468" s="50">
        <v>41796</v>
      </c>
      <c r="I4468" s="51" t="s">
        <v>555</v>
      </c>
      <c r="J4468" s="51" t="s">
        <v>554</v>
      </c>
      <c r="K4468" s="51">
        <f>VLOOKUP(J4468,'Validacion reclamo de equipaje'!L:M,2,0)</f>
        <v>189</v>
      </c>
      <c r="L4468" s="51" t="str">
        <f>VLOOKUP(I4468,'Validacion reclamo de equipaje'!H:I,2,0)</f>
        <v>Internacional</v>
      </c>
      <c r="M4468" s="51" t="s">
        <v>615</v>
      </c>
    </row>
    <row r="4469" spans="1:13" x14ac:dyDescent="0.25">
      <c r="A4469">
        <v>242</v>
      </c>
      <c r="B4469" s="47" t="str">
        <f>VLOOKUP(Tabla6[[#This Row],['# Vuelo]],'Validacion reclamo de equipaje'!P:Q,2,0)</f>
        <v>VUELOS AL NORTE</v>
      </c>
      <c r="C4469" s="52">
        <v>0.22638888888888889</v>
      </c>
      <c r="D4469" s="52">
        <v>0.24374999999999999</v>
      </c>
      <c r="E4469" s="53">
        <f>'Reclamo de equipaje rediseñado'!$D4469-'Reclamo de equipaje rediseñado'!$C4469</f>
        <v>1.7361111111111105E-2</v>
      </c>
      <c r="F4469" s="52">
        <v>0.2722222222222222</v>
      </c>
      <c r="G4469" s="53">
        <f t="shared" si="69"/>
        <v>2.8472222222222204E-2</v>
      </c>
      <c r="H4469" s="54">
        <v>41797</v>
      </c>
      <c r="I4469" s="55" t="s">
        <v>555</v>
      </c>
      <c r="J4469" s="55" t="s">
        <v>554</v>
      </c>
      <c r="K4469" s="55">
        <f>VLOOKUP(J4469,'Validacion reclamo de equipaje'!L:M,2,0)</f>
        <v>189</v>
      </c>
      <c r="L4469" s="55" t="str">
        <f>VLOOKUP(I4469,'Validacion reclamo de equipaje'!H:I,2,0)</f>
        <v>Internacional</v>
      </c>
      <c r="M4469" s="55" t="s">
        <v>615</v>
      </c>
    </row>
    <row r="4470" spans="1:13" x14ac:dyDescent="0.25">
      <c r="A4470">
        <v>242</v>
      </c>
      <c r="B4470" s="47" t="str">
        <f>VLOOKUP(Tabla6[[#This Row],['# Vuelo]],'Validacion reclamo de equipaje'!P:Q,2,0)</f>
        <v>VUELOS AL NORTE</v>
      </c>
      <c r="C4470" s="48">
        <v>0.23124999999999998</v>
      </c>
      <c r="D4470" s="48">
        <v>0.24791666666666667</v>
      </c>
      <c r="E4470" s="49">
        <f>'Reclamo de equipaje rediseñado'!$D4470-'Reclamo de equipaje rediseñado'!$C4470</f>
        <v>1.6666666666666691E-2</v>
      </c>
      <c r="F4470" s="48">
        <v>0.27847222222222223</v>
      </c>
      <c r="G4470" s="49">
        <f t="shared" si="69"/>
        <v>3.0555555555555558E-2</v>
      </c>
      <c r="H4470" s="50">
        <v>41798</v>
      </c>
      <c r="I4470" s="51" t="s">
        <v>555</v>
      </c>
      <c r="J4470" s="51" t="s">
        <v>554</v>
      </c>
      <c r="K4470" s="51">
        <f>VLOOKUP(J4470,'Validacion reclamo de equipaje'!L:M,2,0)</f>
        <v>189</v>
      </c>
      <c r="L4470" s="51" t="str">
        <f>VLOOKUP(I4470,'Validacion reclamo de equipaje'!H:I,2,0)</f>
        <v>Internacional</v>
      </c>
      <c r="M4470" s="51" t="s">
        <v>615</v>
      </c>
    </row>
    <row r="4471" spans="1:13" x14ac:dyDescent="0.25">
      <c r="A4471">
        <v>242</v>
      </c>
      <c r="B4471" s="47" t="str">
        <f>VLOOKUP(Tabla6[[#This Row],['# Vuelo]],'Validacion reclamo de equipaje'!P:Q,2,0)</f>
        <v>VUELOS AL NORTE</v>
      </c>
      <c r="C4471" s="52">
        <v>0.23819444444444446</v>
      </c>
      <c r="D4471" s="52">
        <v>0.25555555555555559</v>
      </c>
      <c r="E4471" s="53">
        <f>'Reclamo de equipaje rediseñado'!$D4471-'Reclamo de equipaje rediseñado'!$C4471</f>
        <v>1.7361111111111133E-2</v>
      </c>
      <c r="F4471" s="52">
        <v>0.29375000000000001</v>
      </c>
      <c r="G4471" s="53">
        <f t="shared" si="69"/>
        <v>3.819444444444442E-2</v>
      </c>
      <c r="H4471" s="54">
        <v>41800</v>
      </c>
      <c r="I4471" s="55" t="s">
        <v>555</v>
      </c>
      <c r="J4471" s="55" t="s">
        <v>554</v>
      </c>
      <c r="K4471" s="55">
        <f>VLOOKUP(J4471,'Validacion reclamo de equipaje'!L:M,2,0)</f>
        <v>189</v>
      </c>
      <c r="L4471" s="55" t="str">
        <f>VLOOKUP(I4471,'Validacion reclamo de equipaje'!H:I,2,0)</f>
        <v>Internacional</v>
      </c>
      <c r="M4471" s="55" t="s">
        <v>615</v>
      </c>
    </row>
    <row r="4472" spans="1:13" x14ac:dyDescent="0.25">
      <c r="A4472">
        <v>242</v>
      </c>
      <c r="B4472" s="47" t="str">
        <f>VLOOKUP(Tabla6[[#This Row],['# Vuelo]],'Validacion reclamo de equipaje'!P:Q,2,0)</f>
        <v>VUELOS AL NORTE</v>
      </c>
      <c r="C4472" s="48">
        <v>0.89583333333333337</v>
      </c>
      <c r="D4472" s="48">
        <v>0.90486111111111101</v>
      </c>
      <c r="E4472" s="49">
        <f>'Reclamo de equipaje rediseñado'!$D4472-'Reclamo de equipaje rediseñado'!$C4472</f>
        <v>9.0277777777776347E-3</v>
      </c>
      <c r="F4472" s="48">
        <v>0.91527777777777775</v>
      </c>
      <c r="G4472" s="49">
        <f t="shared" si="69"/>
        <v>1.0416666666666741E-2</v>
      </c>
      <c r="H4472" s="50">
        <v>41800</v>
      </c>
      <c r="I4472" s="51" t="s">
        <v>555</v>
      </c>
      <c r="J4472" s="51" t="s">
        <v>554</v>
      </c>
      <c r="K4472" s="51">
        <f>VLOOKUP(J4472,'Validacion reclamo de equipaje'!L:M,2,0)</f>
        <v>189</v>
      </c>
      <c r="L4472" s="51" t="str">
        <f>VLOOKUP(I4472,'Validacion reclamo de equipaje'!H:I,2,0)</f>
        <v>Internacional</v>
      </c>
      <c r="M4472" s="51" t="s">
        <v>615</v>
      </c>
    </row>
    <row r="4473" spans="1:13" x14ac:dyDescent="0.25">
      <c r="A4473">
        <v>242</v>
      </c>
      <c r="B4473" s="47" t="str">
        <f>VLOOKUP(Tabla6[[#This Row],['# Vuelo]],'Validacion reclamo de equipaje'!P:Q,2,0)</f>
        <v>VUELOS AL NORTE</v>
      </c>
      <c r="C4473" s="52">
        <v>0.22430555555555556</v>
      </c>
      <c r="D4473" s="52">
        <v>0.24583333333333335</v>
      </c>
      <c r="E4473" s="53">
        <f>'Reclamo de equipaje rediseñado'!$D4473-'Reclamo de equipaje rediseñado'!$C4473</f>
        <v>2.1527777777777785E-2</v>
      </c>
      <c r="F4473" s="52">
        <v>0.26666666666666666</v>
      </c>
      <c r="G4473" s="53">
        <f t="shared" si="69"/>
        <v>2.0833333333333315E-2</v>
      </c>
      <c r="H4473" s="54">
        <v>41801</v>
      </c>
      <c r="I4473" s="55" t="s">
        <v>555</v>
      </c>
      <c r="J4473" s="55" t="s">
        <v>554</v>
      </c>
      <c r="K4473" s="55">
        <f>VLOOKUP(J4473,'Validacion reclamo de equipaje'!L:M,2,0)</f>
        <v>189</v>
      </c>
      <c r="L4473" s="55" t="str">
        <f>VLOOKUP(I4473,'Validacion reclamo de equipaje'!H:I,2,0)</f>
        <v>Internacional</v>
      </c>
      <c r="M4473" s="55" t="s">
        <v>615</v>
      </c>
    </row>
    <row r="4474" spans="1:13" x14ac:dyDescent="0.25">
      <c r="A4474">
        <v>242</v>
      </c>
      <c r="B4474" s="47" t="str">
        <f>VLOOKUP(Tabla6[[#This Row],['# Vuelo]],'Validacion reclamo de equipaje'!P:Q,2,0)</f>
        <v>VUELOS AL NORTE</v>
      </c>
      <c r="C4474" s="48">
        <v>0.52986111111111112</v>
      </c>
      <c r="D4474" s="48">
        <v>0.53680555555555554</v>
      </c>
      <c r="E4474" s="49">
        <f>'Reclamo de equipaje rediseñado'!$D4474-'Reclamo de equipaje rediseñado'!$C4474</f>
        <v>6.9444444444444198E-3</v>
      </c>
      <c r="F4474" s="48">
        <v>0.5444444444444444</v>
      </c>
      <c r="G4474" s="49">
        <f t="shared" si="69"/>
        <v>7.6388888888888618E-3</v>
      </c>
      <c r="H4474" s="50">
        <v>41803</v>
      </c>
      <c r="I4474" s="51" t="s">
        <v>555</v>
      </c>
      <c r="J4474" s="51" t="s">
        <v>554</v>
      </c>
      <c r="K4474" s="51">
        <f>VLOOKUP(J4474,'Validacion reclamo de equipaje'!L:M,2,0)</f>
        <v>189</v>
      </c>
      <c r="L4474" s="51" t="str">
        <f>VLOOKUP(I4474,'Validacion reclamo de equipaje'!H:I,2,0)</f>
        <v>Internacional</v>
      </c>
      <c r="M4474" s="51" t="s">
        <v>615</v>
      </c>
    </row>
    <row r="4475" spans="1:13" x14ac:dyDescent="0.25">
      <c r="A4475">
        <v>242</v>
      </c>
      <c r="B4475" s="47" t="str">
        <f>VLOOKUP(Tabla6[[#This Row],['# Vuelo]],'Validacion reclamo de equipaje'!P:Q,2,0)</f>
        <v>VUELOS AL NORTE</v>
      </c>
      <c r="C4475" s="52">
        <v>0.89583333333333337</v>
      </c>
      <c r="D4475" s="52">
        <v>0.90555555555555556</v>
      </c>
      <c r="E4475" s="53">
        <f>'Reclamo de equipaje rediseñado'!$D4475-'Reclamo de equipaje rediseñado'!$C4475</f>
        <v>9.7222222222221877E-3</v>
      </c>
      <c r="F4475" s="52">
        <v>0.92152777777777783</v>
      </c>
      <c r="G4475" s="53">
        <f t="shared" si="69"/>
        <v>1.5972222222222276E-2</v>
      </c>
      <c r="H4475" s="54">
        <v>41804</v>
      </c>
      <c r="I4475" s="55" t="s">
        <v>555</v>
      </c>
      <c r="J4475" s="55" t="s">
        <v>554</v>
      </c>
      <c r="K4475" s="55">
        <f>VLOOKUP(J4475,'Validacion reclamo de equipaje'!L:M,2,0)</f>
        <v>189</v>
      </c>
      <c r="L4475" s="55" t="str">
        <f>VLOOKUP(I4475,'Validacion reclamo de equipaje'!H:I,2,0)</f>
        <v>Internacional</v>
      </c>
      <c r="M4475" s="55" t="s">
        <v>615</v>
      </c>
    </row>
    <row r="4476" spans="1:13" x14ac:dyDescent="0.25">
      <c r="A4476">
        <v>242</v>
      </c>
      <c r="B4476" s="47" t="str">
        <f>VLOOKUP(Tabla6[[#This Row],['# Vuelo]],'Validacion reclamo de equipaje'!P:Q,2,0)</f>
        <v>VUELOS AL NORTE</v>
      </c>
      <c r="C4476" s="48">
        <v>0.94305555555555554</v>
      </c>
      <c r="D4476" s="48">
        <v>0.95000000000000007</v>
      </c>
      <c r="E4476" s="49">
        <f>'Reclamo de equipaje rediseñado'!$D4476-'Reclamo de equipaje rediseñado'!$C4476</f>
        <v>6.9444444444445308E-3</v>
      </c>
      <c r="F4476" s="48">
        <v>0.96111111111111114</v>
      </c>
      <c r="G4476" s="49">
        <f t="shared" si="69"/>
        <v>1.1111111111111072E-2</v>
      </c>
      <c r="H4476" s="50">
        <v>41805</v>
      </c>
      <c r="I4476" s="51" t="s">
        <v>555</v>
      </c>
      <c r="J4476" s="51" t="s">
        <v>554</v>
      </c>
      <c r="K4476" s="51">
        <f>VLOOKUP(J4476,'Validacion reclamo de equipaje'!L:M,2,0)</f>
        <v>189</v>
      </c>
      <c r="L4476" s="51" t="str">
        <f>VLOOKUP(I4476,'Validacion reclamo de equipaje'!H:I,2,0)</f>
        <v>Internacional</v>
      </c>
      <c r="M4476" s="51" t="s">
        <v>615</v>
      </c>
    </row>
    <row r="4477" spans="1:13" x14ac:dyDescent="0.25">
      <c r="A4477">
        <v>242</v>
      </c>
      <c r="B4477" s="47" t="str">
        <f>VLOOKUP(Tabla6[[#This Row],['# Vuelo]],'Validacion reclamo de equipaje'!P:Q,2,0)</f>
        <v>VUELOS AL NORTE</v>
      </c>
      <c r="C4477" s="52">
        <v>0.24236111111111111</v>
      </c>
      <c r="D4477" s="52">
        <v>0.25277777777777777</v>
      </c>
      <c r="E4477" s="53">
        <f>'Reclamo de equipaje rediseñado'!$D4477-'Reclamo de equipaje rediseñado'!$C4477</f>
        <v>1.0416666666666657E-2</v>
      </c>
      <c r="F4477" s="52">
        <v>0.27499999999999997</v>
      </c>
      <c r="G4477" s="53">
        <f t="shared" si="69"/>
        <v>2.2222222222222199E-2</v>
      </c>
      <c r="H4477" s="54">
        <v>41806</v>
      </c>
      <c r="I4477" s="55" t="s">
        <v>555</v>
      </c>
      <c r="J4477" s="55" t="s">
        <v>554</v>
      </c>
      <c r="K4477" s="55">
        <f>VLOOKUP(J4477,'Validacion reclamo de equipaje'!L:M,2,0)</f>
        <v>189</v>
      </c>
      <c r="L4477" s="55" t="str">
        <f>VLOOKUP(I4477,'Validacion reclamo de equipaje'!H:I,2,0)</f>
        <v>Internacional</v>
      </c>
      <c r="M4477" s="55" t="s">
        <v>615</v>
      </c>
    </row>
    <row r="4478" spans="1:13" x14ac:dyDescent="0.25">
      <c r="A4478">
        <v>242</v>
      </c>
      <c r="B4478" s="47" t="str">
        <f>VLOOKUP(Tabla6[[#This Row],['# Vuelo]],'Validacion reclamo de equipaje'!P:Q,2,0)</f>
        <v>VUELOS AL NORTE</v>
      </c>
      <c r="C4478" s="48">
        <v>0.43055555555555558</v>
      </c>
      <c r="D4478" s="48">
        <v>0.43958333333333338</v>
      </c>
      <c r="E4478" s="49">
        <f>'Reclamo de equipaje rediseñado'!$D4478-'Reclamo de equipaje rediseñado'!$C4478</f>
        <v>9.0277777777778012E-3</v>
      </c>
      <c r="F4478" s="48">
        <v>0.44930555555555557</v>
      </c>
      <c r="G4478" s="49">
        <f t="shared" si="69"/>
        <v>9.7222222222221877E-3</v>
      </c>
      <c r="H4478" s="50">
        <v>41807</v>
      </c>
      <c r="I4478" s="51" t="s">
        <v>555</v>
      </c>
      <c r="J4478" s="51" t="s">
        <v>554</v>
      </c>
      <c r="K4478" s="51">
        <f>VLOOKUP(J4478,'Validacion reclamo de equipaje'!L:M,2,0)</f>
        <v>189</v>
      </c>
      <c r="L4478" s="51" t="str">
        <f>VLOOKUP(I4478,'Validacion reclamo de equipaje'!H:I,2,0)</f>
        <v>Internacional</v>
      </c>
      <c r="M4478" s="51" t="s">
        <v>615</v>
      </c>
    </row>
    <row r="4479" spans="1:13" x14ac:dyDescent="0.25">
      <c r="A4479">
        <v>242</v>
      </c>
      <c r="B4479" s="47" t="str">
        <f>VLOOKUP(Tabla6[[#This Row],['# Vuelo]],'Validacion reclamo de equipaje'!P:Q,2,0)</f>
        <v>VUELOS AL NORTE</v>
      </c>
      <c r="C4479" s="52">
        <v>0.23055555555555554</v>
      </c>
      <c r="D4479" s="52">
        <v>0.24374999999999999</v>
      </c>
      <c r="E4479" s="53">
        <f>'Reclamo de equipaje rediseñado'!$D4479-'Reclamo de equipaje rediseñado'!$C4479</f>
        <v>1.3194444444444453E-2</v>
      </c>
      <c r="F4479" s="52">
        <v>0.27499999999999997</v>
      </c>
      <c r="G4479" s="53">
        <f t="shared" si="69"/>
        <v>3.1249999999999972E-2</v>
      </c>
      <c r="H4479" s="54">
        <v>41809</v>
      </c>
      <c r="I4479" s="55" t="s">
        <v>555</v>
      </c>
      <c r="J4479" s="55" t="s">
        <v>554</v>
      </c>
      <c r="K4479" s="55">
        <f>VLOOKUP(J4479,'Validacion reclamo de equipaje'!L:M,2,0)</f>
        <v>189</v>
      </c>
      <c r="L4479" s="55" t="str">
        <f>VLOOKUP(I4479,'Validacion reclamo de equipaje'!H:I,2,0)</f>
        <v>Internacional</v>
      </c>
      <c r="M4479" s="55" t="s">
        <v>615</v>
      </c>
    </row>
    <row r="4480" spans="1:13" x14ac:dyDescent="0.25">
      <c r="A4480">
        <v>242</v>
      </c>
      <c r="B4480" s="47" t="str">
        <f>VLOOKUP(Tabla6[[#This Row],['# Vuelo]],'Validacion reclamo de equipaje'!P:Q,2,0)</f>
        <v>VUELOS AL NORTE</v>
      </c>
      <c r="C4480" s="48">
        <v>0.23472222222222219</v>
      </c>
      <c r="D4480" s="48">
        <v>0.2590277777777778</v>
      </c>
      <c r="E4480" s="49">
        <f>'Reclamo de equipaje rediseñado'!$D4480-'Reclamo de equipaje rediseñado'!$C4480</f>
        <v>2.4305555555555608E-2</v>
      </c>
      <c r="F4480" s="48">
        <v>0.2638888888888889</v>
      </c>
      <c r="G4480" s="49">
        <f t="shared" si="69"/>
        <v>4.8611111111110938E-3</v>
      </c>
      <c r="H4480" s="50">
        <v>41810</v>
      </c>
      <c r="I4480" s="51" t="s">
        <v>555</v>
      </c>
      <c r="J4480" s="51" t="s">
        <v>554</v>
      </c>
      <c r="K4480" s="51">
        <f>VLOOKUP(J4480,'Validacion reclamo de equipaje'!L:M,2,0)</f>
        <v>189</v>
      </c>
      <c r="L4480" s="51" t="str">
        <f>VLOOKUP(I4480,'Validacion reclamo de equipaje'!H:I,2,0)</f>
        <v>Internacional</v>
      </c>
      <c r="M4480" s="51" t="s">
        <v>615</v>
      </c>
    </row>
    <row r="4481" spans="1:13" x14ac:dyDescent="0.25">
      <c r="A4481">
        <v>242</v>
      </c>
      <c r="B4481" s="47" t="str">
        <f>VLOOKUP(Tabla6[[#This Row],['# Vuelo]],'Validacion reclamo de equipaje'!P:Q,2,0)</f>
        <v>VUELOS AL NORTE</v>
      </c>
      <c r="C4481" s="52">
        <v>0.25416666666666665</v>
      </c>
      <c r="D4481" s="52">
        <v>0.26527777777777778</v>
      </c>
      <c r="E4481" s="53">
        <f>'Reclamo de equipaje rediseñado'!$D4481-'Reclamo de equipaje rediseñado'!$C4481</f>
        <v>1.1111111111111127E-2</v>
      </c>
      <c r="F4481" s="52">
        <v>0.28333333333333333</v>
      </c>
      <c r="G4481" s="53">
        <f t="shared" si="69"/>
        <v>1.8055555555555547E-2</v>
      </c>
      <c r="H4481" s="54">
        <v>41811</v>
      </c>
      <c r="I4481" s="55" t="s">
        <v>555</v>
      </c>
      <c r="J4481" s="55" t="s">
        <v>554</v>
      </c>
      <c r="K4481" s="55">
        <f>VLOOKUP(J4481,'Validacion reclamo de equipaje'!L:M,2,0)</f>
        <v>189</v>
      </c>
      <c r="L4481" s="55" t="str">
        <f>VLOOKUP(I4481,'Validacion reclamo de equipaje'!H:I,2,0)</f>
        <v>Internacional</v>
      </c>
      <c r="M4481" s="55" t="s">
        <v>615</v>
      </c>
    </row>
    <row r="4482" spans="1:13" x14ac:dyDescent="0.25">
      <c r="A4482">
        <v>242</v>
      </c>
      <c r="B4482" s="47" t="str">
        <f>VLOOKUP(Tabla6[[#This Row],['# Vuelo]],'Validacion reclamo de equipaje'!P:Q,2,0)</f>
        <v>VUELOS AL NORTE</v>
      </c>
      <c r="C4482" s="48">
        <v>0.24305555555555555</v>
      </c>
      <c r="D4482" s="48">
        <v>0.26944444444444443</v>
      </c>
      <c r="E4482" s="49">
        <f>'Reclamo de equipaje rediseñado'!$D4482-'Reclamo de equipaje rediseñado'!$C4482</f>
        <v>2.6388888888888878E-2</v>
      </c>
      <c r="F4482" s="48">
        <v>0.29583333333333334</v>
      </c>
      <c r="G4482" s="49">
        <f t="shared" si="69"/>
        <v>2.6388888888888906E-2</v>
      </c>
      <c r="H4482" s="50">
        <v>41812</v>
      </c>
      <c r="I4482" s="51" t="s">
        <v>555</v>
      </c>
      <c r="J4482" s="51" t="s">
        <v>554</v>
      </c>
      <c r="K4482" s="51">
        <f>VLOOKUP(J4482,'Validacion reclamo de equipaje'!L:M,2,0)</f>
        <v>189</v>
      </c>
      <c r="L4482" s="51" t="str">
        <f>VLOOKUP(I4482,'Validacion reclamo de equipaje'!H:I,2,0)</f>
        <v>Internacional</v>
      </c>
      <c r="M4482" s="51" t="s">
        <v>615</v>
      </c>
    </row>
    <row r="4483" spans="1:13" x14ac:dyDescent="0.25">
      <c r="A4483">
        <v>242</v>
      </c>
      <c r="B4483" s="47" t="str">
        <f>VLOOKUP(Tabla6[[#This Row],['# Vuelo]],'Validacion reclamo de equipaje'!P:Q,2,0)</f>
        <v>VUELOS AL NORTE</v>
      </c>
      <c r="C4483" s="52">
        <v>0.22708333333333333</v>
      </c>
      <c r="D4483" s="52">
        <v>0.24236111111111111</v>
      </c>
      <c r="E4483" s="53">
        <f>'Reclamo de equipaje rediseñado'!$D4483-'Reclamo de equipaje rediseñado'!$C4483</f>
        <v>1.5277777777777779E-2</v>
      </c>
      <c r="F4483" s="52">
        <v>0.26944444444444443</v>
      </c>
      <c r="G4483" s="53">
        <f t="shared" ref="G4483:G4546" si="70">F4483-D4483</f>
        <v>2.708333333333332E-2</v>
      </c>
      <c r="H4483" s="54">
        <v>41813</v>
      </c>
      <c r="I4483" s="55" t="s">
        <v>555</v>
      </c>
      <c r="J4483" s="55" t="s">
        <v>554</v>
      </c>
      <c r="K4483" s="55">
        <f>VLOOKUP(J4483,'Validacion reclamo de equipaje'!L:M,2,0)</f>
        <v>189</v>
      </c>
      <c r="L4483" s="55" t="str">
        <f>VLOOKUP(I4483,'Validacion reclamo de equipaje'!H:I,2,0)</f>
        <v>Internacional</v>
      </c>
      <c r="M4483" s="55" t="s">
        <v>615</v>
      </c>
    </row>
    <row r="4484" spans="1:13" x14ac:dyDescent="0.25">
      <c r="A4484">
        <v>226</v>
      </c>
      <c r="B4484" s="47" t="str">
        <f>VLOOKUP(Tabla6[[#This Row],['# Vuelo]],'Validacion reclamo de equipaje'!P:Q,2,0)</f>
        <v>VUELOS AL NORTE</v>
      </c>
      <c r="C4484" s="48">
        <v>0.18333333333333335</v>
      </c>
      <c r="D4484" s="48">
        <v>0.19791666666666666</v>
      </c>
      <c r="E4484" s="49">
        <f>'Reclamo de equipaje rediseñado'!$D4484-'Reclamo de equipaje rediseñado'!$C4484</f>
        <v>1.4583333333333309E-2</v>
      </c>
      <c r="F4484" s="48">
        <v>0.22361111111111109</v>
      </c>
      <c r="G4484" s="49">
        <f t="shared" si="70"/>
        <v>2.5694444444444436E-2</v>
      </c>
      <c r="H4484" s="50">
        <v>41792</v>
      </c>
      <c r="I4484" s="51" t="s">
        <v>567</v>
      </c>
      <c r="J4484" s="51" t="s">
        <v>554</v>
      </c>
      <c r="K4484" s="51">
        <f>VLOOKUP(J4484,'Validacion reclamo de equipaje'!L:M,2,0)</f>
        <v>189</v>
      </c>
      <c r="L4484" s="51" t="str">
        <f>VLOOKUP(I4484,'Validacion reclamo de equipaje'!H:I,2,0)</f>
        <v>Internacional</v>
      </c>
      <c r="M4484" s="51" t="s">
        <v>615</v>
      </c>
    </row>
    <row r="4485" spans="1:13" x14ac:dyDescent="0.25">
      <c r="A4485">
        <v>226</v>
      </c>
      <c r="B4485" s="47" t="str">
        <f>VLOOKUP(Tabla6[[#This Row],['# Vuelo]],'Validacion reclamo de equipaje'!P:Q,2,0)</f>
        <v>VUELOS AL NORTE</v>
      </c>
      <c r="C4485" s="52">
        <v>0.18055555555555555</v>
      </c>
      <c r="D4485" s="52">
        <v>0.19722222222222222</v>
      </c>
      <c r="E4485" s="53">
        <f>'Reclamo de equipaje rediseñado'!$D4485-'Reclamo de equipaje rediseñado'!$C4485</f>
        <v>1.6666666666666663E-2</v>
      </c>
      <c r="F4485" s="52">
        <v>0.21597222222222223</v>
      </c>
      <c r="G4485" s="53">
        <f t="shared" si="70"/>
        <v>1.8750000000000017E-2</v>
      </c>
      <c r="H4485" s="54">
        <v>41795</v>
      </c>
      <c r="I4485" s="55" t="s">
        <v>567</v>
      </c>
      <c r="J4485" s="55" t="s">
        <v>554</v>
      </c>
      <c r="K4485" s="55">
        <f>VLOOKUP(J4485,'Validacion reclamo de equipaje'!L:M,2,0)</f>
        <v>189</v>
      </c>
      <c r="L4485" s="55" t="str">
        <f>VLOOKUP(I4485,'Validacion reclamo de equipaje'!H:I,2,0)</f>
        <v>Internacional</v>
      </c>
      <c r="M4485" s="55" t="s">
        <v>615</v>
      </c>
    </row>
    <row r="4486" spans="1:13" x14ac:dyDescent="0.25">
      <c r="A4486">
        <v>226</v>
      </c>
      <c r="B4486" s="47" t="str">
        <f>VLOOKUP(Tabla6[[#This Row],['# Vuelo]],'Validacion reclamo de equipaje'!P:Q,2,0)</f>
        <v>VUELOS AL NORTE</v>
      </c>
      <c r="C4486" s="48">
        <v>0.18402777777777779</v>
      </c>
      <c r="D4486" s="48">
        <v>0.1986111111111111</v>
      </c>
      <c r="E4486" s="49">
        <f>'Reclamo de equipaje rediseñado'!$D4486-'Reclamo de equipaje rediseñado'!$C4486</f>
        <v>1.4583333333333309E-2</v>
      </c>
      <c r="F4486" s="48">
        <v>0.21388888888888891</v>
      </c>
      <c r="G4486" s="49">
        <f t="shared" si="70"/>
        <v>1.5277777777777807E-2</v>
      </c>
      <c r="H4486" s="50">
        <v>41796</v>
      </c>
      <c r="I4486" s="51" t="s">
        <v>567</v>
      </c>
      <c r="J4486" s="51" t="s">
        <v>554</v>
      </c>
      <c r="K4486" s="51">
        <f>VLOOKUP(J4486,'Validacion reclamo de equipaje'!L:M,2,0)</f>
        <v>189</v>
      </c>
      <c r="L4486" s="51" t="str">
        <f>VLOOKUP(I4486,'Validacion reclamo de equipaje'!H:I,2,0)</f>
        <v>Internacional</v>
      </c>
      <c r="M4486" s="51" t="s">
        <v>615</v>
      </c>
    </row>
    <row r="4487" spans="1:13" x14ac:dyDescent="0.25">
      <c r="A4487">
        <v>226</v>
      </c>
      <c r="B4487" s="47" t="str">
        <f>VLOOKUP(Tabla6[[#This Row],['# Vuelo]],'Validacion reclamo de equipaje'!P:Q,2,0)</f>
        <v>VUELOS AL NORTE</v>
      </c>
      <c r="C4487" s="52">
        <v>0.18194444444444444</v>
      </c>
      <c r="D4487" s="52">
        <v>0.19513888888888889</v>
      </c>
      <c r="E4487" s="53">
        <f>'Reclamo de equipaje rediseñado'!$D4487-'Reclamo de equipaje rediseñado'!$C4487</f>
        <v>1.3194444444444453E-2</v>
      </c>
      <c r="F4487" s="52">
        <v>0.21527777777777779</v>
      </c>
      <c r="G4487" s="53">
        <f t="shared" si="70"/>
        <v>2.0138888888888901E-2</v>
      </c>
      <c r="H4487" s="54">
        <v>41797</v>
      </c>
      <c r="I4487" s="55" t="s">
        <v>567</v>
      </c>
      <c r="J4487" s="55" t="s">
        <v>554</v>
      </c>
      <c r="K4487" s="55">
        <f>VLOOKUP(J4487,'Validacion reclamo de equipaje'!L:M,2,0)</f>
        <v>189</v>
      </c>
      <c r="L4487" s="55" t="str">
        <f>VLOOKUP(I4487,'Validacion reclamo de equipaje'!H:I,2,0)</f>
        <v>Internacional</v>
      </c>
      <c r="M4487" s="55" t="s">
        <v>615</v>
      </c>
    </row>
    <row r="4488" spans="1:13" x14ac:dyDescent="0.25">
      <c r="A4488">
        <v>226</v>
      </c>
      <c r="B4488" s="47" t="str">
        <f>VLOOKUP(Tabla6[[#This Row],['# Vuelo]],'Validacion reclamo de equipaje'!P:Q,2,0)</f>
        <v>VUELOS AL NORTE</v>
      </c>
      <c r="C4488" s="48">
        <v>0.18402777777777779</v>
      </c>
      <c r="D4488" s="48">
        <v>0.21041666666666667</v>
      </c>
      <c r="E4488" s="49">
        <f>'Reclamo de equipaje rediseñado'!$D4488-'Reclamo de equipaje rediseñado'!$C4488</f>
        <v>2.6388888888888878E-2</v>
      </c>
      <c r="F4488" s="48">
        <v>0.23124999999999998</v>
      </c>
      <c r="G4488" s="49">
        <f t="shared" si="70"/>
        <v>2.0833333333333315E-2</v>
      </c>
      <c r="H4488" s="50">
        <v>41798</v>
      </c>
      <c r="I4488" s="51" t="s">
        <v>567</v>
      </c>
      <c r="J4488" s="51" t="s">
        <v>554</v>
      </c>
      <c r="K4488" s="51">
        <f>VLOOKUP(J4488,'Validacion reclamo de equipaje'!L:M,2,0)</f>
        <v>189</v>
      </c>
      <c r="L4488" s="51" t="str">
        <f>VLOOKUP(I4488,'Validacion reclamo de equipaje'!H:I,2,0)</f>
        <v>Internacional</v>
      </c>
      <c r="M4488" s="51" t="s">
        <v>615</v>
      </c>
    </row>
    <row r="4489" spans="1:13" x14ac:dyDescent="0.25">
      <c r="A4489">
        <v>226</v>
      </c>
      <c r="B4489" s="47" t="str">
        <f>VLOOKUP(Tabla6[[#This Row],['# Vuelo]],'Validacion reclamo de equipaje'!P:Q,2,0)</f>
        <v>VUELOS AL NORTE</v>
      </c>
      <c r="C4489" s="52">
        <v>0.19236111111111112</v>
      </c>
      <c r="D4489" s="52">
        <v>0.20138888888888887</v>
      </c>
      <c r="E4489" s="53">
        <f>'Reclamo de equipaje rediseñado'!$D4489-'Reclamo de equipaje rediseñado'!$C4489</f>
        <v>9.0277777777777457E-3</v>
      </c>
      <c r="F4489" s="52">
        <v>0.22777777777777777</v>
      </c>
      <c r="G4489" s="53">
        <f t="shared" si="70"/>
        <v>2.6388888888888906E-2</v>
      </c>
      <c r="H4489" s="54">
        <v>41800</v>
      </c>
      <c r="I4489" s="55" t="s">
        <v>567</v>
      </c>
      <c r="J4489" s="55" t="s">
        <v>554</v>
      </c>
      <c r="K4489" s="55">
        <f>VLOOKUP(J4489,'Validacion reclamo de equipaje'!L:M,2,0)</f>
        <v>189</v>
      </c>
      <c r="L4489" s="55" t="str">
        <f>VLOOKUP(I4489,'Validacion reclamo de equipaje'!H:I,2,0)</f>
        <v>Internacional</v>
      </c>
      <c r="M4489" s="55" t="s">
        <v>615</v>
      </c>
    </row>
    <row r="4490" spans="1:13" x14ac:dyDescent="0.25">
      <c r="A4490">
        <v>226</v>
      </c>
      <c r="B4490" s="47" t="str">
        <f>VLOOKUP(Tabla6[[#This Row],['# Vuelo]],'Validacion reclamo de equipaje'!P:Q,2,0)</f>
        <v>VUELOS AL NORTE</v>
      </c>
      <c r="C4490" s="48">
        <v>0.4777777777777778</v>
      </c>
      <c r="D4490" s="48">
        <v>0.48541666666666666</v>
      </c>
      <c r="E4490" s="49">
        <f>'Reclamo de equipaje rediseñado'!$D4490-'Reclamo de equipaje rediseñado'!$C4490</f>
        <v>7.6388888888888618E-3</v>
      </c>
      <c r="F4490" s="48">
        <v>0.49444444444444446</v>
      </c>
      <c r="G4490" s="49">
        <f t="shared" si="70"/>
        <v>9.0277777777778012E-3</v>
      </c>
      <c r="H4490" s="50">
        <v>41800</v>
      </c>
      <c r="I4490" s="51" t="s">
        <v>567</v>
      </c>
      <c r="J4490" s="51" t="s">
        <v>554</v>
      </c>
      <c r="K4490" s="51">
        <f>VLOOKUP(J4490,'Validacion reclamo de equipaje'!L:M,2,0)</f>
        <v>189</v>
      </c>
      <c r="L4490" s="51" t="str">
        <f>VLOOKUP(I4490,'Validacion reclamo de equipaje'!H:I,2,0)</f>
        <v>Internacional</v>
      </c>
      <c r="M4490" s="51" t="s">
        <v>615</v>
      </c>
    </row>
    <row r="4491" spans="1:13" x14ac:dyDescent="0.25">
      <c r="A4491">
        <v>226</v>
      </c>
      <c r="B4491" s="47" t="str">
        <f>VLOOKUP(Tabla6[[#This Row],['# Vuelo]],'Validacion reclamo de equipaje'!P:Q,2,0)</f>
        <v>VUELOS AL NORTE</v>
      </c>
      <c r="C4491" s="52">
        <v>0.19930555555555554</v>
      </c>
      <c r="D4491" s="52">
        <v>0.21249999999999999</v>
      </c>
      <c r="E4491" s="53">
        <f>'Reclamo de equipaje rediseñado'!$D4491-'Reclamo de equipaje rediseñado'!$C4491</f>
        <v>1.3194444444444453E-2</v>
      </c>
      <c r="F4491" s="52">
        <v>0.23680555555555557</v>
      </c>
      <c r="G4491" s="53">
        <f t="shared" si="70"/>
        <v>2.430555555555558E-2</v>
      </c>
      <c r="H4491" s="54">
        <v>41801</v>
      </c>
      <c r="I4491" s="55" t="s">
        <v>567</v>
      </c>
      <c r="J4491" s="55" t="s">
        <v>554</v>
      </c>
      <c r="K4491" s="55">
        <f>VLOOKUP(J4491,'Validacion reclamo de equipaje'!L:M,2,0)</f>
        <v>189</v>
      </c>
      <c r="L4491" s="55" t="str">
        <f>VLOOKUP(I4491,'Validacion reclamo de equipaje'!H:I,2,0)</f>
        <v>Internacional</v>
      </c>
      <c r="M4491" s="55" t="s">
        <v>615</v>
      </c>
    </row>
    <row r="4492" spans="1:13" x14ac:dyDescent="0.25">
      <c r="A4492">
        <v>226</v>
      </c>
      <c r="B4492" s="47" t="str">
        <f>VLOOKUP(Tabla6[[#This Row],['# Vuelo]],'Validacion reclamo de equipaje'!P:Q,2,0)</f>
        <v>VUELOS AL NORTE</v>
      </c>
      <c r="C4492" s="48">
        <v>0.9277777777777777</v>
      </c>
      <c r="D4492" s="48">
        <v>0.93611111111111101</v>
      </c>
      <c r="E4492" s="49">
        <f>'Reclamo de equipaje rediseñado'!$D4492-'Reclamo de equipaje rediseñado'!$C4492</f>
        <v>8.3333333333333037E-3</v>
      </c>
      <c r="F4492" s="48">
        <v>0.94791666666666663</v>
      </c>
      <c r="G4492" s="49">
        <f t="shared" si="70"/>
        <v>1.1805555555555625E-2</v>
      </c>
      <c r="H4492" s="50">
        <v>41802</v>
      </c>
      <c r="I4492" s="51" t="s">
        <v>567</v>
      </c>
      <c r="J4492" s="51" t="s">
        <v>554</v>
      </c>
      <c r="K4492" s="51">
        <f>VLOOKUP(J4492,'Validacion reclamo de equipaje'!L:M,2,0)</f>
        <v>189</v>
      </c>
      <c r="L4492" s="51" t="str">
        <f>VLOOKUP(I4492,'Validacion reclamo de equipaje'!H:I,2,0)</f>
        <v>Internacional</v>
      </c>
      <c r="M4492" s="51" t="s">
        <v>615</v>
      </c>
    </row>
    <row r="4493" spans="1:13" x14ac:dyDescent="0.25">
      <c r="A4493">
        <v>226</v>
      </c>
      <c r="B4493" s="47" t="str">
        <f>VLOOKUP(Tabla6[[#This Row],['# Vuelo]],'Validacion reclamo de equipaje'!P:Q,2,0)</f>
        <v>VUELOS AL NORTE</v>
      </c>
      <c r="C4493" s="52">
        <v>0.53125</v>
      </c>
      <c r="D4493" s="52">
        <v>0.53819444444444442</v>
      </c>
      <c r="E4493" s="53">
        <f>'Reclamo de equipaje rediseñado'!$D4493-'Reclamo de equipaje rediseñado'!$C4493</f>
        <v>6.9444444444444198E-3</v>
      </c>
      <c r="F4493" s="52">
        <v>0.55138888888888882</v>
      </c>
      <c r="G4493" s="53">
        <f t="shared" si="70"/>
        <v>1.3194444444444398E-2</v>
      </c>
      <c r="H4493" s="54">
        <v>41803</v>
      </c>
      <c r="I4493" s="55" t="s">
        <v>567</v>
      </c>
      <c r="J4493" s="55" t="s">
        <v>554</v>
      </c>
      <c r="K4493" s="55">
        <f>VLOOKUP(J4493,'Validacion reclamo de equipaje'!L:M,2,0)</f>
        <v>189</v>
      </c>
      <c r="L4493" s="55" t="str">
        <f>VLOOKUP(I4493,'Validacion reclamo de equipaje'!H:I,2,0)</f>
        <v>Internacional</v>
      </c>
      <c r="M4493" s="55" t="s">
        <v>615</v>
      </c>
    </row>
    <row r="4494" spans="1:13" x14ac:dyDescent="0.25">
      <c r="A4494">
        <v>226</v>
      </c>
      <c r="B4494" s="47" t="str">
        <f>VLOOKUP(Tabla6[[#This Row],['# Vuelo]],'Validacion reclamo de equipaje'!P:Q,2,0)</f>
        <v>VUELOS AL NORTE</v>
      </c>
      <c r="C4494" s="48">
        <v>0.89236111111111116</v>
      </c>
      <c r="D4494" s="48">
        <v>0.90069444444444446</v>
      </c>
      <c r="E4494" s="49">
        <f>'Reclamo de equipaje rediseñado'!$D4494-'Reclamo de equipaje rediseñado'!$C4494</f>
        <v>8.3333333333333037E-3</v>
      </c>
      <c r="F4494" s="48">
        <v>0.90625</v>
      </c>
      <c r="G4494" s="49">
        <f t="shared" si="70"/>
        <v>5.5555555555555358E-3</v>
      </c>
      <c r="H4494" s="50">
        <v>41804</v>
      </c>
      <c r="I4494" s="51" t="s">
        <v>567</v>
      </c>
      <c r="J4494" s="51" t="s">
        <v>554</v>
      </c>
      <c r="K4494" s="51">
        <f>VLOOKUP(J4494,'Validacion reclamo de equipaje'!L:M,2,0)</f>
        <v>189</v>
      </c>
      <c r="L4494" s="51" t="str">
        <f>VLOOKUP(I4494,'Validacion reclamo de equipaje'!H:I,2,0)</f>
        <v>Internacional</v>
      </c>
      <c r="M4494" s="51" t="s">
        <v>615</v>
      </c>
    </row>
    <row r="4495" spans="1:13" x14ac:dyDescent="0.25">
      <c r="A4495">
        <v>226</v>
      </c>
      <c r="B4495" s="47" t="str">
        <f>VLOOKUP(Tabla6[[#This Row],['# Vuelo]],'Validacion reclamo de equipaje'!P:Q,2,0)</f>
        <v>VUELOS AL NORTE</v>
      </c>
      <c r="C4495" s="52">
        <v>0.68055555555555547</v>
      </c>
      <c r="D4495" s="52">
        <v>0.69305555555555554</v>
      </c>
      <c r="E4495" s="53">
        <f>'Reclamo de equipaje rediseñado'!$D4495-'Reclamo de equipaje rediseñado'!$C4495</f>
        <v>1.2500000000000067E-2</v>
      </c>
      <c r="F4495" s="52">
        <v>0.69652777777777775</v>
      </c>
      <c r="G4495" s="53">
        <f t="shared" si="70"/>
        <v>3.4722222222222099E-3</v>
      </c>
      <c r="H4495" s="54">
        <v>41805</v>
      </c>
      <c r="I4495" s="55" t="s">
        <v>567</v>
      </c>
      <c r="J4495" s="55" t="s">
        <v>554</v>
      </c>
      <c r="K4495" s="55">
        <f>VLOOKUP(J4495,'Validacion reclamo de equipaje'!L:M,2,0)</f>
        <v>189</v>
      </c>
      <c r="L4495" s="55" t="str">
        <f>VLOOKUP(I4495,'Validacion reclamo de equipaje'!H:I,2,0)</f>
        <v>Internacional</v>
      </c>
      <c r="M4495" s="55" t="s">
        <v>615</v>
      </c>
    </row>
    <row r="4496" spans="1:13" x14ac:dyDescent="0.25">
      <c r="A4496">
        <v>226</v>
      </c>
      <c r="B4496" s="47" t="str">
        <f>VLOOKUP(Tabla6[[#This Row],['# Vuelo]],'Validacion reclamo de equipaje'!P:Q,2,0)</f>
        <v>VUELOS AL NORTE</v>
      </c>
      <c r="C4496" s="48">
        <v>0.7597222222222223</v>
      </c>
      <c r="D4496" s="48">
        <v>0.76874999999999993</v>
      </c>
      <c r="E4496" s="49">
        <f>'Reclamo de equipaje rediseñado'!$D4496-'Reclamo de equipaje rediseñado'!$C4496</f>
        <v>9.0277777777776347E-3</v>
      </c>
      <c r="F4496" s="48">
        <v>0.78402777777777777</v>
      </c>
      <c r="G4496" s="49">
        <f t="shared" si="70"/>
        <v>1.5277777777777835E-2</v>
      </c>
      <c r="H4496" s="50">
        <v>41806</v>
      </c>
      <c r="I4496" s="51" t="s">
        <v>567</v>
      </c>
      <c r="J4496" s="51" t="s">
        <v>554</v>
      </c>
      <c r="K4496" s="51">
        <f>VLOOKUP(J4496,'Validacion reclamo de equipaje'!L:M,2,0)</f>
        <v>189</v>
      </c>
      <c r="L4496" s="51" t="str">
        <f>VLOOKUP(I4496,'Validacion reclamo de equipaje'!H:I,2,0)</f>
        <v>Internacional</v>
      </c>
      <c r="M4496" s="51" t="s">
        <v>615</v>
      </c>
    </row>
    <row r="4497" spans="1:13" x14ac:dyDescent="0.25">
      <c r="A4497">
        <v>226</v>
      </c>
      <c r="B4497" s="47" t="str">
        <f>VLOOKUP(Tabla6[[#This Row],['# Vuelo]],'Validacion reclamo de equipaje'!P:Q,2,0)</f>
        <v>VUELOS AL NORTE</v>
      </c>
      <c r="C4497" s="52">
        <v>0.23680555555555557</v>
      </c>
      <c r="D4497" s="52">
        <v>0.25625000000000003</v>
      </c>
      <c r="E4497" s="53">
        <f>'Reclamo de equipaje rediseñado'!$D4497-'Reclamo de equipaje rediseñado'!$C4497</f>
        <v>1.9444444444444459E-2</v>
      </c>
      <c r="F4497" s="52">
        <v>0.28402777777777777</v>
      </c>
      <c r="G4497" s="53">
        <f t="shared" si="70"/>
        <v>2.7777777777777735E-2</v>
      </c>
      <c r="H4497" s="54">
        <v>41806</v>
      </c>
      <c r="I4497" s="55" t="s">
        <v>567</v>
      </c>
      <c r="J4497" s="55" t="s">
        <v>554</v>
      </c>
      <c r="K4497" s="55">
        <f>VLOOKUP(J4497,'Validacion reclamo de equipaje'!L:M,2,0)</f>
        <v>189</v>
      </c>
      <c r="L4497" s="55" t="str">
        <f>VLOOKUP(I4497,'Validacion reclamo de equipaje'!H:I,2,0)</f>
        <v>Internacional</v>
      </c>
      <c r="M4497" s="55" t="s">
        <v>615</v>
      </c>
    </row>
    <row r="4498" spans="1:13" x14ac:dyDescent="0.25">
      <c r="A4498">
        <v>226</v>
      </c>
      <c r="B4498" s="47" t="str">
        <f>VLOOKUP(Tabla6[[#This Row],['# Vuelo]],'Validacion reclamo de equipaje'!P:Q,2,0)</f>
        <v>VUELOS AL NORTE</v>
      </c>
      <c r="C4498" s="48">
        <v>0.87430555555555556</v>
      </c>
      <c r="D4498" s="48">
        <v>0.875</v>
      </c>
      <c r="E4498" s="49">
        <f>'Reclamo de equipaje rediseñado'!$D4498-'Reclamo de equipaje rediseñado'!$C4498</f>
        <v>6.9444444444444198E-4</v>
      </c>
      <c r="F4498" s="48">
        <v>0.89374999999999993</v>
      </c>
      <c r="G4498" s="49">
        <f t="shared" si="70"/>
        <v>1.8749999999999933E-2</v>
      </c>
      <c r="H4498" s="50">
        <v>41807</v>
      </c>
      <c r="I4498" s="51" t="s">
        <v>567</v>
      </c>
      <c r="J4498" s="51" t="s">
        <v>554</v>
      </c>
      <c r="K4498" s="51">
        <f>VLOOKUP(J4498,'Validacion reclamo de equipaje'!L:M,2,0)</f>
        <v>189</v>
      </c>
      <c r="L4498" s="51" t="str">
        <f>VLOOKUP(I4498,'Validacion reclamo de equipaje'!H:I,2,0)</f>
        <v>Internacional</v>
      </c>
      <c r="M4498" s="51" t="s">
        <v>615</v>
      </c>
    </row>
    <row r="4499" spans="1:13" x14ac:dyDescent="0.25">
      <c r="A4499">
        <v>226</v>
      </c>
      <c r="B4499" s="47" t="str">
        <f>VLOOKUP(Tabla6[[#This Row],['# Vuelo]],'Validacion reclamo de equipaje'!P:Q,2,0)</f>
        <v>VUELOS AL NORTE</v>
      </c>
      <c r="C4499" s="52">
        <v>0.18541666666666667</v>
      </c>
      <c r="D4499" s="52">
        <v>0.19305555555555554</v>
      </c>
      <c r="E4499" s="53">
        <f>'Reclamo de equipaje rediseñado'!$D4499-'Reclamo de equipaje rediseñado'!$C4499</f>
        <v>7.6388888888888618E-3</v>
      </c>
      <c r="F4499" s="52">
        <v>0.22500000000000001</v>
      </c>
      <c r="G4499" s="53">
        <f t="shared" si="70"/>
        <v>3.194444444444447E-2</v>
      </c>
      <c r="H4499" s="54">
        <v>41808</v>
      </c>
      <c r="I4499" s="55" t="s">
        <v>567</v>
      </c>
      <c r="J4499" s="55" t="s">
        <v>554</v>
      </c>
      <c r="K4499" s="55">
        <f>VLOOKUP(J4499,'Validacion reclamo de equipaje'!L:M,2,0)</f>
        <v>189</v>
      </c>
      <c r="L4499" s="55" t="str">
        <f>VLOOKUP(I4499,'Validacion reclamo de equipaje'!H:I,2,0)</f>
        <v>Internacional</v>
      </c>
      <c r="M4499" s="55" t="s">
        <v>615</v>
      </c>
    </row>
    <row r="4500" spans="1:13" x14ac:dyDescent="0.25">
      <c r="A4500">
        <v>226</v>
      </c>
      <c r="B4500" s="47" t="str">
        <f>VLOOKUP(Tabla6[[#This Row],['# Vuelo]],'Validacion reclamo de equipaje'!P:Q,2,0)</f>
        <v>VUELOS AL NORTE</v>
      </c>
      <c r="C4500" s="48">
        <v>0.19930555555555554</v>
      </c>
      <c r="D4500" s="48">
        <v>0.22013888888888888</v>
      </c>
      <c r="E4500" s="49">
        <f>'Reclamo de equipaje rediseñado'!$D4500-'Reclamo de equipaje rediseñado'!$C4500</f>
        <v>2.0833333333333343E-2</v>
      </c>
      <c r="F4500" s="48">
        <v>0.24791666666666667</v>
      </c>
      <c r="G4500" s="49">
        <f t="shared" si="70"/>
        <v>2.777777777777779E-2</v>
      </c>
      <c r="H4500" s="50">
        <v>41809</v>
      </c>
      <c r="I4500" s="51" t="s">
        <v>567</v>
      </c>
      <c r="J4500" s="51" t="s">
        <v>554</v>
      </c>
      <c r="K4500" s="51">
        <f>VLOOKUP(J4500,'Validacion reclamo de equipaje'!L:M,2,0)</f>
        <v>189</v>
      </c>
      <c r="L4500" s="51" t="str">
        <f>VLOOKUP(I4500,'Validacion reclamo de equipaje'!H:I,2,0)</f>
        <v>Internacional</v>
      </c>
      <c r="M4500" s="51" t="s">
        <v>615</v>
      </c>
    </row>
    <row r="4501" spans="1:13" x14ac:dyDescent="0.25">
      <c r="A4501">
        <v>226</v>
      </c>
      <c r="B4501" s="47" t="str">
        <f>VLOOKUP(Tabla6[[#This Row],['# Vuelo]],'Validacion reclamo de equipaje'!P:Q,2,0)</f>
        <v>VUELOS AL NORTE</v>
      </c>
      <c r="C4501" s="52">
        <v>0.1875</v>
      </c>
      <c r="D4501" s="52">
        <v>0.20277777777777781</v>
      </c>
      <c r="E4501" s="53">
        <f>'Reclamo de equipaje rediseñado'!$D4501-'Reclamo de equipaje rediseñado'!$C4501</f>
        <v>1.5277777777777807E-2</v>
      </c>
      <c r="F4501" s="52">
        <v>0.22361111111111109</v>
      </c>
      <c r="G4501" s="53">
        <f t="shared" si="70"/>
        <v>2.0833333333333287E-2</v>
      </c>
      <c r="H4501" s="54">
        <v>41810</v>
      </c>
      <c r="I4501" s="55" t="s">
        <v>567</v>
      </c>
      <c r="J4501" s="55" t="s">
        <v>554</v>
      </c>
      <c r="K4501" s="55">
        <f>VLOOKUP(J4501,'Validacion reclamo de equipaje'!L:M,2,0)</f>
        <v>189</v>
      </c>
      <c r="L4501" s="55" t="str">
        <f>VLOOKUP(I4501,'Validacion reclamo de equipaje'!H:I,2,0)</f>
        <v>Internacional</v>
      </c>
      <c r="M4501" s="55" t="s">
        <v>615</v>
      </c>
    </row>
    <row r="4502" spans="1:13" x14ac:dyDescent="0.25">
      <c r="A4502">
        <v>226</v>
      </c>
      <c r="B4502" s="47" t="str">
        <f>VLOOKUP(Tabla6[[#This Row],['# Vuelo]],'Validacion reclamo de equipaje'!P:Q,2,0)</f>
        <v>VUELOS AL NORTE</v>
      </c>
      <c r="C4502" s="48">
        <v>0.19236111111111112</v>
      </c>
      <c r="D4502" s="48">
        <v>0.2076388888888889</v>
      </c>
      <c r="E4502" s="49">
        <f>'Reclamo de equipaje rediseñado'!$D4502-'Reclamo de equipaje rediseñado'!$C4502</f>
        <v>1.5277777777777779E-2</v>
      </c>
      <c r="F4502" s="48">
        <v>0.22708333333333333</v>
      </c>
      <c r="G4502" s="49">
        <f t="shared" si="70"/>
        <v>1.9444444444444431E-2</v>
      </c>
      <c r="H4502" s="50">
        <v>41811</v>
      </c>
      <c r="I4502" s="51" t="s">
        <v>567</v>
      </c>
      <c r="J4502" s="51" t="s">
        <v>554</v>
      </c>
      <c r="K4502" s="51">
        <f>VLOOKUP(J4502,'Validacion reclamo de equipaje'!L:M,2,0)</f>
        <v>189</v>
      </c>
      <c r="L4502" s="51" t="str">
        <f>VLOOKUP(I4502,'Validacion reclamo de equipaje'!H:I,2,0)</f>
        <v>Internacional</v>
      </c>
      <c r="M4502" s="51" t="s">
        <v>615</v>
      </c>
    </row>
    <row r="4503" spans="1:13" x14ac:dyDescent="0.25">
      <c r="A4503">
        <v>226</v>
      </c>
      <c r="B4503" s="47" t="str">
        <f>VLOOKUP(Tabla6[[#This Row],['# Vuelo]],'Validacion reclamo de equipaje'!P:Q,2,0)</f>
        <v>VUELOS AL NORTE</v>
      </c>
      <c r="C4503" s="52">
        <v>0.18958333333333333</v>
      </c>
      <c r="D4503" s="52">
        <v>0.20208333333333331</v>
      </c>
      <c r="E4503" s="53">
        <f>'Reclamo de equipaje rediseñado'!$D4503-'Reclamo de equipaje rediseñado'!$C4503</f>
        <v>1.2499999999999983E-2</v>
      </c>
      <c r="F4503" s="52">
        <v>0.21805555555555556</v>
      </c>
      <c r="G4503" s="53">
        <f t="shared" si="70"/>
        <v>1.5972222222222249E-2</v>
      </c>
      <c r="H4503" s="54">
        <v>41812</v>
      </c>
      <c r="I4503" s="55" t="s">
        <v>567</v>
      </c>
      <c r="J4503" s="55" t="s">
        <v>554</v>
      </c>
      <c r="K4503" s="55">
        <f>VLOOKUP(J4503,'Validacion reclamo de equipaje'!L:M,2,0)</f>
        <v>189</v>
      </c>
      <c r="L4503" s="55" t="str">
        <f>VLOOKUP(I4503,'Validacion reclamo de equipaje'!H:I,2,0)</f>
        <v>Internacional</v>
      </c>
      <c r="M4503" s="55" t="s">
        <v>615</v>
      </c>
    </row>
    <row r="4504" spans="1:13" x14ac:dyDescent="0.25">
      <c r="A4504">
        <v>226</v>
      </c>
      <c r="B4504" s="47" t="str">
        <f>VLOOKUP(Tabla6[[#This Row],['# Vuelo]],'Validacion reclamo de equipaje'!P:Q,2,0)</f>
        <v>VUELOS AL NORTE</v>
      </c>
      <c r="C4504" s="48">
        <v>0.18888888888888888</v>
      </c>
      <c r="D4504" s="48">
        <v>0.20833333333333334</v>
      </c>
      <c r="E4504" s="49">
        <f>'Reclamo de equipaje rediseñado'!$D4504-'Reclamo de equipaje rediseñado'!$C4504</f>
        <v>1.9444444444444459E-2</v>
      </c>
      <c r="F4504" s="48">
        <v>0.24374999999999999</v>
      </c>
      <c r="G4504" s="49">
        <f t="shared" si="70"/>
        <v>3.5416666666666652E-2</v>
      </c>
      <c r="H4504" s="50">
        <v>41813</v>
      </c>
      <c r="I4504" s="51" t="s">
        <v>567</v>
      </c>
      <c r="J4504" s="51" t="s">
        <v>554</v>
      </c>
      <c r="K4504" s="51">
        <f>VLOOKUP(J4504,'Validacion reclamo de equipaje'!L:M,2,0)</f>
        <v>189</v>
      </c>
      <c r="L4504" s="51" t="str">
        <f>VLOOKUP(I4504,'Validacion reclamo de equipaje'!H:I,2,0)</f>
        <v>Internacional</v>
      </c>
      <c r="M4504" s="51" t="s">
        <v>615</v>
      </c>
    </row>
    <row r="4505" spans="1:13" x14ac:dyDescent="0.25">
      <c r="A4505">
        <v>3275</v>
      </c>
      <c r="B4505" s="47" t="str">
        <f>VLOOKUP(Tabla6[[#This Row],['# Vuelo]],'Validacion reclamo de equipaje'!P:Q,2,0)</f>
        <v>AEROLINEAS DE AMERICA</v>
      </c>
      <c r="C4505" s="52">
        <v>0.47847222222222219</v>
      </c>
      <c r="D4505" s="52">
        <v>0.48680555555555555</v>
      </c>
      <c r="E4505" s="53">
        <f>'Reclamo de equipaje rediseñado'!$D4505-'Reclamo de equipaje rediseñado'!$C4505</f>
        <v>8.3333333333333592E-3</v>
      </c>
      <c r="F4505" s="52">
        <v>0.49305555555555558</v>
      </c>
      <c r="G4505" s="53">
        <f t="shared" si="70"/>
        <v>6.2500000000000333E-3</v>
      </c>
      <c r="H4505" s="54">
        <v>41791</v>
      </c>
      <c r="I4505" s="55" t="s">
        <v>538</v>
      </c>
      <c r="J4505" s="55" t="s">
        <v>535</v>
      </c>
      <c r="K4505" s="55">
        <f>VLOOKUP(J4505,'Validacion reclamo de equipaje'!L:M,2,0)</f>
        <v>50</v>
      </c>
      <c r="L4505" s="55" t="str">
        <f>VLOOKUP(I4505,'Validacion reclamo de equipaje'!H:I,2,0)</f>
        <v>Internacional</v>
      </c>
      <c r="M4505" s="55" t="s">
        <v>615</v>
      </c>
    </row>
    <row r="4506" spans="1:13" x14ac:dyDescent="0.25">
      <c r="A4506">
        <v>3275</v>
      </c>
      <c r="B4506" s="47" t="str">
        <f>VLOOKUP(Tabla6[[#This Row],['# Vuelo]],'Validacion reclamo de equipaje'!P:Q,2,0)</f>
        <v>AEROLINEAS DE AMERICA</v>
      </c>
      <c r="C4506" s="48">
        <v>0.4777777777777778</v>
      </c>
      <c r="D4506" s="48">
        <v>0.48888888888888887</v>
      </c>
      <c r="E4506" s="49">
        <f>'Reclamo de equipaje rediseñado'!$D4506-'Reclamo de equipaje rediseñado'!$C4506</f>
        <v>1.1111111111111072E-2</v>
      </c>
      <c r="F4506" s="48">
        <v>0.49652777777777773</v>
      </c>
      <c r="G4506" s="49">
        <f t="shared" si="70"/>
        <v>7.6388888888888618E-3</v>
      </c>
      <c r="H4506" s="50">
        <v>41792</v>
      </c>
      <c r="I4506" s="51" t="s">
        <v>538</v>
      </c>
      <c r="J4506" s="51" t="s">
        <v>535</v>
      </c>
      <c r="K4506" s="51">
        <f>VLOOKUP(J4506,'Validacion reclamo de equipaje'!L:M,2,0)</f>
        <v>50</v>
      </c>
      <c r="L4506" s="51" t="str">
        <f>VLOOKUP(I4506,'Validacion reclamo de equipaje'!H:I,2,0)</f>
        <v>Internacional</v>
      </c>
      <c r="M4506" s="51" t="s">
        <v>615</v>
      </c>
    </row>
    <row r="4507" spans="1:13" x14ac:dyDescent="0.25">
      <c r="A4507">
        <v>3275</v>
      </c>
      <c r="B4507" s="47" t="str">
        <f>VLOOKUP(Tabla6[[#This Row],['# Vuelo]],'Validacion reclamo de equipaje'!P:Q,2,0)</f>
        <v>AEROLINEAS DE AMERICA</v>
      </c>
      <c r="C4507" s="52">
        <v>0.48125000000000001</v>
      </c>
      <c r="D4507" s="52">
        <v>0.49444444444444446</v>
      </c>
      <c r="E4507" s="53">
        <f>'Reclamo de equipaje rediseñado'!$D4507-'Reclamo de equipaje rediseñado'!$C4507</f>
        <v>1.3194444444444453E-2</v>
      </c>
      <c r="F4507" s="52">
        <v>0.49861111111111112</v>
      </c>
      <c r="G4507" s="53">
        <f t="shared" si="70"/>
        <v>4.1666666666666519E-3</v>
      </c>
      <c r="H4507" s="54">
        <v>41793</v>
      </c>
      <c r="I4507" s="55" t="s">
        <v>538</v>
      </c>
      <c r="J4507" s="55" t="s">
        <v>535</v>
      </c>
      <c r="K4507" s="55">
        <f>VLOOKUP(J4507,'Validacion reclamo de equipaje'!L:M,2,0)</f>
        <v>50</v>
      </c>
      <c r="L4507" s="55" t="str">
        <f>VLOOKUP(I4507,'Validacion reclamo de equipaje'!H:I,2,0)</f>
        <v>Internacional</v>
      </c>
      <c r="M4507" s="55" t="s">
        <v>615</v>
      </c>
    </row>
    <row r="4508" spans="1:13" x14ac:dyDescent="0.25">
      <c r="A4508">
        <v>3275</v>
      </c>
      <c r="B4508" s="47" t="str">
        <f>VLOOKUP(Tabla6[[#This Row],['# Vuelo]],'Validacion reclamo de equipaje'!P:Q,2,0)</f>
        <v>AEROLINEAS DE AMERICA</v>
      </c>
      <c r="C4508" s="48">
        <v>0.48749999999999999</v>
      </c>
      <c r="D4508" s="48">
        <v>0.50347222222222221</v>
      </c>
      <c r="E4508" s="49">
        <f>'Reclamo de equipaje rediseñado'!$D4508-'Reclamo de equipaje rediseñado'!$C4508</f>
        <v>1.5972222222222221E-2</v>
      </c>
      <c r="F4508" s="48">
        <v>0.51111111111111118</v>
      </c>
      <c r="G4508" s="49">
        <f t="shared" si="70"/>
        <v>7.6388888888889728E-3</v>
      </c>
      <c r="H4508" s="50">
        <v>41794</v>
      </c>
      <c r="I4508" s="51" t="s">
        <v>538</v>
      </c>
      <c r="J4508" s="51" t="s">
        <v>535</v>
      </c>
      <c r="K4508" s="51">
        <f>VLOOKUP(J4508,'Validacion reclamo de equipaje'!L:M,2,0)</f>
        <v>50</v>
      </c>
      <c r="L4508" s="51" t="str">
        <f>VLOOKUP(I4508,'Validacion reclamo de equipaje'!H:I,2,0)</f>
        <v>Internacional</v>
      </c>
      <c r="M4508" s="51" t="s">
        <v>615</v>
      </c>
    </row>
    <row r="4509" spans="1:13" x14ac:dyDescent="0.25">
      <c r="A4509">
        <v>3275</v>
      </c>
      <c r="B4509" s="47" t="str">
        <f>VLOOKUP(Tabla6[[#This Row],['# Vuelo]],'Validacion reclamo de equipaje'!P:Q,2,0)</f>
        <v>AEROLINEAS DE AMERICA</v>
      </c>
      <c r="C4509" s="52">
        <v>0.49305555555555558</v>
      </c>
      <c r="D4509" s="52">
        <v>0.50694444444444442</v>
      </c>
      <c r="E4509" s="53">
        <f>'Reclamo de equipaje rediseñado'!$D4509-'Reclamo de equipaje rediseñado'!$C4509</f>
        <v>1.388888888888884E-2</v>
      </c>
      <c r="F4509" s="52">
        <v>0.51388888888888895</v>
      </c>
      <c r="G4509" s="53">
        <f t="shared" si="70"/>
        <v>6.9444444444445308E-3</v>
      </c>
      <c r="H4509" s="54">
        <v>41795</v>
      </c>
      <c r="I4509" s="55" t="s">
        <v>538</v>
      </c>
      <c r="J4509" s="55" t="s">
        <v>535</v>
      </c>
      <c r="K4509" s="55">
        <f>VLOOKUP(J4509,'Validacion reclamo de equipaje'!L:M,2,0)</f>
        <v>50</v>
      </c>
      <c r="L4509" s="55" t="str">
        <f>VLOOKUP(I4509,'Validacion reclamo de equipaje'!H:I,2,0)</f>
        <v>Internacional</v>
      </c>
      <c r="M4509" s="55" t="s">
        <v>615</v>
      </c>
    </row>
    <row r="4510" spans="1:13" x14ac:dyDescent="0.25">
      <c r="A4510">
        <v>3275</v>
      </c>
      <c r="B4510" s="47" t="str">
        <f>VLOOKUP(Tabla6[[#This Row],['# Vuelo]],'Validacion reclamo de equipaje'!P:Q,2,0)</f>
        <v>AEROLINEAS DE AMERICA</v>
      </c>
      <c r="C4510" s="48">
        <v>0.48958333333333331</v>
      </c>
      <c r="D4510" s="48">
        <v>0.50347222222222221</v>
      </c>
      <c r="E4510" s="49">
        <f>'Reclamo de equipaje rediseñado'!$D4510-'Reclamo de equipaje rediseñado'!$C4510</f>
        <v>1.3888888888888895E-2</v>
      </c>
      <c r="F4510" s="48">
        <v>0.51041666666666663</v>
      </c>
      <c r="G4510" s="49">
        <f t="shared" si="70"/>
        <v>6.9444444444444198E-3</v>
      </c>
      <c r="H4510" s="50">
        <v>41796</v>
      </c>
      <c r="I4510" s="51" t="s">
        <v>538</v>
      </c>
      <c r="J4510" s="51" t="s">
        <v>535</v>
      </c>
      <c r="K4510" s="51">
        <f>VLOOKUP(J4510,'Validacion reclamo de equipaje'!L:M,2,0)</f>
        <v>50</v>
      </c>
      <c r="L4510" s="51" t="str">
        <f>VLOOKUP(I4510,'Validacion reclamo de equipaje'!H:I,2,0)</f>
        <v>Internacional</v>
      </c>
      <c r="M4510" s="51" t="s">
        <v>615</v>
      </c>
    </row>
    <row r="4511" spans="1:13" x14ac:dyDescent="0.25">
      <c r="A4511">
        <v>3275</v>
      </c>
      <c r="B4511" s="47" t="str">
        <f>VLOOKUP(Tabla6[[#This Row],['# Vuelo]],'Validacion reclamo de equipaje'!P:Q,2,0)</f>
        <v>AEROLINEAS DE AMERICA</v>
      </c>
      <c r="C4511" s="52">
        <v>0.48819444444444443</v>
      </c>
      <c r="D4511" s="52">
        <v>0.50277777777777777</v>
      </c>
      <c r="E4511" s="53">
        <f>'Reclamo de equipaje rediseñado'!$D4511-'Reclamo de equipaje rediseñado'!$C4511</f>
        <v>1.4583333333333337E-2</v>
      </c>
      <c r="F4511" s="52">
        <v>0.51388888888888895</v>
      </c>
      <c r="G4511" s="53">
        <f t="shared" si="70"/>
        <v>1.1111111111111183E-2</v>
      </c>
      <c r="H4511" s="54">
        <v>41797</v>
      </c>
      <c r="I4511" s="55" t="s">
        <v>538</v>
      </c>
      <c r="J4511" s="55" t="s">
        <v>535</v>
      </c>
      <c r="K4511" s="55">
        <f>VLOOKUP(J4511,'Validacion reclamo de equipaje'!L:M,2,0)</f>
        <v>50</v>
      </c>
      <c r="L4511" s="55" t="str">
        <f>VLOOKUP(I4511,'Validacion reclamo de equipaje'!H:I,2,0)</f>
        <v>Internacional</v>
      </c>
      <c r="M4511" s="55" t="s">
        <v>615</v>
      </c>
    </row>
    <row r="4512" spans="1:13" x14ac:dyDescent="0.25">
      <c r="A4512">
        <v>3275</v>
      </c>
      <c r="B4512" s="47" t="str">
        <f>VLOOKUP(Tabla6[[#This Row],['# Vuelo]],'Validacion reclamo de equipaje'!P:Q,2,0)</f>
        <v>AEROLINEAS DE AMERICA</v>
      </c>
      <c r="C4512" s="48">
        <v>0.52430555555555558</v>
      </c>
      <c r="D4512" s="48">
        <v>0.53541666666666665</v>
      </c>
      <c r="E4512" s="49">
        <f>'Reclamo de equipaje rediseñado'!$D4512-'Reclamo de equipaje rediseñado'!$C4512</f>
        <v>1.1111111111111072E-2</v>
      </c>
      <c r="F4512" s="48">
        <v>0.54513888888888895</v>
      </c>
      <c r="G4512" s="49">
        <f t="shared" si="70"/>
        <v>9.7222222222222987E-3</v>
      </c>
      <c r="H4512" s="50">
        <v>41798</v>
      </c>
      <c r="I4512" s="51" t="s">
        <v>538</v>
      </c>
      <c r="J4512" s="51" t="s">
        <v>535</v>
      </c>
      <c r="K4512" s="51">
        <f>VLOOKUP(J4512,'Validacion reclamo de equipaje'!L:M,2,0)</f>
        <v>50</v>
      </c>
      <c r="L4512" s="51" t="str">
        <f>VLOOKUP(I4512,'Validacion reclamo de equipaje'!H:I,2,0)</f>
        <v>Internacional</v>
      </c>
      <c r="M4512" s="51" t="s">
        <v>615</v>
      </c>
    </row>
    <row r="4513" spans="1:13" x14ac:dyDescent="0.25">
      <c r="A4513">
        <v>3275</v>
      </c>
      <c r="B4513" s="47" t="str">
        <f>VLOOKUP(Tabla6[[#This Row],['# Vuelo]],'Validacion reclamo de equipaje'!P:Q,2,0)</f>
        <v>AEROLINEAS DE AMERICA</v>
      </c>
      <c r="C4513" s="52">
        <v>0.53819444444444442</v>
      </c>
      <c r="D4513" s="52">
        <v>0.54375000000000007</v>
      </c>
      <c r="E4513" s="53">
        <f>'Reclamo de equipaje rediseñado'!$D4513-'Reclamo de equipaje rediseñado'!$C4513</f>
        <v>5.5555555555556468E-3</v>
      </c>
      <c r="F4513" s="52">
        <v>0.55138888888888882</v>
      </c>
      <c r="G4513" s="53">
        <f t="shared" si="70"/>
        <v>7.6388888888887507E-3</v>
      </c>
      <c r="H4513" s="54">
        <v>41801</v>
      </c>
      <c r="I4513" s="55" t="s">
        <v>538</v>
      </c>
      <c r="J4513" s="55" t="s">
        <v>535</v>
      </c>
      <c r="K4513" s="55">
        <f>VLOOKUP(J4513,'Validacion reclamo de equipaje'!L:M,2,0)</f>
        <v>50</v>
      </c>
      <c r="L4513" s="55" t="str">
        <f>VLOOKUP(I4513,'Validacion reclamo de equipaje'!H:I,2,0)</f>
        <v>Internacional</v>
      </c>
      <c r="M4513" s="55" t="s">
        <v>615</v>
      </c>
    </row>
    <row r="4514" spans="1:13" x14ac:dyDescent="0.25">
      <c r="A4514">
        <v>3275</v>
      </c>
      <c r="B4514" s="47" t="str">
        <f>VLOOKUP(Tabla6[[#This Row],['# Vuelo]],'Validacion reclamo de equipaje'!P:Q,2,0)</f>
        <v>AEROLINEAS DE AMERICA</v>
      </c>
      <c r="C4514" s="48">
        <v>0.84166666666666667</v>
      </c>
      <c r="D4514" s="48">
        <v>0.85277777777777775</v>
      </c>
      <c r="E4514" s="49">
        <f>'Reclamo de equipaje rediseñado'!$D4514-'Reclamo de equipaje rediseñado'!$C4514</f>
        <v>1.1111111111111072E-2</v>
      </c>
      <c r="F4514" s="48">
        <v>0.86388888888888893</v>
      </c>
      <c r="G4514" s="49">
        <f t="shared" si="70"/>
        <v>1.1111111111111183E-2</v>
      </c>
      <c r="H4514" s="50">
        <v>41802</v>
      </c>
      <c r="I4514" s="51" t="s">
        <v>538</v>
      </c>
      <c r="J4514" s="51" t="s">
        <v>535</v>
      </c>
      <c r="K4514" s="51">
        <f>VLOOKUP(J4514,'Validacion reclamo de equipaje'!L:M,2,0)</f>
        <v>50</v>
      </c>
      <c r="L4514" s="51" t="str">
        <f>VLOOKUP(I4514,'Validacion reclamo de equipaje'!H:I,2,0)</f>
        <v>Internacional</v>
      </c>
      <c r="M4514" s="51" t="s">
        <v>615</v>
      </c>
    </row>
    <row r="4515" spans="1:13" x14ac:dyDescent="0.25">
      <c r="A4515">
        <v>3275</v>
      </c>
      <c r="B4515" s="47" t="str">
        <f>VLOOKUP(Tabla6[[#This Row],['# Vuelo]],'Validacion reclamo de equipaje'!P:Q,2,0)</f>
        <v>AEROLINEAS DE AMERICA</v>
      </c>
      <c r="C4515" s="52">
        <v>0.85486111111111107</v>
      </c>
      <c r="D4515" s="52">
        <v>0.90625</v>
      </c>
      <c r="E4515" s="53">
        <f>'Reclamo de equipaje rediseñado'!$D4515-'Reclamo de equipaje rediseñado'!$C4515</f>
        <v>5.1388888888888928E-2</v>
      </c>
      <c r="F4515" s="52">
        <v>0.9277777777777777</v>
      </c>
      <c r="G4515" s="53">
        <f t="shared" si="70"/>
        <v>2.1527777777777701E-2</v>
      </c>
      <c r="H4515" s="54">
        <v>41803</v>
      </c>
      <c r="I4515" s="55" t="s">
        <v>538</v>
      </c>
      <c r="J4515" s="55" t="s">
        <v>535</v>
      </c>
      <c r="K4515" s="55">
        <f>VLOOKUP(J4515,'Validacion reclamo de equipaje'!L:M,2,0)</f>
        <v>50</v>
      </c>
      <c r="L4515" s="55" t="str">
        <f>VLOOKUP(I4515,'Validacion reclamo de equipaje'!H:I,2,0)</f>
        <v>Internacional</v>
      </c>
      <c r="M4515" s="55" t="s">
        <v>615</v>
      </c>
    </row>
    <row r="4516" spans="1:13" x14ac:dyDescent="0.25">
      <c r="A4516">
        <v>3275</v>
      </c>
      <c r="B4516" s="47" t="str">
        <f>VLOOKUP(Tabla6[[#This Row],['# Vuelo]],'Validacion reclamo de equipaje'!P:Q,2,0)</f>
        <v>AEROLINEAS DE AMERICA</v>
      </c>
      <c r="C4516" s="48">
        <v>0.92499999999999993</v>
      </c>
      <c r="D4516" s="48">
        <v>0.93263888888888891</v>
      </c>
      <c r="E4516" s="49">
        <f>'Reclamo de equipaje rediseñado'!$D4516-'Reclamo de equipaje rediseñado'!$C4516</f>
        <v>7.6388888888889728E-3</v>
      </c>
      <c r="F4516" s="48">
        <v>0.9555555555555556</v>
      </c>
      <c r="G4516" s="49">
        <f t="shared" si="70"/>
        <v>2.2916666666666696E-2</v>
      </c>
      <c r="H4516" s="50">
        <v>41804</v>
      </c>
      <c r="I4516" s="51" t="s">
        <v>538</v>
      </c>
      <c r="J4516" s="51" t="s">
        <v>535</v>
      </c>
      <c r="K4516" s="51">
        <f>VLOOKUP(J4516,'Validacion reclamo de equipaje'!L:M,2,0)</f>
        <v>50</v>
      </c>
      <c r="L4516" s="51" t="str">
        <f>VLOOKUP(I4516,'Validacion reclamo de equipaje'!H:I,2,0)</f>
        <v>Internacional</v>
      </c>
      <c r="M4516" s="51" t="s">
        <v>615</v>
      </c>
    </row>
    <row r="4517" spans="1:13" x14ac:dyDescent="0.25">
      <c r="A4517">
        <v>3275</v>
      </c>
      <c r="B4517" s="47" t="str">
        <f>VLOOKUP(Tabla6[[#This Row],['# Vuelo]],'Validacion reclamo de equipaje'!P:Q,2,0)</f>
        <v>AEROLINEAS DE AMERICA</v>
      </c>
      <c r="C4517" s="52">
        <v>0.46736111111111112</v>
      </c>
      <c r="D4517" s="52">
        <v>0.47083333333333338</v>
      </c>
      <c r="E4517" s="53">
        <f>'Reclamo de equipaje rediseñado'!$D4517-'Reclamo de equipaje rediseñado'!$C4517</f>
        <v>3.4722222222222654E-3</v>
      </c>
      <c r="F4517" s="52">
        <v>0.48472222222222222</v>
      </c>
      <c r="G4517" s="53">
        <f t="shared" si="70"/>
        <v>1.388888888888884E-2</v>
      </c>
      <c r="H4517" s="54">
        <v>41805</v>
      </c>
      <c r="I4517" s="55" t="s">
        <v>538</v>
      </c>
      <c r="J4517" s="55" t="s">
        <v>535</v>
      </c>
      <c r="K4517" s="55">
        <f>VLOOKUP(J4517,'Validacion reclamo de equipaje'!L:M,2,0)</f>
        <v>50</v>
      </c>
      <c r="L4517" s="55" t="str">
        <f>VLOOKUP(I4517,'Validacion reclamo de equipaje'!H:I,2,0)</f>
        <v>Internacional</v>
      </c>
      <c r="M4517" s="55" t="s">
        <v>615</v>
      </c>
    </row>
    <row r="4518" spans="1:13" x14ac:dyDescent="0.25">
      <c r="A4518">
        <v>3275</v>
      </c>
      <c r="B4518" s="47" t="str">
        <f>VLOOKUP(Tabla6[[#This Row],['# Vuelo]],'Validacion reclamo de equipaje'!P:Q,2,0)</f>
        <v>AEROLINEAS DE AMERICA</v>
      </c>
      <c r="C4518" s="48">
        <v>0.27708333333333335</v>
      </c>
      <c r="D4518" s="48">
        <v>0.28888888888888892</v>
      </c>
      <c r="E4518" s="49">
        <f>'Reclamo de equipaje rediseñado'!$D4518-'Reclamo de equipaje rediseñado'!$C4518</f>
        <v>1.1805555555555569E-2</v>
      </c>
      <c r="F4518" s="48">
        <v>0.30555555555555552</v>
      </c>
      <c r="G4518" s="49">
        <f t="shared" si="70"/>
        <v>1.6666666666666607E-2</v>
      </c>
      <c r="H4518" s="50">
        <v>41806</v>
      </c>
      <c r="I4518" s="51" t="s">
        <v>538</v>
      </c>
      <c r="J4518" s="51" t="s">
        <v>535</v>
      </c>
      <c r="K4518" s="51">
        <f>VLOOKUP(J4518,'Validacion reclamo de equipaje'!L:M,2,0)</f>
        <v>50</v>
      </c>
      <c r="L4518" s="51" t="str">
        <f>VLOOKUP(I4518,'Validacion reclamo de equipaje'!H:I,2,0)</f>
        <v>Internacional</v>
      </c>
      <c r="M4518" s="51" t="s">
        <v>615</v>
      </c>
    </row>
    <row r="4519" spans="1:13" x14ac:dyDescent="0.25">
      <c r="A4519">
        <v>3275</v>
      </c>
      <c r="B4519" s="47" t="str">
        <f>VLOOKUP(Tabla6[[#This Row],['# Vuelo]],'Validacion reclamo de equipaje'!P:Q,2,0)</f>
        <v>AEROLINEAS DE AMERICA</v>
      </c>
      <c r="C4519" s="52">
        <v>0.85555555555555562</v>
      </c>
      <c r="D4519" s="52">
        <v>0.86875000000000002</v>
      </c>
      <c r="E4519" s="53">
        <f>'Reclamo de equipaje rediseñado'!$D4519-'Reclamo de equipaje rediseñado'!$C4519</f>
        <v>1.3194444444444398E-2</v>
      </c>
      <c r="F4519" s="52">
        <v>0.88611111111111107</v>
      </c>
      <c r="G4519" s="53">
        <f t="shared" si="70"/>
        <v>1.7361111111111049E-2</v>
      </c>
      <c r="H4519" s="54">
        <v>41807</v>
      </c>
      <c r="I4519" s="55" t="s">
        <v>538</v>
      </c>
      <c r="J4519" s="55" t="s">
        <v>535</v>
      </c>
      <c r="K4519" s="55">
        <f>VLOOKUP(J4519,'Validacion reclamo de equipaje'!L:M,2,0)</f>
        <v>50</v>
      </c>
      <c r="L4519" s="55" t="str">
        <f>VLOOKUP(I4519,'Validacion reclamo de equipaje'!H:I,2,0)</f>
        <v>Internacional</v>
      </c>
      <c r="M4519" s="55" t="s">
        <v>615</v>
      </c>
    </row>
    <row r="4520" spans="1:13" x14ac:dyDescent="0.25">
      <c r="A4520">
        <v>3275</v>
      </c>
      <c r="B4520" s="47" t="str">
        <f>VLOOKUP(Tabla6[[#This Row],['# Vuelo]],'Validacion reclamo de equipaje'!P:Q,2,0)</f>
        <v>AEROLINEAS DE AMERICA</v>
      </c>
      <c r="C4520" s="48">
        <v>0.66041666666666665</v>
      </c>
      <c r="D4520" s="48">
        <v>0.67222222222222217</v>
      </c>
      <c r="E4520" s="49">
        <f>'Reclamo de equipaje rediseñado'!$D4520-'Reclamo de equipaje rediseñado'!$C4520</f>
        <v>1.1805555555555514E-2</v>
      </c>
      <c r="F4520" s="48">
        <v>0.67847222222222225</v>
      </c>
      <c r="G4520" s="49">
        <f t="shared" si="70"/>
        <v>6.2500000000000888E-3</v>
      </c>
      <c r="H4520" s="50">
        <v>41808</v>
      </c>
      <c r="I4520" s="51" t="s">
        <v>538</v>
      </c>
      <c r="J4520" s="51" t="s">
        <v>535</v>
      </c>
      <c r="K4520" s="51">
        <f>VLOOKUP(J4520,'Validacion reclamo de equipaje'!L:M,2,0)</f>
        <v>50</v>
      </c>
      <c r="L4520" s="51" t="str">
        <f>VLOOKUP(I4520,'Validacion reclamo de equipaje'!H:I,2,0)</f>
        <v>Internacional</v>
      </c>
      <c r="M4520" s="51" t="s">
        <v>615</v>
      </c>
    </row>
    <row r="4521" spans="1:13" x14ac:dyDescent="0.25">
      <c r="A4521">
        <v>3275</v>
      </c>
      <c r="B4521" s="47" t="str">
        <f>VLOOKUP(Tabla6[[#This Row],['# Vuelo]],'Validacion reclamo de equipaje'!P:Q,2,0)</f>
        <v>AEROLINEAS DE AMERICA</v>
      </c>
      <c r="C4521" s="52">
        <v>0.65763888888888888</v>
      </c>
      <c r="D4521" s="52">
        <v>0.67083333333333339</v>
      </c>
      <c r="E4521" s="53">
        <f>'Reclamo de equipaje rediseñado'!$D4521-'Reclamo de equipaje rediseñado'!$C4521</f>
        <v>1.3194444444444509E-2</v>
      </c>
      <c r="F4521" s="52">
        <v>0.67708333333333337</v>
      </c>
      <c r="G4521" s="53">
        <f t="shared" si="70"/>
        <v>6.2499999999999778E-3</v>
      </c>
      <c r="H4521" s="54">
        <v>41809</v>
      </c>
      <c r="I4521" s="55" t="s">
        <v>538</v>
      </c>
      <c r="J4521" s="55" t="s">
        <v>535</v>
      </c>
      <c r="K4521" s="55">
        <f>VLOOKUP(J4521,'Validacion reclamo de equipaje'!L:M,2,0)</f>
        <v>50</v>
      </c>
      <c r="L4521" s="55" t="str">
        <f>VLOOKUP(I4521,'Validacion reclamo de equipaje'!H:I,2,0)</f>
        <v>Internacional</v>
      </c>
      <c r="M4521" s="55" t="s">
        <v>615</v>
      </c>
    </row>
    <row r="4522" spans="1:13" x14ac:dyDescent="0.25">
      <c r="A4522">
        <v>3275</v>
      </c>
      <c r="B4522" s="47" t="str">
        <f>VLOOKUP(Tabla6[[#This Row],['# Vuelo]],'Validacion reclamo de equipaje'!P:Q,2,0)</f>
        <v>AEROLINEAS DE AMERICA</v>
      </c>
      <c r="C4522" s="48">
        <v>0.65277777777777779</v>
      </c>
      <c r="D4522" s="48">
        <v>0.66041666666666665</v>
      </c>
      <c r="E4522" s="49">
        <f>'Reclamo de equipaje rediseñado'!$D4522-'Reclamo de equipaje rediseñado'!$C4522</f>
        <v>7.6388888888888618E-3</v>
      </c>
      <c r="F4522" s="48">
        <v>0.67152777777777783</v>
      </c>
      <c r="G4522" s="49">
        <f t="shared" si="70"/>
        <v>1.1111111111111183E-2</v>
      </c>
      <c r="H4522" s="50">
        <v>41810</v>
      </c>
      <c r="I4522" s="51" t="s">
        <v>538</v>
      </c>
      <c r="J4522" s="51" t="s">
        <v>535</v>
      </c>
      <c r="K4522" s="51">
        <f>VLOOKUP(J4522,'Validacion reclamo de equipaje'!L:M,2,0)</f>
        <v>50</v>
      </c>
      <c r="L4522" s="51" t="str">
        <f>VLOOKUP(I4522,'Validacion reclamo de equipaje'!H:I,2,0)</f>
        <v>Internacional</v>
      </c>
      <c r="M4522" s="51" t="s">
        <v>615</v>
      </c>
    </row>
    <row r="4523" spans="1:13" x14ac:dyDescent="0.25">
      <c r="A4523">
        <v>3275</v>
      </c>
      <c r="B4523" s="47" t="str">
        <f>VLOOKUP(Tabla6[[#This Row],['# Vuelo]],'Validacion reclamo de equipaje'!P:Q,2,0)</f>
        <v>AEROLINEAS DE AMERICA</v>
      </c>
      <c r="C4523" s="52">
        <v>0.65555555555555556</v>
      </c>
      <c r="D4523" s="52">
        <v>0.67083333333333339</v>
      </c>
      <c r="E4523" s="53">
        <f>'Reclamo de equipaje rediseñado'!$D4523-'Reclamo de equipaje rediseñado'!$C4523</f>
        <v>1.5277777777777835E-2</v>
      </c>
      <c r="F4523" s="52">
        <v>0.67847222222222225</v>
      </c>
      <c r="G4523" s="53">
        <f t="shared" si="70"/>
        <v>7.6388888888888618E-3</v>
      </c>
      <c r="H4523" s="54">
        <v>41811</v>
      </c>
      <c r="I4523" s="55" t="s">
        <v>538</v>
      </c>
      <c r="J4523" s="55" t="s">
        <v>535</v>
      </c>
      <c r="K4523" s="55">
        <f>VLOOKUP(J4523,'Validacion reclamo de equipaje'!L:M,2,0)</f>
        <v>50</v>
      </c>
      <c r="L4523" s="55" t="str">
        <f>VLOOKUP(I4523,'Validacion reclamo de equipaje'!H:I,2,0)</f>
        <v>Internacional</v>
      </c>
      <c r="M4523" s="55" t="s">
        <v>615</v>
      </c>
    </row>
    <row r="4524" spans="1:13" x14ac:dyDescent="0.25">
      <c r="A4524">
        <v>3275</v>
      </c>
      <c r="B4524" s="47" t="str">
        <f>VLOOKUP(Tabla6[[#This Row],['# Vuelo]],'Validacion reclamo de equipaje'!P:Q,2,0)</f>
        <v>AEROLINEAS DE AMERICA</v>
      </c>
      <c r="C4524" s="48">
        <v>0.64374999999999993</v>
      </c>
      <c r="D4524" s="48">
        <v>0.65277777777777779</v>
      </c>
      <c r="E4524" s="49">
        <f>'Reclamo de equipaje rediseñado'!$D4524-'Reclamo de equipaje rediseñado'!$C4524</f>
        <v>9.0277777777778567E-3</v>
      </c>
      <c r="F4524" s="48">
        <v>0.67708333333333337</v>
      </c>
      <c r="G4524" s="49">
        <f t="shared" si="70"/>
        <v>2.430555555555558E-2</v>
      </c>
      <c r="H4524" s="50">
        <v>41813</v>
      </c>
      <c r="I4524" s="51" t="s">
        <v>538</v>
      </c>
      <c r="J4524" s="51" t="s">
        <v>535</v>
      </c>
      <c r="K4524" s="51">
        <f>VLOOKUP(J4524,'Validacion reclamo de equipaje'!L:M,2,0)</f>
        <v>50</v>
      </c>
      <c r="L4524" s="51" t="str">
        <f>VLOOKUP(I4524,'Validacion reclamo de equipaje'!H:I,2,0)</f>
        <v>Internacional</v>
      </c>
      <c r="M4524" s="51" t="s">
        <v>615</v>
      </c>
    </row>
    <row r="4525" spans="1:13" x14ac:dyDescent="0.25">
      <c r="A4525">
        <v>2313</v>
      </c>
      <c r="B4525" s="47" t="str">
        <f>VLOOKUP(Tabla6[[#This Row],['# Vuelo]],'Validacion reclamo de equipaje'!P:Q,2,0)</f>
        <v>AEROLINEAS DE AMERICA</v>
      </c>
      <c r="C4525" s="52">
        <v>0.8340277777777777</v>
      </c>
      <c r="D4525" s="52">
        <v>0.85972222222222217</v>
      </c>
      <c r="E4525" s="53">
        <f>'Reclamo de equipaje rediseñado'!$D4525-'Reclamo de equipaje rediseñado'!$C4525</f>
        <v>2.5694444444444464E-2</v>
      </c>
      <c r="F4525" s="52">
        <v>0.87361111111111101</v>
      </c>
      <c r="G4525" s="53">
        <f t="shared" si="70"/>
        <v>1.388888888888884E-2</v>
      </c>
      <c r="H4525" s="54">
        <v>41792</v>
      </c>
      <c r="I4525" s="55" t="s">
        <v>538</v>
      </c>
      <c r="J4525" s="55" t="s">
        <v>571</v>
      </c>
      <c r="K4525" s="55">
        <f>VLOOKUP(J4525,'Validacion reclamo de equipaje'!L:M,2,0)</f>
        <v>182</v>
      </c>
      <c r="L4525" s="55" t="str">
        <f>VLOOKUP(I4525,'Validacion reclamo de equipaje'!H:I,2,0)</f>
        <v>Internacional</v>
      </c>
      <c r="M4525" s="55" t="s">
        <v>615</v>
      </c>
    </row>
    <row r="4526" spans="1:13" x14ac:dyDescent="0.25">
      <c r="A4526">
        <v>2313</v>
      </c>
      <c r="B4526" s="47" t="str">
        <f>VLOOKUP(Tabla6[[#This Row],['# Vuelo]],'Validacion reclamo de equipaje'!P:Q,2,0)</f>
        <v>AEROLINEAS DE AMERICA</v>
      </c>
      <c r="C4526" s="48">
        <v>0.8305555555555556</v>
      </c>
      <c r="D4526" s="48">
        <v>0.84375</v>
      </c>
      <c r="E4526" s="49">
        <f>'Reclamo de equipaje rediseñado'!$D4526-'Reclamo de equipaje rediseñado'!$C4526</f>
        <v>1.3194444444444398E-2</v>
      </c>
      <c r="F4526" s="48">
        <v>0.8520833333333333</v>
      </c>
      <c r="G4526" s="49">
        <f t="shared" si="70"/>
        <v>8.3333333333333037E-3</v>
      </c>
      <c r="H4526" s="50">
        <v>41793</v>
      </c>
      <c r="I4526" s="51" t="s">
        <v>538</v>
      </c>
      <c r="J4526" s="51" t="s">
        <v>571</v>
      </c>
      <c r="K4526" s="51">
        <f>VLOOKUP(J4526,'Validacion reclamo de equipaje'!L:M,2,0)</f>
        <v>182</v>
      </c>
      <c r="L4526" s="51" t="str">
        <f>VLOOKUP(I4526,'Validacion reclamo de equipaje'!H:I,2,0)</f>
        <v>Internacional</v>
      </c>
      <c r="M4526" s="51" t="s">
        <v>615</v>
      </c>
    </row>
    <row r="4527" spans="1:13" x14ac:dyDescent="0.25">
      <c r="A4527">
        <v>2313</v>
      </c>
      <c r="B4527" s="47" t="str">
        <f>VLOOKUP(Tabla6[[#This Row],['# Vuelo]],'Validacion reclamo de equipaje'!P:Q,2,0)</f>
        <v>AEROLINEAS DE AMERICA</v>
      </c>
      <c r="C4527" s="52">
        <v>0.83888888888888891</v>
      </c>
      <c r="D4527" s="52">
        <v>0.85763888888888884</v>
      </c>
      <c r="E4527" s="53">
        <f>'Reclamo de equipaje rediseñado'!$D4527-'Reclamo de equipaje rediseñado'!$C4527</f>
        <v>1.8749999999999933E-2</v>
      </c>
      <c r="F4527" s="52">
        <v>0.86944444444444446</v>
      </c>
      <c r="G4527" s="53">
        <f t="shared" si="70"/>
        <v>1.1805555555555625E-2</v>
      </c>
      <c r="H4527" s="54">
        <v>41794</v>
      </c>
      <c r="I4527" s="55" t="s">
        <v>538</v>
      </c>
      <c r="J4527" s="55" t="s">
        <v>571</v>
      </c>
      <c r="K4527" s="55">
        <f>VLOOKUP(J4527,'Validacion reclamo de equipaje'!L:M,2,0)</f>
        <v>182</v>
      </c>
      <c r="L4527" s="55" t="str">
        <f>VLOOKUP(I4527,'Validacion reclamo de equipaje'!H:I,2,0)</f>
        <v>Internacional</v>
      </c>
      <c r="M4527" s="55" t="s">
        <v>615</v>
      </c>
    </row>
    <row r="4528" spans="1:13" x14ac:dyDescent="0.25">
      <c r="A4528">
        <v>2313</v>
      </c>
      <c r="B4528" s="47" t="str">
        <f>VLOOKUP(Tabla6[[#This Row],['# Vuelo]],'Validacion reclamo de equipaje'!P:Q,2,0)</f>
        <v>AEROLINEAS DE AMERICA</v>
      </c>
      <c r="C4528" s="48">
        <v>0.88750000000000007</v>
      </c>
      <c r="D4528" s="48">
        <v>0.90902777777777777</v>
      </c>
      <c r="E4528" s="49">
        <f>'Reclamo de equipaje rediseñado'!$D4528-'Reclamo de equipaje rediseñado'!$C4528</f>
        <v>2.1527777777777701E-2</v>
      </c>
      <c r="F4528" s="48">
        <v>0.92152777777777783</v>
      </c>
      <c r="G4528" s="49">
        <f t="shared" si="70"/>
        <v>1.2500000000000067E-2</v>
      </c>
      <c r="H4528" s="50">
        <v>41795</v>
      </c>
      <c r="I4528" s="51" t="s">
        <v>538</v>
      </c>
      <c r="J4528" s="51" t="s">
        <v>571</v>
      </c>
      <c r="K4528" s="51">
        <f>VLOOKUP(J4528,'Validacion reclamo de equipaje'!L:M,2,0)</f>
        <v>182</v>
      </c>
      <c r="L4528" s="51" t="str">
        <f>VLOOKUP(I4528,'Validacion reclamo de equipaje'!H:I,2,0)</f>
        <v>Internacional</v>
      </c>
      <c r="M4528" s="51" t="s">
        <v>615</v>
      </c>
    </row>
    <row r="4529" spans="1:13" x14ac:dyDescent="0.25">
      <c r="A4529">
        <v>2313</v>
      </c>
      <c r="B4529" s="47" t="str">
        <f>VLOOKUP(Tabla6[[#This Row],['# Vuelo]],'Validacion reclamo de equipaje'!P:Q,2,0)</f>
        <v>AEROLINEAS DE AMERICA</v>
      </c>
      <c r="C4529" s="52">
        <v>0.83333333333333337</v>
      </c>
      <c r="D4529" s="52">
        <v>0.85416666666666663</v>
      </c>
      <c r="E4529" s="53">
        <f>'Reclamo de equipaje rediseñado'!$D4529-'Reclamo de equipaje rediseñado'!$C4529</f>
        <v>2.0833333333333259E-2</v>
      </c>
      <c r="F4529" s="52">
        <v>0.86736111111111114</v>
      </c>
      <c r="G4529" s="53">
        <f t="shared" si="70"/>
        <v>1.3194444444444509E-2</v>
      </c>
      <c r="H4529" s="54">
        <v>41796</v>
      </c>
      <c r="I4529" s="55" t="s">
        <v>538</v>
      </c>
      <c r="J4529" s="55" t="s">
        <v>571</v>
      </c>
      <c r="K4529" s="55">
        <f>VLOOKUP(J4529,'Validacion reclamo de equipaje'!L:M,2,0)</f>
        <v>182</v>
      </c>
      <c r="L4529" s="55" t="str">
        <f>VLOOKUP(I4529,'Validacion reclamo de equipaje'!H:I,2,0)</f>
        <v>Internacional</v>
      </c>
      <c r="M4529" s="55" t="s">
        <v>615</v>
      </c>
    </row>
    <row r="4530" spans="1:13" x14ac:dyDescent="0.25">
      <c r="A4530">
        <v>2313</v>
      </c>
      <c r="B4530" s="47" t="str">
        <f>VLOOKUP(Tabla6[[#This Row],['# Vuelo]],'Validacion reclamo de equipaje'!P:Q,2,0)</f>
        <v>AEROLINEAS DE AMERICA</v>
      </c>
      <c r="C4530" s="48">
        <v>0.84027777777777779</v>
      </c>
      <c r="D4530" s="48">
        <v>0.8569444444444444</v>
      </c>
      <c r="E4530" s="49">
        <f>'Reclamo de equipaje rediseñado'!$D4530-'Reclamo de equipaje rediseñado'!$C4530</f>
        <v>1.6666666666666607E-2</v>
      </c>
      <c r="F4530" s="48">
        <v>0.88194444444444453</v>
      </c>
      <c r="G4530" s="49">
        <f t="shared" si="70"/>
        <v>2.5000000000000133E-2</v>
      </c>
      <c r="H4530" s="50">
        <v>41797</v>
      </c>
      <c r="I4530" s="51" t="s">
        <v>538</v>
      </c>
      <c r="J4530" s="51" t="s">
        <v>571</v>
      </c>
      <c r="K4530" s="51">
        <f>VLOOKUP(J4530,'Validacion reclamo de equipaje'!L:M,2,0)</f>
        <v>182</v>
      </c>
      <c r="L4530" s="51" t="str">
        <f>VLOOKUP(I4530,'Validacion reclamo de equipaje'!H:I,2,0)</f>
        <v>Internacional</v>
      </c>
      <c r="M4530" s="51" t="s">
        <v>615</v>
      </c>
    </row>
    <row r="4531" spans="1:13" x14ac:dyDescent="0.25">
      <c r="A4531">
        <v>2313</v>
      </c>
      <c r="B4531" s="47" t="str">
        <f>VLOOKUP(Tabla6[[#This Row],['# Vuelo]],'Validacion reclamo de equipaje'!P:Q,2,0)</f>
        <v>AEROLINEAS DE AMERICA</v>
      </c>
      <c r="C4531" s="52">
        <v>0.83819444444444446</v>
      </c>
      <c r="D4531" s="52">
        <v>0.86111111111111116</v>
      </c>
      <c r="E4531" s="53">
        <f>'Reclamo de equipaje rediseñado'!$D4531-'Reclamo de equipaje rediseñado'!$C4531</f>
        <v>2.2916666666666696E-2</v>
      </c>
      <c r="F4531" s="52">
        <v>0.88541666666666663</v>
      </c>
      <c r="G4531" s="53">
        <f t="shared" si="70"/>
        <v>2.4305555555555469E-2</v>
      </c>
      <c r="H4531" s="54">
        <v>41798</v>
      </c>
      <c r="I4531" s="55" t="s">
        <v>538</v>
      </c>
      <c r="J4531" s="55" t="s">
        <v>571</v>
      </c>
      <c r="K4531" s="55">
        <f>VLOOKUP(J4531,'Validacion reclamo de equipaje'!L:M,2,0)</f>
        <v>182</v>
      </c>
      <c r="L4531" s="55" t="str">
        <f>VLOOKUP(I4531,'Validacion reclamo de equipaje'!H:I,2,0)</f>
        <v>Internacional</v>
      </c>
      <c r="M4531" s="55" t="s">
        <v>615</v>
      </c>
    </row>
    <row r="4532" spans="1:13" x14ac:dyDescent="0.25">
      <c r="A4532">
        <v>2313</v>
      </c>
      <c r="B4532" s="47" t="str">
        <f>VLOOKUP(Tabla6[[#This Row],['# Vuelo]],'Validacion reclamo de equipaje'!P:Q,2,0)</f>
        <v>AEROLINEAS DE AMERICA</v>
      </c>
      <c r="C4532" s="48">
        <v>0.93194444444444446</v>
      </c>
      <c r="D4532" s="48">
        <v>0.95138888888888884</v>
      </c>
      <c r="E4532" s="49">
        <f>'Reclamo de equipaje rediseñado'!$D4532-'Reclamo de equipaje rediseñado'!$C4532</f>
        <v>1.9444444444444375E-2</v>
      </c>
      <c r="F4532" s="48">
        <v>0.96180555555555547</v>
      </c>
      <c r="G4532" s="49">
        <f t="shared" si="70"/>
        <v>1.041666666666663E-2</v>
      </c>
      <c r="H4532" s="50">
        <v>41800</v>
      </c>
      <c r="I4532" s="51" t="s">
        <v>538</v>
      </c>
      <c r="J4532" s="51" t="s">
        <v>571</v>
      </c>
      <c r="K4532" s="51">
        <f>VLOOKUP(J4532,'Validacion reclamo de equipaje'!L:M,2,0)</f>
        <v>182</v>
      </c>
      <c r="L4532" s="51" t="str">
        <f>VLOOKUP(I4532,'Validacion reclamo de equipaje'!H:I,2,0)</f>
        <v>Internacional</v>
      </c>
      <c r="M4532" s="51" t="s">
        <v>615</v>
      </c>
    </row>
    <row r="4533" spans="1:13" x14ac:dyDescent="0.25">
      <c r="A4533">
        <v>2313</v>
      </c>
      <c r="B4533" s="47" t="str">
        <f>VLOOKUP(Tabla6[[#This Row],['# Vuelo]],'Validacion reclamo de equipaje'!P:Q,2,0)</f>
        <v>AEROLINEAS DE AMERICA</v>
      </c>
      <c r="C4533" s="52">
        <v>0.21527777777777779</v>
      </c>
      <c r="D4533" s="52">
        <v>0.2298611111111111</v>
      </c>
      <c r="E4533" s="53">
        <f>'Reclamo de equipaje rediseñado'!$D4533-'Reclamo de equipaje rediseñado'!$C4533</f>
        <v>1.4583333333333309E-2</v>
      </c>
      <c r="F4533" s="52">
        <v>0.23958333333333334</v>
      </c>
      <c r="G4533" s="53">
        <f t="shared" si="70"/>
        <v>9.7222222222222432E-3</v>
      </c>
      <c r="H4533" s="54">
        <v>41801</v>
      </c>
      <c r="I4533" s="55" t="s">
        <v>538</v>
      </c>
      <c r="J4533" s="55" t="s">
        <v>571</v>
      </c>
      <c r="K4533" s="55">
        <f>VLOOKUP(J4533,'Validacion reclamo de equipaje'!L:M,2,0)</f>
        <v>182</v>
      </c>
      <c r="L4533" s="55" t="str">
        <f>VLOOKUP(I4533,'Validacion reclamo de equipaje'!H:I,2,0)</f>
        <v>Internacional</v>
      </c>
      <c r="M4533" s="55" t="s">
        <v>615</v>
      </c>
    </row>
    <row r="4534" spans="1:13" x14ac:dyDescent="0.25">
      <c r="A4534">
        <v>2313</v>
      </c>
      <c r="B4534" s="47" t="str">
        <f>VLOOKUP(Tabla6[[#This Row],['# Vuelo]],'Validacion reclamo de equipaje'!P:Q,2,0)</f>
        <v>AEROLINEAS DE AMERICA</v>
      </c>
      <c r="C4534" s="48">
        <v>0.92361111111111116</v>
      </c>
      <c r="D4534" s="48">
        <v>0.93819444444444444</v>
      </c>
      <c r="E4534" s="49">
        <f>'Reclamo de equipaje rediseñado'!$D4534-'Reclamo de equipaje rediseñado'!$C4534</f>
        <v>1.4583333333333282E-2</v>
      </c>
      <c r="F4534" s="48">
        <v>0.94513888888888886</v>
      </c>
      <c r="G4534" s="49">
        <f t="shared" si="70"/>
        <v>6.9444444444444198E-3</v>
      </c>
      <c r="H4534" s="50">
        <v>41802</v>
      </c>
      <c r="I4534" s="51" t="s">
        <v>538</v>
      </c>
      <c r="J4534" s="51" t="s">
        <v>571</v>
      </c>
      <c r="K4534" s="51">
        <f>VLOOKUP(J4534,'Validacion reclamo de equipaje'!L:M,2,0)</f>
        <v>182</v>
      </c>
      <c r="L4534" s="51" t="str">
        <f>VLOOKUP(I4534,'Validacion reclamo de equipaje'!H:I,2,0)</f>
        <v>Internacional</v>
      </c>
      <c r="M4534" s="51" t="s">
        <v>615</v>
      </c>
    </row>
    <row r="4535" spans="1:13" x14ac:dyDescent="0.25">
      <c r="A4535">
        <v>2313</v>
      </c>
      <c r="B4535" s="47" t="str">
        <f>VLOOKUP(Tabla6[[#This Row],['# Vuelo]],'Validacion reclamo de equipaje'!P:Q,2,0)</f>
        <v>AEROLINEAS DE AMERICA</v>
      </c>
      <c r="C4535" s="52">
        <v>0.625</v>
      </c>
      <c r="D4535" s="52">
        <v>0.62847222222222221</v>
      </c>
      <c r="E4535" s="53">
        <f>'Reclamo de equipaje rediseñado'!$D4535-'Reclamo de equipaje rediseñado'!$C4535</f>
        <v>3.4722222222222099E-3</v>
      </c>
      <c r="F4535" s="52">
        <v>0.63611111111111118</v>
      </c>
      <c r="G4535" s="53">
        <f t="shared" si="70"/>
        <v>7.6388888888889728E-3</v>
      </c>
      <c r="H4535" s="54">
        <v>41803</v>
      </c>
      <c r="I4535" s="55" t="s">
        <v>538</v>
      </c>
      <c r="J4535" s="55" t="s">
        <v>571</v>
      </c>
      <c r="K4535" s="55">
        <f>VLOOKUP(J4535,'Validacion reclamo de equipaje'!L:M,2,0)</f>
        <v>182</v>
      </c>
      <c r="L4535" s="55" t="str">
        <f>VLOOKUP(I4535,'Validacion reclamo de equipaje'!H:I,2,0)</f>
        <v>Internacional</v>
      </c>
      <c r="M4535" s="55" t="s">
        <v>615</v>
      </c>
    </row>
    <row r="4536" spans="1:13" x14ac:dyDescent="0.25">
      <c r="A4536">
        <v>2313</v>
      </c>
      <c r="B4536" s="47" t="str">
        <f>VLOOKUP(Tabla6[[#This Row],['# Vuelo]],'Validacion reclamo de equipaje'!P:Q,2,0)</f>
        <v>AEROLINEAS DE AMERICA</v>
      </c>
      <c r="C4536" s="48">
        <v>0.87430555555555556</v>
      </c>
      <c r="D4536" s="48">
        <v>0.875</v>
      </c>
      <c r="E4536" s="49">
        <f>'Reclamo de equipaje rediseñado'!$D4536-'Reclamo de equipaje rediseñado'!$C4536</f>
        <v>6.9444444444444198E-4</v>
      </c>
      <c r="F4536" s="48">
        <v>0.89374999999999993</v>
      </c>
      <c r="G4536" s="49">
        <f t="shared" si="70"/>
        <v>1.8749999999999933E-2</v>
      </c>
      <c r="H4536" s="50">
        <v>41804</v>
      </c>
      <c r="I4536" s="51" t="s">
        <v>538</v>
      </c>
      <c r="J4536" s="51" t="s">
        <v>571</v>
      </c>
      <c r="K4536" s="51">
        <f>VLOOKUP(J4536,'Validacion reclamo de equipaje'!L:M,2,0)</f>
        <v>182</v>
      </c>
      <c r="L4536" s="51" t="str">
        <f>VLOOKUP(I4536,'Validacion reclamo de equipaje'!H:I,2,0)</f>
        <v>Internacional</v>
      </c>
      <c r="M4536" s="51" t="s">
        <v>615</v>
      </c>
    </row>
    <row r="4537" spans="1:13" x14ac:dyDescent="0.25">
      <c r="A4537">
        <v>2313</v>
      </c>
      <c r="B4537" s="47" t="str">
        <f>VLOOKUP(Tabla6[[#This Row],['# Vuelo]],'Validacion reclamo de equipaje'!P:Q,2,0)</f>
        <v>AEROLINEAS DE AMERICA</v>
      </c>
      <c r="C4537" s="52">
        <v>0.68125000000000002</v>
      </c>
      <c r="D4537" s="52">
        <v>0.68958333333333333</v>
      </c>
      <c r="E4537" s="53">
        <f>'Reclamo de equipaje rediseñado'!$D4537-'Reclamo de equipaje rediseñado'!$C4537</f>
        <v>8.3333333333333037E-3</v>
      </c>
      <c r="F4537" s="52">
        <v>0.6958333333333333</v>
      </c>
      <c r="G4537" s="53">
        <f t="shared" si="70"/>
        <v>6.2499999999999778E-3</v>
      </c>
      <c r="H4537" s="54">
        <v>41805</v>
      </c>
      <c r="I4537" s="55" t="s">
        <v>538</v>
      </c>
      <c r="J4537" s="55" t="s">
        <v>571</v>
      </c>
      <c r="K4537" s="55">
        <f>VLOOKUP(J4537,'Validacion reclamo de equipaje'!L:M,2,0)</f>
        <v>182</v>
      </c>
      <c r="L4537" s="55" t="str">
        <f>VLOOKUP(I4537,'Validacion reclamo de equipaje'!H:I,2,0)</f>
        <v>Internacional</v>
      </c>
      <c r="M4537" s="55" t="s">
        <v>615</v>
      </c>
    </row>
    <row r="4538" spans="1:13" x14ac:dyDescent="0.25">
      <c r="A4538">
        <v>2313</v>
      </c>
      <c r="B4538" s="47" t="str">
        <f>VLOOKUP(Tabla6[[#This Row],['# Vuelo]],'Validacion reclamo de equipaje'!P:Q,2,0)</f>
        <v>AEROLINEAS DE AMERICA</v>
      </c>
      <c r="C4538" s="48">
        <v>0.22708333333333333</v>
      </c>
      <c r="D4538" s="48">
        <v>0.24652777777777779</v>
      </c>
      <c r="E4538" s="49">
        <f>'Reclamo de equipaje rediseñado'!$D4538-'Reclamo de equipaje rediseñado'!$C4538</f>
        <v>1.9444444444444459E-2</v>
      </c>
      <c r="F4538" s="48">
        <v>0.25694444444444448</v>
      </c>
      <c r="G4538" s="49">
        <f t="shared" si="70"/>
        <v>1.0416666666666685E-2</v>
      </c>
      <c r="H4538" s="50">
        <v>41806</v>
      </c>
      <c r="I4538" s="51" t="s">
        <v>538</v>
      </c>
      <c r="J4538" s="51" t="s">
        <v>571</v>
      </c>
      <c r="K4538" s="51">
        <f>VLOOKUP(J4538,'Validacion reclamo de equipaje'!L:M,2,0)</f>
        <v>182</v>
      </c>
      <c r="L4538" s="51" t="str">
        <f>VLOOKUP(I4538,'Validacion reclamo de equipaje'!H:I,2,0)</f>
        <v>Internacional</v>
      </c>
      <c r="M4538" s="51" t="s">
        <v>615</v>
      </c>
    </row>
    <row r="4539" spans="1:13" x14ac:dyDescent="0.25">
      <c r="A4539">
        <v>2313</v>
      </c>
      <c r="B4539" s="47" t="str">
        <f>VLOOKUP(Tabla6[[#This Row],['# Vuelo]],'Validacion reclamo de equipaje'!P:Q,2,0)</f>
        <v>AEROLINEAS DE AMERICA</v>
      </c>
      <c r="C4539" s="52">
        <v>0.94305555555555554</v>
      </c>
      <c r="D4539" s="52">
        <v>0.95138888888888884</v>
      </c>
      <c r="E4539" s="53">
        <f>'Reclamo de equipaje rediseñado'!$D4539-'Reclamo de equipaje rediseñado'!$C4539</f>
        <v>8.3333333333333037E-3</v>
      </c>
      <c r="F4539" s="52">
        <v>0.95486111111111116</v>
      </c>
      <c r="G4539" s="53">
        <f t="shared" si="70"/>
        <v>3.4722222222223209E-3</v>
      </c>
      <c r="H4539" s="54">
        <v>41807</v>
      </c>
      <c r="I4539" s="55" t="s">
        <v>538</v>
      </c>
      <c r="J4539" s="55" t="s">
        <v>571</v>
      </c>
      <c r="K4539" s="55">
        <f>VLOOKUP(J4539,'Validacion reclamo de equipaje'!L:M,2,0)</f>
        <v>182</v>
      </c>
      <c r="L4539" s="55" t="str">
        <f>VLOOKUP(I4539,'Validacion reclamo de equipaje'!H:I,2,0)</f>
        <v>Internacional</v>
      </c>
      <c r="M4539" s="55" t="s">
        <v>615</v>
      </c>
    </row>
    <row r="4540" spans="1:13" x14ac:dyDescent="0.25">
      <c r="A4540">
        <v>2313</v>
      </c>
      <c r="B4540" s="47" t="str">
        <f>VLOOKUP(Tabla6[[#This Row],['# Vuelo]],'Validacion reclamo de equipaje'!P:Q,2,0)</f>
        <v>AEROLINEAS DE AMERICA</v>
      </c>
      <c r="C4540" s="48">
        <v>0.93611111111111101</v>
      </c>
      <c r="D4540" s="48">
        <v>0.95833333333333337</v>
      </c>
      <c r="E4540" s="49">
        <f>'Reclamo de equipaje rediseñado'!$D4540-'Reclamo de equipaje rediseñado'!$C4540</f>
        <v>2.2222222222222365E-2</v>
      </c>
      <c r="F4540" s="48">
        <v>0.97291666666666676</v>
      </c>
      <c r="G4540" s="49">
        <f t="shared" si="70"/>
        <v>1.4583333333333393E-2</v>
      </c>
      <c r="H4540" s="50">
        <v>41808</v>
      </c>
      <c r="I4540" s="51" t="s">
        <v>538</v>
      </c>
      <c r="J4540" s="51" t="s">
        <v>571</v>
      </c>
      <c r="K4540" s="51">
        <f>VLOOKUP(J4540,'Validacion reclamo de equipaje'!L:M,2,0)</f>
        <v>182</v>
      </c>
      <c r="L4540" s="51" t="str">
        <f>VLOOKUP(I4540,'Validacion reclamo de equipaje'!H:I,2,0)</f>
        <v>Internacional</v>
      </c>
      <c r="M4540" s="51" t="s">
        <v>615</v>
      </c>
    </row>
    <row r="4541" spans="1:13" x14ac:dyDescent="0.25">
      <c r="A4541">
        <v>2313</v>
      </c>
      <c r="B4541" s="47" t="str">
        <f>VLOOKUP(Tabla6[[#This Row],['# Vuelo]],'Validacion reclamo de equipaje'!P:Q,2,0)</f>
        <v>AEROLINEAS DE AMERICA</v>
      </c>
      <c r="C4541" s="52">
        <v>0.8881944444444444</v>
      </c>
      <c r="D4541" s="52">
        <v>0.90347222222222223</v>
      </c>
      <c r="E4541" s="53">
        <f>'Reclamo de equipaje rediseñado'!$D4541-'Reclamo de equipaje rediseñado'!$C4541</f>
        <v>1.5277777777777835E-2</v>
      </c>
      <c r="F4541" s="52">
        <v>0.92083333333333339</v>
      </c>
      <c r="G4541" s="53">
        <f t="shared" si="70"/>
        <v>1.736111111111116E-2</v>
      </c>
      <c r="H4541" s="54">
        <v>41809</v>
      </c>
      <c r="I4541" s="55" t="s">
        <v>538</v>
      </c>
      <c r="J4541" s="55" t="s">
        <v>571</v>
      </c>
      <c r="K4541" s="55">
        <f>VLOOKUP(J4541,'Validacion reclamo de equipaje'!L:M,2,0)</f>
        <v>182</v>
      </c>
      <c r="L4541" s="55" t="str">
        <f>VLOOKUP(I4541,'Validacion reclamo de equipaje'!H:I,2,0)</f>
        <v>Internacional</v>
      </c>
      <c r="M4541" s="55" t="s">
        <v>615</v>
      </c>
    </row>
    <row r="4542" spans="1:13" x14ac:dyDescent="0.25">
      <c r="A4542">
        <v>2313</v>
      </c>
      <c r="B4542" s="47" t="str">
        <f>VLOOKUP(Tabla6[[#This Row],['# Vuelo]],'Validacion reclamo de equipaje'!P:Q,2,0)</f>
        <v>AEROLINEAS DE AMERICA</v>
      </c>
      <c r="C4542" s="48">
        <v>0.875</v>
      </c>
      <c r="D4542" s="48">
        <v>0.89583333333333337</v>
      </c>
      <c r="E4542" s="49">
        <f>'Reclamo de equipaje rediseñado'!$D4542-'Reclamo de equipaje rediseñado'!$C4542</f>
        <v>2.083333333333337E-2</v>
      </c>
      <c r="F4542" s="48">
        <v>0.90972222222222221</v>
      </c>
      <c r="G4542" s="49">
        <f t="shared" si="70"/>
        <v>1.388888888888884E-2</v>
      </c>
      <c r="H4542" s="50">
        <v>41810</v>
      </c>
      <c r="I4542" s="51" t="s">
        <v>538</v>
      </c>
      <c r="J4542" s="51" t="s">
        <v>571</v>
      </c>
      <c r="K4542" s="51">
        <f>VLOOKUP(J4542,'Validacion reclamo de equipaje'!L:M,2,0)</f>
        <v>182</v>
      </c>
      <c r="L4542" s="51" t="str">
        <f>VLOOKUP(I4542,'Validacion reclamo de equipaje'!H:I,2,0)</f>
        <v>Internacional</v>
      </c>
      <c r="M4542" s="51" t="s">
        <v>615</v>
      </c>
    </row>
    <row r="4543" spans="1:13" x14ac:dyDescent="0.25">
      <c r="A4543">
        <v>2313</v>
      </c>
      <c r="B4543" s="47" t="str">
        <f>VLOOKUP(Tabla6[[#This Row],['# Vuelo]],'Validacion reclamo de equipaje'!P:Q,2,0)</f>
        <v>AEROLINEAS DE AMERICA</v>
      </c>
      <c r="C4543" s="52">
        <v>0.84652777777777777</v>
      </c>
      <c r="D4543" s="52">
        <v>0.85416666666666663</v>
      </c>
      <c r="E4543" s="53">
        <f>'Reclamo de equipaje rediseñado'!$D4543-'Reclamo de equipaje rediseñado'!$C4543</f>
        <v>7.6388888888888618E-3</v>
      </c>
      <c r="F4543" s="52">
        <v>0.8652777777777777</v>
      </c>
      <c r="G4543" s="53">
        <f t="shared" si="70"/>
        <v>1.1111111111111072E-2</v>
      </c>
      <c r="H4543" s="54">
        <v>41811</v>
      </c>
      <c r="I4543" s="55" t="s">
        <v>538</v>
      </c>
      <c r="J4543" s="55" t="s">
        <v>571</v>
      </c>
      <c r="K4543" s="55">
        <f>VLOOKUP(J4543,'Validacion reclamo de equipaje'!L:M,2,0)</f>
        <v>182</v>
      </c>
      <c r="L4543" s="55" t="str">
        <f>VLOOKUP(I4543,'Validacion reclamo de equipaje'!H:I,2,0)</f>
        <v>Internacional</v>
      </c>
      <c r="M4543" s="55" t="s">
        <v>615</v>
      </c>
    </row>
    <row r="4544" spans="1:13" x14ac:dyDescent="0.25">
      <c r="A4544">
        <v>2313</v>
      </c>
      <c r="B4544" s="47" t="str">
        <f>VLOOKUP(Tabla6[[#This Row],['# Vuelo]],'Validacion reclamo de equipaje'!P:Q,2,0)</f>
        <v>AEROLINEAS DE AMERICA</v>
      </c>
      <c r="C4544" s="48">
        <v>0.85972222222222217</v>
      </c>
      <c r="D4544" s="48">
        <v>0.88055555555555554</v>
      </c>
      <c r="E4544" s="49">
        <f>'Reclamo de equipaje rediseñado'!$D4544-'Reclamo de equipaje rediseñado'!$C4544</f>
        <v>2.083333333333337E-2</v>
      </c>
      <c r="F4544" s="48">
        <v>0.89097222222222217</v>
      </c>
      <c r="G4544" s="49">
        <f t="shared" si="70"/>
        <v>1.041666666666663E-2</v>
      </c>
      <c r="H4544" s="50">
        <v>41812</v>
      </c>
      <c r="I4544" s="51" t="s">
        <v>538</v>
      </c>
      <c r="J4544" s="51" t="s">
        <v>571</v>
      </c>
      <c r="K4544" s="51">
        <f>VLOOKUP(J4544,'Validacion reclamo de equipaje'!L:M,2,0)</f>
        <v>182</v>
      </c>
      <c r="L4544" s="51" t="str">
        <f>VLOOKUP(I4544,'Validacion reclamo de equipaje'!H:I,2,0)</f>
        <v>Internacional</v>
      </c>
      <c r="M4544" s="51" t="s">
        <v>615</v>
      </c>
    </row>
    <row r="4545" spans="1:13" x14ac:dyDescent="0.25">
      <c r="A4545">
        <v>2313</v>
      </c>
      <c r="B4545" s="47" t="str">
        <f>VLOOKUP(Tabla6[[#This Row],['# Vuelo]],'Validacion reclamo de equipaje'!P:Q,2,0)</f>
        <v>AEROLINEAS DE AMERICA</v>
      </c>
      <c r="C4545" s="52">
        <v>0.92361111111111116</v>
      </c>
      <c r="D4545" s="52">
        <v>0.92986111111111114</v>
      </c>
      <c r="E4545" s="53">
        <f>'Reclamo de equipaje rediseñado'!$D4545-'Reclamo de equipaje rediseñado'!$C4545</f>
        <v>6.2499999999999778E-3</v>
      </c>
      <c r="F4545" s="52">
        <v>0.93125000000000002</v>
      </c>
      <c r="G4545" s="53">
        <f t="shared" si="70"/>
        <v>1.388888888888884E-3</v>
      </c>
      <c r="H4545" s="54">
        <v>41813</v>
      </c>
      <c r="I4545" s="55" t="s">
        <v>538</v>
      </c>
      <c r="J4545" s="55" t="s">
        <v>571</v>
      </c>
      <c r="K4545" s="55">
        <f>VLOOKUP(J4545,'Validacion reclamo de equipaje'!L:M,2,0)</f>
        <v>182</v>
      </c>
      <c r="L4545" s="55" t="str">
        <f>VLOOKUP(I4545,'Validacion reclamo de equipaje'!H:I,2,0)</f>
        <v>Internacional</v>
      </c>
      <c r="M4545" s="55" t="s">
        <v>615</v>
      </c>
    </row>
    <row r="4546" spans="1:13" x14ac:dyDescent="0.25">
      <c r="A4546">
        <v>1429</v>
      </c>
      <c r="B4546" s="47" t="str">
        <f>VLOOKUP(Tabla6[[#This Row],['# Vuelo]],'Validacion reclamo de equipaje'!P:Q,2,0)</f>
        <v>AEROLINEAS DE AMERICA</v>
      </c>
      <c r="C4546" s="48">
        <v>0.92361111111111116</v>
      </c>
      <c r="D4546" s="48">
        <v>0.92708333333333337</v>
      </c>
      <c r="E4546" s="49">
        <f>'Reclamo de equipaje rediseñado'!$D4546-'Reclamo de equipaje rediseñado'!$C4546</f>
        <v>3.4722222222222099E-3</v>
      </c>
      <c r="F4546" s="48">
        <v>0.94027777777777777</v>
      </c>
      <c r="G4546" s="49">
        <f t="shared" si="70"/>
        <v>1.3194444444444398E-2</v>
      </c>
      <c r="H4546" s="50">
        <v>41804</v>
      </c>
      <c r="I4546" s="51" t="s">
        <v>538</v>
      </c>
      <c r="J4546" s="51" t="s">
        <v>571</v>
      </c>
      <c r="K4546" s="51">
        <f>VLOOKUP(J4546,'Validacion reclamo de equipaje'!L:M,2,0)</f>
        <v>182</v>
      </c>
      <c r="L4546" s="51" t="str">
        <f>VLOOKUP(I4546,'Validacion reclamo de equipaje'!H:I,2,0)</f>
        <v>Internacional</v>
      </c>
      <c r="M4546" s="51" t="s">
        <v>615</v>
      </c>
    </row>
    <row r="4547" spans="1:13" x14ac:dyDescent="0.25">
      <c r="A4547">
        <v>1429</v>
      </c>
      <c r="B4547" s="47" t="str">
        <f>VLOOKUP(Tabla6[[#This Row],['# Vuelo]],'Validacion reclamo de equipaje'!P:Q,2,0)</f>
        <v>AEROLINEAS DE AMERICA</v>
      </c>
      <c r="C4547" s="52">
        <v>0.57430555555555551</v>
      </c>
      <c r="D4547" s="52">
        <v>0.58958333333333335</v>
      </c>
      <c r="E4547" s="53">
        <f>'Reclamo de equipaje rediseñado'!$D4547-'Reclamo de equipaje rediseñado'!$C4547</f>
        <v>1.5277777777777835E-2</v>
      </c>
      <c r="F4547" s="52">
        <v>0.60416666666666663</v>
      </c>
      <c r="G4547" s="53">
        <f t="shared" ref="G4547:G4610" si="71">F4547-D4547</f>
        <v>1.4583333333333282E-2</v>
      </c>
      <c r="H4547" s="54">
        <v>41811</v>
      </c>
      <c r="I4547" s="55" t="s">
        <v>538</v>
      </c>
      <c r="J4547" s="55" t="s">
        <v>571</v>
      </c>
      <c r="K4547" s="55">
        <f>VLOOKUP(J4547,'Validacion reclamo de equipaje'!L:M,2,0)</f>
        <v>182</v>
      </c>
      <c r="L4547" s="55" t="str">
        <f>VLOOKUP(I4547,'Validacion reclamo de equipaje'!H:I,2,0)</f>
        <v>Internacional</v>
      </c>
      <c r="M4547" s="55" t="s">
        <v>615</v>
      </c>
    </row>
    <row r="4548" spans="1:13" x14ac:dyDescent="0.25">
      <c r="A4548">
        <v>1026</v>
      </c>
      <c r="B4548" s="47" t="str">
        <f>VLOOKUP(Tabla6[[#This Row],['# Vuelo]],'Validacion reclamo de equipaje'!P:Q,2,0)</f>
        <v>AEROLINEAS DE AMERICA</v>
      </c>
      <c r="C4548" s="48">
        <v>0.83819444444444446</v>
      </c>
      <c r="D4548" s="48">
        <v>0.84861111111111109</v>
      </c>
      <c r="E4548" s="49">
        <f>'Reclamo de equipaje rediseñado'!$D4548-'Reclamo de equipaje rediseñado'!$C4548</f>
        <v>1.041666666666663E-2</v>
      </c>
      <c r="F4548" s="48">
        <v>0.87083333333333324</v>
      </c>
      <c r="G4548" s="49">
        <f t="shared" si="71"/>
        <v>2.2222222222222143E-2</v>
      </c>
      <c r="H4548" s="50">
        <v>41802</v>
      </c>
      <c r="I4548" s="51" t="s">
        <v>538</v>
      </c>
      <c r="J4548" s="51" t="s">
        <v>571</v>
      </c>
      <c r="K4548" s="51">
        <f>VLOOKUP(J4548,'Validacion reclamo de equipaje'!L:M,2,0)</f>
        <v>182</v>
      </c>
      <c r="L4548" s="51" t="str">
        <f>VLOOKUP(I4548,'Validacion reclamo de equipaje'!H:I,2,0)</f>
        <v>Internacional</v>
      </c>
      <c r="M4548" s="51" t="s">
        <v>615</v>
      </c>
    </row>
    <row r="4549" spans="1:13" x14ac:dyDescent="0.25">
      <c r="A4549">
        <v>1026</v>
      </c>
      <c r="B4549" s="47" t="str">
        <f>VLOOKUP(Tabla6[[#This Row],['# Vuelo]],'Validacion reclamo de equipaje'!P:Q,2,0)</f>
        <v>AEROLINEAS DE AMERICA</v>
      </c>
      <c r="C4549" s="52">
        <v>0.85763888888888884</v>
      </c>
      <c r="D4549" s="52">
        <v>0.8666666666666667</v>
      </c>
      <c r="E4549" s="53">
        <f>'Reclamo de equipaje rediseñado'!$D4549-'Reclamo de equipaje rediseñado'!$C4549</f>
        <v>9.0277777777778567E-3</v>
      </c>
      <c r="F4549" s="52">
        <v>0.89166666666666661</v>
      </c>
      <c r="G4549" s="53">
        <f t="shared" si="71"/>
        <v>2.4999999999999911E-2</v>
      </c>
      <c r="H4549" s="54">
        <v>41803</v>
      </c>
      <c r="I4549" s="55" t="s">
        <v>538</v>
      </c>
      <c r="J4549" s="55" t="s">
        <v>571</v>
      </c>
      <c r="K4549" s="55">
        <f>VLOOKUP(J4549,'Validacion reclamo de equipaje'!L:M,2,0)</f>
        <v>182</v>
      </c>
      <c r="L4549" s="55" t="str">
        <f>VLOOKUP(I4549,'Validacion reclamo de equipaje'!H:I,2,0)</f>
        <v>Internacional</v>
      </c>
      <c r="M4549" s="55" t="s">
        <v>615</v>
      </c>
    </row>
    <row r="4550" spans="1:13" x14ac:dyDescent="0.25">
      <c r="A4550">
        <v>1026</v>
      </c>
      <c r="B4550" s="47" t="str">
        <f>VLOOKUP(Tabla6[[#This Row],['# Vuelo]],'Validacion reclamo de equipaje'!P:Q,2,0)</f>
        <v>AEROLINEAS DE AMERICA</v>
      </c>
      <c r="C4550" s="48">
        <v>0.93333333333333324</v>
      </c>
      <c r="D4550" s="48">
        <v>0.94305555555555554</v>
      </c>
      <c r="E4550" s="49">
        <f>'Reclamo de equipaje rediseñado'!$D4550-'Reclamo de equipaje rediseñado'!$C4550</f>
        <v>9.7222222222222987E-3</v>
      </c>
      <c r="F4550" s="48">
        <v>0.9472222222222223</v>
      </c>
      <c r="G4550" s="49">
        <f t="shared" si="71"/>
        <v>4.1666666666667629E-3</v>
      </c>
      <c r="H4550" s="50">
        <v>41804</v>
      </c>
      <c r="I4550" s="51" t="s">
        <v>538</v>
      </c>
      <c r="J4550" s="51" t="s">
        <v>571</v>
      </c>
      <c r="K4550" s="51">
        <f>VLOOKUP(J4550,'Validacion reclamo de equipaje'!L:M,2,0)</f>
        <v>182</v>
      </c>
      <c r="L4550" s="51" t="str">
        <f>VLOOKUP(I4550,'Validacion reclamo de equipaje'!H:I,2,0)</f>
        <v>Internacional</v>
      </c>
      <c r="M4550" s="51" t="s">
        <v>615</v>
      </c>
    </row>
    <row r="4551" spans="1:13" x14ac:dyDescent="0.25">
      <c r="A4551">
        <v>1026</v>
      </c>
      <c r="B4551" s="47" t="str">
        <f>VLOOKUP(Tabla6[[#This Row],['# Vuelo]],'Validacion reclamo de equipaje'!P:Q,2,0)</f>
        <v>AEROLINEAS DE AMERICA</v>
      </c>
      <c r="C4551" s="52">
        <v>0.45833333333333331</v>
      </c>
      <c r="D4551" s="52">
        <v>0.46527777777777773</v>
      </c>
      <c r="E4551" s="53">
        <f>'Reclamo de equipaje rediseñado'!$D4551-'Reclamo de equipaje rediseñado'!$C4551</f>
        <v>6.9444444444444198E-3</v>
      </c>
      <c r="F4551" s="52">
        <v>0.47222222222222227</v>
      </c>
      <c r="G4551" s="53">
        <f t="shared" si="71"/>
        <v>6.9444444444445308E-3</v>
      </c>
      <c r="H4551" s="54">
        <v>41805</v>
      </c>
      <c r="I4551" s="55" t="s">
        <v>538</v>
      </c>
      <c r="J4551" s="55" t="s">
        <v>571</v>
      </c>
      <c r="K4551" s="55">
        <f>VLOOKUP(J4551,'Validacion reclamo de equipaje'!L:M,2,0)</f>
        <v>182</v>
      </c>
      <c r="L4551" s="55" t="str">
        <f>VLOOKUP(I4551,'Validacion reclamo de equipaje'!H:I,2,0)</f>
        <v>Internacional</v>
      </c>
      <c r="M4551" s="55" t="s">
        <v>615</v>
      </c>
    </row>
    <row r="4552" spans="1:13" x14ac:dyDescent="0.25">
      <c r="A4552">
        <v>1026</v>
      </c>
      <c r="B4552" s="47" t="str">
        <f>VLOOKUP(Tabla6[[#This Row],['# Vuelo]],'Validacion reclamo de equipaje'!P:Q,2,0)</f>
        <v>AEROLINEAS DE AMERICA</v>
      </c>
      <c r="C4552" s="48">
        <v>0.27152777777777776</v>
      </c>
      <c r="D4552" s="48">
        <v>0.27777777777777779</v>
      </c>
      <c r="E4552" s="49">
        <f>'Reclamo de equipaje rediseñado'!$D4552-'Reclamo de equipaje rediseñado'!$C4552</f>
        <v>6.2500000000000333E-3</v>
      </c>
      <c r="F4552" s="48">
        <v>0.28819444444444448</v>
      </c>
      <c r="G4552" s="49">
        <f t="shared" si="71"/>
        <v>1.0416666666666685E-2</v>
      </c>
      <c r="H4552" s="50">
        <v>41806</v>
      </c>
      <c r="I4552" s="51" t="s">
        <v>538</v>
      </c>
      <c r="J4552" s="51" t="s">
        <v>571</v>
      </c>
      <c r="K4552" s="51">
        <f>VLOOKUP(J4552,'Validacion reclamo de equipaje'!L:M,2,0)</f>
        <v>182</v>
      </c>
      <c r="L4552" s="51" t="str">
        <f>VLOOKUP(I4552,'Validacion reclamo de equipaje'!H:I,2,0)</f>
        <v>Internacional</v>
      </c>
      <c r="M4552" s="51" t="s">
        <v>615</v>
      </c>
    </row>
    <row r="4553" spans="1:13" x14ac:dyDescent="0.25">
      <c r="A4553">
        <v>1026</v>
      </c>
      <c r="B4553" s="47" t="str">
        <f>VLOOKUP(Tabla6[[#This Row],['# Vuelo]],'Validacion reclamo de equipaje'!P:Q,2,0)</f>
        <v>AEROLINEAS DE AMERICA</v>
      </c>
      <c r="C4553" s="52">
        <v>0.84166666666666667</v>
      </c>
      <c r="D4553" s="52">
        <v>0.85277777777777775</v>
      </c>
      <c r="E4553" s="53">
        <f>'Reclamo de equipaje rediseñado'!$D4553-'Reclamo de equipaje rediseñado'!$C4553</f>
        <v>1.1111111111111072E-2</v>
      </c>
      <c r="F4553" s="52">
        <v>0.86388888888888893</v>
      </c>
      <c r="G4553" s="53">
        <f t="shared" si="71"/>
        <v>1.1111111111111183E-2</v>
      </c>
      <c r="H4553" s="54">
        <v>41807</v>
      </c>
      <c r="I4553" s="55" t="s">
        <v>538</v>
      </c>
      <c r="J4553" s="55" t="s">
        <v>571</v>
      </c>
      <c r="K4553" s="55">
        <f>VLOOKUP(J4553,'Validacion reclamo de equipaje'!L:M,2,0)</f>
        <v>182</v>
      </c>
      <c r="L4553" s="55" t="str">
        <f>VLOOKUP(I4553,'Validacion reclamo de equipaje'!H:I,2,0)</f>
        <v>Internacional</v>
      </c>
      <c r="M4553" s="55" t="s">
        <v>615</v>
      </c>
    </row>
    <row r="4554" spans="1:13" x14ac:dyDescent="0.25">
      <c r="A4554">
        <v>1026</v>
      </c>
      <c r="B4554" s="47" t="str">
        <f>VLOOKUP(Tabla6[[#This Row],['# Vuelo]],'Validacion reclamo de equipaje'!P:Q,2,0)</f>
        <v>AEROLINEAS DE AMERICA</v>
      </c>
      <c r="C4554" s="48">
        <v>0.52430555555555558</v>
      </c>
      <c r="D4554" s="48">
        <v>0.54027777777777775</v>
      </c>
      <c r="E4554" s="49">
        <f>'Reclamo de equipaje rediseñado'!$D4554-'Reclamo de equipaje rediseñado'!$C4554</f>
        <v>1.5972222222222165E-2</v>
      </c>
      <c r="F4554" s="48">
        <v>0.55208333333333337</v>
      </c>
      <c r="G4554" s="49">
        <f t="shared" si="71"/>
        <v>1.1805555555555625E-2</v>
      </c>
      <c r="H4554" s="50">
        <v>41808</v>
      </c>
      <c r="I4554" s="51" t="s">
        <v>538</v>
      </c>
      <c r="J4554" s="51" t="s">
        <v>571</v>
      </c>
      <c r="K4554" s="51">
        <f>VLOOKUP(J4554,'Validacion reclamo de equipaje'!L:M,2,0)</f>
        <v>182</v>
      </c>
      <c r="L4554" s="51" t="str">
        <f>VLOOKUP(I4554,'Validacion reclamo de equipaje'!H:I,2,0)</f>
        <v>Internacional</v>
      </c>
      <c r="M4554" s="51" t="s">
        <v>615</v>
      </c>
    </row>
    <row r="4555" spans="1:13" x14ac:dyDescent="0.25">
      <c r="A4555">
        <v>1026</v>
      </c>
      <c r="B4555" s="47" t="str">
        <f>VLOOKUP(Tabla6[[#This Row],['# Vuelo]],'Validacion reclamo de equipaje'!P:Q,2,0)</f>
        <v>AEROLINEAS DE AMERICA</v>
      </c>
      <c r="C4555" s="52">
        <v>0.53541666666666665</v>
      </c>
      <c r="D4555" s="52">
        <v>0.54652777777777783</v>
      </c>
      <c r="E4555" s="53">
        <f>'Reclamo de equipaje rediseñado'!$D4555-'Reclamo de equipaje rediseñado'!$C4555</f>
        <v>1.1111111111111183E-2</v>
      </c>
      <c r="F4555" s="52">
        <v>0.56388888888888888</v>
      </c>
      <c r="G4555" s="53">
        <f t="shared" si="71"/>
        <v>1.7361111111111049E-2</v>
      </c>
      <c r="H4555" s="54">
        <v>41809</v>
      </c>
      <c r="I4555" s="55" t="s">
        <v>538</v>
      </c>
      <c r="J4555" s="55" t="s">
        <v>571</v>
      </c>
      <c r="K4555" s="55">
        <f>VLOOKUP(J4555,'Validacion reclamo de equipaje'!L:M,2,0)</f>
        <v>182</v>
      </c>
      <c r="L4555" s="55" t="str">
        <f>VLOOKUP(I4555,'Validacion reclamo de equipaje'!H:I,2,0)</f>
        <v>Internacional</v>
      </c>
      <c r="M4555" s="55" t="s">
        <v>615</v>
      </c>
    </row>
    <row r="4556" spans="1:13" x14ac:dyDescent="0.25">
      <c r="A4556">
        <v>1026</v>
      </c>
      <c r="B4556" s="47" t="str">
        <f>VLOOKUP(Tabla6[[#This Row],['# Vuelo]],'Validacion reclamo de equipaje'!P:Q,2,0)</f>
        <v>AEROLINEAS DE AMERICA</v>
      </c>
      <c r="C4556" s="48">
        <v>0.51527777777777783</v>
      </c>
      <c r="D4556" s="48">
        <v>0.52708333333333335</v>
      </c>
      <c r="E4556" s="49">
        <f>'Reclamo de equipaje rediseñado'!$D4556-'Reclamo de equipaje rediseñado'!$C4556</f>
        <v>1.1805555555555514E-2</v>
      </c>
      <c r="F4556" s="48">
        <v>0.54097222222222219</v>
      </c>
      <c r="G4556" s="49">
        <f t="shared" si="71"/>
        <v>1.388888888888884E-2</v>
      </c>
      <c r="H4556" s="50">
        <v>41810</v>
      </c>
      <c r="I4556" s="51" t="s">
        <v>538</v>
      </c>
      <c r="J4556" s="51" t="s">
        <v>571</v>
      </c>
      <c r="K4556" s="51">
        <f>VLOOKUP(J4556,'Validacion reclamo de equipaje'!L:M,2,0)</f>
        <v>182</v>
      </c>
      <c r="L4556" s="51" t="str">
        <f>VLOOKUP(I4556,'Validacion reclamo de equipaje'!H:I,2,0)</f>
        <v>Internacional</v>
      </c>
      <c r="M4556" s="51" t="s">
        <v>615</v>
      </c>
    </row>
    <row r="4557" spans="1:13" x14ac:dyDescent="0.25">
      <c r="A4557">
        <v>1026</v>
      </c>
      <c r="B4557" s="47" t="str">
        <f>VLOOKUP(Tabla6[[#This Row],['# Vuelo]],'Validacion reclamo de equipaje'!P:Q,2,0)</f>
        <v>AEROLINEAS DE AMERICA</v>
      </c>
      <c r="C4557" s="52">
        <v>0.52222222222222225</v>
      </c>
      <c r="D4557" s="52">
        <v>0.53680555555555554</v>
      </c>
      <c r="E4557" s="53">
        <f>'Reclamo de equipaje rediseñado'!$D4557-'Reclamo de equipaje rediseñado'!$C4557</f>
        <v>1.4583333333333282E-2</v>
      </c>
      <c r="F4557" s="52">
        <v>0.54999999999999993</v>
      </c>
      <c r="G4557" s="53">
        <f t="shared" si="71"/>
        <v>1.3194444444444398E-2</v>
      </c>
      <c r="H4557" s="54">
        <v>41811</v>
      </c>
      <c r="I4557" s="55" t="s">
        <v>538</v>
      </c>
      <c r="J4557" s="55" t="s">
        <v>571</v>
      </c>
      <c r="K4557" s="55">
        <f>VLOOKUP(J4557,'Validacion reclamo de equipaje'!L:M,2,0)</f>
        <v>182</v>
      </c>
      <c r="L4557" s="55" t="str">
        <f>VLOOKUP(I4557,'Validacion reclamo de equipaje'!H:I,2,0)</f>
        <v>Internacional</v>
      </c>
      <c r="M4557" s="55" t="s">
        <v>615</v>
      </c>
    </row>
    <row r="4558" spans="1:13" x14ac:dyDescent="0.25">
      <c r="A4558">
        <v>1026</v>
      </c>
      <c r="B4558" s="47" t="str">
        <f>VLOOKUP(Tabla6[[#This Row],['# Vuelo]],'Validacion reclamo de equipaje'!P:Q,2,0)</f>
        <v>AEROLINEAS DE AMERICA</v>
      </c>
      <c r="C4558" s="48">
        <v>0.56458333333333333</v>
      </c>
      <c r="D4558" s="48">
        <v>0.57777777777777783</v>
      </c>
      <c r="E4558" s="49">
        <f>'Reclamo de equipaje rediseñado'!$D4558-'Reclamo de equipaje rediseñado'!$C4558</f>
        <v>1.3194444444444509E-2</v>
      </c>
      <c r="F4558" s="48">
        <v>0.59722222222222221</v>
      </c>
      <c r="G4558" s="49">
        <f t="shared" si="71"/>
        <v>1.9444444444444375E-2</v>
      </c>
      <c r="H4558" s="50">
        <v>41813</v>
      </c>
      <c r="I4558" s="51" t="s">
        <v>538</v>
      </c>
      <c r="J4558" s="51" t="s">
        <v>571</v>
      </c>
      <c r="K4558" s="51">
        <f>VLOOKUP(J4558,'Validacion reclamo de equipaje'!L:M,2,0)</f>
        <v>182</v>
      </c>
      <c r="L4558" s="51" t="str">
        <f>VLOOKUP(I4558,'Validacion reclamo de equipaje'!H:I,2,0)</f>
        <v>Internacional</v>
      </c>
      <c r="M4558" s="51" t="s">
        <v>615</v>
      </c>
    </row>
    <row r="4559" spans="1:13" x14ac:dyDescent="0.25">
      <c r="A4559">
        <v>1026</v>
      </c>
      <c r="B4559" s="47" t="str">
        <f>VLOOKUP(Tabla6[[#This Row],['# Vuelo]],'Validacion reclamo de equipaje'!P:Q,2,0)</f>
        <v>AEROLINEAS DE AMERICA</v>
      </c>
      <c r="C4559" s="52">
        <v>0.51874999999999993</v>
      </c>
      <c r="D4559" s="52">
        <v>0.53819444444444442</v>
      </c>
      <c r="E4559" s="53">
        <f>'Reclamo de equipaje rediseñado'!$D4559-'Reclamo de equipaje rediseñado'!$C4559</f>
        <v>1.9444444444444486E-2</v>
      </c>
      <c r="F4559" s="52">
        <v>0.55625000000000002</v>
      </c>
      <c r="G4559" s="53">
        <f t="shared" si="71"/>
        <v>1.8055555555555602E-2</v>
      </c>
      <c r="H4559" s="54">
        <v>41812</v>
      </c>
      <c r="I4559" s="55" t="s">
        <v>538</v>
      </c>
      <c r="J4559" s="55" t="s">
        <v>571</v>
      </c>
      <c r="K4559" s="55">
        <f>VLOOKUP(J4559,'Validacion reclamo de equipaje'!L:M,2,0)</f>
        <v>182</v>
      </c>
      <c r="L4559" s="55" t="str">
        <f>VLOOKUP(I4559,'Validacion reclamo de equipaje'!H:I,2,0)</f>
        <v>Internacional</v>
      </c>
      <c r="M4559" s="55" t="s">
        <v>615</v>
      </c>
    </row>
    <row r="4560" spans="1:13" x14ac:dyDescent="0.25">
      <c r="A4560">
        <v>663</v>
      </c>
      <c r="B4560" s="47" t="str">
        <f>VLOOKUP(Tabla6[[#This Row],['# Vuelo]],'Validacion reclamo de equipaje'!P:Q,2,0)</f>
        <v>MEXICO AEREO</v>
      </c>
      <c r="C4560" s="48">
        <v>0.62013888888888891</v>
      </c>
      <c r="D4560" s="48">
        <v>0.63541666666666663</v>
      </c>
      <c r="E4560" s="49">
        <f>'Reclamo de equipaje rediseñado'!$D4560-'Reclamo de equipaje rediseñado'!$C4560</f>
        <v>1.5277777777777724E-2</v>
      </c>
      <c r="F4560" s="48">
        <v>0.65763888888888888</v>
      </c>
      <c r="G4560" s="49">
        <f t="shared" si="71"/>
        <v>2.2222222222222254E-2</v>
      </c>
      <c r="H4560" s="50">
        <v>41791</v>
      </c>
      <c r="I4560" s="51" t="s">
        <v>558</v>
      </c>
      <c r="J4560" s="51">
        <v>738</v>
      </c>
      <c r="K4560" s="51">
        <f>VLOOKUP(J4560,'Validacion reclamo de equipaje'!L:M,2,0)</f>
        <v>189</v>
      </c>
      <c r="L4560" s="51" t="str">
        <f>VLOOKUP(I4560,'Validacion reclamo de equipaje'!H:I,2,0)</f>
        <v>Internacional</v>
      </c>
      <c r="M4560" s="51" t="s">
        <v>615</v>
      </c>
    </row>
    <row r="4561" spans="1:13" x14ac:dyDescent="0.25">
      <c r="A4561">
        <v>387</v>
      </c>
      <c r="B4561" s="47" t="str">
        <f>VLOOKUP(Tabla6[[#This Row],['# Vuelo]],'Validacion reclamo de equipaje'!P:Q,2,0)</f>
        <v>AEROLINEAS DE AMERICA</v>
      </c>
      <c r="C4561" s="52">
        <v>0.57847222222222217</v>
      </c>
      <c r="D4561" s="52">
        <v>0.59930555555555554</v>
      </c>
      <c r="E4561" s="53">
        <f>'Reclamo de equipaje rediseñado'!$D4561-'Reclamo de equipaje rediseñado'!$C4561</f>
        <v>2.083333333333337E-2</v>
      </c>
      <c r="F4561" s="52">
        <v>0.60833333333333328</v>
      </c>
      <c r="G4561" s="53">
        <f t="shared" si="71"/>
        <v>9.0277777777777457E-3</v>
      </c>
      <c r="H4561" s="54">
        <v>41791</v>
      </c>
      <c r="I4561" s="55" t="s">
        <v>538</v>
      </c>
      <c r="J4561" s="55" t="s">
        <v>571</v>
      </c>
      <c r="K4561" s="55">
        <f>VLOOKUP(J4561,'Validacion reclamo de equipaje'!L:M,2,0)</f>
        <v>182</v>
      </c>
      <c r="L4561" s="55" t="str">
        <f>VLOOKUP(I4561,'Validacion reclamo de equipaje'!H:I,2,0)</f>
        <v>Internacional</v>
      </c>
      <c r="M4561" s="55" t="s">
        <v>615</v>
      </c>
    </row>
    <row r="4562" spans="1:13" x14ac:dyDescent="0.25">
      <c r="A4562">
        <v>387</v>
      </c>
      <c r="B4562" s="47" t="str">
        <f>VLOOKUP(Tabla6[[#This Row],['# Vuelo]],'Validacion reclamo de equipaje'!P:Q,2,0)</f>
        <v>AEROLINEAS DE AMERICA</v>
      </c>
      <c r="C4562" s="48">
        <v>0.73055555555555562</v>
      </c>
      <c r="D4562" s="48">
        <v>0.74375000000000002</v>
      </c>
      <c r="E4562" s="49">
        <f>'Reclamo de equipaje rediseñado'!$D4562-'Reclamo de equipaje rediseñado'!$C4562</f>
        <v>1.3194444444444398E-2</v>
      </c>
      <c r="F4562" s="48">
        <v>0.76041666666666663</v>
      </c>
      <c r="G4562" s="49">
        <f t="shared" si="71"/>
        <v>1.6666666666666607E-2</v>
      </c>
      <c r="H4562" s="50">
        <v>41792</v>
      </c>
      <c r="I4562" s="51" t="s">
        <v>538</v>
      </c>
      <c r="J4562" s="51" t="s">
        <v>571</v>
      </c>
      <c r="K4562" s="51">
        <f>VLOOKUP(J4562,'Validacion reclamo de equipaje'!L:M,2,0)</f>
        <v>182</v>
      </c>
      <c r="L4562" s="51" t="str">
        <f>VLOOKUP(I4562,'Validacion reclamo de equipaje'!H:I,2,0)</f>
        <v>Internacional</v>
      </c>
      <c r="M4562" s="51" t="s">
        <v>615</v>
      </c>
    </row>
    <row r="4563" spans="1:13" x14ac:dyDescent="0.25">
      <c r="A4563">
        <v>387</v>
      </c>
      <c r="B4563" s="47" t="str">
        <f>VLOOKUP(Tabla6[[#This Row],['# Vuelo]],'Validacion reclamo de equipaje'!P:Q,2,0)</f>
        <v>AEROLINEAS DE AMERICA</v>
      </c>
      <c r="C4563" s="52">
        <v>0.61805555555555558</v>
      </c>
      <c r="D4563" s="52">
        <v>0.63472222222222219</v>
      </c>
      <c r="E4563" s="53">
        <f>'Reclamo de equipaje rediseñado'!$D4563-'Reclamo de equipaje rediseñado'!$C4563</f>
        <v>1.6666666666666607E-2</v>
      </c>
      <c r="F4563" s="52">
        <v>0.64583333333333337</v>
      </c>
      <c r="G4563" s="53">
        <f t="shared" si="71"/>
        <v>1.1111111111111183E-2</v>
      </c>
      <c r="H4563" s="54">
        <v>41793</v>
      </c>
      <c r="I4563" s="55" t="s">
        <v>538</v>
      </c>
      <c r="J4563" s="55" t="s">
        <v>571</v>
      </c>
      <c r="K4563" s="55">
        <f>VLOOKUP(J4563,'Validacion reclamo de equipaje'!L:M,2,0)</f>
        <v>182</v>
      </c>
      <c r="L4563" s="55" t="str">
        <f>VLOOKUP(I4563,'Validacion reclamo de equipaje'!H:I,2,0)</f>
        <v>Internacional</v>
      </c>
      <c r="M4563" s="55" t="s">
        <v>615</v>
      </c>
    </row>
    <row r="4564" spans="1:13" x14ac:dyDescent="0.25">
      <c r="A4564">
        <v>387</v>
      </c>
      <c r="B4564" s="47" t="str">
        <f>VLOOKUP(Tabla6[[#This Row],['# Vuelo]],'Validacion reclamo de equipaje'!P:Q,2,0)</f>
        <v>AEROLINEAS DE AMERICA</v>
      </c>
      <c r="C4564" s="48">
        <v>0.59097222222222223</v>
      </c>
      <c r="D4564" s="48">
        <v>0.60416666666666663</v>
      </c>
      <c r="E4564" s="49">
        <f>'Reclamo de equipaje rediseñado'!$D4564-'Reclamo de equipaje rediseñado'!$C4564</f>
        <v>1.3194444444444398E-2</v>
      </c>
      <c r="F4564" s="48">
        <v>0.62638888888888888</v>
      </c>
      <c r="G4564" s="49">
        <f t="shared" si="71"/>
        <v>2.2222222222222254E-2</v>
      </c>
      <c r="H4564" s="50">
        <v>41794</v>
      </c>
      <c r="I4564" s="51" t="s">
        <v>538</v>
      </c>
      <c r="J4564" s="51" t="s">
        <v>571</v>
      </c>
      <c r="K4564" s="51">
        <f>VLOOKUP(J4564,'Validacion reclamo de equipaje'!L:M,2,0)</f>
        <v>182</v>
      </c>
      <c r="L4564" s="51" t="str">
        <f>VLOOKUP(I4564,'Validacion reclamo de equipaje'!H:I,2,0)</f>
        <v>Internacional</v>
      </c>
      <c r="M4564" s="51" t="s">
        <v>615</v>
      </c>
    </row>
    <row r="4565" spans="1:13" x14ac:dyDescent="0.25">
      <c r="A4565">
        <v>387</v>
      </c>
      <c r="B4565" s="47" t="str">
        <f>VLOOKUP(Tabla6[[#This Row],['# Vuelo]],'Validacion reclamo de equipaje'!P:Q,2,0)</f>
        <v>AEROLINEAS DE AMERICA</v>
      </c>
      <c r="C4565" s="52">
        <v>0.5805555555555556</v>
      </c>
      <c r="D4565" s="52">
        <v>0.59166666666666667</v>
      </c>
      <c r="E4565" s="53">
        <f>'Reclamo de equipaje rediseñado'!$D4565-'Reclamo de equipaje rediseñado'!$C4565</f>
        <v>1.1111111111111072E-2</v>
      </c>
      <c r="F4565" s="52">
        <v>0.60625000000000007</v>
      </c>
      <c r="G4565" s="53">
        <f t="shared" si="71"/>
        <v>1.4583333333333393E-2</v>
      </c>
      <c r="H4565" s="54">
        <v>41795</v>
      </c>
      <c r="I4565" s="55" t="s">
        <v>538</v>
      </c>
      <c r="J4565" s="55" t="s">
        <v>571</v>
      </c>
      <c r="K4565" s="55">
        <f>VLOOKUP(J4565,'Validacion reclamo de equipaje'!L:M,2,0)</f>
        <v>182</v>
      </c>
      <c r="L4565" s="55" t="str">
        <f>VLOOKUP(I4565,'Validacion reclamo de equipaje'!H:I,2,0)</f>
        <v>Internacional</v>
      </c>
      <c r="M4565" s="55" t="s">
        <v>615</v>
      </c>
    </row>
    <row r="4566" spans="1:13" x14ac:dyDescent="0.25">
      <c r="A4566">
        <v>387</v>
      </c>
      <c r="B4566" s="47" t="str">
        <f>VLOOKUP(Tabla6[[#This Row],['# Vuelo]],'Validacion reclamo de equipaje'!P:Q,2,0)</f>
        <v>AEROLINEAS DE AMERICA</v>
      </c>
      <c r="C4566" s="48">
        <v>0.59097222222222223</v>
      </c>
      <c r="D4566" s="48">
        <v>0.60347222222222219</v>
      </c>
      <c r="E4566" s="49">
        <f>'Reclamo de equipaje rediseñado'!$D4566-'Reclamo de equipaje rediseñado'!$C4566</f>
        <v>1.2499999999999956E-2</v>
      </c>
      <c r="F4566" s="48">
        <v>0.62083333333333335</v>
      </c>
      <c r="G4566" s="49">
        <f t="shared" si="71"/>
        <v>1.736111111111116E-2</v>
      </c>
      <c r="H4566" s="50">
        <v>41796</v>
      </c>
      <c r="I4566" s="51" t="s">
        <v>538</v>
      </c>
      <c r="J4566" s="51" t="s">
        <v>571</v>
      </c>
      <c r="K4566" s="51">
        <f>VLOOKUP(J4566,'Validacion reclamo de equipaje'!L:M,2,0)</f>
        <v>182</v>
      </c>
      <c r="L4566" s="51" t="str">
        <f>VLOOKUP(I4566,'Validacion reclamo de equipaje'!H:I,2,0)</f>
        <v>Internacional</v>
      </c>
      <c r="M4566" s="51" t="s">
        <v>615</v>
      </c>
    </row>
    <row r="4567" spans="1:13" x14ac:dyDescent="0.25">
      <c r="A4567">
        <v>387</v>
      </c>
      <c r="B4567" s="47" t="str">
        <f>VLOOKUP(Tabla6[[#This Row],['# Vuelo]],'Validacion reclamo de equipaje'!P:Q,2,0)</f>
        <v>AEROLINEAS DE AMERICA</v>
      </c>
      <c r="C4567" s="52">
        <v>0.59861111111111109</v>
      </c>
      <c r="D4567" s="52">
        <v>0.61944444444444446</v>
      </c>
      <c r="E4567" s="53">
        <f>'Reclamo de equipaje rediseñado'!$D4567-'Reclamo de equipaje rediseñado'!$C4567</f>
        <v>2.083333333333337E-2</v>
      </c>
      <c r="F4567" s="52">
        <v>0.6381944444444444</v>
      </c>
      <c r="G4567" s="53">
        <f t="shared" si="71"/>
        <v>1.8749999999999933E-2</v>
      </c>
      <c r="H4567" s="54">
        <v>41797</v>
      </c>
      <c r="I4567" s="55" t="s">
        <v>538</v>
      </c>
      <c r="J4567" s="55" t="s">
        <v>571</v>
      </c>
      <c r="K4567" s="55">
        <f>VLOOKUP(J4567,'Validacion reclamo de equipaje'!L:M,2,0)</f>
        <v>182</v>
      </c>
      <c r="L4567" s="55" t="str">
        <f>VLOOKUP(I4567,'Validacion reclamo de equipaje'!H:I,2,0)</f>
        <v>Internacional</v>
      </c>
      <c r="M4567" s="55" t="s">
        <v>615</v>
      </c>
    </row>
    <row r="4568" spans="1:13" x14ac:dyDescent="0.25">
      <c r="A4568">
        <v>387</v>
      </c>
      <c r="B4568" s="47" t="str">
        <f>VLOOKUP(Tabla6[[#This Row],['# Vuelo]],'Validacion reclamo de equipaje'!P:Q,2,0)</f>
        <v>AEROLINEAS DE AMERICA</v>
      </c>
      <c r="C4568" s="48">
        <v>0.59375</v>
      </c>
      <c r="D4568" s="48">
        <v>0.61041666666666672</v>
      </c>
      <c r="E4568" s="49">
        <f>'Reclamo de equipaje rediseñado'!$D4568-'Reclamo de equipaje rediseñado'!$C4568</f>
        <v>1.6666666666666718E-2</v>
      </c>
      <c r="F4568" s="48">
        <v>0.62152777777777779</v>
      </c>
      <c r="G4568" s="49">
        <f t="shared" si="71"/>
        <v>1.1111111111111072E-2</v>
      </c>
      <c r="H4568" s="50">
        <v>41798</v>
      </c>
      <c r="I4568" s="51" t="s">
        <v>538</v>
      </c>
      <c r="J4568" s="51" t="s">
        <v>571</v>
      </c>
      <c r="K4568" s="51">
        <f>VLOOKUP(J4568,'Validacion reclamo de equipaje'!L:M,2,0)</f>
        <v>182</v>
      </c>
      <c r="L4568" s="51" t="str">
        <f>VLOOKUP(I4568,'Validacion reclamo de equipaje'!H:I,2,0)</f>
        <v>Internacional</v>
      </c>
      <c r="M4568" s="51" t="s">
        <v>615</v>
      </c>
    </row>
    <row r="4569" spans="1:13" x14ac:dyDescent="0.25">
      <c r="A4569">
        <v>387</v>
      </c>
      <c r="B4569" s="47" t="str">
        <f>VLOOKUP(Tabla6[[#This Row],['# Vuelo]],'Validacion reclamo de equipaje'!P:Q,2,0)</f>
        <v>AEROLINEAS DE AMERICA</v>
      </c>
      <c r="C4569" s="52">
        <v>0.5395833333333333</v>
      </c>
      <c r="D4569" s="52">
        <v>0.54652777777777783</v>
      </c>
      <c r="E4569" s="53">
        <f>'Reclamo de equipaje rediseñado'!$D4569-'Reclamo de equipaje rediseñado'!$C4569</f>
        <v>6.9444444444445308E-3</v>
      </c>
      <c r="F4569" s="52">
        <v>0.55833333333333335</v>
      </c>
      <c r="G4569" s="53">
        <f t="shared" si="71"/>
        <v>1.1805555555555514E-2</v>
      </c>
      <c r="H4569" s="54">
        <v>41801</v>
      </c>
      <c r="I4569" s="55" t="s">
        <v>538</v>
      </c>
      <c r="J4569" s="55" t="s">
        <v>571</v>
      </c>
      <c r="K4569" s="55">
        <f>VLOOKUP(J4569,'Validacion reclamo de equipaje'!L:M,2,0)</f>
        <v>182</v>
      </c>
      <c r="L4569" s="55" t="str">
        <f>VLOOKUP(I4569,'Validacion reclamo de equipaje'!H:I,2,0)</f>
        <v>Internacional</v>
      </c>
      <c r="M4569" s="55" t="s">
        <v>615</v>
      </c>
    </row>
    <row r="4570" spans="1:13" x14ac:dyDescent="0.25">
      <c r="A4570">
        <v>332</v>
      </c>
      <c r="B4570" s="47" t="str">
        <f>VLOOKUP(Tabla6[[#This Row],['# Vuelo]],'Validacion reclamo de equipaje'!P:Q,2,0)</f>
        <v>AEROLINEAS DE AMERICA</v>
      </c>
      <c r="C4570" s="48">
        <v>0.61597222222222225</v>
      </c>
      <c r="D4570" s="48">
        <v>0.63541666666666663</v>
      </c>
      <c r="E4570" s="49">
        <f>'Reclamo de equipaje rediseñado'!$D4570-'Reclamo de equipaje rediseñado'!$C4570</f>
        <v>1.9444444444444375E-2</v>
      </c>
      <c r="F4570" s="48">
        <v>0.64583333333333337</v>
      </c>
      <c r="G4570" s="49">
        <f t="shared" si="71"/>
        <v>1.0416666666666741E-2</v>
      </c>
      <c r="H4570" s="50">
        <v>41813</v>
      </c>
      <c r="I4570" s="51" t="s">
        <v>569</v>
      </c>
      <c r="J4570" s="51">
        <v>320</v>
      </c>
      <c r="K4570" s="51">
        <f>VLOOKUP(J4570,'Validacion reclamo de equipaje'!L:M,2,0)</f>
        <v>179</v>
      </c>
      <c r="L4570" s="51" t="str">
        <f>VLOOKUP(I4570,'Validacion reclamo de equipaje'!H:I,2,0)</f>
        <v>Internacional</v>
      </c>
      <c r="M4570" s="51" t="s">
        <v>615</v>
      </c>
    </row>
    <row r="4571" spans="1:13" x14ac:dyDescent="0.25">
      <c r="A4571">
        <v>722</v>
      </c>
      <c r="B4571" s="47" t="str">
        <f>VLOOKUP(Tabla6[[#This Row],['# Vuelo]],'Validacion reclamo de equipaje'!P:Q,2,0)</f>
        <v>COPA</v>
      </c>
      <c r="C4571" s="52">
        <v>0.95694444444444438</v>
      </c>
      <c r="D4571" s="52">
        <v>0.98263888888888884</v>
      </c>
      <c r="E4571" s="53">
        <f>'Reclamo de equipaje rediseñado'!$D4571-'Reclamo de equipaje rediseñado'!$C4571</f>
        <v>2.5694444444444464E-2</v>
      </c>
      <c r="F4571" s="52">
        <v>0.98819444444444438</v>
      </c>
      <c r="G4571" s="53">
        <f t="shared" si="71"/>
        <v>5.5555555555555358E-3</v>
      </c>
      <c r="H4571" s="54">
        <v>41791</v>
      </c>
      <c r="I4571" s="55" t="s">
        <v>575</v>
      </c>
      <c r="J4571" s="55" t="s">
        <v>554</v>
      </c>
      <c r="K4571" s="55">
        <f>VLOOKUP(J4571,'Validacion reclamo de equipaje'!L:M,2,0)</f>
        <v>189</v>
      </c>
      <c r="L4571" s="55" t="str">
        <f>VLOOKUP(I4571,'Validacion reclamo de equipaje'!H:I,2,0)</f>
        <v>Internacional</v>
      </c>
      <c r="M4571" s="55" t="s">
        <v>615</v>
      </c>
    </row>
    <row r="4572" spans="1:13" x14ac:dyDescent="0.25">
      <c r="A4572">
        <v>722</v>
      </c>
      <c r="B4572" s="47" t="str">
        <f>VLOOKUP(Tabla6[[#This Row],['# Vuelo]],'Validacion reclamo de equipaje'!P:Q,2,0)</f>
        <v>COPA</v>
      </c>
      <c r="C4572" s="48">
        <v>0.9458333333333333</v>
      </c>
      <c r="D4572" s="48">
        <v>0.95763888888888893</v>
      </c>
      <c r="E4572" s="49">
        <f>'Reclamo de equipaje rediseñado'!$D4572-'Reclamo de equipaje rediseñado'!$C4572</f>
        <v>1.1805555555555625E-2</v>
      </c>
      <c r="F4572" s="48">
        <v>0.97083333333333333</v>
      </c>
      <c r="G4572" s="49">
        <f t="shared" si="71"/>
        <v>1.3194444444444398E-2</v>
      </c>
      <c r="H4572" s="50">
        <v>41792</v>
      </c>
      <c r="I4572" s="51" t="s">
        <v>575</v>
      </c>
      <c r="J4572" s="51" t="s">
        <v>554</v>
      </c>
      <c r="K4572" s="51">
        <f>VLOOKUP(J4572,'Validacion reclamo de equipaje'!L:M,2,0)</f>
        <v>189</v>
      </c>
      <c r="L4572" s="51" t="str">
        <f>VLOOKUP(I4572,'Validacion reclamo de equipaje'!H:I,2,0)</f>
        <v>Internacional</v>
      </c>
      <c r="M4572" s="51" t="s">
        <v>615</v>
      </c>
    </row>
    <row r="4573" spans="1:13" x14ac:dyDescent="0.25">
      <c r="A4573">
        <v>722</v>
      </c>
      <c r="B4573" s="47" t="str">
        <f>VLOOKUP(Tabla6[[#This Row],['# Vuelo]],'Validacion reclamo de equipaje'!P:Q,2,0)</f>
        <v>COPA</v>
      </c>
      <c r="C4573" s="52">
        <v>0.97013888888888899</v>
      </c>
      <c r="D4573" s="52">
        <v>0.98472222222222217</v>
      </c>
      <c r="E4573" s="53">
        <f>'Reclamo de equipaje rediseñado'!$D4573-'Reclamo de equipaje rediseñado'!$C4573</f>
        <v>1.4583333333333171E-2</v>
      </c>
      <c r="F4573" s="52">
        <v>1.0027777777777778</v>
      </c>
      <c r="G4573" s="53">
        <f t="shared" si="71"/>
        <v>1.8055555555555602E-2</v>
      </c>
      <c r="H4573" s="54">
        <v>41793</v>
      </c>
      <c r="I4573" s="55" t="s">
        <v>575</v>
      </c>
      <c r="J4573" s="55" t="s">
        <v>554</v>
      </c>
      <c r="K4573" s="55">
        <f>VLOOKUP(J4573,'Validacion reclamo de equipaje'!L:M,2,0)</f>
        <v>189</v>
      </c>
      <c r="L4573" s="55" t="str">
        <f>VLOOKUP(I4573,'Validacion reclamo de equipaje'!H:I,2,0)</f>
        <v>Internacional</v>
      </c>
      <c r="M4573" s="55" t="s">
        <v>615</v>
      </c>
    </row>
    <row r="4574" spans="1:13" x14ac:dyDescent="0.25">
      <c r="A4574">
        <v>722</v>
      </c>
      <c r="B4574" s="47" t="str">
        <f>VLOOKUP(Tabla6[[#This Row],['# Vuelo]],'Validacion reclamo de equipaje'!P:Q,2,0)</f>
        <v>COPA</v>
      </c>
      <c r="C4574" s="48">
        <v>0.95694444444444438</v>
      </c>
      <c r="D4574" s="48">
        <v>0.96805555555555556</v>
      </c>
      <c r="E4574" s="49">
        <f>'Reclamo de equipaje rediseñado'!$D4574-'Reclamo de equipaje rediseñado'!$C4574</f>
        <v>1.1111111111111183E-2</v>
      </c>
      <c r="F4574" s="48">
        <v>1.0055555555555555</v>
      </c>
      <c r="G4574" s="49">
        <f t="shared" si="71"/>
        <v>3.7499999999999978E-2</v>
      </c>
      <c r="H4574" s="50">
        <v>41794</v>
      </c>
      <c r="I4574" s="51" t="s">
        <v>575</v>
      </c>
      <c r="J4574" s="51" t="s">
        <v>554</v>
      </c>
      <c r="K4574" s="51">
        <f>VLOOKUP(J4574,'Validacion reclamo de equipaje'!L:M,2,0)</f>
        <v>189</v>
      </c>
      <c r="L4574" s="51" t="str">
        <f>VLOOKUP(I4574,'Validacion reclamo de equipaje'!H:I,2,0)</f>
        <v>Internacional</v>
      </c>
      <c r="M4574" s="51" t="s">
        <v>615</v>
      </c>
    </row>
    <row r="4575" spans="1:13" x14ac:dyDescent="0.25">
      <c r="A4575">
        <v>722</v>
      </c>
      <c r="B4575" s="47" t="str">
        <f>VLOOKUP(Tabla6[[#This Row],['# Vuelo]],'Validacion reclamo de equipaje'!P:Q,2,0)</f>
        <v>COPA</v>
      </c>
      <c r="C4575" s="52">
        <v>0.99305555555555547</v>
      </c>
      <c r="D4575" s="52">
        <v>1.0111111111111111</v>
      </c>
      <c r="E4575" s="53">
        <f>'Reclamo de equipaje rediseñado'!$D4575-'Reclamo de equipaje rediseñado'!$C4575</f>
        <v>1.8055555555555602E-2</v>
      </c>
      <c r="F4575" s="52">
        <v>1.0270833333333333</v>
      </c>
      <c r="G4575" s="53">
        <f t="shared" si="71"/>
        <v>1.5972222222222276E-2</v>
      </c>
      <c r="H4575" s="54">
        <v>41795</v>
      </c>
      <c r="I4575" s="55" t="s">
        <v>575</v>
      </c>
      <c r="J4575" s="55" t="s">
        <v>554</v>
      </c>
      <c r="K4575" s="55">
        <f>VLOOKUP(J4575,'Validacion reclamo de equipaje'!L:M,2,0)</f>
        <v>189</v>
      </c>
      <c r="L4575" s="55" t="str">
        <f>VLOOKUP(I4575,'Validacion reclamo de equipaje'!H:I,2,0)</f>
        <v>Internacional</v>
      </c>
      <c r="M4575" s="55" t="s">
        <v>615</v>
      </c>
    </row>
    <row r="4576" spans="1:13" x14ac:dyDescent="0.25">
      <c r="A4576">
        <v>722</v>
      </c>
      <c r="B4576" s="47" t="str">
        <f>VLOOKUP(Tabla6[[#This Row],['# Vuelo]],'Validacion reclamo de equipaje'!P:Q,2,0)</f>
        <v>COPA</v>
      </c>
      <c r="C4576" s="48">
        <v>0.96319444444444446</v>
      </c>
      <c r="D4576" s="48">
        <v>0.98055555555555562</v>
      </c>
      <c r="E4576" s="49">
        <f>'Reclamo de equipaje rediseñado'!$D4576-'Reclamo de equipaje rediseñado'!$C4576</f>
        <v>1.736111111111116E-2</v>
      </c>
      <c r="F4576" s="48">
        <v>0.9902777777777777</v>
      </c>
      <c r="G4576" s="49">
        <f t="shared" si="71"/>
        <v>9.7222222222220767E-3</v>
      </c>
      <c r="H4576" s="50">
        <v>41796</v>
      </c>
      <c r="I4576" s="51" t="s">
        <v>575</v>
      </c>
      <c r="J4576" s="51" t="s">
        <v>554</v>
      </c>
      <c r="K4576" s="51">
        <f>VLOOKUP(J4576,'Validacion reclamo de equipaje'!L:M,2,0)</f>
        <v>189</v>
      </c>
      <c r="L4576" s="51" t="str">
        <f>VLOOKUP(I4576,'Validacion reclamo de equipaje'!H:I,2,0)</f>
        <v>Internacional</v>
      </c>
      <c r="M4576" s="51" t="s">
        <v>615</v>
      </c>
    </row>
    <row r="4577" spans="1:13" x14ac:dyDescent="0.25">
      <c r="A4577">
        <v>722</v>
      </c>
      <c r="B4577" s="47" t="str">
        <f>VLOOKUP(Tabla6[[#This Row],['# Vuelo]],'Validacion reclamo de equipaje'!P:Q,2,0)</f>
        <v>COPA</v>
      </c>
      <c r="C4577" s="52">
        <v>0.94930555555555562</v>
      </c>
      <c r="D4577" s="52">
        <v>0.96666666666666667</v>
      </c>
      <c r="E4577" s="53">
        <f>'Reclamo de equipaje rediseñado'!$D4577-'Reclamo de equipaje rediseñado'!$C4577</f>
        <v>1.7361111111111049E-2</v>
      </c>
      <c r="F4577" s="52">
        <v>0.97222222222222221</v>
      </c>
      <c r="G4577" s="53">
        <f t="shared" si="71"/>
        <v>5.5555555555555358E-3</v>
      </c>
      <c r="H4577" s="54">
        <v>41797</v>
      </c>
      <c r="I4577" s="55" t="s">
        <v>575</v>
      </c>
      <c r="J4577" s="55" t="s">
        <v>554</v>
      </c>
      <c r="K4577" s="55">
        <f>VLOOKUP(J4577,'Validacion reclamo de equipaje'!L:M,2,0)</f>
        <v>189</v>
      </c>
      <c r="L4577" s="55" t="str">
        <f>VLOOKUP(I4577,'Validacion reclamo de equipaje'!H:I,2,0)</f>
        <v>Internacional</v>
      </c>
      <c r="M4577" s="55" t="s">
        <v>615</v>
      </c>
    </row>
    <row r="4578" spans="1:13" x14ac:dyDescent="0.25">
      <c r="A4578">
        <v>722</v>
      </c>
      <c r="B4578" s="47" t="str">
        <f>VLOOKUP(Tabla6[[#This Row],['# Vuelo]],'Validacion reclamo de equipaje'!P:Q,2,0)</f>
        <v>COPA</v>
      </c>
      <c r="C4578" s="48">
        <v>0.96666666666666667</v>
      </c>
      <c r="D4578" s="48">
        <v>0.9916666666666667</v>
      </c>
      <c r="E4578" s="49">
        <f>'Reclamo de equipaje rediseñado'!$D4578-'Reclamo de equipaje rediseñado'!$C4578</f>
        <v>2.5000000000000022E-2</v>
      </c>
      <c r="F4578" s="48">
        <v>1.0062499999999999</v>
      </c>
      <c r="G4578" s="49">
        <f t="shared" si="71"/>
        <v>1.4583333333333171E-2</v>
      </c>
      <c r="H4578" s="50">
        <v>41798</v>
      </c>
      <c r="I4578" s="51" t="s">
        <v>575</v>
      </c>
      <c r="J4578" s="51" t="s">
        <v>554</v>
      </c>
      <c r="K4578" s="51">
        <f>VLOOKUP(J4578,'Validacion reclamo de equipaje'!L:M,2,0)</f>
        <v>189</v>
      </c>
      <c r="L4578" s="51" t="str">
        <f>VLOOKUP(I4578,'Validacion reclamo de equipaje'!H:I,2,0)</f>
        <v>Internacional</v>
      </c>
      <c r="M4578" s="51" t="s">
        <v>615</v>
      </c>
    </row>
    <row r="4579" spans="1:13" x14ac:dyDescent="0.25">
      <c r="A4579">
        <v>722</v>
      </c>
      <c r="B4579" s="47" t="str">
        <f>VLOOKUP(Tabla6[[#This Row],['# Vuelo]],'Validacion reclamo de equipaje'!P:Q,2,0)</f>
        <v>COPA</v>
      </c>
      <c r="C4579" s="52">
        <v>0.95416666666666661</v>
      </c>
      <c r="D4579" s="52">
        <v>0.97152777777777777</v>
      </c>
      <c r="E4579" s="53">
        <f>'Reclamo de equipaje rediseñado'!$D4579-'Reclamo de equipaje rediseñado'!$C4579</f>
        <v>1.736111111111116E-2</v>
      </c>
      <c r="F4579" s="52">
        <v>0.99513888888888891</v>
      </c>
      <c r="G4579" s="53">
        <f t="shared" si="71"/>
        <v>2.3611111111111138E-2</v>
      </c>
      <c r="H4579" s="54">
        <v>41800</v>
      </c>
      <c r="I4579" s="55" t="s">
        <v>575</v>
      </c>
      <c r="J4579" s="55" t="s">
        <v>554</v>
      </c>
      <c r="K4579" s="55">
        <f>VLOOKUP(J4579,'Validacion reclamo de equipaje'!L:M,2,0)</f>
        <v>189</v>
      </c>
      <c r="L4579" s="55" t="str">
        <f>VLOOKUP(I4579,'Validacion reclamo de equipaje'!H:I,2,0)</f>
        <v>Internacional</v>
      </c>
      <c r="M4579" s="55" t="s">
        <v>615</v>
      </c>
    </row>
    <row r="4580" spans="1:13" x14ac:dyDescent="0.25">
      <c r="A4580">
        <v>722</v>
      </c>
      <c r="B4580" s="47" t="str">
        <f>VLOOKUP(Tabla6[[#This Row],['# Vuelo]],'Validacion reclamo de equipaje'!P:Q,2,0)</f>
        <v>COPA</v>
      </c>
      <c r="C4580" s="48">
        <v>0.79513888888888884</v>
      </c>
      <c r="D4580" s="48">
        <v>0.80555555555555547</v>
      </c>
      <c r="E4580" s="49">
        <f>'Reclamo de equipaje rediseñado'!$D4580-'Reclamo de equipaje rediseñado'!$C4580</f>
        <v>1.041666666666663E-2</v>
      </c>
      <c r="F4580" s="48">
        <v>0.81388888888888899</v>
      </c>
      <c r="G4580" s="49">
        <f t="shared" si="71"/>
        <v>8.3333333333335258E-3</v>
      </c>
      <c r="H4580" s="50">
        <v>41800</v>
      </c>
      <c r="I4580" s="51" t="s">
        <v>575</v>
      </c>
      <c r="J4580" s="51" t="s">
        <v>554</v>
      </c>
      <c r="K4580" s="51">
        <f>VLOOKUP(J4580,'Validacion reclamo de equipaje'!L:M,2,0)</f>
        <v>189</v>
      </c>
      <c r="L4580" s="51" t="str">
        <f>VLOOKUP(I4580,'Validacion reclamo de equipaje'!H:I,2,0)</f>
        <v>Internacional</v>
      </c>
      <c r="M4580" s="51" t="s">
        <v>615</v>
      </c>
    </row>
    <row r="4581" spans="1:13" x14ac:dyDescent="0.25">
      <c r="A4581">
        <v>722</v>
      </c>
      <c r="B4581" s="47" t="str">
        <f>VLOOKUP(Tabla6[[#This Row],['# Vuelo]],'Validacion reclamo de equipaje'!P:Q,2,0)</f>
        <v>COPA</v>
      </c>
      <c r="C4581" s="52">
        <v>0.22013888888888888</v>
      </c>
      <c r="D4581" s="52">
        <v>0.23124999999999998</v>
      </c>
      <c r="E4581" s="53">
        <f>'Reclamo de equipaje rediseñado'!$D4581-'Reclamo de equipaje rediseñado'!$C4581</f>
        <v>1.1111111111111099E-2</v>
      </c>
      <c r="F4581" s="52">
        <v>0.24861111111111112</v>
      </c>
      <c r="G4581" s="53">
        <f t="shared" si="71"/>
        <v>1.7361111111111133E-2</v>
      </c>
      <c r="H4581" s="54">
        <v>41801</v>
      </c>
      <c r="I4581" s="55" t="s">
        <v>575</v>
      </c>
      <c r="J4581" s="55" t="s">
        <v>554</v>
      </c>
      <c r="K4581" s="55">
        <f>VLOOKUP(J4581,'Validacion reclamo de equipaje'!L:M,2,0)</f>
        <v>189</v>
      </c>
      <c r="L4581" s="55" t="str">
        <f>VLOOKUP(I4581,'Validacion reclamo de equipaje'!H:I,2,0)</f>
        <v>Internacional</v>
      </c>
      <c r="M4581" s="55" t="s">
        <v>615</v>
      </c>
    </row>
    <row r="4582" spans="1:13" x14ac:dyDescent="0.25">
      <c r="A4582">
        <v>722</v>
      </c>
      <c r="B4582" s="47" t="str">
        <f>VLOOKUP(Tabla6[[#This Row],['# Vuelo]],'Validacion reclamo de equipaje'!P:Q,2,0)</f>
        <v>COPA</v>
      </c>
      <c r="C4582" s="48">
        <v>0.52986111111111112</v>
      </c>
      <c r="D4582" s="48">
        <v>0.54166666666666663</v>
      </c>
      <c r="E4582" s="49">
        <f>'Reclamo de equipaje rediseñado'!$D4582-'Reclamo de equipaje rediseñado'!$C4582</f>
        <v>1.1805555555555514E-2</v>
      </c>
      <c r="F4582" s="48">
        <v>0.55138888888888882</v>
      </c>
      <c r="G4582" s="49">
        <f t="shared" si="71"/>
        <v>9.7222222222221877E-3</v>
      </c>
      <c r="H4582" s="50">
        <v>41802</v>
      </c>
      <c r="I4582" s="51" t="s">
        <v>575</v>
      </c>
      <c r="J4582" s="51" t="s">
        <v>554</v>
      </c>
      <c r="K4582" s="51">
        <f>VLOOKUP(J4582,'Validacion reclamo de equipaje'!L:M,2,0)</f>
        <v>189</v>
      </c>
      <c r="L4582" s="51" t="str">
        <f>VLOOKUP(I4582,'Validacion reclamo de equipaje'!H:I,2,0)</f>
        <v>Internacional</v>
      </c>
      <c r="M4582" s="51" t="s">
        <v>615</v>
      </c>
    </row>
    <row r="4583" spans="1:13" x14ac:dyDescent="0.25">
      <c r="A4583">
        <v>722</v>
      </c>
      <c r="B4583" s="47" t="str">
        <f>VLOOKUP(Tabla6[[#This Row],['# Vuelo]],'Validacion reclamo de equipaje'!P:Q,2,0)</f>
        <v>COPA</v>
      </c>
      <c r="C4583" s="52">
        <v>0.56944444444444442</v>
      </c>
      <c r="D4583" s="52">
        <v>0.57777777777777783</v>
      </c>
      <c r="E4583" s="53">
        <f>'Reclamo de equipaje rediseñado'!$D4583-'Reclamo de equipaje rediseñado'!$C4583</f>
        <v>8.3333333333334147E-3</v>
      </c>
      <c r="F4583" s="52">
        <v>0.5854166666666667</v>
      </c>
      <c r="G4583" s="53">
        <f t="shared" si="71"/>
        <v>7.6388888888888618E-3</v>
      </c>
      <c r="H4583" s="54">
        <v>41803</v>
      </c>
      <c r="I4583" s="55" t="s">
        <v>575</v>
      </c>
      <c r="J4583" s="55" t="s">
        <v>554</v>
      </c>
      <c r="K4583" s="55">
        <f>VLOOKUP(J4583,'Validacion reclamo de equipaje'!L:M,2,0)</f>
        <v>189</v>
      </c>
      <c r="L4583" s="55" t="str">
        <f>VLOOKUP(I4583,'Validacion reclamo de equipaje'!H:I,2,0)</f>
        <v>Internacional</v>
      </c>
      <c r="M4583" s="55" t="s">
        <v>615</v>
      </c>
    </row>
    <row r="4584" spans="1:13" x14ac:dyDescent="0.25">
      <c r="A4584">
        <v>722</v>
      </c>
      <c r="B4584" s="47" t="str">
        <f>VLOOKUP(Tabla6[[#This Row],['# Vuelo]],'Validacion reclamo de equipaje'!P:Q,2,0)</f>
        <v>COPA</v>
      </c>
      <c r="C4584" s="48">
        <v>0.94305555555555554</v>
      </c>
      <c r="D4584" s="48">
        <v>0.95138888888888884</v>
      </c>
      <c r="E4584" s="49">
        <f>'Reclamo de equipaje rediseñado'!$D4584-'Reclamo de equipaje rediseñado'!$C4584</f>
        <v>8.3333333333333037E-3</v>
      </c>
      <c r="F4584" s="48">
        <v>0.95486111111111116</v>
      </c>
      <c r="G4584" s="49">
        <f t="shared" si="71"/>
        <v>3.4722222222223209E-3</v>
      </c>
      <c r="H4584" s="50">
        <v>41804</v>
      </c>
      <c r="I4584" s="51" t="s">
        <v>575</v>
      </c>
      <c r="J4584" s="51" t="s">
        <v>554</v>
      </c>
      <c r="K4584" s="51">
        <f>VLOOKUP(J4584,'Validacion reclamo de equipaje'!L:M,2,0)</f>
        <v>189</v>
      </c>
      <c r="L4584" s="51" t="str">
        <f>VLOOKUP(I4584,'Validacion reclamo de equipaje'!H:I,2,0)</f>
        <v>Internacional</v>
      </c>
      <c r="M4584" s="51" t="s">
        <v>615</v>
      </c>
    </row>
    <row r="4585" spans="1:13" x14ac:dyDescent="0.25">
      <c r="A4585">
        <v>722</v>
      </c>
      <c r="B4585" s="47" t="str">
        <f>VLOOKUP(Tabla6[[#This Row],['# Vuelo]],'Validacion reclamo de equipaje'!P:Q,2,0)</f>
        <v>COPA</v>
      </c>
      <c r="C4585" s="52">
        <v>0.67708333333333337</v>
      </c>
      <c r="D4585" s="52">
        <v>0.6875</v>
      </c>
      <c r="E4585" s="53">
        <f>'Reclamo de equipaje rediseñado'!$D4585-'Reclamo de equipaje rediseñado'!$C4585</f>
        <v>1.041666666666663E-2</v>
      </c>
      <c r="F4585" s="52">
        <v>0.69444444444444453</v>
      </c>
      <c r="G4585" s="53">
        <f t="shared" si="71"/>
        <v>6.9444444444445308E-3</v>
      </c>
      <c r="H4585" s="54">
        <v>41805</v>
      </c>
      <c r="I4585" s="55" t="s">
        <v>575</v>
      </c>
      <c r="J4585" s="55" t="s">
        <v>554</v>
      </c>
      <c r="K4585" s="55">
        <f>VLOOKUP(J4585,'Validacion reclamo de equipaje'!L:M,2,0)</f>
        <v>189</v>
      </c>
      <c r="L4585" s="55" t="str">
        <f>VLOOKUP(I4585,'Validacion reclamo de equipaje'!H:I,2,0)</f>
        <v>Internacional</v>
      </c>
      <c r="M4585" s="55" t="s">
        <v>615</v>
      </c>
    </row>
    <row r="4586" spans="1:13" x14ac:dyDescent="0.25">
      <c r="A4586">
        <v>722</v>
      </c>
      <c r="B4586" s="47" t="str">
        <f>VLOOKUP(Tabla6[[#This Row],['# Vuelo]],'Validacion reclamo de equipaje'!P:Q,2,0)</f>
        <v>COPA</v>
      </c>
      <c r="C4586" s="48">
        <v>0.92708333333333337</v>
      </c>
      <c r="D4586" s="48">
        <v>0.94097222222222221</v>
      </c>
      <c r="E4586" s="49">
        <f>'Reclamo de equipaje rediseñado'!$D4586-'Reclamo de equipaje rediseñado'!$C4586</f>
        <v>1.388888888888884E-2</v>
      </c>
      <c r="F4586" s="48">
        <v>0.94791666666666663</v>
      </c>
      <c r="G4586" s="49">
        <f t="shared" si="71"/>
        <v>6.9444444444444198E-3</v>
      </c>
      <c r="H4586" s="50">
        <v>41806</v>
      </c>
      <c r="I4586" s="51" t="s">
        <v>575</v>
      </c>
      <c r="J4586" s="51" t="s">
        <v>554</v>
      </c>
      <c r="K4586" s="51">
        <f>VLOOKUP(J4586,'Validacion reclamo de equipaje'!L:M,2,0)</f>
        <v>189</v>
      </c>
      <c r="L4586" s="51" t="str">
        <f>VLOOKUP(I4586,'Validacion reclamo de equipaje'!H:I,2,0)</f>
        <v>Internacional</v>
      </c>
      <c r="M4586" s="51" t="s">
        <v>615</v>
      </c>
    </row>
    <row r="4587" spans="1:13" x14ac:dyDescent="0.25">
      <c r="A4587">
        <v>722</v>
      </c>
      <c r="B4587" s="47" t="str">
        <f>VLOOKUP(Tabla6[[#This Row],['# Vuelo]],'Validacion reclamo de equipaje'!P:Q,2,0)</f>
        <v>COPA</v>
      </c>
      <c r="C4587" s="52">
        <v>0.44305555555555554</v>
      </c>
      <c r="D4587" s="52">
        <v>0.45069444444444445</v>
      </c>
      <c r="E4587" s="53">
        <f>'Reclamo de equipaje rediseñado'!$D4587-'Reclamo de equipaje rediseñado'!$C4587</f>
        <v>7.6388888888889173E-3</v>
      </c>
      <c r="F4587" s="52">
        <v>0.4680555555555555</v>
      </c>
      <c r="G4587" s="53">
        <f t="shared" si="71"/>
        <v>1.7361111111111049E-2</v>
      </c>
      <c r="H4587" s="54">
        <v>41807</v>
      </c>
      <c r="I4587" s="55" t="s">
        <v>575</v>
      </c>
      <c r="J4587" s="55" t="s">
        <v>554</v>
      </c>
      <c r="K4587" s="55">
        <f>VLOOKUP(J4587,'Validacion reclamo de equipaje'!L:M,2,0)</f>
        <v>189</v>
      </c>
      <c r="L4587" s="55" t="str">
        <f>VLOOKUP(I4587,'Validacion reclamo de equipaje'!H:I,2,0)</f>
        <v>Internacional</v>
      </c>
      <c r="M4587" s="55" t="s">
        <v>615</v>
      </c>
    </row>
    <row r="4588" spans="1:13" x14ac:dyDescent="0.25">
      <c r="A4588">
        <v>722</v>
      </c>
      <c r="B4588" s="47" t="str">
        <f>VLOOKUP(Tabla6[[#This Row],['# Vuelo]],'Validacion reclamo de equipaje'!P:Q,2,0)</f>
        <v>COPA</v>
      </c>
      <c r="C4588" s="48">
        <v>0.9458333333333333</v>
      </c>
      <c r="D4588" s="48">
        <v>0.96736111111111101</v>
      </c>
      <c r="E4588" s="49">
        <f>'Reclamo de equipaje rediseñado'!$D4588-'Reclamo de equipaje rediseñado'!$C4588</f>
        <v>2.1527777777777701E-2</v>
      </c>
      <c r="F4588" s="48">
        <v>23.22</v>
      </c>
      <c r="G4588" s="49">
        <f t="shared" si="71"/>
        <v>22.252638888888889</v>
      </c>
      <c r="H4588" s="50">
        <v>41809</v>
      </c>
      <c r="I4588" s="51" t="s">
        <v>575</v>
      </c>
      <c r="J4588" s="51" t="s">
        <v>554</v>
      </c>
      <c r="K4588" s="51">
        <f>VLOOKUP(J4588,'Validacion reclamo de equipaje'!L:M,2,0)</f>
        <v>189</v>
      </c>
      <c r="L4588" s="51" t="str">
        <f>VLOOKUP(I4588,'Validacion reclamo de equipaje'!H:I,2,0)</f>
        <v>Internacional</v>
      </c>
      <c r="M4588" s="51" t="s">
        <v>615</v>
      </c>
    </row>
    <row r="4589" spans="1:13" x14ac:dyDescent="0.25">
      <c r="A4589">
        <v>722</v>
      </c>
      <c r="B4589" s="47" t="str">
        <f>VLOOKUP(Tabla6[[#This Row],['# Vuelo]],'Validacion reclamo de equipaje'!P:Q,2,0)</f>
        <v>COPA</v>
      </c>
      <c r="C4589" s="52">
        <v>0.95000000000000007</v>
      </c>
      <c r="D4589" s="52">
        <v>0.97013888888888899</v>
      </c>
      <c r="E4589" s="53">
        <f>'Reclamo de equipaje rediseñado'!$D4589-'Reclamo de equipaje rediseñado'!$C4589</f>
        <v>2.0138888888888928E-2</v>
      </c>
      <c r="F4589" s="52">
        <v>0.98819444444444438</v>
      </c>
      <c r="G4589" s="53">
        <f t="shared" si="71"/>
        <v>1.805555555555538E-2</v>
      </c>
      <c r="H4589" s="54">
        <v>41810</v>
      </c>
      <c r="I4589" s="55" t="s">
        <v>575</v>
      </c>
      <c r="J4589" s="55" t="s">
        <v>554</v>
      </c>
      <c r="K4589" s="55">
        <f>VLOOKUP(J4589,'Validacion reclamo de equipaje'!L:M,2,0)</f>
        <v>189</v>
      </c>
      <c r="L4589" s="55" t="str">
        <f>VLOOKUP(I4589,'Validacion reclamo de equipaje'!H:I,2,0)</f>
        <v>Internacional</v>
      </c>
      <c r="M4589" s="55" t="s">
        <v>615</v>
      </c>
    </row>
    <row r="4590" spans="1:13" x14ac:dyDescent="0.25">
      <c r="A4590">
        <v>722</v>
      </c>
      <c r="B4590" s="47" t="str">
        <f>VLOOKUP(Tabla6[[#This Row],['# Vuelo]],'Validacion reclamo de equipaje'!P:Q,2,0)</f>
        <v>COPA</v>
      </c>
      <c r="C4590" s="48">
        <v>0.95208333333333339</v>
      </c>
      <c r="D4590" s="48">
        <v>0.96388888888888891</v>
      </c>
      <c r="E4590" s="49">
        <f>'Reclamo de equipaje rediseñado'!$D4590-'Reclamo de equipaje rediseñado'!$C4590</f>
        <v>1.1805555555555514E-2</v>
      </c>
      <c r="F4590" s="48">
        <v>0.99375000000000002</v>
      </c>
      <c r="G4590" s="49">
        <f t="shared" si="71"/>
        <v>2.9861111111111116E-2</v>
      </c>
      <c r="H4590" s="50">
        <v>41811</v>
      </c>
      <c r="I4590" s="51" t="s">
        <v>575</v>
      </c>
      <c r="J4590" s="51" t="s">
        <v>554</v>
      </c>
      <c r="K4590" s="51">
        <f>VLOOKUP(J4590,'Validacion reclamo de equipaje'!L:M,2,0)</f>
        <v>189</v>
      </c>
      <c r="L4590" s="51" t="str">
        <f>VLOOKUP(I4590,'Validacion reclamo de equipaje'!H:I,2,0)</f>
        <v>Internacional</v>
      </c>
      <c r="M4590" s="51" t="s">
        <v>615</v>
      </c>
    </row>
    <row r="4591" spans="1:13" x14ac:dyDescent="0.25">
      <c r="A4591">
        <v>722</v>
      </c>
      <c r="B4591" s="47" t="str">
        <f>VLOOKUP(Tabla6[[#This Row],['# Vuelo]],'Validacion reclamo de equipaje'!P:Q,2,0)</f>
        <v>COPA</v>
      </c>
      <c r="C4591" s="52">
        <v>0.95972222222222225</v>
      </c>
      <c r="D4591" s="52">
        <v>0.98888888888888893</v>
      </c>
      <c r="E4591" s="53">
        <f>'Reclamo de equipaje rediseñado'!$D4591-'Reclamo de equipaje rediseñado'!$C4591</f>
        <v>2.9166666666666674E-2</v>
      </c>
      <c r="F4591" s="52">
        <v>0.99444444444444446</v>
      </c>
      <c r="G4591" s="53">
        <f t="shared" si="71"/>
        <v>5.5555555555555358E-3</v>
      </c>
      <c r="H4591" s="54">
        <v>41812</v>
      </c>
      <c r="I4591" s="55" t="s">
        <v>575</v>
      </c>
      <c r="J4591" s="55" t="s">
        <v>554</v>
      </c>
      <c r="K4591" s="55">
        <f>VLOOKUP(J4591,'Validacion reclamo de equipaje'!L:M,2,0)</f>
        <v>189</v>
      </c>
      <c r="L4591" s="55" t="str">
        <f>VLOOKUP(I4591,'Validacion reclamo de equipaje'!H:I,2,0)</f>
        <v>Internacional</v>
      </c>
      <c r="M4591" s="55" t="s">
        <v>615</v>
      </c>
    </row>
    <row r="4592" spans="1:13" x14ac:dyDescent="0.25">
      <c r="A4592">
        <v>722</v>
      </c>
      <c r="B4592" s="47" t="str">
        <f>VLOOKUP(Tabla6[[#This Row],['# Vuelo]],'Validacion reclamo de equipaje'!P:Q,2,0)</f>
        <v>COPA</v>
      </c>
      <c r="C4592" s="48">
        <v>0.92222222222222217</v>
      </c>
      <c r="D4592" s="48">
        <v>0.9868055555555556</v>
      </c>
      <c r="E4592" s="49">
        <f>'Reclamo de equipaje rediseñado'!$D4592-'Reclamo de equipaje rediseñado'!$C4592</f>
        <v>6.4583333333333437E-2</v>
      </c>
      <c r="F4592" s="48">
        <v>1.0020833333333334</v>
      </c>
      <c r="G4592" s="49">
        <f t="shared" si="71"/>
        <v>1.5277777777777835E-2</v>
      </c>
      <c r="H4592" s="50">
        <v>41813</v>
      </c>
      <c r="I4592" s="51" t="s">
        <v>575</v>
      </c>
      <c r="J4592" s="51" t="s">
        <v>554</v>
      </c>
      <c r="K4592" s="51">
        <f>VLOOKUP(J4592,'Validacion reclamo de equipaje'!L:M,2,0)</f>
        <v>189</v>
      </c>
      <c r="L4592" s="51" t="str">
        <f>VLOOKUP(I4592,'Validacion reclamo de equipaje'!H:I,2,0)</f>
        <v>Internacional</v>
      </c>
      <c r="M4592" s="51" t="s">
        <v>615</v>
      </c>
    </row>
    <row r="4593" spans="1:13" x14ac:dyDescent="0.25">
      <c r="A4593">
        <v>971</v>
      </c>
      <c r="B4593" s="47" t="str">
        <f>VLOOKUP(Tabla6[[#This Row],['# Vuelo]],'Validacion reclamo de equipaje'!P:Q,2,0)</f>
        <v>BARATA Y MORADA</v>
      </c>
      <c r="C4593" s="52">
        <v>0.84097222222222223</v>
      </c>
      <c r="D4593" s="52">
        <v>0.84652777777777777</v>
      </c>
      <c r="E4593" s="53">
        <f>'Reclamo de equipaje rediseñado'!$D4593-'Reclamo de equipaje rediseñado'!$C4593</f>
        <v>5.5555555555555358E-3</v>
      </c>
      <c r="F4593" s="52">
        <v>0.87708333333333333</v>
      </c>
      <c r="G4593" s="53">
        <f t="shared" si="71"/>
        <v>3.0555555555555558E-2</v>
      </c>
      <c r="H4593" s="54">
        <v>41791</v>
      </c>
      <c r="I4593" s="55" t="s">
        <v>579</v>
      </c>
      <c r="J4593" s="55">
        <v>320</v>
      </c>
      <c r="K4593" s="55">
        <f>VLOOKUP(J4593,'Validacion reclamo de equipaje'!L:M,2,0)</f>
        <v>179</v>
      </c>
      <c r="L4593" s="55" t="str">
        <f>VLOOKUP(I4593,'Validacion reclamo de equipaje'!H:I,2,0)</f>
        <v>Internacional</v>
      </c>
      <c r="M4593" s="55" t="s">
        <v>615</v>
      </c>
    </row>
    <row r="4594" spans="1:13" x14ac:dyDescent="0.25">
      <c r="A4594">
        <v>971</v>
      </c>
      <c r="B4594" s="47" t="str">
        <f>VLOOKUP(Tabla6[[#This Row],['# Vuelo]],'Validacion reclamo de equipaje'!P:Q,2,0)</f>
        <v>BARATA Y MORADA</v>
      </c>
      <c r="C4594" s="48">
        <v>0.84375</v>
      </c>
      <c r="D4594" s="48">
        <v>0.85138888888888886</v>
      </c>
      <c r="E4594" s="49">
        <f>'Reclamo de equipaje rediseñado'!$D4594-'Reclamo de equipaje rediseñado'!$C4594</f>
        <v>7.6388888888888618E-3</v>
      </c>
      <c r="F4594" s="48">
        <v>0.87569444444444444</v>
      </c>
      <c r="G4594" s="49">
        <f t="shared" si="71"/>
        <v>2.430555555555558E-2</v>
      </c>
      <c r="H4594" s="50">
        <v>41792</v>
      </c>
      <c r="I4594" s="51" t="s">
        <v>579</v>
      </c>
      <c r="J4594" s="51">
        <v>320</v>
      </c>
      <c r="K4594" s="51">
        <f>VLOOKUP(J4594,'Validacion reclamo de equipaje'!L:M,2,0)</f>
        <v>179</v>
      </c>
      <c r="L4594" s="51" t="str">
        <f>VLOOKUP(I4594,'Validacion reclamo de equipaje'!H:I,2,0)</f>
        <v>Internacional</v>
      </c>
      <c r="M4594" s="51" t="s">
        <v>615</v>
      </c>
    </row>
    <row r="4595" spans="1:13" x14ac:dyDescent="0.25">
      <c r="A4595">
        <v>971</v>
      </c>
      <c r="B4595" s="47" t="str">
        <f>VLOOKUP(Tabla6[[#This Row],['# Vuelo]],'Validacion reclamo de equipaje'!P:Q,2,0)</f>
        <v>BARATA Y MORADA</v>
      </c>
      <c r="C4595" s="52">
        <v>0.84166666666666667</v>
      </c>
      <c r="D4595" s="52">
        <v>0.84513888888888899</v>
      </c>
      <c r="E4595" s="53">
        <f>'Reclamo de equipaje rediseñado'!$D4595-'Reclamo de equipaje rediseñado'!$C4595</f>
        <v>3.4722222222223209E-3</v>
      </c>
      <c r="F4595" s="52">
        <v>0.86458333333333337</v>
      </c>
      <c r="G4595" s="53">
        <f t="shared" si="71"/>
        <v>1.9444444444444375E-2</v>
      </c>
      <c r="H4595" s="54">
        <v>41793</v>
      </c>
      <c r="I4595" s="55" t="s">
        <v>579</v>
      </c>
      <c r="J4595" s="55">
        <v>320</v>
      </c>
      <c r="K4595" s="55">
        <f>VLOOKUP(J4595,'Validacion reclamo de equipaje'!L:M,2,0)</f>
        <v>179</v>
      </c>
      <c r="L4595" s="55" t="str">
        <f>VLOOKUP(I4595,'Validacion reclamo de equipaje'!H:I,2,0)</f>
        <v>Internacional</v>
      </c>
      <c r="M4595" s="55" t="s">
        <v>615</v>
      </c>
    </row>
    <row r="4596" spans="1:13" x14ac:dyDescent="0.25">
      <c r="A4596">
        <v>971</v>
      </c>
      <c r="B4596" s="47" t="str">
        <f>VLOOKUP(Tabla6[[#This Row],['# Vuelo]],'Validacion reclamo de equipaje'!P:Q,2,0)</f>
        <v>BARATA Y MORADA</v>
      </c>
      <c r="C4596" s="48">
        <v>0.84305555555555556</v>
      </c>
      <c r="D4596" s="48">
        <v>0.85416666666666663</v>
      </c>
      <c r="E4596" s="49">
        <f>'Reclamo de equipaje rediseñado'!$D4596-'Reclamo de equipaje rediseñado'!$C4596</f>
        <v>1.1111111111111072E-2</v>
      </c>
      <c r="F4596" s="48">
        <v>0.875</v>
      </c>
      <c r="G4596" s="49">
        <f t="shared" si="71"/>
        <v>2.083333333333337E-2</v>
      </c>
      <c r="H4596" s="50">
        <v>41794</v>
      </c>
      <c r="I4596" s="51" t="s">
        <v>579</v>
      </c>
      <c r="J4596" s="51">
        <v>320</v>
      </c>
      <c r="K4596" s="51">
        <f>VLOOKUP(J4596,'Validacion reclamo de equipaje'!L:M,2,0)</f>
        <v>179</v>
      </c>
      <c r="L4596" s="51" t="str">
        <f>VLOOKUP(I4596,'Validacion reclamo de equipaje'!H:I,2,0)</f>
        <v>Internacional</v>
      </c>
      <c r="M4596" s="51" t="s">
        <v>615</v>
      </c>
    </row>
    <row r="4597" spans="1:13" x14ac:dyDescent="0.25">
      <c r="A4597">
        <v>701</v>
      </c>
      <c r="B4597" s="47" t="str">
        <f>VLOOKUP(Tabla6[[#This Row],['# Vuelo]],'Validacion reclamo de equipaje'!P:Q,2,0)</f>
        <v>AVIONES ROJOS</v>
      </c>
      <c r="C4597" s="52">
        <v>0.52777777777777779</v>
      </c>
      <c r="D4597" s="52">
        <v>0.54166666666666663</v>
      </c>
      <c r="E4597" s="53">
        <f>'Reclamo de equipaje rediseñado'!$D4597-'Reclamo de equipaje rediseñado'!$C4597</f>
        <v>1.388888888888884E-2</v>
      </c>
      <c r="F4597" s="52">
        <v>0.55833333333333335</v>
      </c>
      <c r="G4597" s="53">
        <f t="shared" si="71"/>
        <v>1.6666666666666718E-2</v>
      </c>
      <c r="H4597" s="54">
        <v>41795</v>
      </c>
      <c r="I4597" s="55" t="s">
        <v>579</v>
      </c>
      <c r="J4597" s="55">
        <v>320</v>
      </c>
      <c r="K4597" s="55">
        <f>VLOOKUP(J4597,'Validacion reclamo de equipaje'!L:M,2,0)</f>
        <v>179</v>
      </c>
      <c r="L4597" s="55" t="str">
        <f>VLOOKUP(I4597,'Validacion reclamo de equipaje'!H:I,2,0)</f>
        <v>Internacional</v>
      </c>
      <c r="M4597" s="55" t="s">
        <v>615</v>
      </c>
    </row>
    <row r="4598" spans="1:13" x14ac:dyDescent="0.25">
      <c r="A4598">
        <v>701</v>
      </c>
      <c r="B4598" s="47" t="str">
        <f>VLOOKUP(Tabla6[[#This Row],['# Vuelo]],'Validacion reclamo de equipaje'!P:Q,2,0)</f>
        <v>AVIONES ROJOS</v>
      </c>
      <c r="C4598" s="48">
        <v>0.53125</v>
      </c>
      <c r="D4598" s="48">
        <v>0.53680555555555554</v>
      </c>
      <c r="E4598" s="49">
        <f>'Reclamo de equipaje rediseñado'!$D4598-'Reclamo de equipaje rediseñado'!$C4598</f>
        <v>5.5555555555555358E-3</v>
      </c>
      <c r="F4598" s="48">
        <v>0.55763888888888891</v>
      </c>
      <c r="G4598" s="49">
        <f t="shared" si="71"/>
        <v>2.083333333333337E-2</v>
      </c>
      <c r="H4598" s="50">
        <v>41796</v>
      </c>
      <c r="I4598" s="51" t="s">
        <v>579</v>
      </c>
      <c r="J4598" s="51">
        <v>320</v>
      </c>
      <c r="K4598" s="51">
        <f>VLOOKUP(J4598,'Validacion reclamo de equipaje'!L:M,2,0)</f>
        <v>179</v>
      </c>
      <c r="L4598" s="51" t="str">
        <f>VLOOKUP(I4598,'Validacion reclamo de equipaje'!H:I,2,0)</f>
        <v>Internacional</v>
      </c>
      <c r="M4598" s="51" t="s">
        <v>615</v>
      </c>
    </row>
    <row r="4599" spans="1:13" x14ac:dyDescent="0.25">
      <c r="A4599">
        <v>701</v>
      </c>
      <c r="B4599" s="47" t="str">
        <f>VLOOKUP(Tabla6[[#This Row],['# Vuelo]],'Validacion reclamo de equipaje'!P:Q,2,0)</f>
        <v>AVIONES ROJOS</v>
      </c>
      <c r="C4599" s="52">
        <v>0.52847222222222223</v>
      </c>
      <c r="D4599" s="52">
        <v>0.53472222222222221</v>
      </c>
      <c r="E4599" s="53">
        <f>'Reclamo de equipaje rediseñado'!$D4599-'Reclamo de equipaje rediseñado'!$C4599</f>
        <v>6.2499999999999778E-3</v>
      </c>
      <c r="F4599" s="52">
        <v>0.55902777777777779</v>
      </c>
      <c r="G4599" s="53">
        <f t="shared" si="71"/>
        <v>2.430555555555558E-2</v>
      </c>
      <c r="H4599" s="54">
        <v>41797</v>
      </c>
      <c r="I4599" s="55" t="s">
        <v>579</v>
      </c>
      <c r="J4599" s="55">
        <v>320</v>
      </c>
      <c r="K4599" s="55">
        <f>VLOOKUP(J4599,'Validacion reclamo de equipaje'!L:M,2,0)</f>
        <v>179</v>
      </c>
      <c r="L4599" s="55" t="str">
        <f>VLOOKUP(I4599,'Validacion reclamo de equipaje'!H:I,2,0)</f>
        <v>Internacional</v>
      </c>
      <c r="M4599" s="55" t="s">
        <v>615</v>
      </c>
    </row>
    <row r="4600" spans="1:13" x14ac:dyDescent="0.25">
      <c r="A4600">
        <v>701</v>
      </c>
      <c r="B4600" s="47" t="str">
        <f>VLOOKUP(Tabla6[[#This Row],['# Vuelo]],'Validacion reclamo de equipaje'!P:Q,2,0)</f>
        <v>AVIONES ROJOS</v>
      </c>
      <c r="C4600" s="48">
        <v>0.5229166666666667</v>
      </c>
      <c r="D4600" s="48">
        <v>0.53263888888888888</v>
      </c>
      <c r="E4600" s="49">
        <f>'Reclamo de equipaje rediseñado'!$D4600-'Reclamo de equipaje rediseñado'!$C4600</f>
        <v>9.7222222222221877E-3</v>
      </c>
      <c r="F4600" s="48">
        <v>0.55208333333333337</v>
      </c>
      <c r="G4600" s="49">
        <f t="shared" si="71"/>
        <v>1.9444444444444486E-2</v>
      </c>
      <c r="H4600" s="50">
        <v>41798</v>
      </c>
      <c r="I4600" s="51" t="s">
        <v>579</v>
      </c>
      <c r="J4600" s="51">
        <v>320</v>
      </c>
      <c r="K4600" s="51">
        <f>VLOOKUP(J4600,'Validacion reclamo de equipaje'!L:M,2,0)</f>
        <v>179</v>
      </c>
      <c r="L4600" s="51" t="str">
        <f>VLOOKUP(I4600,'Validacion reclamo de equipaje'!H:I,2,0)</f>
        <v>Internacional</v>
      </c>
      <c r="M4600" s="51" t="s">
        <v>615</v>
      </c>
    </row>
    <row r="4601" spans="1:13" x14ac:dyDescent="0.25">
      <c r="A4601">
        <v>701</v>
      </c>
      <c r="B4601" s="47" t="str">
        <f>VLOOKUP(Tabla6[[#This Row],['# Vuelo]],'Validacion reclamo de equipaje'!P:Q,2,0)</f>
        <v>AVIONES ROJOS</v>
      </c>
      <c r="C4601" s="52">
        <v>0.375</v>
      </c>
      <c r="D4601" s="52">
        <v>0.38194444444444442</v>
      </c>
      <c r="E4601" s="53">
        <f>'Reclamo de equipaje rediseñado'!$D4601-'Reclamo de equipaje rediseñado'!$C4601</f>
        <v>6.9444444444444198E-3</v>
      </c>
      <c r="F4601" s="52">
        <v>0.3923611111111111</v>
      </c>
      <c r="G4601" s="53">
        <f t="shared" si="71"/>
        <v>1.0416666666666685E-2</v>
      </c>
      <c r="H4601" s="54">
        <v>41801</v>
      </c>
      <c r="I4601" s="55" t="s">
        <v>579</v>
      </c>
      <c r="J4601" s="55">
        <v>320</v>
      </c>
      <c r="K4601" s="55">
        <f>VLOOKUP(J4601,'Validacion reclamo de equipaje'!L:M,2,0)</f>
        <v>179</v>
      </c>
      <c r="L4601" s="55" t="str">
        <f>VLOOKUP(I4601,'Validacion reclamo de equipaje'!H:I,2,0)</f>
        <v>Internacional</v>
      </c>
      <c r="M4601" s="55" t="s">
        <v>615</v>
      </c>
    </row>
    <row r="4602" spans="1:13" x14ac:dyDescent="0.25">
      <c r="A4602">
        <v>701</v>
      </c>
      <c r="B4602" s="47" t="str">
        <f>VLOOKUP(Tabla6[[#This Row],['# Vuelo]],'Validacion reclamo de equipaje'!P:Q,2,0)</f>
        <v>AVIONES ROJOS</v>
      </c>
      <c r="C4602" s="48">
        <v>0.83333333333333337</v>
      </c>
      <c r="D4602" s="48">
        <v>0.84166666666666667</v>
      </c>
      <c r="E4602" s="49">
        <f>'Reclamo de equipaje rediseñado'!$D4602-'Reclamo de equipaje rediseñado'!$C4602</f>
        <v>8.3333333333333037E-3</v>
      </c>
      <c r="F4602" s="48">
        <v>0.8618055555555556</v>
      </c>
      <c r="G4602" s="49">
        <f t="shared" si="71"/>
        <v>2.0138888888888928E-2</v>
      </c>
      <c r="H4602" s="50">
        <v>41802</v>
      </c>
      <c r="I4602" s="51" t="s">
        <v>579</v>
      </c>
      <c r="J4602" s="51">
        <v>320</v>
      </c>
      <c r="K4602" s="51">
        <f>VLOOKUP(J4602,'Validacion reclamo de equipaje'!L:M,2,0)</f>
        <v>179</v>
      </c>
      <c r="L4602" s="51" t="str">
        <f>VLOOKUP(I4602,'Validacion reclamo de equipaje'!H:I,2,0)</f>
        <v>Internacional</v>
      </c>
      <c r="M4602" s="51" t="s">
        <v>615</v>
      </c>
    </row>
    <row r="4603" spans="1:13" x14ac:dyDescent="0.25">
      <c r="A4603">
        <v>701</v>
      </c>
      <c r="B4603" s="47" t="str">
        <f>VLOOKUP(Tabla6[[#This Row],['# Vuelo]],'Validacion reclamo de equipaje'!P:Q,2,0)</f>
        <v>AVIONES ROJOS</v>
      </c>
      <c r="C4603" s="52">
        <v>0.85069444444444453</v>
      </c>
      <c r="D4603" s="52">
        <v>0.86319444444444438</v>
      </c>
      <c r="E4603" s="53">
        <f>'Reclamo de equipaje rediseñado'!$D4603-'Reclamo de equipaje rediseñado'!$C4603</f>
        <v>1.2499999999999845E-2</v>
      </c>
      <c r="F4603" s="52">
        <v>0.8979166666666667</v>
      </c>
      <c r="G4603" s="53">
        <f t="shared" si="71"/>
        <v>3.4722222222222321E-2</v>
      </c>
      <c r="H4603" s="54">
        <v>41803</v>
      </c>
      <c r="I4603" s="55" t="s">
        <v>579</v>
      </c>
      <c r="J4603" s="55">
        <v>320</v>
      </c>
      <c r="K4603" s="55">
        <f>VLOOKUP(J4603,'Validacion reclamo de equipaje'!L:M,2,0)</f>
        <v>179</v>
      </c>
      <c r="L4603" s="55" t="str">
        <f>VLOOKUP(I4603,'Validacion reclamo de equipaje'!H:I,2,0)</f>
        <v>Internacional</v>
      </c>
      <c r="M4603" s="55" t="s">
        <v>615</v>
      </c>
    </row>
    <row r="4604" spans="1:13" x14ac:dyDescent="0.25">
      <c r="A4604">
        <v>701</v>
      </c>
      <c r="B4604" s="47" t="str">
        <f>VLOOKUP(Tabla6[[#This Row],['# Vuelo]],'Validacion reclamo de equipaje'!P:Q,2,0)</f>
        <v>AVIONES ROJOS</v>
      </c>
      <c r="C4604" s="48">
        <v>0.9243055555555556</v>
      </c>
      <c r="D4604" s="48">
        <v>0.93194444444444446</v>
      </c>
      <c r="E4604" s="49">
        <f>'Reclamo de equipaje rediseñado'!$D4604-'Reclamo de equipaje rediseñado'!$C4604</f>
        <v>7.6388888888888618E-3</v>
      </c>
      <c r="F4604" s="48">
        <v>0.95763888888888893</v>
      </c>
      <c r="G4604" s="49">
        <f t="shared" si="71"/>
        <v>2.5694444444444464E-2</v>
      </c>
      <c r="H4604" s="50">
        <v>41804</v>
      </c>
      <c r="I4604" s="51" t="s">
        <v>579</v>
      </c>
      <c r="J4604" s="51">
        <v>320</v>
      </c>
      <c r="K4604" s="51">
        <f>VLOOKUP(J4604,'Validacion reclamo de equipaje'!L:M,2,0)</f>
        <v>179</v>
      </c>
      <c r="L4604" s="51" t="str">
        <f>VLOOKUP(I4604,'Validacion reclamo de equipaje'!H:I,2,0)</f>
        <v>Internacional</v>
      </c>
      <c r="M4604" s="51" t="s">
        <v>615</v>
      </c>
    </row>
    <row r="4605" spans="1:13" x14ac:dyDescent="0.25">
      <c r="A4605">
        <v>701</v>
      </c>
      <c r="B4605" s="47" t="str">
        <f>VLOOKUP(Tabla6[[#This Row],['# Vuelo]],'Validacion reclamo de equipaje'!P:Q,2,0)</f>
        <v>AVIONES ROJOS</v>
      </c>
      <c r="C4605" s="52">
        <v>0.46388888888888885</v>
      </c>
      <c r="D4605" s="52">
        <v>0.47083333333333338</v>
      </c>
      <c r="E4605" s="53">
        <f>'Reclamo de equipaje rediseñado'!$D4605-'Reclamo de equipaje rediseñado'!$C4605</f>
        <v>6.9444444444445308E-3</v>
      </c>
      <c r="F4605" s="52">
        <v>0.47916666666666669</v>
      </c>
      <c r="G4605" s="53">
        <f t="shared" si="71"/>
        <v>8.3333333333333037E-3</v>
      </c>
      <c r="H4605" s="54">
        <v>41805</v>
      </c>
      <c r="I4605" s="55" t="s">
        <v>579</v>
      </c>
      <c r="J4605" s="55">
        <v>320</v>
      </c>
      <c r="K4605" s="55">
        <f>VLOOKUP(J4605,'Validacion reclamo de equipaje'!L:M,2,0)</f>
        <v>179</v>
      </c>
      <c r="L4605" s="55" t="str">
        <f>VLOOKUP(I4605,'Validacion reclamo de equipaje'!H:I,2,0)</f>
        <v>Internacional</v>
      </c>
      <c r="M4605" s="55" t="s">
        <v>615</v>
      </c>
    </row>
    <row r="4606" spans="1:13" x14ac:dyDescent="0.25">
      <c r="A4606">
        <v>701</v>
      </c>
      <c r="B4606" s="47" t="str">
        <f>VLOOKUP(Tabla6[[#This Row],['# Vuelo]],'Validacion reclamo de equipaje'!P:Q,2,0)</f>
        <v>AVIONES ROJOS</v>
      </c>
      <c r="C4606" s="48">
        <v>0.28263888888888888</v>
      </c>
      <c r="D4606" s="48">
        <v>0.29097222222222224</v>
      </c>
      <c r="E4606" s="49">
        <f>'Reclamo de equipaje rediseñado'!$D4606-'Reclamo de equipaje rediseñado'!$C4606</f>
        <v>8.3333333333333592E-3</v>
      </c>
      <c r="F4606" s="48">
        <v>0.29583333333333334</v>
      </c>
      <c r="G4606" s="49">
        <f t="shared" si="71"/>
        <v>4.8611111111110938E-3</v>
      </c>
      <c r="H4606" s="50">
        <v>41806</v>
      </c>
      <c r="I4606" s="51" t="s">
        <v>579</v>
      </c>
      <c r="J4606" s="51">
        <v>320</v>
      </c>
      <c r="K4606" s="51">
        <f>VLOOKUP(J4606,'Validacion reclamo de equipaje'!L:M,2,0)</f>
        <v>179</v>
      </c>
      <c r="L4606" s="51" t="str">
        <f>VLOOKUP(I4606,'Validacion reclamo de equipaje'!H:I,2,0)</f>
        <v>Internacional</v>
      </c>
      <c r="M4606" s="51" t="s">
        <v>615</v>
      </c>
    </row>
    <row r="4607" spans="1:13" x14ac:dyDescent="0.25">
      <c r="A4607">
        <v>701</v>
      </c>
      <c r="B4607" s="47" t="str">
        <f>VLOOKUP(Tabla6[[#This Row],['# Vuelo]],'Validacion reclamo de equipaje'!P:Q,2,0)</f>
        <v>AVIONES ROJOS</v>
      </c>
      <c r="C4607" s="52">
        <v>0.84583333333333333</v>
      </c>
      <c r="D4607" s="52">
        <v>0.87152777777777779</v>
      </c>
      <c r="E4607" s="53">
        <f>'Reclamo de equipaje rediseñado'!$D4607-'Reclamo de equipaje rediseñado'!$C4607</f>
        <v>2.5694444444444464E-2</v>
      </c>
      <c r="F4607" s="52">
        <v>0.87708333333333333</v>
      </c>
      <c r="G4607" s="53">
        <f t="shared" si="71"/>
        <v>5.5555555555555358E-3</v>
      </c>
      <c r="H4607" s="54">
        <v>41807</v>
      </c>
      <c r="I4607" s="55" t="s">
        <v>579</v>
      </c>
      <c r="J4607" s="55">
        <v>320</v>
      </c>
      <c r="K4607" s="55">
        <f>VLOOKUP(J4607,'Validacion reclamo de equipaje'!L:M,2,0)</f>
        <v>179</v>
      </c>
      <c r="L4607" s="55" t="str">
        <f>VLOOKUP(I4607,'Validacion reclamo de equipaje'!H:I,2,0)</f>
        <v>Internacional</v>
      </c>
      <c r="M4607" s="55" t="s">
        <v>615</v>
      </c>
    </row>
    <row r="4608" spans="1:13" x14ac:dyDescent="0.25">
      <c r="A4608">
        <v>701</v>
      </c>
      <c r="B4608" s="47" t="str">
        <f>VLOOKUP(Tabla6[[#This Row],['# Vuelo]],'Validacion reclamo de equipaje'!P:Q,2,0)</f>
        <v>AVIONES ROJOS</v>
      </c>
      <c r="C4608" s="48">
        <v>0.53194444444444444</v>
      </c>
      <c r="D4608" s="48">
        <v>0.54166666666666663</v>
      </c>
      <c r="E4608" s="49">
        <f>'Reclamo de equipaje rediseñado'!$D4608-'Reclamo de equipaje rediseñado'!$C4608</f>
        <v>9.7222222222221877E-3</v>
      </c>
      <c r="F4608" s="48">
        <v>0.56388888888888888</v>
      </c>
      <c r="G4608" s="49">
        <f t="shared" si="71"/>
        <v>2.2222222222222254E-2</v>
      </c>
      <c r="H4608" s="50">
        <v>41808</v>
      </c>
      <c r="I4608" s="51" t="s">
        <v>579</v>
      </c>
      <c r="J4608" s="51">
        <v>320</v>
      </c>
      <c r="K4608" s="51">
        <f>VLOOKUP(J4608,'Validacion reclamo de equipaje'!L:M,2,0)</f>
        <v>179</v>
      </c>
      <c r="L4608" s="51" t="str">
        <f>VLOOKUP(I4608,'Validacion reclamo de equipaje'!H:I,2,0)</f>
        <v>Internacional</v>
      </c>
      <c r="M4608" s="51" t="s">
        <v>615</v>
      </c>
    </row>
    <row r="4609" spans="1:13" x14ac:dyDescent="0.25">
      <c r="A4609">
        <v>701</v>
      </c>
      <c r="B4609" s="47" t="str">
        <f>VLOOKUP(Tabla6[[#This Row],['# Vuelo]],'Validacion reclamo de equipaje'!P:Q,2,0)</f>
        <v>AVIONES ROJOS</v>
      </c>
      <c r="C4609" s="52">
        <v>0.51944444444444449</v>
      </c>
      <c r="D4609" s="52">
        <v>0.52430555555555558</v>
      </c>
      <c r="E4609" s="53">
        <f>'Reclamo de equipaje rediseñado'!$D4609-'Reclamo de equipaje rediseñado'!$C4609</f>
        <v>4.8611111111110938E-3</v>
      </c>
      <c r="F4609" s="52">
        <v>0.55555555555555558</v>
      </c>
      <c r="G4609" s="53">
        <f t="shared" si="71"/>
        <v>3.125E-2</v>
      </c>
      <c r="H4609" s="54">
        <v>41809</v>
      </c>
      <c r="I4609" s="55" t="s">
        <v>579</v>
      </c>
      <c r="J4609" s="55">
        <v>320</v>
      </c>
      <c r="K4609" s="55">
        <f>VLOOKUP(J4609,'Validacion reclamo de equipaje'!L:M,2,0)</f>
        <v>179</v>
      </c>
      <c r="L4609" s="55" t="str">
        <f>VLOOKUP(I4609,'Validacion reclamo de equipaje'!H:I,2,0)</f>
        <v>Internacional</v>
      </c>
      <c r="M4609" s="55" t="s">
        <v>615</v>
      </c>
    </row>
    <row r="4610" spans="1:13" x14ac:dyDescent="0.25">
      <c r="A4610">
        <v>701</v>
      </c>
      <c r="B4610" s="47" t="str">
        <f>VLOOKUP(Tabla6[[#This Row],['# Vuelo]],'Validacion reclamo de equipaje'!P:Q,2,0)</f>
        <v>AVIONES ROJOS</v>
      </c>
      <c r="C4610" s="48">
        <v>0.52847222222222223</v>
      </c>
      <c r="D4610" s="48">
        <v>0.53819444444444442</v>
      </c>
      <c r="E4610" s="49">
        <f>'Reclamo de equipaje rediseñado'!$D4610-'Reclamo de equipaje rediseñado'!$C4610</f>
        <v>9.7222222222221877E-3</v>
      </c>
      <c r="F4610" s="48">
        <v>0.5541666666666667</v>
      </c>
      <c r="G4610" s="49">
        <f t="shared" si="71"/>
        <v>1.5972222222222276E-2</v>
      </c>
      <c r="H4610" s="50">
        <v>41810</v>
      </c>
      <c r="I4610" s="51" t="s">
        <v>579</v>
      </c>
      <c r="J4610" s="51">
        <v>320</v>
      </c>
      <c r="K4610" s="51">
        <f>VLOOKUP(J4610,'Validacion reclamo de equipaje'!L:M,2,0)</f>
        <v>179</v>
      </c>
      <c r="L4610" s="51" t="str">
        <f>VLOOKUP(I4610,'Validacion reclamo de equipaje'!H:I,2,0)</f>
        <v>Internacional</v>
      </c>
      <c r="M4610" s="51" t="s">
        <v>615</v>
      </c>
    </row>
    <row r="4611" spans="1:13" x14ac:dyDescent="0.25">
      <c r="A4611">
        <v>701</v>
      </c>
      <c r="B4611" s="47" t="str">
        <f>VLOOKUP(Tabla6[[#This Row],['# Vuelo]],'Validacion reclamo de equipaje'!P:Q,2,0)</f>
        <v>AVIONES ROJOS</v>
      </c>
      <c r="C4611" s="52">
        <v>0.53055555555555556</v>
      </c>
      <c r="D4611" s="52">
        <v>0.54027777777777775</v>
      </c>
      <c r="E4611" s="53">
        <f>'Reclamo de equipaje rediseñado'!$D4611-'Reclamo de equipaje rediseñado'!$C4611</f>
        <v>9.7222222222221877E-3</v>
      </c>
      <c r="F4611" s="52">
        <v>0.55625000000000002</v>
      </c>
      <c r="G4611" s="53">
        <f t="shared" ref="G4611:G4674" si="72">F4611-D4611</f>
        <v>1.5972222222222276E-2</v>
      </c>
      <c r="H4611" s="54">
        <v>41811</v>
      </c>
      <c r="I4611" s="55" t="s">
        <v>579</v>
      </c>
      <c r="J4611" s="55">
        <v>320</v>
      </c>
      <c r="K4611" s="55">
        <f>VLOOKUP(J4611,'Validacion reclamo de equipaje'!L:M,2,0)</f>
        <v>179</v>
      </c>
      <c r="L4611" s="55" t="str">
        <f>VLOOKUP(I4611,'Validacion reclamo de equipaje'!H:I,2,0)</f>
        <v>Internacional</v>
      </c>
      <c r="M4611" s="55" t="s">
        <v>615</v>
      </c>
    </row>
    <row r="4612" spans="1:13" x14ac:dyDescent="0.25">
      <c r="A4612">
        <v>701</v>
      </c>
      <c r="B4612" s="47" t="str">
        <f>VLOOKUP(Tabla6[[#This Row],['# Vuelo]],'Validacion reclamo de equipaje'!P:Q,2,0)</f>
        <v>AVIONES ROJOS</v>
      </c>
      <c r="C4612" s="48">
        <v>0.52361111111111114</v>
      </c>
      <c r="D4612" s="48">
        <v>0.52777777777777779</v>
      </c>
      <c r="E4612" s="49">
        <f>'Reclamo de equipaje rediseñado'!$D4612-'Reclamo de equipaje rediseñado'!$C4612</f>
        <v>4.1666666666666519E-3</v>
      </c>
      <c r="F4612" s="48">
        <v>0.54513888888888895</v>
      </c>
      <c r="G4612" s="49">
        <f t="shared" si="72"/>
        <v>1.736111111111116E-2</v>
      </c>
      <c r="H4612" s="50">
        <v>41813</v>
      </c>
      <c r="I4612" s="51" t="s">
        <v>579</v>
      </c>
      <c r="J4612" s="51">
        <v>320</v>
      </c>
      <c r="K4612" s="51">
        <f>VLOOKUP(J4612,'Validacion reclamo de equipaje'!L:M,2,0)</f>
        <v>179</v>
      </c>
      <c r="L4612" s="51" t="str">
        <f>VLOOKUP(I4612,'Validacion reclamo de equipaje'!H:I,2,0)</f>
        <v>Internacional</v>
      </c>
      <c r="M4612" s="51" t="s">
        <v>615</v>
      </c>
    </row>
    <row r="4613" spans="1:13" x14ac:dyDescent="0.25">
      <c r="A4613">
        <v>701</v>
      </c>
      <c r="B4613" s="47" t="str">
        <f>VLOOKUP(Tabla6[[#This Row],['# Vuelo]],'Validacion reclamo de equipaje'!P:Q,2,0)</f>
        <v>AVIONES ROJOS</v>
      </c>
      <c r="C4613" s="52">
        <v>0.53333333333333333</v>
      </c>
      <c r="D4613" s="52">
        <v>0.5395833333333333</v>
      </c>
      <c r="E4613" s="53">
        <f>'Reclamo de equipaje rediseñado'!$D4613-'Reclamo de equipaje rediseñado'!$C4613</f>
        <v>6.2499999999999778E-3</v>
      </c>
      <c r="F4613" s="52">
        <v>0.55902777777777779</v>
      </c>
      <c r="G4613" s="53">
        <f t="shared" si="72"/>
        <v>1.9444444444444486E-2</v>
      </c>
      <c r="H4613" s="54">
        <v>41812</v>
      </c>
      <c r="I4613" s="55" t="s">
        <v>579</v>
      </c>
      <c r="J4613" s="55">
        <v>320</v>
      </c>
      <c r="K4613" s="55">
        <f>VLOOKUP(J4613,'Validacion reclamo de equipaje'!L:M,2,0)</f>
        <v>179</v>
      </c>
      <c r="L4613" s="55" t="str">
        <f>VLOOKUP(I4613,'Validacion reclamo de equipaje'!H:I,2,0)</f>
        <v>Internacional</v>
      </c>
      <c r="M4613" s="55" t="s">
        <v>615</v>
      </c>
    </row>
    <row r="4614" spans="1:13" x14ac:dyDescent="0.25">
      <c r="A4614">
        <v>573</v>
      </c>
      <c r="B4614" s="47" t="str">
        <f>VLOOKUP(Tabla6[[#This Row],['# Vuelo]],'Validacion reclamo de equipaje'!P:Q,2,0)</f>
        <v>AVIONES ROJOS</v>
      </c>
      <c r="C4614" s="48">
        <v>0.2388888888888889</v>
      </c>
      <c r="D4614" s="48">
        <v>0.24722222222222223</v>
      </c>
      <c r="E4614" s="49">
        <f>'Reclamo de equipaje rediseñado'!$D4614-'Reclamo de equipaje rediseñado'!$C4614</f>
        <v>8.3333333333333315E-3</v>
      </c>
      <c r="F4614" s="48">
        <v>0.27291666666666664</v>
      </c>
      <c r="G4614" s="49">
        <f t="shared" si="72"/>
        <v>2.5694444444444409E-2</v>
      </c>
      <c r="H4614" s="50">
        <v>41796</v>
      </c>
      <c r="I4614" s="51" t="s">
        <v>555</v>
      </c>
      <c r="J4614" s="51">
        <v>320</v>
      </c>
      <c r="K4614" s="51">
        <f>VLOOKUP(J4614,'Validacion reclamo de equipaje'!L:M,2,0)</f>
        <v>179</v>
      </c>
      <c r="L4614" s="51" t="str">
        <f>VLOOKUP(I4614,'Validacion reclamo de equipaje'!H:I,2,0)</f>
        <v>Internacional</v>
      </c>
      <c r="M4614" s="51" t="s">
        <v>615</v>
      </c>
    </row>
    <row r="4615" spans="1:13" x14ac:dyDescent="0.25">
      <c r="A4615">
        <v>573</v>
      </c>
      <c r="B4615" s="47" t="str">
        <f>VLOOKUP(Tabla6[[#This Row],['# Vuelo]],'Validacion reclamo de equipaje'!P:Q,2,0)</f>
        <v>AVIONES ROJOS</v>
      </c>
      <c r="C4615" s="52">
        <v>0.2388888888888889</v>
      </c>
      <c r="D4615" s="52">
        <v>0.24722222222222223</v>
      </c>
      <c r="E4615" s="53">
        <f>'Reclamo de equipaje rediseñado'!$D4615-'Reclamo de equipaje rediseñado'!$C4615</f>
        <v>8.3333333333333315E-3</v>
      </c>
      <c r="F4615" s="52">
        <v>0.2673611111111111</v>
      </c>
      <c r="G4615" s="53">
        <f t="shared" si="72"/>
        <v>2.0138888888888873E-2</v>
      </c>
      <c r="H4615" s="54">
        <v>41796</v>
      </c>
      <c r="I4615" s="55" t="s">
        <v>555</v>
      </c>
      <c r="J4615" s="55">
        <v>320</v>
      </c>
      <c r="K4615" s="55">
        <f>VLOOKUP(J4615,'Validacion reclamo de equipaje'!L:M,2,0)</f>
        <v>179</v>
      </c>
      <c r="L4615" s="55" t="str">
        <f>VLOOKUP(I4615,'Validacion reclamo de equipaje'!H:I,2,0)</f>
        <v>Internacional</v>
      </c>
      <c r="M4615" s="55" t="s">
        <v>615</v>
      </c>
    </row>
    <row r="4616" spans="1:13" x14ac:dyDescent="0.25">
      <c r="A4616">
        <v>573</v>
      </c>
      <c r="B4616" s="47" t="str">
        <f>VLOOKUP(Tabla6[[#This Row],['# Vuelo]],'Validacion reclamo de equipaje'!P:Q,2,0)</f>
        <v>AVIONES ROJOS</v>
      </c>
      <c r="C4616" s="48">
        <v>0.9159722222222223</v>
      </c>
      <c r="D4616" s="48">
        <v>0.92361111111111116</v>
      </c>
      <c r="E4616" s="49">
        <f>'Reclamo de equipaje rediseñado'!$D4616-'Reclamo de equipaje rediseñado'!$C4616</f>
        <v>7.6388888888888618E-3</v>
      </c>
      <c r="F4616" s="48">
        <v>0.93055555555555547</v>
      </c>
      <c r="G4616" s="49">
        <f t="shared" si="72"/>
        <v>6.9444444444443088E-3</v>
      </c>
      <c r="H4616" s="50">
        <v>41800</v>
      </c>
      <c r="I4616" s="51" t="s">
        <v>555</v>
      </c>
      <c r="J4616" s="51">
        <v>320</v>
      </c>
      <c r="K4616" s="51">
        <f>VLOOKUP(J4616,'Validacion reclamo de equipaje'!L:M,2,0)</f>
        <v>179</v>
      </c>
      <c r="L4616" s="51" t="str">
        <f>VLOOKUP(I4616,'Validacion reclamo de equipaje'!H:I,2,0)</f>
        <v>Internacional</v>
      </c>
      <c r="M4616" s="51" t="s">
        <v>615</v>
      </c>
    </row>
    <row r="4617" spans="1:13" x14ac:dyDescent="0.25">
      <c r="A4617">
        <v>573</v>
      </c>
      <c r="B4617" s="47" t="str">
        <f>VLOOKUP(Tabla6[[#This Row],['# Vuelo]],'Validacion reclamo de equipaje'!P:Q,2,0)</f>
        <v>AVIONES ROJOS</v>
      </c>
      <c r="C4617" s="52">
        <v>0.21805555555555556</v>
      </c>
      <c r="D4617" s="52">
        <v>0.23333333333333331</v>
      </c>
      <c r="E4617" s="53">
        <f>'Reclamo de equipaje rediseñado'!$D4617-'Reclamo de equipaje rediseñado'!$C4617</f>
        <v>1.5277777777777751E-2</v>
      </c>
      <c r="F4617" s="52">
        <v>0.26250000000000001</v>
      </c>
      <c r="G4617" s="53">
        <f t="shared" si="72"/>
        <v>2.9166666666666702E-2</v>
      </c>
      <c r="H4617" s="54">
        <v>41801</v>
      </c>
      <c r="I4617" s="55" t="s">
        <v>555</v>
      </c>
      <c r="J4617" s="55">
        <v>320</v>
      </c>
      <c r="K4617" s="55">
        <f>VLOOKUP(J4617,'Validacion reclamo de equipaje'!L:M,2,0)</f>
        <v>179</v>
      </c>
      <c r="L4617" s="55" t="str">
        <f>VLOOKUP(I4617,'Validacion reclamo de equipaje'!H:I,2,0)</f>
        <v>Internacional</v>
      </c>
      <c r="M4617" s="55" t="s">
        <v>615</v>
      </c>
    </row>
    <row r="4618" spans="1:13" x14ac:dyDescent="0.25">
      <c r="A4618">
        <v>573</v>
      </c>
      <c r="B4618" s="47" t="str">
        <f>VLOOKUP(Tabla6[[#This Row],['# Vuelo]],'Validacion reclamo de equipaje'!P:Q,2,0)</f>
        <v>AVIONES ROJOS</v>
      </c>
      <c r="C4618" s="48">
        <v>0.52847222222222223</v>
      </c>
      <c r="D4618" s="48">
        <v>0.53541666666666665</v>
      </c>
      <c r="E4618" s="49">
        <f>'Reclamo de equipaje rediseñado'!$D4618-'Reclamo de equipaje rediseñado'!$C4618</f>
        <v>6.9444444444444198E-3</v>
      </c>
      <c r="F4618" s="48">
        <v>0.54166666666666663</v>
      </c>
      <c r="G4618" s="49">
        <f t="shared" si="72"/>
        <v>6.2499999999999778E-3</v>
      </c>
      <c r="H4618" s="50">
        <v>41802</v>
      </c>
      <c r="I4618" s="51" t="s">
        <v>555</v>
      </c>
      <c r="J4618" s="51">
        <v>320</v>
      </c>
      <c r="K4618" s="51">
        <f>VLOOKUP(J4618,'Validacion reclamo de equipaje'!L:M,2,0)</f>
        <v>179</v>
      </c>
      <c r="L4618" s="51" t="str">
        <f>VLOOKUP(I4618,'Validacion reclamo de equipaje'!H:I,2,0)</f>
        <v>Internacional</v>
      </c>
      <c r="M4618" s="51" t="s">
        <v>615</v>
      </c>
    </row>
    <row r="4619" spans="1:13" x14ac:dyDescent="0.25">
      <c r="A4619">
        <v>573</v>
      </c>
      <c r="B4619" s="47" t="str">
        <f>VLOOKUP(Tabla6[[#This Row],['# Vuelo]],'Validacion reclamo de equipaje'!P:Q,2,0)</f>
        <v>AVIONES ROJOS</v>
      </c>
      <c r="C4619" s="52">
        <v>0.53263888888888888</v>
      </c>
      <c r="D4619" s="52">
        <v>0.53680555555555554</v>
      </c>
      <c r="E4619" s="53">
        <f>'Reclamo de equipaje rediseñado'!$D4619-'Reclamo de equipaje rediseñado'!$C4619</f>
        <v>4.1666666666666519E-3</v>
      </c>
      <c r="F4619" s="52">
        <v>0.54999999999999993</v>
      </c>
      <c r="G4619" s="53">
        <f t="shared" si="72"/>
        <v>1.3194444444444398E-2</v>
      </c>
      <c r="H4619" s="54">
        <v>41803</v>
      </c>
      <c r="I4619" s="55" t="s">
        <v>555</v>
      </c>
      <c r="J4619" s="55">
        <v>320</v>
      </c>
      <c r="K4619" s="55">
        <f>VLOOKUP(J4619,'Validacion reclamo de equipaje'!L:M,2,0)</f>
        <v>179</v>
      </c>
      <c r="L4619" s="55" t="str">
        <f>VLOOKUP(I4619,'Validacion reclamo de equipaje'!H:I,2,0)</f>
        <v>Internacional</v>
      </c>
      <c r="M4619" s="55" t="s">
        <v>615</v>
      </c>
    </row>
    <row r="4620" spans="1:13" x14ac:dyDescent="0.25">
      <c r="A4620">
        <v>573</v>
      </c>
      <c r="B4620" s="47" t="str">
        <f>VLOOKUP(Tabla6[[#This Row],['# Vuelo]],'Validacion reclamo de equipaje'!P:Q,2,0)</f>
        <v>AVIONES ROJOS</v>
      </c>
      <c r="C4620" s="48">
        <v>0.45902777777777781</v>
      </c>
      <c r="D4620" s="48">
        <v>0.47013888888888888</v>
      </c>
      <c r="E4620" s="49">
        <f>'Reclamo de equipaje rediseñado'!$D4620-'Reclamo de equipaje rediseñado'!$C4620</f>
        <v>1.1111111111111072E-2</v>
      </c>
      <c r="F4620" s="48">
        <v>0.4777777777777778</v>
      </c>
      <c r="G4620" s="49">
        <f t="shared" si="72"/>
        <v>7.6388888888889173E-3</v>
      </c>
      <c r="H4620" s="50">
        <v>41804</v>
      </c>
      <c r="I4620" s="51" t="s">
        <v>555</v>
      </c>
      <c r="J4620" s="51">
        <v>320</v>
      </c>
      <c r="K4620" s="51">
        <f>VLOOKUP(J4620,'Validacion reclamo de equipaje'!L:M,2,0)</f>
        <v>179</v>
      </c>
      <c r="L4620" s="51" t="str">
        <f>VLOOKUP(I4620,'Validacion reclamo de equipaje'!H:I,2,0)</f>
        <v>Internacional</v>
      </c>
      <c r="M4620" s="51" t="s">
        <v>615</v>
      </c>
    </row>
    <row r="4621" spans="1:13" x14ac:dyDescent="0.25">
      <c r="A4621">
        <v>573</v>
      </c>
      <c r="B4621" s="47" t="str">
        <f>VLOOKUP(Tabla6[[#This Row],['# Vuelo]],'Validacion reclamo de equipaje'!P:Q,2,0)</f>
        <v>AVIONES ROJOS</v>
      </c>
      <c r="C4621" s="52">
        <v>0.76736111111111116</v>
      </c>
      <c r="D4621" s="52">
        <v>0.77708333333333324</v>
      </c>
      <c r="E4621" s="53">
        <f>'Reclamo de equipaje rediseñado'!$D4621-'Reclamo de equipaje rediseñado'!$C4621</f>
        <v>9.7222222222220767E-3</v>
      </c>
      <c r="F4621" s="52">
        <v>0.79166666666666663</v>
      </c>
      <c r="G4621" s="53">
        <f t="shared" si="72"/>
        <v>1.4583333333333393E-2</v>
      </c>
      <c r="H4621" s="54">
        <v>41806</v>
      </c>
      <c r="I4621" s="55" t="s">
        <v>555</v>
      </c>
      <c r="J4621" s="55">
        <v>320</v>
      </c>
      <c r="K4621" s="55">
        <f>VLOOKUP(J4621,'Validacion reclamo de equipaje'!L:M,2,0)</f>
        <v>179</v>
      </c>
      <c r="L4621" s="55" t="str">
        <f>VLOOKUP(I4621,'Validacion reclamo de equipaje'!H:I,2,0)</f>
        <v>Internacional</v>
      </c>
      <c r="M4621" s="55" t="s">
        <v>615</v>
      </c>
    </row>
    <row r="4622" spans="1:13" x14ac:dyDescent="0.25">
      <c r="A4622">
        <v>573</v>
      </c>
      <c r="B4622" s="47" t="str">
        <f>VLOOKUP(Tabla6[[#This Row],['# Vuelo]],'Validacion reclamo de equipaje'!P:Q,2,0)</f>
        <v>AVIONES ROJOS</v>
      </c>
      <c r="C4622" s="48">
        <v>0.99375000000000002</v>
      </c>
      <c r="D4622" s="48">
        <v>1.0055555555555555</v>
      </c>
      <c r="E4622" s="49">
        <f>'Reclamo de equipaje rediseñado'!$D4622-'Reclamo de equipaje rediseñado'!$C4622</f>
        <v>1.1805555555555514E-2</v>
      </c>
      <c r="F4622" s="48">
        <v>1.0111111111111111</v>
      </c>
      <c r="G4622" s="49">
        <f t="shared" si="72"/>
        <v>5.5555555555555358E-3</v>
      </c>
      <c r="H4622" s="50">
        <v>41807</v>
      </c>
      <c r="I4622" s="51" t="s">
        <v>555</v>
      </c>
      <c r="J4622" s="51">
        <v>320</v>
      </c>
      <c r="K4622" s="51">
        <f>VLOOKUP(J4622,'Validacion reclamo de equipaje'!L:M,2,0)</f>
        <v>179</v>
      </c>
      <c r="L4622" s="51" t="str">
        <f>VLOOKUP(I4622,'Validacion reclamo de equipaje'!H:I,2,0)</f>
        <v>Internacional</v>
      </c>
      <c r="M4622" s="51" t="s">
        <v>615</v>
      </c>
    </row>
    <row r="4623" spans="1:13" x14ac:dyDescent="0.25">
      <c r="A4623">
        <v>573</v>
      </c>
      <c r="B4623" s="47" t="str">
        <f>VLOOKUP(Tabla6[[#This Row],['# Vuelo]],'Validacion reclamo de equipaje'!P:Q,2,0)</f>
        <v>AVIONES ROJOS</v>
      </c>
      <c r="C4623" s="52">
        <v>0.22430555555555556</v>
      </c>
      <c r="D4623" s="52">
        <v>0.23194444444444443</v>
      </c>
      <c r="E4623" s="53">
        <f>'Reclamo de equipaje rediseñado'!$D4623-'Reclamo de equipaje rediseñado'!$C4623</f>
        <v>7.6388888888888618E-3</v>
      </c>
      <c r="F4623" s="52">
        <v>0.2638888888888889</v>
      </c>
      <c r="G4623" s="53">
        <f t="shared" si="72"/>
        <v>3.194444444444447E-2</v>
      </c>
      <c r="H4623" s="54">
        <v>41808</v>
      </c>
      <c r="I4623" s="55" t="s">
        <v>555</v>
      </c>
      <c r="J4623" s="55">
        <v>320</v>
      </c>
      <c r="K4623" s="55">
        <f>VLOOKUP(J4623,'Validacion reclamo de equipaje'!L:M,2,0)</f>
        <v>179</v>
      </c>
      <c r="L4623" s="55" t="str">
        <f>VLOOKUP(I4623,'Validacion reclamo de equipaje'!H:I,2,0)</f>
        <v>Internacional</v>
      </c>
      <c r="M4623" s="55" t="s">
        <v>615</v>
      </c>
    </row>
    <row r="4624" spans="1:13" x14ac:dyDescent="0.25">
      <c r="A4624">
        <v>573</v>
      </c>
      <c r="B4624" s="47" t="str">
        <f>VLOOKUP(Tabla6[[#This Row],['# Vuelo]],'Validacion reclamo de equipaje'!P:Q,2,0)</f>
        <v>AVIONES ROJOS</v>
      </c>
      <c r="C4624" s="48">
        <v>0.2298611111111111</v>
      </c>
      <c r="D4624" s="48">
        <v>0.23819444444444446</v>
      </c>
      <c r="E4624" s="49">
        <f>'Reclamo de equipaje rediseñado'!$D4624-'Reclamo de equipaje rediseñado'!$C4624</f>
        <v>8.3333333333333592E-3</v>
      </c>
      <c r="F4624" s="48">
        <v>0.26180555555555557</v>
      </c>
      <c r="G4624" s="49">
        <f t="shared" si="72"/>
        <v>2.361111111111111E-2</v>
      </c>
      <c r="H4624" s="50">
        <v>41810</v>
      </c>
      <c r="I4624" s="51" t="s">
        <v>555</v>
      </c>
      <c r="J4624" s="51">
        <v>320</v>
      </c>
      <c r="K4624" s="51">
        <f>VLOOKUP(J4624,'Validacion reclamo de equipaje'!L:M,2,0)</f>
        <v>179</v>
      </c>
      <c r="L4624" s="51" t="str">
        <f>VLOOKUP(I4624,'Validacion reclamo de equipaje'!H:I,2,0)</f>
        <v>Internacional</v>
      </c>
      <c r="M4624" s="51" t="s">
        <v>615</v>
      </c>
    </row>
    <row r="4625" spans="1:13" x14ac:dyDescent="0.25">
      <c r="A4625">
        <v>573</v>
      </c>
      <c r="B4625" s="47" t="str">
        <f>VLOOKUP(Tabla6[[#This Row],['# Vuelo]],'Validacion reclamo de equipaje'!P:Q,2,0)</f>
        <v>AVIONES ROJOS</v>
      </c>
      <c r="C4625" s="52">
        <v>0.24305555555555555</v>
      </c>
      <c r="D4625" s="52">
        <v>0.25069444444444444</v>
      </c>
      <c r="E4625" s="53">
        <f>'Reclamo de equipaje rediseñado'!$D4625-'Reclamo de equipaje rediseñado'!$C4625</f>
        <v>7.6388888888888895E-3</v>
      </c>
      <c r="F4625" s="52">
        <v>0.27499999999999997</v>
      </c>
      <c r="G4625" s="53">
        <f t="shared" si="72"/>
        <v>2.4305555555555525E-2</v>
      </c>
      <c r="H4625" s="54">
        <v>41812</v>
      </c>
      <c r="I4625" s="55" t="s">
        <v>555</v>
      </c>
      <c r="J4625" s="55">
        <v>320</v>
      </c>
      <c r="K4625" s="55">
        <f>VLOOKUP(J4625,'Validacion reclamo de equipaje'!L:M,2,0)</f>
        <v>179</v>
      </c>
      <c r="L4625" s="55" t="str">
        <f>VLOOKUP(I4625,'Validacion reclamo de equipaje'!H:I,2,0)</f>
        <v>Internacional</v>
      </c>
      <c r="M4625" s="55" t="s">
        <v>615</v>
      </c>
    </row>
    <row r="4626" spans="1:13" x14ac:dyDescent="0.25">
      <c r="A4626">
        <v>573</v>
      </c>
      <c r="B4626" s="47" t="str">
        <f>VLOOKUP(Tabla6[[#This Row],['# Vuelo]],'Validacion reclamo de equipaje'!P:Q,2,0)</f>
        <v>AVIONES ROJOS</v>
      </c>
      <c r="C4626" s="48">
        <v>0.23402777777777781</v>
      </c>
      <c r="D4626" s="48">
        <v>0.24583333333333335</v>
      </c>
      <c r="E4626" s="49">
        <f>'Reclamo de equipaje rediseñado'!$D4626-'Reclamo de equipaje rediseñado'!$C4626</f>
        <v>1.1805555555555541E-2</v>
      </c>
      <c r="F4626" s="48">
        <v>0.27708333333333335</v>
      </c>
      <c r="G4626" s="49">
        <f t="shared" si="72"/>
        <v>3.125E-2</v>
      </c>
      <c r="H4626" s="50">
        <v>41813</v>
      </c>
      <c r="I4626" s="51" t="s">
        <v>555</v>
      </c>
      <c r="J4626" s="51">
        <v>320</v>
      </c>
      <c r="K4626" s="51">
        <f>VLOOKUP(J4626,'Validacion reclamo de equipaje'!L:M,2,0)</f>
        <v>179</v>
      </c>
      <c r="L4626" s="51" t="str">
        <f>VLOOKUP(I4626,'Validacion reclamo de equipaje'!H:I,2,0)</f>
        <v>Internacional</v>
      </c>
      <c r="M4626" s="51" t="s">
        <v>615</v>
      </c>
    </row>
    <row r="4627" spans="1:13" x14ac:dyDescent="0.25">
      <c r="A4627">
        <v>573</v>
      </c>
      <c r="B4627" s="47" t="str">
        <f>VLOOKUP(Tabla6[[#This Row],['# Vuelo]],'Validacion reclamo de equipaje'!P:Q,2,0)</f>
        <v>AVIONES ROJOS</v>
      </c>
      <c r="C4627" s="52">
        <v>0.69097222222222221</v>
      </c>
      <c r="D4627" s="52">
        <v>0.69444444444444453</v>
      </c>
      <c r="E4627" s="53">
        <f>'Reclamo de equipaje rediseñado'!$D4627-'Reclamo de equipaje rediseñado'!$C4627</f>
        <v>3.4722222222223209E-3</v>
      </c>
      <c r="F4627" s="52">
        <v>0.70833333333333337</v>
      </c>
      <c r="G4627" s="53">
        <f t="shared" si="72"/>
        <v>1.388888888888884E-2</v>
      </c>
      <c r="H4627" s="54">
        <v>41805</v>
      </c>
      <c r="I4627" s="55" t="s">
        <v>555</v>
      </c>
      <c r="J4627" s="55">
        <v>320</v>
      </c>
      <c r="K4627" s="55">
        <f>VLOOKUP(J4627,'Validacion reclamo de equipaje'!L:M,2,0)</f>
        <v>179</v>
      </c>
      <c r="L4627" s="55" t="str">
        <f>VLOOKUP(I4627,'Validacion reclamo de equipaje'!H:I,2,0)</f>
        <v>Internacional</v>
      </c>
      <c r="M4627" s="55" t="s">
        <v>615</v>
      </c>
    </row>
    <row r="4628" spans="1:13" x14ac:dyDescent="0.25">
      <c r="A4628">
        <v>375</v>
      </c>
      <c r="B4628" s="47" t="str">
        <f>VLOOKUP(Tabla6[[#This Row],['# Vuelo]],'Validacion reclamo de equipaje'!P:Q,2,0)</f>
        <v>AVIONES ROJOS</v>
      </c>
      <c r="C4628" s="48">
        <v>0.60069444444444442</v>
      </c>
      <c r="D4628" s="48">
        <v>0.60833333333333328</v>
      </c>
      <c r="E4628" s="49">
        <f>'Reclamo de equipaje rediseñado'!$D4628-'Reclamo de equipaje rediseñado'!$C4628</f>
        <v>7.6388888888888618E-3</v>
      </c>
      <c r="F4628" s="48">
        <v>0.65208333333333335</v>
      </c>
      <c r="G4628" s="49">
        <f t="shared" si="72"/>
        <v>4.3750000000000067E-2</v>
      </c>
      <c r="H4628" s="50">
        <v>41797</v>
      </c>
      <c r="I4628" s="51" t="s">
        <v>578</v>
      </c>
      <c r="J4628" s="51">
        <v>320</v>
      </c>
      <c r="K4628" s="51">
        <f>VLOOKUP(J4628,'Validacion reclamo de equipaje'!L:M,2,0)</f>
        <v>179</v>
      </c>
      <c r="L4628" s="51" t="str">
        <f>VLOOKUP(I4628,'Validacion reclamo de equipaje'!H:I,2,0)</f>
        <v>Internacional</v>
      </c>
      <c r="M4628" s="51" t="s">
        <v>615</v>
      </c>
    </row>
    <row r="4629" spans="1:13" x14ac:dyDescent="0.25">
      <c r="A4629">
        <v>375</v>
      </c>
      <c r="B4629" s="47" t="str">
        <f>VLOOKUP(Tabla6[[#This Row],['# Vuelo]],'Validacion reclamo de equipaje'!P:Q,2,0)</f>
        <v>AVIONES ROJOS</v>
      </c>
      <c r="C4629" s="52">
        <v>0.94027777777777777</v>
      </c>
      <c r="D4629" s="52">
        <v>0.95138888888888884</v>
      </c>
      <c r="E4629" s="53">
        <f>'Reclamo de equipaje rediseñado'!$D4629-'Reclamo de equipaje rediseñado'!$C4629</f>
        <v>1.1111111111111072E-2</v>
      </c>
      <c r="F4629" s="52">
        <v>0.96180555555555547</v>
      </c>
      <c r="G4629" s="53">
        <f t="shared" si="72"/>
        <v>1.041666666666663E-2</v>
      </c>
      <c r="H4629" s="54">
        <v>41804</v>
      </c>
      <c r="I4629" s="55" t="s">
        <v>578</v>
      </c>
      <c r="J4629" s="55">
        <v>320</v>
      </c>
      <c r="K4629" s="55">
        <f>VLOOKUP(J4629,'Validacion reclamo de equipaje'!L:M,2,0)</f>
        <v>179</v>
      </c>
      <c r="L4629" s="55" t="str">
        <f>VLOOKUP(I4629,'Validacion reclamo de equipaje'!H:I,2,0)</f>
        <v>Internacional</v>
      </c>
      <c r="M4629" s="55" t="s">
        <v>615</v>
      </c>
    </row>
    <row r="4630" spans="1:13" x14ac:dyDescent="0.25">
      <c r="A4630">
        <v>375</v>
      </c>
      <c r="B4630" s="47" t="str">
        <f>VLOOKUP(Tabla6[[#This Row],['# Vuelo]],'Validacion reclamo de equipaje'!P:Q,2,0)</f>
        <v>AVIONES ROJOS</v>
      </c>
      <c r="C4630" s="48">
        <v>0.59791666666666665</v>
      </c>
      <c r="D4630" s="48">
        <v>0.60486111111111118</v>
      </c>
      <c r="E4630" s="49">
        <f>'Reclamo de equipaje rediseñado'!$D4630-'Reclamo de equipaje rediseñado'!$C4630</f>
        <v>6.9444444444445308E-3</v>
      </c>
      <c r="F4630" s="48">
        <v>0.62777777777777777</v>
      </c>
      <c r="G4630" s="49">
        <f t="shared" si="72"/>
        <v>2.2916666666666585E-2</v>
      </c>
      <c r="H4630" s="50">
        <v>41811</v>
      </c>
      <c r="I4630" s="51" t="s">
        <v>578</v>
      </c>
      <c r="J4630" s="51">
        <v>320</v>
      </c>
      <c r="K4630" s="51">
        <f>VLOOKUP(J4630,'Validacion reclamo de equipaje'!L:M,2,0)</f>
        <v>179</v>
      </c>
      <c r="L4630" s="51" t="str">
        <f>VLOOKUP(I4630,'Validacion reclamo de equipaje'!H:I,2,0)</f>
        <v>Internacional</v>
      </c>
      <c r="M4630" s="51" t="s">
        <v>615</v>
      </c>
    </row>
    <row r="4631" spans="1:13" x14ac:dyDescent="0.25">
      <c r="A4631">
        <v>308</v>
      </c>
      <c r="B4631" s="47" t="str">
        <f>VLOOKUP(Tabla6[[#This Row],['# Vuelo]],'Validacion reclamo de equipaje'!P:Q,2,0)</f>
        <v>AVIONES ROJOS</v>
      </c>
      <c r="C4631" s="52">
        <v>0.84305555555555556</v>
      </c>
      <c r="D4631" s="52">
        <v>0.85138888888888886</v>
      </c>
      <c r="E4631" s="53">
        <f>'Reclamo de equipaje rediseñado'!$D4631-'Reclamo de equipaje rediseñado'!$C4631</f>
        <v>8.3333333333333037E-3</v>
      </c>
      <c r="F4631" s="52">
        <v>0.87013888888888891</v>
      </c>
      <c r="G4631" s="53">
        <f t="shared" si="72"/>
        <v>1.8750000000000044E-2</v>
      </c>
      <c r="H4631" s="54">
        <v>41795</v>
      </c>
      <c r="I4631" s="55" t="s">
        <v>579</v>
      </c>
      <c r="J4631" s="55" t="s">
        <v>594</v>
      </c>
      <c r="K4631" s="55">
        <f>VLOOKUP(J4631,'Validacion reclamo de equipaje'!L:M,2,0)</f>
        <v>239</v>
      </c>
      <c r="L4631" s="55" t="str">
        <f>VLOOKUP(I4631,'Validacion reclamo de equipaje'!H:I,2,0)</f>
        <v>Internacional</v>
      </c>
      <c r="M4631" s="55" t="s">
        <v>615</v>
      </c>
    </row>
    <row r="4632" spans="1:13" x14ac:dyDescent="0.25">
      <c r="A4632">
        <v>308</v>
      </c>
      <c r="B4632" s="47" t="str">
        <f>VLOOKUP(Tabla6[[#This Row],['# Vuelo]],'Validacion reclamo de equipaje'!P:Q,2,0)</f>
        <v>AVIONES ROJOS</v>
      </c>
      <c r="C4632" s="48">
        <v>0.94236111111111109</v>
      </c>
      <c r="D4632" s="48">
        <v>0.94861111111111107</v>
      </c>
      <c r="E4632" s="49">
        <f>'Reclamo de equipaje rediseñado'!$D4632-'Reclamo de equipaje rediseñado'!$C4632</f>
        <v>6.2499999999999778E-3</v>
      </c>
      <c r="F4632" s="48">
        <v>0.96527777777777779</v>
      </c>
      <c r="G4632" s="49">
        <f t="shared" si="72"/>
        <v>1.6666666666666718E-2</v>
      </c>
      <c r="H4632" s="50">
        <v>41796</v>
      </c>
      <c r="I4632" s="51" t="s">
        <v>579</v>
      </c>
      <c r="J4632" s="51" t="s">
        <v>594</v>
      </c>
      <c r="K4632" s="51">
        <f>VLOOKUP(J4632,'Validacion reclamo de equipaje'!L:M,2,0)</f>
        <v>239</v>
      </c>
      <c r="L4632" s="51" t="str">
        <f>VLOOKUP(I4632,'Validacion reclamo de equipaje'!H:I,2,0)</f>
        <v>Internacional</v>
      </c>
      <c r="M4632" s="51" t="s">
        <v>615</v>
      </c>
    </row>
    <row r="4633" spans="1:13" x14ac:dyDescent="0.25">
      <c r="A4633">
        <v>308</v>
      </c>
      <c r="B4633" s="47" t="str">
        <f>VLOOKUP(Tabla6[[#This Row],['# Vuelo]],'Validacion reclamo de equipaje'!P:Q,2,0)</f>
        <v>AVIONES ROJOS</v>
      </c>
      <c r="C4633" s="52">
        <v>0.85</v>
      </c>
      <c r="D4633" s="52">
        <v>0.8652777777777777</v>
      </c>
      <c r="E4633" s="53">
        <f>'Reclamo de equipaje rediseñado'!$D4633-'Reclamo de equipaje rediseñado'!$C4633</f>
        <v>1.5277777777777724E-2</v>
      </c>
      <c r="F4633" s="52">
        <v>0.89166666666666661</v>
      </c>
      <c r="G4633" s="53">
        <f t="shared" si="72"/>
        <v>2.6388888888888906E-2</v>
      </c>
      <c r="H4633" s="54">
        <v>41797</v>
      </c>
      <c r="I4633" s="55" t="s">
        <v>579</v>
      </c>
      <c r="J4633" s="55" t="s">
        <v>594</v>
      </c>
      <c r="K4633" s="55">
        <f>VLOOKUP(J4633,'Validacion reclamo de equipaje'!L:M,2,0)</f>
        <v>239</v>
      </c>
      <c r="L4633" s="55" t="str">
        <f>VLOOKUP(I4633,'Validacion reclamo de equipaje'!H:I,2,0)</f>
        <v>Internacional</v>
      </c>
      <c r="M4633" s="55" t="s">
        <v>615</v>
      </c>
    </row>
    <row r="4634" spans="1:13" x14ac:dyDescent="0.25">
      <c r="A4634">
        <v>308</v>
      </c>
      <c r="B4634" s="47" t="str">
        <f>VLOOKUP(Tabla6[[#This Row],['# Vuelo]],'Validacion reclamo de equipaje'!P:Q,2,0)</f>
        <v>AVIONES ROJOS</v>
      </c>
      <c r="C4634" s="48">
        <v>0.85625000000000007</v>
      </c>
      <c r="D4634" s="48">
        <v>0.86249999999999993</v>
      </c>
      <c r="E4634" s="49">
        <f>'Reclamo de equipaje rediseñado'!$D4634-'Reclamo de equipaje rediseñado'!$C4634</f>
        <v>6.2499999999998668E-3</v>
      </c>
      <c r="F4634" s="48">
        <v>0.90555555555555556</v>
      </c>
      <c r="G4634" s="49">
        <f t="shared" si="72"/>
        <v>4.3055555555555625E-2</v>
      </c>
      <c r="H4634" s="50">
        <v>41798</v>
      </c>
      <c r="I4634" s="51" t="s">
        <v>579</v>
      </c>
      <c r="J4634" s="51" t="s">
        <v>594</v>
      </c>
      <c r="K4634" s="51">
        <f>VLOOKUP(J4634,'Validacion reclamo de equipaje'!L:M,2,0)</f>
        <v>239</v>
      </c>
      <c r="L4634" s="51" t="str">
        <f>VLOOKUP(I4634,'Validacion reclamo de equipaje'!H:I,2,0)</f>
        <v>Internacional</v>
      </c>
      <c r="M4634" s="51" t="s">
        <v>615</v>
      </c>
    </row>
    <row r="4635" spans="1:13" x14ac:dyDescent="0.25">
      <c r="A4635">
        <v>308</v>
      </c>
      <c r="B4635" s="47" t="str">
        <f>VLOOKUP(Tabla6[[#This Row],['# Vuelo]],'Validacion reclamo de equipaje'!P:Q,2,0)</f>
        <v>AVIONES ROJOS</v>
      </c>
      <c r="C4635" s="52">
        <v>0.86805555555555547</v>
      </c>
      <c r="D4635" s="52">
        <v>0.87430555555555556</v>
      </c>
      <c r="E4635" s="53">
        <f>'Reclamo de equipaje rediseñado'!$D4635-'Reclamo de equipaje rediseñado'!$C4635</f>
        <v>6.2500000000000888E-3</v>
      </c>
      <c r="F4635" s="52">
        <v>0.89444444444444438</v>
      </c>
      <c r="G4635" s="53">
        <f t="shared" si="72"/>
        <v>2.0138888888888817E-2</v>
      </c>
      <c r="H4635" s="54">
        <v>41800</v>
      </c>
      <c r="I4635" s="55" t="s">
        <v>579</v>
      </c>
      <c r="J4635" s="55" t="s">
        <v>594</v>
      </c>
      <c r="K4635" s="55">
        <f>VLOOKUP(J4635,'Validacion reclamo de equipaje'!L:M,2,0)</f>
        <v>239</v>
      </c>
      <c r="L4635" s="55" t="str">
        <f>VLOOKUP(I4635,'Validacion reclamo de equipaje'!H:I,2,0)</f>
        <v>Internacional</v>
      </c>
      <c r="M4635" s="55" t="s">
        <v>615</v>
      </c>
    </row>
    <row r="4636" spans="1:13" x14ac:dyDescent="0.25">
      <c r="A4636">
        <v>308</v>
      </c>
      <c r="B4636" s="47" t="str">
        <f>VLOOKUP(Tabla6[[#This Row],['# Vuelo]],'Validacion reclamo de equipaje'!P:Q,2,0)</f>
        <v>AVIONES ROJOS</v>
      </c>
      <c r="C4636" s="48">
        <v>0.7416666666666667</v>
      </c>
      <c r="D4636" s="48">
        <v>0.75138888888888899</v>
      </c>
      <c r="E4636" s="49">
        <f>'Reclamo de equipaje rediseñado'!$D4636-'Reclamo de equipaje rediseñado'!$C4636</f>
        <v>9.7222222222222987E-3</v>
      </c>
      <c r="F4636" s="48">
        <v>0.76041666666666663</v>
      </c>
      <c r="G4636" s="49">
        <f t="shared" si="72"/>
        <v>9.0277777777776347E-3</v>
      </c>
      <c r="H4636" s="50">
        <v>41800</v>
      </c>
      <c r="I4636" s="51" t="s">
        <v>579</v>
      </c>
      <c r="J4636" s="51" t="s">
        <v>594</v>
      </c>
      <c r="K4636" s="51">
        <f>VLOOKUP(J4636,'Validacion reclamo de equipaje'!L:M,2,0)</f>
        <v>239</v>
      </c>
      <c r="L4636" s="51" t="str">
        <f>VLOOKUP(I4636,'Validacion reclamo de equipaje'!H:I,2,0)</f>
        <v>Internacional</v>
      </c>
      <c r="M4636" s="51" t="s">
        <v>615</v>
      </c>
    </row>
    <row r="4637" spans="1:13" x14ac:dyDescent="0.25">
      <c r="A4637">
        <v>308</v>
      </c>
      <c r="B4637" s="47" t="str">
        <f>VLOOKUP(Tabla6[[#This Row],['# Vuelo]],'Validacion reclamo de equipaje'!P:Q,2,0)</f>
        <v>AVIONES ROJOS</v>
      </c>
      <c r="C4637" s="52">
        <v>0.20069444444444443</v>
      </c>
      <c r="D4637" s="52">
        <v>0.21180555555555555</v>
      </c>
      <c r="E4637" s="53">
        <f>'Reclamo de equipaje rediseñado'!$D4637-'Reclamo de equipaje rediseñado'!$C4637</f>
        <v>1.1111111111111127E-2</v>
      </c>
      <c r="F4637" s="52">
        <v>0.22777777777777777</v>
      </c>
      <c r="G4637" s="53">
        <f t="shared" si="72"/>
        <v>1.5972222222222221E-2</v>
      </c>
      <c r="H4637" s="54">
        <v>41801</v>
      </c>
      <c r="I4637" s="55" t="s">
        <v>579</v>
      </c>
      <c r="J4637" s="55" t="s">
        <v>594</v>
      </c>
      <c r="K4637" s="55">
        <f>VLOOKUP(J4637,'Validacion reclamo de equipaje'!L:M,2,0)</f>
        <v>239</v>
      </c>
      <c r="L4637" s="55" t="str">
        <f>VLOOKUP(I4637,'Validacion reclamo de equipaje'!H:I,2,0)</f>
        <v>Internacional</v>
      </c>
      <c r="M4637" s="55" t="s">
        <v>615</v>
      </c>
    </row>
    <row r="4638" spans="1:13" x14ac:dyDescent="0.25">
      <c r="A4638">
        <v>308</v>
      </c>
      <c r="B4638" s="47" t="str">
        <f>VLOOKUP(Tabla6[[#This Row],['# Vuelo]],'Validacion reclamo de equipaje'!P:Q,2,0)</f>
        <v>AVIONES ROJOS</v>
      </c>
      <c r="C4638" s="48">
        <v>0.92499999999999993</v>
      </c>
      <c r="D4638" s="48">
        <v>0.93263888888888891</v>
      </c>
      <c r="E4638" s="49">
        <f>'Reclamo de equipaje rediseñado'!$D4638-'Reclamo de equipaje rediseñado'!$C4638</f>
        <v>7.6388888888889728E-3</v>
      </c>
      <c r="F4638" s="48">
        <v>0.9555555555555556</v>
      </c>
      <c r="G4638" s="49">
        <f t="shared" si="72"/>
        <v>2.2916666666666696E-2</v>
      </c>
      <c r="H4638" s="50">
        <v>41802</v>
      </c>
      <c r="I4638" s="51" t="s">
        <v>579</v>
      </c>
      <c r="J4638" s="51" t="s">
        <v>594</v>
      </c>
      <c r="K4638" s="51">
        <f>VLOOKUP(J4638,'Validacion reclamo de equipaje'!L:M,2,0)</f>
        <v>239</v>
      </c>
      <c r="L4638" s="51" t="str">
        <f>VLOOKUP(I4638,'Validacion reclamo de equipaje'!H:I,2,0)</f>
        <v>Internacional</v>
      </c>
      <c r="M4638" s="51" t="s">
        <v>615</v>
      </c>
    </row>
    <row r="4639" spans="1:13" x14ac:dyDescent="0.25">
      <c r="A4639">
        <v>308</v>
      </c>
      <c r="B4639" s="47" t="str">
        <f>VLOOKUP(Tabla6[[#This Row],['# Vuelo]],'Validacion reclamo de equipaje'!P:Q,2,0)</f>
        <v>AVIONES ROJOS</v>
      </c>
      <c r="C4639" s="52">
        <v>0.62083333333333335</v>
      </c>
      <c r="D4639" s="52">
        <v>0.62916666666666665</v>
      </c>
      <c r="E4639" s="53">
        <f>'Reclamo de equipaje rediseñado'!$D4639-'Reclamo de equipaje rediseñado'!$C4639</f>
        <v>8.3333333333333037E-3</v>
      </c>
      <c r="F4639" s="52">
        <v>0.64583333333333337</v>
      </c>
      <c r="G4639" s="53">
        <f t="shared" si="72"/>
        <v>1.6666666666666718E-2</v>
      </c>
      <c r="H4639" s="54">
        <v>41803</v>
      </c>
      <c r="I4639" s="55" t="s">
        <v>579</v>
      </c>
      <c r="J4639" s="55" t="s">
        <v>594</v>
      </c>
      <c r="K4639" s="55">
        <f>VLOOKUP(J4639,'Validacion reclamo de equipaje'!L:M,2,0)</f>
        <v>239</v>
      </c>
      <c r="L4639" s="55" t="str">
        <f>VLOOKUP(I4639,'Validacion reclamo de equipaje'!H:I,2,0)</f>
        <v>Internacional</v>
      </c>
      <c r="M4639" s="55" t="s">
        <v>615</v>
      </c>
    </row>
    <row r="4640" spans="1:13" x14ac:dyDescent="0.25">
      <c r="A4640">
        <v>308</v>
      </c>
      <c r="B4640" s="47" t="str">
        <f>VLOOKUP(Tabla6[[#This Row],['# Vuelo]],'Validacion reclamo de equipaje'!P:Q,2,0)</f>
        <v>AVIONES ROJOS</v>
      </c>
      <c r="C4640" s="48">
        <v>0.87777777777777777</v>
      </c>
      <c r="D4640" s="48">
        <v>0.89097222222222217</v>
      </c>
      <c r="E4640" s="49">
        <f>'Reclamo de equipaje rediseñado'!$D4640-'Reclamo de equipaje rediseñado'!$C4640</f>
        <v>1.3194444444444398E-2</v>
      </c>
      <c r="F4640" s="48">
        <v>0.8965277777777777</v>
      </c>
      <c r="G4640" s="49">
        <f t="shared" si="72"/>
        <v>5.5555555555555358E-3</v>
      </c>
      <c r="H4640" s="50">
        <v>41804</v>
      </c>
      <c r="I4640" s="51" t="s">
        <v>579</v>
      </c>
      <c r="J4640" s="51" t="s">
        <v>594</v>
      </c>
      <c r="K4640" s="51">
        <f>VLOOKUP(J4640,'Validacion reclamo de equipaje'!L:M,2,0)</f>
        <v>239</v>
      </c>
      <c r="L4640" s="51" t="str">
        <f>VLOOKUP(I4640,'Validacion reclamo de equipaje'!H:I,2,0)</f>
        <v>Internacional</v>
      </c>
      <c r="M4640" s="51" t="s">
        <v>615</v>
      </c>
    </row>
    <row r="4641" spans="1:13" x14ac:dyDescent="0.25">
      <c r="A4641">
        <v>308</v>
      </c>
      <c r="B4641" s="47" t="str">
        <f>VLOOKUP(Tabla6[[#This Row],['# Vuelo]],'Validacion reclamo de equipaje'!P:Q,2,0)</f>
        <v>AVIONES ROJOS</v>
      </c>
      <c r="C4641" s="52">
        <v>0.17708333333333334</v>
      </c>
      <c r="D4641" s="52">
        <v>0.18333333333333335</v>
      </c>
      <c r="E4641" s="53">
        <f>'Reclamo de equipaje rediseñado'!$D4641-'Reclamo de equipaje rediseñado'!$C4641</f>
        <v>6.2500000000000056E-3</v>
      </c>
      <c r="F4641" s="52">
        <v>0.19027777777777777</v>
      </c>
      <c r="G4641" s="53">
        <f t="shared" si="72"/>
        <v>6.9444444444444198E-3</v>
      </c>
      <c r="H4641" s="54">
        <v>41805</v>
      </c>
      <c r="I4641" s="55" t="s">
        <v>579</v>
      </c>
      <c r="J4641" s="55" t="s">
        <v>594</v>
      </c>
      <c r="K4641" s="55">
        <f>VLOOKUP(J4641,'Validacion reclamo de equipaje'!L:M,2,0)</f>
        <v>239</v>
      </c>
      <c r="L4641" s="55" t="str">
        <f>VLOOKUP(I4641,'Validacion reclamo de equipaje'!H:I,2,0)</f>
        <v>Internacional</v>
      </c>
      <c r="M4641" s="55" t="s">
        <v>615</v>
      </c>
    </row>
    <row r="4642" spans="1:13" x14ac:dyDescent="0.25">
      <c r="A4642">
        <v>308</v>
      </c>
      <c r="B4642" s="47" t="str">
        <f>VLOOKUP(Tabla6[[#This Row],['# Vuelo]],'Validacion reclamo de equipaje'!P:Q,2,0)</f>
        <v>AVIONES ROJOS</v>
      </c>
      <c r="C4642" s="48">
        <v>0.90625</v>
      </c>
      <c r="D4642" s="48">
        <v>0.92222222222222217</v>
      </c>
      <c r="E4642" s="49">
        <f>'Reclamo de equipaje rediseñado'!$D4642-'Reclamo de equipaje rediseñado'!$C4642</f>
        <v>1.5972222222222165E-2</v>
      </c>
      <c r="F4642" s="48">
        <v>0.9277777777777777</v>
      </c>
      <c r="G4642" s="49">
        <f t="shared" si="72"/>
        <v>5.5555555555555358E-3</v>
      </c>
      <c r="H4642" s="50">
        <v>41806</v>
      </c>
      <c r="I4642" s="51" t="s">
        <v>579</v>
      </c>
      <c r="J4642" s="51" t="s">
        <v>594</v>
      </c>
      <c r="K4642" s="51">
        <f>VLOOKUP(J4642,'Validacion reclamo de equipaje'!L:M,2,0)</f>
        <v>239</v>
      </c>
      <c r="L4642" s="51" t="str">
        <f>VLOOKUP(I4642,'Validacion reclamo de equipaje'!H:I,2,0)</f>
        <v>Internacional</v>
      </c>
      <c r="M4642" s="51" t="s">
        <v>615</v>
      </c>
    </row>
    <row r="4643" spans="1:13" x14ac:dyDescent="0.25">
      <c r="A4643">
        <v>308</v>
      </c>
      <c r="B4643" s="47" t="str">
        <f>VLOOKUP(Tabla6[[#This Row],['# Vuelo]],'Validacion reclamo de equipaje'!P:Q,2,0)</f>
        <v>AVIONES ROJOS</v>
      </c>
      <c r="C4643" s="52">
        <v>0.4513888888888889</v>
      </c>
      <c r="D4643" s="52">
        <v>0.46319444444444446</v>
      </c>
      <c r="E4643" s="53">
        <f>'Reclamo de equipaje rediseñado'!$D4643-'Reclamo de equipaje rediseñado'!$C4643</f>
        <v>1.1805555555555569E-2</v>
      </c>
      <c r="F4643" s="52">
        <v>0.4694444444444445</v>
      </c>
      <c r="G4643" s="53">
        <f t="shared" si="72"/>
        <v>6.2500000000000333E-3</v>
      </c>
      <c r="H4643" s="54">
        <v>41807</v>
      </c>
      <c r="I4643" s="55" t="s">
        <v>579</v>
      </c>
      <c r="J4643" s="55" t="s">
        <v>594</v>
      </c>
      <c r="K4643" s="55">
        <f>VLOOKUP(J4643,'Validacion reclamo de equipaje'!L:M,2,0)</f>
        <v>239</v>
      </c>
      <c r="L4643" s="55" t="str">
        <f>VLOOKUP(I4643,'Validacion reclamo de equipaje'!H:I,2,0)</f>
        <v>Internacional</v>
      </c>
      <c r="M4643" s="55" t="s">
        <v>615</v>
      </c>
    </row>
    <row r="4644" spans="1:13" x14ac:dyDescent="0.25">
      <c r="A4644">
        <v>308</v>
      </c>
      <c r="B4644" s="47" t="str">
        <f>VLOOKUP(Tabla6[[#This Row],['# Vuelo]],'Validacion reclamo de equipaje'!P:Q,2,0)</f>
        <v>AVIONES ROJOS</v>
      </c>
      <c r="C4644" s="48">
        <v>0.84444444444444444</v>
      </c>
      <c r="D4644" s="48">
        <v>0.85</v>
      </c>
      <c r="E4644" s="49">
        <f>'Reclamo de equipaje rediseñado'!$D4644-'Reclamo de equipaje rediseñado'!$C4644</f>
        <v>5.5555555555555358E-3</v>
      </c>
      <c r="F4644" s="48">
        <v>0.87430555555555556</v>
      </c>
      <c r="G4644" s="49">
        <f t="shared" si="72"/>
        <v>2.430555555555558E-2</v>
      </c>
      <c r="H4644" s="50">
        <v>41808</v>
      </c>
      <c r="I4644" s="51" t="s">
        <v>579</v>
      </c>
      <c r="J4644" s="51" t="s">
        <v>594</v>
      </c>
      <c r="K4644" s="51">
        <f>VLOOKUP(J4644,'Validacion reclamo de equipaje'!L:M,2,0)</f>
        <v>239</v>
      </c>
      <c r="L4644" s="51" t="str">
        <f>VLOOKUP(I4644,'Validacion reclamo de equipaje'!H:I,2,0)</f>
        <v>Internacional</v>
      </c>
      <c r="M4644" s="51" t="s">
        <v>615</v>
      </c>
    </row>
    <row r="4645" spans="1:13" x14ac:dyDescent="0.25">
      <c r="A4645">
        <v>308</v>
      </c>
      <c r="B4645" s="47" t="str">
        <f>VLOOKUP(Tabla6[[#This Row],['# Vuelo]],'Validacion reclamo de equipaje'!P:Q,2,0)</f>
        <v>AVIONES ROJOS</v>
      </c>
      <c r="C4645" s="52">
        <v>0.8652777777777777</v>
      </c>
      <c r="D4645" s="52">
        <v>0.87152777777777779</v>
      </c>
      <c r="E4645" s="53">
        <f>'Reclamo de equipaje rediseñado'!$D4645-'Reclamo de equipaje rediseñado'!$C4645</f>
        <v>6.2500000000000888E-3</v>
      </c>
      <c r="F4645" s="52">
        <v>0.89513888888888893</v>
      </c>
      <c r="G4645" s="53">
        <f t="shared" si="72"/>
        <v>2.3611111111111138E-2</v>
      </c>
      <c r="H4645" s="54">
        <v>41809</v>
      </c>
      <c r="I4645" s="55" t="s">
        <v>579</v>
      </c>
      <c r="J4645" s="55" t="s">
        <v>594</v>
      </c>
      <c r="K4645" s="55">
        <f>VLOOKUP(J4645,'Validacion reclamo de equipaje'!L:M,2,0)</f>
        <v>239</v>
      </c>
      <c r="L4645" s="55" t="str">
        <f>VLOOKUP(I4645,'Validacion reclamo de equipaje'!H:I,2,0)</f>
        <v>Internacional</v>
      </c>
      <c r="M4645" s="55" t="s">
        <v>615</v>
      </c>
    </row>
    <row r="4646" spans="1:13" x14ac:dyDescent="0.25">
      <c r="A4646">
        <v>308</v>
      </c>
      <c r="B4646" s="47" t="str">
        <f>VLOOKUP(Tabla6[[#This Row],['# Vuelo]],'Validacion reclamo de equipaje'!P:Q,2,0)</f>
        <v>AVIONES ROJOS</v>
      </c>
      <c r="C4646" s="48">
        <v>0.85625000000000007</v>
      </c>
      <c r="D4646" s="48">
        <v>0.8666666666666667</v>
      </c>
      <c r="E4646" s="49">
        <f>'Reclamo de equipaje rediseñado'!$D4646-'Reclamo de equipaje rediseñado'!$C4646</f>
        <v>1.041666666666663E-2</v>
      </c>
      <c r="F4646" s="48">
        <v>0.89097222222222217</v>
      </c>
      <c r="G4646" s="49">
        <f t="shared" si="72"/>
        <v>2.4305555555555469E-2</v>
      </c>
      <c r="H4646" s="50">
        <v>41810</v>
      </c>
      <c r="I4646" s="51" t="s">
        <v>579</v>
      </c>
      <c r="J4646" s="51" t="s">
        <v>594</v>
      </c>
      <c r="K4646" s="51">
        <f>VLOOKUP(J4646,'Validacion reclamo de equipaje'!L:M,2,0)</f>
        <v>239</v>
      </c>
      <c r="L4646" s="51" t="str">
        <f>VLOOKUP(I4646,'Validacion reclamo de equipaje'!H:I,2,0)</f>
        <v>Internacional</v>
      </c>
      <c r="M4646" s="51" t="s">
        <v>615</v>
      </c>
    </row>
    <row r="4647" spans="1:13" x14ac:dyDescent="0.25">
      <c r="A4647">
        <v>308</v>
      </c>
      <c r="B4647" s="47" t="str">
        <f>VLOOKUP(Tabla6[[#This Row],['# Vuelo]],'Validacion reclamo de equipaje'!P:Q,2,0)</f>
        <v>AVIONES ROJOS</v>
      </c>
      <c r="C4647" s="52">
        <v>0.83333333333333337</v>
      </c>
      <c r="D4647" s="52">
        <v>0.84166666666666667</v>
      </c>
      <c r="E4647" s="53">
        <f>'Reclamo de equipaje rediseñado'!$D4647-'Reclamo de equipaje rediseñado'!$C4647</f>
        <v>8.3333333333333037E-3</v>
      </c>
      <c r="F4647" s="52">
        <v>0.8569444444444444</v>
      </c>
      <c r="G4647" s="53">
        <f t="shared" si="72"/>
        <v>1.5277777777777724E-2</v>
      </c>
      <c r="H4647" s="54">
        <v>41811</v>
      </c>
      <c r="I4647" s="55" t="s">
        <v>579</v>
      </c>
      <c r="J4647" s="55" t="s">
        <v>594</v>
      </c>
      <c r="K4647" s="55">
        <f>VLOOKUP(J4647,'Validacion reclamo de equipaje'!L:M,2,0)</f>
        <v>239</v>
      </c>
      <c r="L4647" s="55" t="str">
        <f>VLOOKUP(I4647,'Validacion reclamo de equipaje'!H:I,2,0)</f>
        <v>Internacional</v>
      </c>
      <c r="M4647" s="55" t="s">
        <v>615</v>
      </c>
    </row>
    <row r="4648" spans="1:13" x14ac:dyDescent="0.25">
      <c r="A4648">
        <v>308</v>
      </c>
      <c r="B4648" s="47" t="str">
        <f>VLOOKUP(Tabla6[[#This Row],['# Vuelo]],'Validacion reclamo de equipaje'!P:Q,2,0)</f>
        <v>AVIONES ROJOS</v>
      </c>
      <c r="C4648" s="48">
        <v>0.84583333333333333</v>
      </c>
      <c r="D4648" s="48">
        <v>0.8520833333333333</v>
      </c>
      <c r="E4648" s="49">
        <f>'Reclamo de equipaje rediseñado'!$D4648-'Reclamo de equipaje rediseñado'!$C4648</f>
        <v>6.2499999999999778E-3</v>
      </c>
      <c r="F4648" s="48">
        <v>0.87222222222222223</v>
      </c>
      <c r="G4648" s="49">
        <f t="shared" si="72"/>
        <v>2.0138888888888928E-2</v>
      </c>
      <c r="H4648" s="50">
        <v>41812</v>
      </c>
      <c r="I4648" s="51" t="s">
        <v>579</v>
      </c>
      <c r="J4648" s="51" t="s">
        <v>594</v>
      </c>
      <c r="K4648" s="51">
        <f>VLOOKUP(J4648,'Validacion reclamo de equipaje'!L:M,2,0)</f>
        <v>239</v>
      </c>
      <c r="L4648" s="51" t="str">
        <f>VLOOKUP(I4648,'Validacion reclamo de equipaje'!H:I,2,0)</f>
        <v>Internacional</v>
      </c>
      <c r="M4648" s="51" t="s">
        <v>615</v>
      </c>
    </row>
    <row r="4649" spans="1:13" x14ac:dyDescent="0.25">
      <c r="A4649">
        <v>308</v>
      </c>
      <c r="B4649" s="47" t="str">
        <f>VLOOKUP(Tabla6[[#This Row],['# Vuelo]],'Validacion reclamo de equipaje'!P:Q,2,0)</f>
        <v>AVIONES ROJOS</v>
      </c>
      <c r="C4649" s="52">
        <v>0.88263888888888886</v>
      </c>
      <c r="D4649" s="52">
        <v>0.88888888888888884</v>
      </c>
      <c r="E4649" s="53">
        <f>'Reclamo de equipaje rediseñado'!$D4649-'Reclamo de equipaje rediseñado'!$C4649</f>
        <v>6.2499999999999778E-3</v>
      </c>
      <c r="F4649" s="52">
        <v>0.90555555555555556</v>
      </c>
      <c r="G4649" s="53">
        <f t="shared" si="72"/>
        <v>1.6666666666666718E-2</v>
      </c>
      <c r="H4649" s="54">
        <v>41813</v>
      </c>
      <c r="I4649" s="55" t="s">
        <v>579</v>
      </c>
      <c r="J4649" s="55" t="s">
        <v>594</v>
      </c>
      <c r="K4649" s="55">
        <f>VLOOKUP(J4649,'Validacion reclamo de equipaje'!L:M,2,0)</f>
        <v>239</v>
      </c>
      <c r="L4649" s="55" t="str">
        <f>VLOOKUP(I4649,'Validacion reclamo de equipaje'!H:I,2,0)</f>
        <v>Internacional</v>
      </c>
      <c r="M4649" s="55" t="s">
        <v>615</v>
      </c>
    </row>
    <row r="4650" spans="1:13" x14ac:dyDescent="0.25">
      <c r="A4650">
        <v>5210</v>
      </c>
      <c r="B4650" s="47" t="str">
        <f>VLOOKUP(Tabla6[[#This Row],['# Vuelo]],'Validacion reclamo de equipaje'!P:Q,2,0)</f>
        <v>INTERAVIÓN</v>
      </c>
      <c r="C4650" s="48">
        <v>0.36805555555555558</v>
      </c>
      <c r="D4650" s="48">
        <v>0.37847222222222227</v>
      </c>
      <c r="E4650" s="49">
        <f>'Reclamo de equipaje rediseñado'!$D4650-'Reclamo de equipaje rediseñado'!$C4650</f>
        <v>1.0416666666666685E-2</v>
      </c>
      <c r="F4650" s="48">
        <v>0.38194444444444442</v>
      </c>
      <c r="G4650" s="49">
        <f t="shared" si="72"/>
        <v>3.4722222222221544E-3</v>
      </c>
      <c r="H4650" s="50">
        <v>41791</v>
      </c>
      <c r="I4650" s="51" t="s">
        <v>536</v>
      </c>
      <c r="J4650" s="51">
        <v>320</v>
      </c>
      <c r="K4650" s="51">
        <f>VLOOKUP(J4650,'Validacion reclamo de equipaje'!L:M,2,0)</f>
        <v>179</v>
      </c>
      <c r="L4650" s="51" t="str">
        <f>VLOOKUP(I4650,'Validacion reclamo de equipaje'!H:I,2,0)</f>
        <v>Nacional</v>
      </c>
      <c r="M4650" s="51" t="s">
        <v>615</v>
      </c>
    </row>
    <row r="4651" spans="1:13" x14ac:dyDescent="0.25">
      <c r="A4651">
        <v>5210</v>
      </c>
      <c r="B4651" s="47" t="str">
        <f>VLOOKUP(Tabla6[[#This Row],['# Vuelo]],'Validacion reclamo de equipaje'!P:Q,2,0)</f>
        <v>INTERAVIÓN</v>
      </c>
      <c r="C4651" s="52">
        <v>0.3659722222222222</v>
      </c>
      <c r="D4651" s="52">
        <v>0.37222222222222223</v>
      </c>
      <c r="E4651" s="53">
        <f>'Reclamo de equipaje rediseñado'!$D4651-'Reclamo de equipaje rediseñado'!$C4651</f>
        <v>6.2500000000000333E-3</v>
      </c>
      <c r="F4651" s="52">
        <v>0.37916666666666665</v>
      </c>
      <c r="G4651" s="53">
        <f t="shared" si="72"/>
        <v>6.9444444444444198E-3</v>
      </c>
      <c r="H4651" s="54">
        <v>41798</v>
      </c>
      <c r="I4651" s="55" t="s">
        <v>536</v>
      </c>
      <c r="J4651" s="55">
        <v>320</v>
      </c>
      <c r="K4651" s="55">
        <f>VLOOKUP(J4651,'Validacion reclamo de equipaje'!L:M,2,0)</f>
        <v>179</v>
      </c>
      <c r="L4651" s="55" t="str">
        <f>VLOOKUP(I4651,'Validacion reclamo de equipaje'!H:I,2,0)</f>
        <v>Nacional</v>
      </c>
      <c r="M4651" s="55" t="s">
        <v>615</v>
      </c>
    </row>
    <row r="4652" spans="1:13" x14ac:dyDescent="0.25">
      <c r="A4652">
        <v>5210</v>
      </c>
      <c r="B4652" s="47" t="str">
        <f>VLOOKUP(Tabla6[[#This Row],['# Vuelo]],'Validacion reclamo de equipaje'!P:Q,2,0)</f>
        <v>INTERAVIÓN</v>
      </c>
      <c r="C4652" s="48">
        <v>0.54791666666666672</v>
      </c>
      <c r="D4652" s="48">
        <v>0.55208333333333337</v>
      </c>
      <c r="E4652" s="49">
        <f>'Reclamo de equipaje rediseñado'!$D4652-'Reclamo de equipaje rediseñado'!$C4652</f>
        <v>4.1666666666666519E-3</v>
      </c>
      <c r="F4652" s="48">
        <v>0.5541666666666667</v>
      </c>
      <c r="G4652" s="49">
        <f t="shared" si="72"/>
        <v>2.0833333333333259E-3</v>
      </c>
      <c r="H4652" s="50">
        <v>41805</v>
      </c>
      <c r="I4652" s="51" t="s">
        <v>536</v>
      </c>
      <c r="J4652" s="51">
        <v>320</v>
      </c>
      <c r="K4652" s="51">
        <f>VLOOKUP(J4652,'Validacion reclamo de equipaje'!L:M,2,0)</f>
        <v>179</v>
      </c>
      <c r="L4652" s="51" t="str">
        <f>VLOOKUP(I4652,'Validacion reclamo de equipaje'!H:I,2,0)</f>
        <v>Nacional</v>
      </c>
      <c r="M4652" s="51" t="s">
        <v>615</v>
      </c>
    </row>
    <row r="4653" spans="1:13" x14ac:dyDescent="0.25">
      <c r="A4653">
        <v>3224</v>
      </c>
      <c r="B4653" s="47" t="str">
        <f>VLOOKUP(Tabla6[[#This Row],['# Vuelo]],'Validacion reclamo de equipaje'!P:Q,2,0)</f>
        <v>INTERAVIÓN</v>
      </c>
      <c r="C4653" s="52">
        <v>0.58472222222222225</v>
      </c>
      <c r="D4653" s="52">
        <v>0.59583333333333333</v>
      </c>
      <c r="E4653" s="53">
        <f>'Reclamo de equipaje rediseñado'!$D4653-'Reclamo de equipaje rediseñado'!$C4653</f>
        <v>1.1111111111111072E-2</v>
      </c>
      <c r="F4653" s="52">
        <v>0.60069444444444442</v>
      </c>
      <c r="G4653" s="53">
        <f t="shared" si="72"/>
        <v>4.8611111111110938E-3</v>
      </c>
      <c r="H4653" s="54">
        <v>41808</v>
      </c>
      <c r="I4653" s="55" t="s">
        <v>536</v>
      </c>
      <c r="J4653" s="55" t="s">
        <v>596</v>
      </c>
      <c r="K4653" s="55">
        <f>VLOOKUP(J4653,'Validacion reclamo de equipaje'!L:M,2,0)</f>
        <v>179</v>
      </c>
      <c r="L4653" s="55" t="str">
        <f>VLOOKUP(I4653,'Validacion reclamo de equipaje'!H:I,2,0)</f>
        <v>Nacional</v>
      </c>
      <c r="M4653" s="55" t="s">
        <v>615</v>
      </c>
    </row>
    <row r="4654" spans="1:13" x14ac:dyDescent="0.25">
      <c r="A4654">
        <v>3224</v>
      </c>
      <c r="B4654" s="47" t="str">
        <f>VLOOKUP(Tabla6[[#This Row],['# Vuelo]],'Validacion reclamo de equipaje'!P:Q,2,0)</f>
        <v>INTERAVIÓN</v>
      </c>
      <c r="C4654" s="48">
        <v>0.61458333333333337</v>
      </c>
      <c r="D4654" s="48">
        <v>0.62638888888888888</v>
      </c>
      <c r="E4654" s="49">
        <f>'Reclamo de equipaje rediseñado'!$D4654-'Reclamo de equipaje rediseñado'!$C4654</f>
        <v>1.1805555555555514E-2</v>
      </c>
      <c r="F4654" s="48">
        <v>0.63194444444444442</v>
      </c>
      <c r="G4654" s="49">
        <f t="shared" si="72"/>
        <v>5.5555555555555358E-3</v>
      </c>
      <c r="H4654" s="50">
        <v>41813</v>
      </c>
      <c r="I4654" s="51" t="s">
        <v>536</v>
      </c>
      <c r="J4654" s="51" t="s">
        <v>596</v>
      </c>
      <c r="K4654" s="51">
        <f>VLOOKUP(J4654,'Validacion reclamo de equipaje'!L:M,2,0)</f>
        <v>179</v>
      </c>
      <c r="L4654" s="51" t="str">
        <f>VLOOKUP(I4654,'Validacion reclamo de equipaje'!H:I,2,0)</f>
        <v>Nacional</v>
      </c>
      <c r="M4654" s="51" t="s">
        <v>615</v>
      </c>
    </row>
    <row r="4655" spans="1:13" x14ac:dyDescent="0.25">
      <c r="A4655">
        <v>3206</v>
      </c>
      <c r="B4655" s="47" t="str">
        <f>VLOOKUP(Tabla6[[#This Row],['# Vuelo]],'Validacion reclamo de equipaje'!P:Q,2,0)</f>
        <v>INTERAVIÓN</v>
      </c>
      <c r="C4655" s="52">
        <v>0.47083333333333338</v>
      </c>
      <c r="D4655" s="52">
        <v>0.47916666666666669</v>
      </c>
      <c r="E4655" s="53">
        <f>'Reclamo de equipaje rediseñado'!$D4655-'Reclamo de equipaje rediseñado'!$C4655</f>
        <v>8.3333333333333037E-3</v>
      </c>
      <c r="F4655" s="52">
        <v>0.4826388888888889</v>
      </c>
      <c r="G4655" s="53">
        <f t="shared" si="72"/>
        <v>3.4722222222222099E-3</v>
      </c>
      <c r="H4655" s="54">
        <v>41793</v>
      </c>
      <c r="I4655" s="55" t="s">
        <v>536</v>
      </c>
      <c r="J4655" s="55" t="s">
        <v>596</v>
      </c>
      <c r="K4655" s="55">
        <f>VLOOKUP(J4655,'Validacion reclamo de equipaje'!L:M,2,0)</f>
        <v>179</v>
      </c>
      <c r="L4655" s="55" t="str">
        <f>VLOOKUP(I4655,'Validacion reclamo de equipaje'!H:I,2,0)</f>
        <v>Nacional</v>
      </c>
      <c r="M4655" s="55" t="s">
        <v>615</v>
      </c>
    </row>
    <row r="4656" spans="1:13" x14ac:dyDescent="0.25">
      <c r="A4656">
        <v>3206</v>
      </c>
      <c r="B4656" s="47" t="str">
        <f>VLOOKUP(Tabla6[[#This Row],['# Vuelo]],'Validacion reclamo de equipaje'!P:Q,2,0)</f>
        <v>INTERAVIÓN</v>
      </c>
      <c r="C4656" s="48">
        <v>0.9</v>
      </c>
      <c r="D4656" s="48">
        <v>0.91111111111111109</v>
      </c>
      <c r="E4656" s="49">
        <f>'Reclamo de equipaje rediseñado'!$D4656-'Reclamo de equipaje rediseñado'!$C4656</f>
        <v>1.1111111111111072E-2</v>
      </c>
      <c r="F4656" s="48">
        <v>0.9194444444444444</v>
      </c>
      <c r="G4656" s="49">
        <f t="shared" si="72"/>
        <v>8.3333333333333037E-3</v>
      </c>
      <c r="H4656" s="50">
        <v>41801</v>
      </c>
      <c r="I4656" s="51" t="s">
        <v>536</v>
      </c>
      <c r="J4656" s="51" t="s">
        <v>596</v>
      </c>
      <c r="K4656" s="51">
        <f>VLOOKUP(J4656,'Validacion reclamo de equipaje'!L:M,2,0)</f>
        <v>179</v>
      </c>
      <c r="L4656" s="51" t="str">
        <f>VLOOKUP(I4656,'Validacion reclamo de equipaje'!H:I,2,0)</f>
        <v>Nacional</v>
      </c>
      <c r="M4656" s="51" t="s">
        <v>615</v>
      </c>
    </row>
    <row r="4657" spans="1:13" x14ac:dyDescent="0.25">
      <c r="A4657">
        <v>3206</v>
      </c>
      <c r="B4657" s="47" t="str">
        <f>VLOOKUP(Tabla6[[#This Row],['# Vuelo]],'Validacion reclamo de equipaje'!P:Q,2,0)</f>
        <v>INTERAVIÓN</v>
      </c>
      <c r="C4657" s="52">
        <v>0.2722222222222222</v>
      </c>
      <c r="D4657" s="52">
        <v>0.28263888888888888</v>
      </c>
      <c r="E4657" s="53">
        <f>'Reclamo de equipaje rediseñado'!$D4657-'Reclamo de equipaje rediseñado'!$C4657</f>
        <v>1.0416666666666685E-2</v>
      </c>
      <c r="F4657" s="52">
        <v>0.30138888888888887</v>
      </c>
      <c r="G4657" s="53">
        <f t="shared" si="72"/>
        <v>1.8749999999999989E-2</v>
      </c>
      <c r="H4657" s="54">
        <v>41807</v>
      </c>
      <c r="I4657" s="55" t="s">
        <v>536</v>
      </c>
      <c r="J4657" s="55" t="s">
        <v>596</v>
      </c>
      <c r="K4657" s="55">
        <f>VLOOKUP(J4657,'Validacion reclamo de equipaje'!L:M,2,0)</f>
        <v>179</v>
      </c>
      <c r="L4657" s="55" t="str">
        <f>VLOOKUP(I4657,'Validacion reclamo de equipaje'!H:I,2,0)</f>
        <v>Nacional</v>
      </c>
      <c r="M4657" s="55" t="s">
        <v>615</v>
      </c>
    </row>
    <row r="4658" spans="1:13" x14ac:dyDescent="0.25">
      <c r="A4658">
        <v>3200</v>
      </c>
      <c r="B4658" s="47" t="str">
        <f>VLOOKUP(Tabla6[[#This Row],['# Vuelo]],'Validacion reclamo de equipaje'!P:Q,2,0)</f>
        <v>INTERAVIÓN</v>
      </c>
      <c r="C4658" s="48">
        <v>0.52083333333333337</v>
      </c>
      <c r="D4658" s="48">
        <v>0.52638888888888891</v>
      </c>
      <c r="E4658" s="49">
        <f>'Reclamo de equipaje rediseñado'!$D4658-'Reclamo de equipaje rediseñado'!$C4658</f>
        <v>5.5555555555555358E-3</v>
      </c>
      <c r="F4658" s="48">
        <v>0.53055555555555556</v>
      </c>
      <c r="G4658" s="49">
        <f t="shared" si="72"/>
        <v>4.1666666666666519E-3</v>
      </c>
      <c r="H4658" s="50">
        <v>41792</v>
      </c>
      <c r="I4658" s="51" t="s">
        <v>536</v>
      </c>
      <c r="J4658" s="51" t="s">
        <v>596</v>
      </c>
      <c r="K4658" s="51">
        <f>VLOOKUP(J4658,'Validacion reclamo de equipaje'!L:M,2,0)</f>
        <v>179</v>
      </c>
      <c r="L4658" s="51" t="str">
        <f>VLOOKUP(I4658,'Validacion reclamo de equipaje'!H:I,2,0)</f>
        <v>Nacional</v>
      </c>
      <c r="M4658" s="51" t="s">
        <v>615</v>
      </c>
    </row>
    <row r="4659" spans="1:13" x14ac:dyDescent="0.25">
      <c r="A4659">
        <v>3200</v>
      </c>
      <c r="B4659" s="47" t="str">
        <f>VLOOKUP(Tabla6[[#This Row],['# Vuelo]],'Validacion reclamo de equipaje'!P:Q,2,0)</f>
        <v>INTERAVIÓN</v>
      </c>
      <c r="C4659" s="52">
        <v>0.52708333333333335</v>
      </c>
      <c r="D4659" s="52">
        <v>0.53541666666666665</v>
      </c>
      <c r="E4659" s="53">
        <f>'Reclamo de equipaje rediseñado'!$D4659-'Reclamo de equipaje rediseñado'!$C4659</f>
        <v>8.3333333333333037E-3</v>
      </c>
      <c r="F4659" s="52">
        <v>0.53888888888888886</v>
      </c>
      <c r="G4659" s="53">
        <f t="shared" si="72"/>
        <v>3.4722222222222099E-3</v>
      </c>
      <c r="H4659" s="54">
        <v>41796</v>
      </c>
      <c r="I4659" s="55" t="s">
        <v>536</v>
      </c>
      <c r="J4659" s="55" t="s">
        <v>596</v>
      </c>
      <c r="K4659" s="55">
        <f>VLOOKUP(J4659,'Validacion reclamo de equipaje'!L:M,2,0)</f>
        <v>179</v>
      </c>
      <c r="L4659" s="55" t="str">
        <f>VLOOKUP(I4659,'Validacion reclamo de equipaje'!H:I,2,0)</f>
        <v>Nacional</v>
      </c>
      <c r="M4659" s="55" t="s">
        <v>615</v>
      </c>
    </row>
    <row r="4660" spans="1:13" x14ac:dyDescent="0.25">
      <c r="A4660">
        <v>3200</v>
      </c>
      <c r="B4660" s="47" t="str">
        <f>VLOOKUP(Tabla6[[#This Row],['# Vuelo]],'Validacion reclamo de equipaje'!P:Q,2,0)</f>
        <v>INTERAVIÓN</v>
      </c>
      <c r="C4660" s="48">
        <v>0.52500000000000002</v>
      </c>
      <c r="D4660" s="48">
        <v>0.52916666666666667</v>
      </c>
      <c r="E4660" s="49">
        <f>'Reclamo de equipaje rediseñado'!$D4660-'Reclamo de equipaje rediseñado'!$C4660</f>
        <v>4.1666666666666519E-3</v>
      </c>
      <c r="F4660" s="48">
        <v>0.53055555555555556</v>
      </c>
      <c r="G4660" s="49">
        <f t="shared" si="72"/>
        <v>1.388888888888884E-3</v>
      </c>
      <c r="H4660" s="50">
        <v>41799</v>
      </c>
      <c r="I4660" s="51" t="s">
        <v>536</v>
      </c>
      <c r="J4660" s="51" t="s">
        <v>596</v>
      </c>
      <c r="K4660" s="51">
        <f>VLOOKUP(J4660,'Validacion reclamo de equipaje'!L:M,2,0)</f>
        <v>179</v>
      </c>
      <c r="L4660" s="51" t="str">
        <f>VLOOKUP(I4660,'Validacion reclamo de equipaje'!H:I,2,0)</f>
        <v>Nacional</v>
      </c>
      <c r="M4660" s="51" t="s">
        <v>615</v>
      </c>
    </row>
    <row r="4661" spans="1:13" x14ac:dyDescent="0.25">
      <c r="A4661">
        <v>3200</v>
      </c>
      <c r="B4661" s="47" t="str">
        <f>VLOOKUP(Tabla6[[#This Row],['# Vuelo]],'Validacion reclamo de equipaje'!P:Q,2,0)</f>
        <v>INTERAVIÓN</v>
      </c>
      <c r="C4661" s="52">
        <v>0.88194444444444453</v>
      </c>
      <c r="D4661" s="52">
        <v>0.89444444444444438</v>
      </c>
      <c r="E4661" s="53">
        <f>'Reclamo de equipaje rediseñado'!$D4661-'Reclamo de equipaje rediseñado'!$C4661</f>
        <v>1.2499999999999845E-2</v>
      </c>
      <c r="F4661" s="52">
        <v>0.90277777777777779</v>
      </c>
      <c r="G4661" s="53">
        <f t="shared" si="72"/>
        <v>8.3333333333334147E-3</v>
      </c>
      <c r="H4661" s="54">
        <v>41801</v>
      </c>
      <c r="I4661" s="55" t="s">
        <v>536</v>
      </c>
      <c r="J4661" s="55" t="s">
        <v>596</v>
      </c>
      <c r="K4661" s="55">
        <f>VLOOKUP(J4661,'Validacion reclamo de equipaje'!L:M,2,0)</f>
        <v>179</v>
      </c>
      <c r="L4661" s="55" t="str">
        <f>VLOOKUP(I4661,'Validacion reclamo de equipaje'!H:I,2,0)</f>
        <v>Nacional</v>
      </c>
      <c r="M4661" s="55" t="s">
        <v>615</v>
      </c>
    </row>
    <row r="4662" spans="1:13" x14ac:dyDescent="0.25">
      <c r="A4662">
        <v>3200</v>
      </c>
      <c r="B4662" s="47" t="str">
        <f>VLOOKUP(Tabla6[[#This Row],['# Vuelo]],'Validacion reclamo de equipaje'!P:Q,2,0)</f>
        <v>INTERAVIÓN</v>
      </c>
      <c r="C4662" s="48">
        <v>0.20347222222222219</v>
      </c>
      <c r="D4662" s="48">
        <v>0.21527777777777779</v>
      </c>
      <c r="E4662" s="49">
        <f>'Reclamo de equipaje rediseñado'!$D4662-'Reclamo de equipaje rediseñado'!$C4662</f>
        <v>1.1805555555555597E-2</v>
      </c>
      <c r="F4662" s="48">
        <v>0.24097222222222223</v>
      </c>
      <c r="G4662" s="49">
        <f t="shared" si="72"/>
        <v>2.5694444444444436E-2</v>
      </c>
      <c r="H4662" s="50">
        <v>41802</v>
      </c>
      <c r="I4662" s="51" t="s">
        <v>536</v>
      </c>
      <c r="J4662" s="51" t="s">
        <v>596</v>
      </c>
      <c r="K4662" s="51">
        <f>VLOOKUP(J4662,'Validacion reclamo de equipaje'!L:M,2,0)</f>
        <v>179</v>
      </c>
      <c r="L4662" s="51" t="str">
        <f>VLOOKUP(I4662,'Validacion reclamo de equipaje'!H:I,2,0)</f>
        <v>Nacional</v>
      </c>
      <c r="M4662" s="51" t="s">
        <v>615</v>
      </c>
    </row>
    <row r="4663" spans="1:13" x14ac:dyDescent="0.25">
      <c r="A4663">
        <v>3200</v>
      </c>
      <c r="B4663" s="47" t="str">
        <f>VLOOKUP(Tabla6[[#This Row],['# Vuelo]],'Validacion reclamo de equipaje'!P:Q,2,0)</f>
        <v>INTERAVIÓN</v>
      </c>
      <c r="C4663" s="52">
        <v>0.69861111111111107</v>
      </c>
      <c r="D4663" s="52">
        <v>0.70347222222222217</v>
      </c>
      <c r="E4663" s="53">
        <f>'Reclamo de equipaje rediseñado'!$D4663-'Reclamo de equipaje rediseñado'!$C4663</f>
        <v>4.8611111111110938E-3</v>
      </c>
      <c r="F4663" s="52">
        <v>0.7090277777777777</v>
      </c>
      <c r="G4663" s="53">
        <f t="shared" si="72"/>
        <v>5.5555555555555358E-3</v>
      </c>
      <c r="H4663" s="54">
        <v>41803</v>
      </c>
      <c r="I4663" s="55" t="s">
        <v>536</v>
      </c>
      <c r="J4663" s="55" t="s">
        <v>596</v>
      </c>
      <c r="K4663" s="55">
        <f>VLOOKUP(J4663,'Validacion reclamo de equipaje'!L:M,2,0)</f>
        <v>179</v>
      </c>
      <c r="L4663" s="55" t="str">
        <f>VLOOKUP(I4663,'Validacion reclamo de equipaje'!H:I,2,0)</f>
        <v>Nacional</v>
      </c>
      <c r="M4663" s="55" t="s">
        <v>615</v>
      </c>
    </row>
    <row r="4664" spans="1:13" x14ac:dyDescent="0.25">
      <c r="A4664">
        <v>3200</v>
      </c>
      <c r="B4664" s="47" t="str">
        <f>VLOOKUP(Tabla6[[#This Row],['# Vuelo]],'Validacion reclamo de equipaje'!P:Q,2,0)</f>
        <v>INTERAVIÓN</v>
      </c>
      <c r="C4664" s="48">
        <v>0.52430555555555558</v>
      </c>
      <c r="D4664" s="48">
        <v>0.53263888888888888</v>
      </c>
      <c r="E4664" s="49">
        <f>'Reclamo de equipaje rediseñado'!$D4664-'Reclamo de equipaje rediseñado'!$C4664</f>
        <v>8.3333333333333037E-3</v>
      </c>
      <c r="F4664" s="48">
        <v>0.53680555555555554</v>
      </c>
      <c r="G4664" s="49">
        <f t="shared" si="72"/>
        <v>4.1666666666666519E-3</v>
      </c>
      <c r="H4664" s="50">
        <v>41809</v>
      </c>
      <c r="I4664" s="51" t="s">
        <v>536</v>
      </c>
      <c r="J4664" s="51" t="s">
        <v>596</v>
      </c>
      <c r="K4664" s="51">
        <f>VLOOKUP(J4664,'Validacion reclamo de equipaje'!L:M,2,0)</f>
        <v>179</v>
      </c>
      <c r="L4664" s="51" t="str">
        <f>VLOOKUP(I4664,'Validacion reclamo de equipaje'!H:I,2,0)</f>
        <v>Nacional</v>
      </c>
      <c r="M4664" s="51" t="s">
        <v>615</v>
      </c>
    </row>
    <row r="4665" spans="1:13" x14ac:dyDescent="0.25">
      <c r="A4665">
        <v>3200</v>
      </c>
      <c r="B4665" s="47" t="str">
        <f>VLOOKUP(Tabla6[[#This Row],['# Vuelo]],'Validacion reclamo de equipaje'!P:Q,2,0)</f>
        <v>INTERAVIÓN</v>
      </c>
      <c r="C4665" s="52">
        <v>0.53680555555555554</v>
      </c>
      <c r="D4665" s="52">
        <v>0.5444444444444444</v>
      </c>
      <c r="E4665" s="53">
        <f>'Reclamo de equipaje rediseñado'!$D4665-'Reclamo de equipaje rediseñado'!$C4665</f>
        <v>7.6388888888888618E-3</v>
      </c>
      <c r="F4665" s="52">
        <v>0.54861111111111105</v>
      </c>
      <c r="G4665" s="53">
        <f t="shared" si="72"/>
        <v>4.1666666666666519E-3</v>
      </c>
      <c r="H4665" s="54">
        <v>41810</v>
      </c>
      <c r="I4665" s="55" t="s">
        <v>536</v>
      </c>
      <c r="J4665" s="55" t="s">
        <v>596</v>
      </c>
      <c r="K4665" s="55">
        <f>VLOOKUP(J4665,'Validacion reclamo de equipaje'!L:M,2,0)</f>
        <v>179</v>
      </c>
      <c r="L4665" s="55" t="str">
        <f>VLOOKUP(I4665,'Validacion reclamo de equipaje'!H:I,2,0)</f>
        <v>Nacional</v>
      </c>
      <c r="M4665" s="55" t="s">
        <v>615</v>
      </c>
    </row>
    <row r="4666" spans="1:13" x14ac:dyDescent="0.25">
      <c r="A4666">
        <v>3200</v>
      </c>
      <c r="B4666" s="47" t="str">
        <f>VLOOKUP(Tabla6[[#This Row],['# Vuelo]],'Validacion reclamo de equipaje'!P:Q,2,0)</f>
        <v>INTERAVIÓN</v>
      </c>
      <c r="C4666" s="48">
        <v>0.52083333333333337</v>
      </c>
      <c r="D4666" s="48">
        <v>0.52916666666666667</v>
      </c>
      <c r="E4666" s="49">
        <f>'Reclamo de equipaje rediseñado'!$D4666-'Reclamo de equipaje rediseñado'!$C4666</f>
        <v>8.3333333333333037E-3</v>
      </c>
      <c r="F4666" s="48">
        <v>0.53263888888888888</v>
      </c>
      <c r="G4666" s="49">
        <f t="shared" si="72"/>
        <v>3.4722222222222099E-3</v>
      </c>
      <c r="H4666" s="50">
        <v>41813</v>
      </c>
      <c r="I4666" s="51" t="s">
        <v>536</v>
      </c>
      <c r="J4666" s="51" t="s">
        <v>596</v>
      </c>
      <c r="K4666" s="51">
        <f>VLOOKUP(J4666,'Validacion reclamo de equipaje'!L:M,2,0)</f>
        <v>179</v>
      </c>
      <c r="L4666" s="51" t="str">
        <f>VLOOKUP(I4666,'Validacion reclamo de equipaje'!H:I,2,0)</f>
        <v>Nacional</v>
      </c>
      <c r="M4666" s="51" t="s">
        <v>615</v>
      </c>
    </row>
    <row r="4667" spans="1:13" x14ac:dyDescent="0.25">
      <c r="A4667">
        <v>2840</v>
      </c>
      <c r="B4667" s="47" t="str">
        <f>VLOOKUP(Tabla6[[#This Row],['# Vuelo]],'Validacion reclamo de equipaje'!P:Q,2,0)</f>
        <v>AEROLINEAS DE AMERICA</v>
      </c>
      <c r="C4667" s="52">
        <v>0.77083333333333337</v>
      </c>
      <c r="D4667" s="52">
        <v>0.77916666666666667</v>
      </c>
      <c r="E4667" s="53">
        <f>'Reclamo de equipaje rediseñado'!$D4667-'Reclamo de equipaje rediseñado'!$C4667</f>
        <v>8.3333333333333037E-3</v>
      </c>
      <c r="F4667" s="52">
        <v>0.79583333333333339</v>
      </c>
      <c r="G4667" s="53">
        <f t="shared" si="72"/>
        <v>1.6666666666666718E-2</v>
      </c>
      <c r="H4667" s="54">
        <v>41791</v>
      </c>
      <c r="I4667" s="55" t="s">
        <v>536</v>
      </c>
      <c r="J4667" s="55">
        <v>320</v>
      </c>
      <c r="K4667" s="55">
        <f>VLOOKUP(J4667,'Validacion reclamo de equipaje'!L:M,2,0)</f>
        <v>179</v>
      </c>
      <c r="L4667" s="55" t="str">
        <f>VLOOKUP(I4667,'Validacion reclamo de equipaje'!H:I,2,0)</f>
        <v>Nacional</v>
      </c>
      <c r="M4667" s="55" t="s">
        <v>615</v>
      </c>
    </row>
    <row r="4668" spans="1:13" x14ac:dyDescent="0.25">
      <c r="A4668">
        <v>2840</v>
      </c>
      <c r="B4668" s="47" t="str">
        <f>VLOOKUP(Tabla6[[#This Row],['# Vuelo]],'Validacion reclamo de equipaje'!P:Q,2,0)</f>
        <v>AEROLINEAS DE AMERICA</v>
      </c>
      <c r="C4668" s="48">
        <v>0.45555555555555555</v>
      </c>
      <c r="D4668" s="48">
        <v>0.4604166666666667</v>
      </c>
      <c r="E4668" s="49">
        <f>'Reclamo de equipaje rediseñado'!$D4668-'Reclamo de equipaje rediseñado'!$C4668</f>
        <v>4.8611111111111494E-3</v>
      </c>
      <c r="F4668" s="48">
        <v>0.47430555555555554</v>
      </c>
      <c r="G4668" s="49">
        <f t="shared" si="72"/>
        <v>1.388888888888884E-2</v>
      </c>
      <c r="H4668" s="50">
        <v>41805</v>
      </c>
      <c r="I4668" s="51" t="s">
        <v>536</v>
      </c>
      <c r="J4668" s="51">
        <v>320</v>
      </c>
      <c r="K4668" s="51">
        <f>VLOOKUP(J4668,'Validacion reclamo de equipaje'!L:M,2,0)</f>
        <v>179</v>
      </c>
      <c r="L4668" s="51" t="str">
        <f>VLOOKUP(I4668,'Validacion reclamo de equipaje'!H:I,2,0)</f>
        <v>Nacional</v>
      </c>
      <c r="M4668" s="51" t="s">
        <v>615</v>
      </c>
    </row>
    <row r="4669" spans="1:13" x14ac:dyDescent="0.25">
      <c r="A4669">
        <v>2236</v>
      </c>
      <c r="B4669" s="47" t="str">
        <f>VLOOKUP(Tabla6[[#This Row],['# Vuelo]],'Validacion reclamo de equipaje'!P:Q,2,0)</f>
        <v>INTERAVIÓN</v>
      </c>
      <c r="C4669" s="52">
        <v>0.8965277777777777</v>
      </c>
      <c r="D4669" s="52">
        <v>0.90416666666666667</v>
      </c>
      <c r="E4669" s="53">
        <f>'Reclamo de equipaje rediseñado'!$D4669-'Reclamo de equipaje rediseñado'!$C4669</f>
        <v>7.6388888888889728E-3</v>
      </c>
      <c r="F4669" s="52">
        <v>0.90972222222222221</v>
      </c>
      <c r="G4669" s="53">
        <f t="shared" si="72"/>
        <v>5.5555555555555358E-3</v>
      </c>
      <c r="H4669" s="54">
        <v>41796</v>
      </c>
      <c r="I4669" s="55" t="s">
        <v>536</v>
      </c>
      <c r="J4669" s="55" t="s">
        <v>540</v>
      </c>
      <c r="K4669" s="55" t="e">
        <f>VLOOKUP(J4669,'Validacion reclamo de equipaje'!L:M,2,0)</f>
        <v>#N/A</v>
      </c>
      <c r="L4669" s="55" t="str">
        <f>VLOOKUP(I4669,'Validacion reclamo de equipaje'!H:I,2,0)</f>
        <v>Nacional</v>
      </c>
      <c r="M4669" s="55" t="s">
        <v>615</v>
      </c>
    </row>
    <row r="4670" spans="1:13" x14ac:dyDescent="0.25">
      <c r="A4670">
        <v>2224</v>
      </c>
      <c r="B4670" s="47" t="str">
        <f>VLOOKUP(Tabla6[[#This Row],['# Vuelo]],'Validacion reclamo de equipaje'!P:Q,2,0)</f>
        <v>INTERAVIÓN</v>
      </c>
      <c r="C4670" s="48">
        <v>0.59861111111111109</v>
      </c>
      <c r="D4670" s="48">
        <v>0.60416666666666663</v>
      </c>
      <c r="E4670" s="49">
        <f>'Reclamo de equipaje rediseñado'!$D4670-'Reclamo de equipaje rediseñado'!$C4670</f>
        <v>5.5555555555555358E-3</v>
      </c>
      <c r="F4670" s="48">
        <v>0.60972222222222217</v>
      </c>
      <c r="G4670" s="49">
        <f t="shared" si="72"/>
        <v>5.5555555555555358E-3</v>
      </c>
      <c r="H4670" s="50">
        <v>41792</v>
      </c>
      <c r="I4670" s="51" t="s">
        <v>536</v>
      </c>
      <c r="J4670" s="51">
        <v>320</v>
      </c>
      <c r="K4670" s="51">
        <f>VLOOKUP(J4670,'Validacion reclamo de equipaje'!L:M,2,0)</f>
        <v>179</v>
      </c>
      <c r="L4670" s="51" t="str">
        <f>VLOOKUP(I4670,'Validacion reclamo de equipaje'!H:I,2,0)</f>
        <v>Nacional</v>
      </c>
      <c r="M4670" s="51" t="s">
        <v>615</v>
      </c>
    </row>
    <row r="4671" spans="1:13" x14ac:dyDescent="0.25">
      <c r="A4671">
        <v>2224</v>
      </c>
      <c r="B4671" s="47" t="str">
        <f>VLOOKUP(Tabla6[[#This Row],['# Vuelo]],'Validacion reclamo de equipaje'!P:Q,2,0)</f>
        <v>INTERAVIÓN</v>
      </c>
      <c r="C4671" s="52">
        <v>0.58402777777777781</v>
      </c>
      <c r="D4671" s="52">
        <v>0.59027777777777779</v>
      </c>
      <c r="E4671" s="53">
        <f>'Reclamo de equipaje rediseñado'!$D4671-'Reclamo de equipaje rediseñado'!$C4671</f>
        <v>6.2499999999999778E-3</v>
      </c>
      <c r="F4671" s="52">
        <v>0.59375</v>
      </c>
      <c r="G4671" s="53">
        <f t="shared" si="72"/>
        <v>3.4722222222222099E-3</v>
      </c>
      <c r="H4671" s="54">
        <v>41793</v>
      </c>
      <c r="I4671" s="55" t="s">
        <v>536</v>
      </c>
      <c r="J4671" s="55">
        <v>320</v>
      </c>
      <c r="K4671" s="55">
        <f>VLOOKUP(J4671,'Validacion reclamo de equipaje'!L:M,2,0)</f>
        <v>179</v>
      </c>
      <c r="L4671" s="55" t="str">
        <f>VLOOKUP(I4671,'Validacion reclamo de equipaje'!H:I,2,0)</f>
        <v>Nacional</v>
      </c>
      <c r="M4671" s="55" t="s">
        <v>615</v>
      </c>
    </row>
    <row r="4672" spans="1:13" x14ac:dyDescent="0.25">
      <c r="A4672">
        <v>2224</v>
      </c>
      <c r="B4672" s="47" t="str">
        <f>VLOOKUP(Tabla6[[#This Row],['# Vuelo]],'Validacion reclamo de equipaje'!P:Q,2,0)</f>
        <v>INTERAVIÓN</v>
      </c>
      <c r="C4672" s="48">
        <v>0.58472222222222225</v>
      </c>
      <c r="D4672" s="48">
        <v>0.59166666666666667</v>
      </c>
      <c r="E4672" s="49">
        <f>'Reclamo de equipaje rediseñado'!$D4672-'Reclamo de equipaje rediseñado'!$C4672</f>
        <v>6.9444444444444198E-3</v>
      </c>
      <c r="F4672" s="48">
        <v>0.59722222222222221</v>
      </c>
      <c r="G4672" s="49">
        <f t="shared" si="72"/>
        <v>5.5555555555555358E-3</v>
      </c>
      <c r="H4672" s="50">
        <v>41794</v>
      </c>
      <c r="I4672" s="51" t="s">
        <v>536</v>
      </c>
      <c r="J4672" s="51">
        <v>320</v>
      </c>
      <c r="K4672" s="51">
        <f>VLOOKUP(J4672,'Validacion reclamo de equipaje'!L:M,2,0)</f>
        <v>179</v>
      </c>
      <c r="L4672" s="51" t="str">
        <f>VLOOKUP(I4672,'Validacion reclamo de equipaje'!H:I,2,0)</f>
        <v>Nacional</v>
      </c>
      <c r="M4672" s="51" t="s">
        <v>615</v>
      </c>
    </row>
    <row r="4673" spans="1:13" x14ac:dyDescent="0.25">
      <c r="A4673">
        <v>2224</v>
      </c>
      <c r="B4673" s="47" t="str">
        <f>VLOOKUP(Tabla6[[#This Row],['# Vuelo]],'Validacion reclamo de equipaje'!P:Q,2,0)</f>
        <v>INTERAVIÓN</v>
      </c>
      <c r="C4673" s="52">
        <v>0.58680555555555558</v>
      </c>
      <c r="D4673" s="52">
        <v>0.58888888888888891</v>
      </c>
      <c r="E4673" s="53">
        <f>'Reclamo de equipaje rediseñado'!$D4673-'Reclamo de equipaje rediseñado'!$C4673</f>
        <v>2.0833333333333259E-3</v>
      </c>
      <c r="F4673" s="52">
        <v>0.59513888888888888</v>
      </c>
      <c r="G4673" s="53">
        <f t="shared" si="72"/>
        <v>6.2499999999999778E-3</v>
      </c>
      <c r="H4673" s="54">
        <v>41795</v>
      </c>
      <c r="I4673" s="55" t="s">
        <v>536</v>
      </c>
      <c r="J4673" s="55">
        <v>320</v>
      </c>
      <c r="K4673" s="55">
        <f>VLOOKUP(J4673,'Validacion reclamo de equipaje'!L:M,2,0)</f>
        <v>179</v>
      </c>
      <c r="L4673" s="55" t="str">
        <f>VLOOKUP(I4673,'Validacion reclamo de equipaje'!H:I,2,0)</f>
        <v>Nacional</v>
      </c>
      <c r="M4673" s="55" t="s">
        <v>615</v>
      </c>
    </row>
    <row r="4674" spans="1:13" x14ac:dyDescent="0.25">
      <c r="A4674">
        <v>2224</v>
      </c>
      <c r="B4674" s="47" t="str">
        <f>VLOOKUP(Tabla6[[#This Row],['# Vuelo]],'Validacion reclamo de equipaje'!P:Q,2,0)</f>
        <v>INTERAVIÓN</v>
      </c>
      <c r="C4674" s="48">
        <v>0.58333333333333337</v>
      </c>
      <c r="D4674" s="48">
        <v>0.58819444444444446</v>
      </c>
      <c r="E4674" s="49">
        <f>'Reclamo de equipaje rediseñado'!$D4674-'Reclamo de equipaje rediseñado'!$C4674</f>
        <v>4.8611111111110938E-3</v>
      </c>
      <c r="F4674" s="48">
        <v>0.59375</v>
      </c>
      <c r="G4674" s="49">
        <f t="shared" si="72"/>
        <v>5.5555555555555358E-3</v>
      </c>
      <c r="H4674" s="50">
        <v>41796</v>
      </c>
      <c r="I4674" s="51" t="s">
        <v>536</v>
      </c>
      <c r="J4674" s="51">
        <v>320</v>
      </c>
      <c r="K4674" s="51">
        <f>VLOOKUP(J4674,'Validacion reclamo de equipaje'!L:M,2,0)</f>
        <v>179</v>
      </c>
      <c r="L4674" s="51" t="str">
        <f>VLOOKUP(I4674,'Validacion reclamo de equipaje'!H:I,2,0)</f>
        <v>Nacional</v>
      </c>
      <c r="M4674" s="51" t="s">
        <v>615</v>
      </c>
    </row>
    <row r="4675" spans="1:13" x14ac:dyDescent="0.25">
      <c r="A4675">
        <v>2224</v>
      </c>
      <c r="B4675" s="47" t="str">
        <f>VLOOKUP(Tabla6[[#This Row],['# Vuelo]],'Validacion reclamo de equipaje'!P:Q,2,0)</f>
        <v>INTERAVIÓN</v>
      </c>
      <c r="C4675" s="52">
        <v>0.60416666666666663</v>
      </c>
      <c r="D4675" s="52">
        <v>0.60763888888888895</v>
      </c>
      <c r="E4675" s="53">
        <f>'Reclamo de equipaje rediseñado'!$D4675-'Reclamo de equipaje rediseñado'!$C4675</f>
        <v>3.4722222222223209E-3</v>
      </c>
      <c r="F4675" s="52">
        <v>0.6166666666666667</v>
      </c>
      <c r="G4675" s="53">
        <f t="shared" ref="G4675:G4738" si="73">F4675-D4675</f>
        <v>9.0277777777777457E-3</v>
      </c>
      <c r="H4675" s="54">
        <v>41799</v>
      </c>
      <c r="I4675" s="55" t="s">
        <v>536</v>
      </c>
      <c r="J4675" s="55">
        <v>320</v>
      </c>
      <c r="K4675" s="55">
        <f>VLOOKUP(J4675,'Validacion reclamo de equipaje'!L:M,2,0)</f>
        <v>179</v>
      </c>
      <c r="L4675" s="55" t="str">
        <f>VLOOKUP(I4675,'Validacion reclamo de equipaje'!H:I,2,0)</f>
        <v>Nacional</v>
      </c>
      <c r="M4675" s="55" t="s">
        <v>615</v>
      </c>
    </row>
    <row r="4676" spans="1:13" x14ac:dyDescent="0.25">
      <c r="A4676">
        <v>2224</v>
      </c>
      <c r="B4676" s="47" t="str">
        <f>VLOOKUP(Tabla6[[#This Row],['# Vuelo]],'Validacion reclamo de equipaje'!P:Q,2,0)</f>
        <v>INTERAVIÓN</v>
      </c>
      <c r="C4676" s="48">
        <v>0.8666666666666667</v>
      </c>
      <c r="D4676" s="48">
        <v>0.88402777777777775</v>
      </c>
      <c r="E4676" s="49">
        <f>'Reclamo de equipaje rediseñado'!$D4676-'Reclamo de equipaje rediseñado'!$C4676</f>
        <v>1.7361111111111049E-2</v>
      </c>
      <c r="F4676" s="48">
        <v>0.88888888888888884</v>
      </c>
      <c r="G4676" s="49">
        <f t="shared" si="73"/>
        <v>4.8611111111110938E-3</v>
      </c>
      <c r="H4676" s="50">
        <v>41801</v>
      </c>
      <c r="I4676" s="51" t="s">
        <v>536</v>
      </c>
      <c r="J4676" s="51">
        <v>320</v>
      </c>
      <c r="K4676" s="51">
        <f>VLOOKUP(J4676,'Validacion reclamo de equipaje'!L:M,2,0)</f>
        <v>179</v>
      </c>
      <c r="L4676" s="51" t="str">
        <f>VLOOKUP(I4676,'Validacion reclamo de equipaje'!H:I,2,0)</f>
        <v>Nacional</v>
      </c>
      <c r="M4676" s="51" t="s">
        <v>615</v>
      </c>
    </row>
    <row r="4677" spans="1:13" x14ac:dyDescent="0.25">
      <c r="A4677">
        <v>2224</v>
      </c>
      <c r="B4677" s="47" t="str">
        <f>VLOOKUP(Tabla6[[#This Row],['# Vuelo]],'Validacion reclamo de equipaje'!P:Q,2,0)</f>
        <v>INTERAVIÓN</v>
      </c>
      <c r="C4677" s="52">
        <v>0.58680555555555558</v>
      </c>
      <c r="D4677" s="52">
        <v>0.59305555555555556</v>
      </c>
      <c r="E4677" s="53">
        <f>'Reclamo de equipaje rediseñado'!$D4677-'Reclamo de equipaje rediseñado'!$C4677</f>
        <v>6.2499999999999778E-3</v>
      </c>
      <c r="F4677" s="52">
        <v>0.60138888888888886</v>
      </c>
      <c r="G4677" s="53">
        <f t="shared" si="73"/>
        <v>8.3333333333333037E-3</v>
      </c>
      <c r="H4677" s="54">
        <v>41801</v>
      </c>
      <c r="I4677" s="55" t="s">
        <v>536</v>
      </c>
      <c r="J4677" s="55">
        <v>320</v>
      </c>
      <c r="K4677" s="55">
        <f>VLOOKUP(J4677,'Validacion reclamo de equipaje'!L:M,2,0)</f>
        <v>179</v>
      </c>
      <c r="L4677" s="55" t="str">
        <f>VLOOKUP(I4677,'Validacion reclamo de equipaje'!H:I,2,0)</f>
        <v>Nacional</v>
      </c>
      <c r="M4677" s="55" t="s">
        <v>615</v>
      </c>
    </row>
    <row r="4678" spans="1:13" x14ac:dyDescent="0.25">
      <c r="A4678">
        <v>2224</v>
      </c>
      <c r="B4678" s="47" t="str">
        <f>VLOOKUP(Tabla6[[#This Row],['# Vuelo]],'Validacion reclamo de equipaje'!P:Q,2,0)</f>
        <v>INTERAVIÓN</v>
      </c>
      <c r="C4678" s="48">
        <v>0.69027777777777777</v>
      </c>
      <c r="D4678" s="48">
        <v>0.7055555555555556</v>
      </c>
      <c r="E4678" s="49">
        <f>'Reclamo de equipaje rediseñado'!$D4678-'Reclamo de equipaje rediseñado'!$C4678</f>
        <v>1.5277777777777835E-2</v>
      </c>
      <c r="F4678" s="48">
        <v>0.71666666666666667</v>
      </c>
      <c r="G4678" s="49">
        <f t="shared" si="73"/>
        <v>1.1111111111111072E-2</v>
      </c>
      <c r="H4678" s="50">
        <v>41802</v>
      </c>
      <c r="I4678" s="51" t="s">
        <v>536</v>
      </c>
      <c r="J4678" s="51">
        <v>320</v>
      </c>
      <c r="K4678" s="51">
        <f>VLOOKUP(J4678,'Validacion reclamo de equipaje'!L:M,2,0)</f>
        <v>179</v>
      </c>
      <c r="L4678" s="51" t="str">
        <f>VLOOKUP(I4678,'Validacion reclamo de equipaje'!H:I,2,0)</f>
        <v>Nacional</v>
      </c>
      <c r="M4678" s="51" t="s">
        <v>615</v>
      </c>
    </row>
    <row r="4679" spans="1:13" x14ac:dyDescent="0.25">
      <c r="A4679">
        <v>2224</v>
      </c>
      <c r="B4679" s="47" t="str">
        <f>VLOOKUP(Tabla6[[#This Row],['# Vuelo]],'Validacion reclamo de equipaje'!P:Q,2,0)</f>
        <v>INTERAVIÓN</v>
      </c>
      <c r="C4679" s="52">
        <v>0.90416666666666667</v>
      </c>
      <c r="D4679" s="52">
        <v>0.91805555555555562</v>
      </c>
      <c r="E4679" s="53">
        <f>'Reclamo de equipaje rediseñado'!$D4679-'Reclamo de equipaje rediseñado'!$C4679</f>
        <v>1.3888888888888951E-2</v>
      </c>
      <c r="F4679" s="52">
        <v>0.92291666666666661</v>
      </c>
      <c r="G4679" s="53">
        <f t="shared" si="73"/>
        <v>4.8611111111109828E-3</v>
      </c>
      <c r="H4679" s="54">
        <v>41803</v>
      </c>
      <c r="I4679" s="55" t="s">
        <v>536</v>
      </c>
      <c r="J4679" s="55">
        <v>320</v>
      </c>
      <c r="K4679" s="55">
        <f>VLOOKUP(J4679,'Validacion reclamo de equipaje'!L:M,2,0)</f>
        <v>179</v>
      </c>
      <c r="L4679" s="55" t="str">
        <f>VLOOKUP(I4679,'Validacion reclamo de equipaje'!H:I,2,0)</f>
        <v>Nacional</v>
      </c>
      <c r="M4679" s="55" t="s">
        <v>615</v>
      </c>
    </row>
    <row r="4680" spans="1:13" x14ac:dyDescent="0.25">
      <c r="A4680">
        <v>2224</v>
      </c>
      <c r="B4680" s="47" t="str">
        <f>VLOOKUP(Tabla6[[#This Row],['# Vuelo]],'Validacion reclamo de equipaje'!P:Q,2,0)</f>
        <v>INTERAVIÓN</v>
      </c>
      <c r="C4680" s="48">
        <v>0.59930555555555554</v>
      </c>
      <c r="D4680" s="48">
        <v>0.60486111111111118</v>
      </c>
      <c r="E4680" s="49">
        <f>'Reclamo de equipaje rediseñado'!$D4680-'Reclamo de equipaje rediseñado'!$C4680</f>
        <v>5.5555555555556468E-3</v>
      </c>
      <c r="F4680" s="48">
        <v>0.61388888888888882</v>
      </c>
      <c r="G4680" s="49">
        <f t="shared" si="73"/>
        <v>9.0277777777776347E-3</v>
      </c>
      <c r="H4680" s="50">
        <v>41809</v>
      </c>
      <c r="I4680" s="51" t="s">
        <v>536</v>
      </c>
      <c r="J4680" s="51">
        <v>320</v>
      </c>
      <c r="K4680" s="51">
        <f>VLOOKUP(J4680,'Validacion reclamo de equipaje'!L:M,2,0)</f>
        <v>179</v>
      </c>
      <c r="L4680" s="51" t="str">
        <f>VLOOKUP(I4680,'Validacion reclamo de equipaje'!H:I,2,0)</f>
        <v>Nacional</v>
      </c>
      <c r="M4680" s="51" t="s">
        <v>615</v>
      </c>
    </row>
    <row r="4681" spans="1:13" x14ac:dyDescent="0.25">
      <c r="A4681">
        <v>2224</v>
      </c>
      <c r="B4681" s="47" t="str">
        <f>VLOOKUP(Tabla6[[#This Row],['# Vuelo]],'Validacion reclamo de equipaje'!P:Q,2,0)</f>
        <v>INTERAVIÓN</v>
      </c>
      <c r="C4681" s="52">
        <v>0.59652777777777777</v>
      </c>
      <c r="D4681" s="52">
        <v>0.60069444444444442</v>
      </c>
      <c r="E4681" s="53">
        <f>'Reclamo de equipaje rediseñado'!$D4681-'Reclamo de equipaje rediseñado'!$C4681</f>
        <v>4.1666666666666519E-3</v>
      </c>
      <c r="F4681" s="52">
        <v>0.60902777777777783</v>
      </c>
      <c r="G4681" s="53">
        <f t="shared" si="73"/>
        <v>8.3333333333334147E-3</v>
      </c>
      <c r="H4681" s="54">
        <v>41810</v>
      </c>
      <c r="I4681" s="55" t="s">
        <v>536</v>
      </c>
      <c r="J4681" s="55">
        <v>320</v>
      </c>
      <c r="K4681" s="55">
        <f>VLOOKUP(J4681,'Validacion reclamo de equipaje'!L:M,2,0)</f>
        <v>179</v>
      </c>
      <c r="L4681" s="55" t="str">
        <f>VLOOKUP(I4681,'Validacion reclamo de equipaje'!H:I,2,0)</f>
        <v>Nacional</v>
      </c>
      <c r="M4681" s="55" t="s">
        <v>615</v>
      </c>
    </row>
    <row r="4682" spans="1:13" x14ac:dyDescent="0.25">
      <c r="A4682">
        <v>2222</v>
      </c>
      <c r="B4682" s="47" t="str">
        <f>VLOOKUP(Tabla6[[#This Row],['# Vuelo]],'Validacion reclamo de equipaje'!P:Q,2,0)</f>
        <v>INTERAVIÓN</v>
      </c>
      <c r="C4682" s="48">
        <v>0.2388888888888889</v>
      </c>
      <c r="D4682" s="48">
        <v>0.24513888888888888</v>
      </c>
      <c r="E4682" s="49">
        <f>'Reclamo de equipaje rediseñado'!$D4682-'Reclamo de equipaje rediseñado'!$C4682</f>
        <v>6.2499999999999778E-3</v>
      </c>
      <c r="F4682" s="48">
        <v>0.24861111111111112</v>
      </c>
      <c r="G4682" s="49">
        <f t="shared" si="73"/>
        <v>3.4722222222222376E-3</v>
      </c>
      <c r="H4682" s="50">
        <v>41793</v>
      </c>
      <c r="I4682" s="51" t="s">
        <v>536</v>
      </c>
      <c r="J4682" s="51">
        <v>320</v>
      </c>
      <c r="K4682" s="51">
        <f>VLOOKUP(J4682,'Validacion reclamo de equipaje'!L:M,2,0)</f>
        <v>179</v>
      </c>
      <c r="L4682" s="51" t="str">
        <f>VLOOKUP(I4682,'Validacion reclamo de equipaje'!H:I,2,0)</f>
        <v>Nacional</v>
      </c>
      <c r="M4682" s="51" t="s">
        <v>615</v>
      </c>
    </row>
    <row r="4683" spans="1:13" x14ac:dyDescent="0.25">
      <c r="A4683">
        <v>2222</v>
      </c>
      <c r="B4683" s="47" t="str">
        <f>VLOOKUP(Tabla6[[#This Row],['# Vuelo]],'Validacion reclamo de equipaje'!P:Q,2,0)</f>
        <v>INTERAVIÓN</v>
      </c>
      <c r="C4683" s="52">
        <v>0.25138888888888888</v>
      </c>
      <c r="D4683" s="52">
        <v>0.25625000000000003</v>
      </c>
      <c r="E4683" s="53">
        <f>'Reclamo de equipaje rediseñado'!$D4683-'Reclamo de equipaje rediseñado'!$C4683</f>
        <v>4.8611111111111494E-3</v>
      </c>
      <c r="F4683" s="52">
        <v>0.26250000000000001</v>
      </c>
      <c r="G4683" s="53">
        <f t="shared" si="73"/>
        <v>6.2499999999999778E-3</v>
      </c>
      <c r="H4683" s="54">
        <v>41793</v>
      </c>
      <c r="I4683" s="55" t="s">
        <v>536</v>
      </c>
      <c r="J4683" s="55">
        <v>320</v>
      </c>
      <c r="K4683" s="55">
        <f>VLOOKUP(J4683,'Validacion reclamo de equipaje'!L:M,2,0)</f>
        <v>179</v>
      </c>
      <c r="L4683" s="55" t="str">
        <f>VLOOKUP(I4683,'Validacion reclamo de equipaje'!H:I,2,0)</f>
        <v>Nacional</v>
      </c>
      <c r="M4683" s="55" t="s">
        <v>615</v>
      </c>
    </row>
    <row r="4684" spans="1:13" x14ac:dyDescent="0.25">
      <c r="A4684">
        <v>2222</v>
      </c>
      <c r="B4684" s="47" t="str">
        <f>VLOOKUP(Tabla6[[#This Row],['# Vuelo]],'Validacion reclamo de equipaje'!P:Q,2,0)</f>
        <v>INTERAVIÓN</v>
      </c>
      <c r="C4684" s="48">
        <v>0.25</v>
      </c>
      <c r="D4684" s="48">
        <v>0.25486111111111109</v>
      </c>
      <c r="E4684" s="49">
        <f>'Reclamo de equipaje rediseñado'!$D4684-'Reclamo de equipaje rediseñado'!$C4684</f>
        <v>4.8611111111110938E-3</v>
      </c>
      <c r="F4684" s="48">
        <v>0.25833333333333336</v>
      </c>
      <c r="G4684" s="49">
        <f t="shared" si="73"/>
        <v>3.4722222222222654E-3</v>
      </c>
      <c r="H4684" s="50">
        <v>41794</v>
      </c>
      <c r="I4684" s="51" t="s">
        <v>536</v>
      </c>
      <c r="J4684" s="51">
        <v>320</v>
      </c>
      <c r="K4684" s="51">
        <f>VLOOKUP(J4684,'Validacion reclamo de equipaje'!L:M,2,0)</f>
        <v>179</v>
      </c>
      <c r="L4684" s="51" t="str">
        <f>VLOOKUP(I4684,'Validacion reclamo de equipaje'!H:I,2,0)</f>
        <v>Nacional</v>
      </c>
      <c r="M4684" s="51" t="s">
        <v>615</v>
      </c>
    </row>
    <row r="4685" spans="1:13" x14ac:dyDescent="0.25">
      <c r="A4685">
        <v>2222</v>
      </c>
      <c r="B4685" s="47" t="str">
        <f>VLOOKUP(Tabla6[[#This Row],['# Vuelo]],'Validacion reclamo de equipaje'!P:Q,2,0)</f>
        <v>INTERAVIÓN</v>
      </c>
      <c r="C4685" s="52">
        <v>0.24513888888888888</v>
      </c>
      <c r="D4685" s="52">
        <v>0.25</v>
      </c>
      <c r="E4685" s="53">
        <f>'Reclamo de equipaje rediseñado'!$D4685-'Reclamo de equipaje rediseñado'!$C4685</f>
        <v>4.8611111111111216E-3</v>
      </c>
      <c r="F4685" s="52">
        <v>0.25555555555555559</v>
      </c>
      <c r="G4685" s="53">
        <f t="shared" si="73"/>
        <v>5.5555555555555913E-3</v>
      </c>
      <c r="H4685" s="54">
        <v>41795</v>
      </c>
      <c r="I4685" s="55" t="s">
        <v>536</v>
      </c>
      <c r="J4685" s="55">
        <v>320</v>
      </c>
      <c r="K4685" s="55">
        <f>VLOOKUP(J4685,'Validacion reclamo de equipaje'!L:M,2,0)</f>
        <v>179</v>
      </c>
      <c r="L4685" s="55" t="str">
        <f>VLOOKUP(I4685,'Validacion reclamo de equipaje'!H:I,2,0)</f>
        <v>Nacional</v>
      </c>
      <c r="M4685" s="55" t="s">
        <v>615</v>
      </c>
    </row>
    <row r="4686" spans="1:13" x14ac:dyDescent="0.25">
      <c r="A4686">
        <v>2222</v>
      </c>
      <c r="B4686" s="47" t="str">
        <f>VLOOKUP(Tabla6[[#This Row],['# Vuelo]],'Validacion reclamo de equipaje'!P:Q,2,0)</f>
        <v>INTERAVIÓN</v>
      </c>
      <c r="C4686" s="48">
        <v>0.24305555555555555</v>
      </c>
      <c r="D4686" s="48">
        <v>0.24791666666666667</v>
      </c>
      <c r="E4686" s="49">
        <f>'Reclamo de equipaje rediseñado'!$D4686-'Reclamo de equipaje rediseñado'!$C4686</f>
        <v>4.8611111111111216E-3</v>
      </c>
      <c r="F4686" s="48">
        <v>0.25208333333333333</v>
      </c>
      <c r="G4686" s="49">
        <f t="shared" si="73"/>
        <v>4.1666666666666519E-3</v>
      </c>
      <c r="H4686" s="50">
        <v>41799</v>
      </c>
      <c r="I4686" s="51" t="s">
        <v>536</v>
      </c>
      <c r="J4686" s="51">
        <v>320</v>
      </c>
      <c r="K4686" s="51">
        <f>VLOOKUP(J4686,'Validacion reclamo de equipaje'!L:M,2,0)</f>
        <v>179</v>
      </c>
      <c r="L4686" s="51" t="str">
        <f>VLOOKUP(I4686,'Validacion reclamo de equipaje'!H:I,2,0)</f>
        <v>Nacional</v>
      </c>
      <c r="M4686" s="51" t="s">
        <v>615</v>
      </c>
    </row>
    <row r="4687" spans="1:13" x14ac:dyDescent="0.25">
      <c r="A4687">
        <v>2222</v>
      </c>
      <c r="B4687" s="47" t="str">
        <f>VLOOKUP(Tabla6[[#This Row],['# Vuelo]],'Validacion reclamo de equipaje'!P:Q,2,0)</f>
        <v>INTERAVIÓN</v>
      </c>
      <c r="C4687" s="52">
        <v>0.39374999999999999</v>
      </c>
      <c r="D4687" s="52">
        <v>0.39930555555555558</v>
      </c>
      <c r="E4687" s="53">
        <f>'Reclamo de equipaje rediseñado'!$D4687-'Reclamo de equipaje rediseñado'!$C4687</f>
        <v>5.5555555555555913E-3</v>
      </c>
      <c r="F4687" s="52">
        <v>0.40625</v>
      </c>
      <c r="G4687" s="53">
        <f t="shared" si="73"/>
        <v>6.9444444444444198E-3</v>
      </c>
      <c r="H4687" s="54">
        <v>41800</v>
      </c>
      <c r="I4687" s="55" t="s">
        <v>536</v>
      </c>
      <c r="J4687" s="55">
        <v>320</v>
      </c>
      <c r="K4687" s="55">
        <f>VLOOKUP(J4687,'Validacion reclamo de equipaje'!L:M,2,0)</f>
        <v>179</v>
      </c>
      <c r="L4687" s="55" t="str">
        <f>VLOOKUP(I4687,'Validacion reclamo de equipaje'!H:I,2,0)</f>
        <v>Nacional</v>
      </c>
      <c r="M4687" s="55" t="s">
        <v>615</v>
      </c>
    </row>
    <row r="4688" spans="1:13" x14ac:dyDescent="0.25">
      <c r="A4688">
        <v>2222</v>
      </c>
      <c r="B4688" s="47" t="str">
        <f>VLOOKUP(Tabla6[[#This Row],['# Vuelo]],'Validacion reclamo de equipaje'!P:Q,2,0)</f>
        <v>INTERAVIÓN</v>
      </c>
      <c r="C4688" s="48">
        <v>0.58611111111111114</v>
      </c>
      <c r="D4688" s="48">
        <v>0.59166666666666667</v>
      </c>
      <c r="E4688" s="49">
        <f>'Reclamo de equipaje rediseñado'!$D4688-'Reclamo de equipaje rediseñado'!$C4688</f>
        <v>5.5555555555555358E-3</v>
      </c>
      <c r="F4688" s="48">
        <v>0.59930555555555554</v>
      </c>
      <c r="G4688" s="49">
        <f t="shared" si="73"/>
        <v>7.6388888888888618E-3</v>
      </c>
      <c r="H4688" s="50">
        <v>41801</v>
      </c>
      <c r="I4688" s="51" t="s">
        <v>536</v>
      </c>
      <c r="J4688" s="51">
        <v>320</v>
      </c>
      <c r="K4688" s="51">
        <f>VLOOKUP(J4688,'Validacion reclamo de equipaje'!L:M,2,0)</f>
        <v>179</v>
      </c>
      <c r="L4688" s="51" t="str">
        <f>VLOOKUP(I4688,'Validacion reclamo de equipaje'!H:I,2,0)</f>
        <v>Nacional</v>
      </c>
      <c r="M4688" s="51" t="s">
        <v>615</v>
      </c>
    </row>
    <row r="4689" spans="1:13" x14ac:dyDescent="0.25">
      <c r="A4689">
        <v>2222</v>
      </c>
      <c r="B4689" s="47" t="str">
        <f>VLOOKUP(Tabla6[[#This Row],['# Vuelo]],'Validacion reclamo de equipaje'!P:Q,2,0)</f>
        <v>INTERAVIÓN</v>
      </c>
      <c r="C4689" s="52">
        <v>0.56805555555555554</v>
      </c>
      <c r="D4689" s="52">
        <v>0.57500000000000007</v>
      </c>
      <c r="E4689" s="53">
        <f>'Reclamo de equipaje rediseñado'!$D4689-'Reclamo de equipaje rediseñado'!$C4689</f>
        <v>6.9444444444445308E-3</v>
      </c>
      <c r="F4689" s="52">
        <v>0.58680555555555558</v>
      </c>
      <c r="G4689" s="53">
        <f t="shared" si="73"/>
        <v>1.1805555555555514E-2</v>
      </c>
      <c r="H4689" s="54">
        <v>41802</v>
      </c>
      <c r="I4689" s="55" t="s">
        <v>536</v>
      </c>
      <c r="J4689" s="55">
        <v>320</v>
      </c>
      <c r="K4689" s="55">
        <f>VLOOKUP(J4689,'Validacion reclamo de equipaje'!L:M,2,0)</f>
        <v>179</v>
      </c>
      <c r="L4689" s="55" t="str">
        <f>VLOOKUP(I4689,'Validacion reclamo de equipaje'!H:I,2,0)</f>
        <v>Nacional</v>
      </c>
      <c r="M4689" s="55" t="s">
        <v>615</v>
      </c>
    </row>
    <row r="4690" spans="1:13" x14ac:dyDescent="0.25">
      <c r="A4690">
        <v>2222</v>
      </c>
      <c r="B4690" s="47" t="str">
        <f>VLOOKUP(Tabla6[[#This Row],['# Vuelo]],'Validacion reclamo de equipaje'!P:Q,2,0)</f>
        <v>INTERAVIÓN</v>
      </c>
      <c r="C4690" s="48">
        <v>0.91388888888888886</v>
      </c>
      <c r="D4690" s="48">
        <v>0.9243055555555556</v>
      </c>
      <c r="E4690" s="49">
        <f>'Reclamo de equipaje rediseñado'!$D4690-'Reclamo de equipaje rediseñado'!$C4690</f>
        <v>1.0416666666666741E-2</v>
      </c>
      <c r="F4690" s="48">
        <v>0.94305555555555554</v>
      </c>
      <c r="G4690" s="49">
        <f t="shared" si="73"/>
        <v>1.8749999999999933E-2</v>
      </c>
      <c r="H4690" s="50">
        <v>41806</v>
      </c>
      <c r="I4690" s="51" t="s">
        <v>536</v>
      </c>
      <c r="J4690" s="51">
        <v>320</v>
      </c>
      <c r="K4690" s="51">
        <f>VLOOKUP(J4690,'Validacion reclamo de equipaje'!L:M,2,0)</f>
        <v>179</v>
      </c>
      <c r="L4690" s="51" t="str">
        <f>VLOOKUP(I4690,'Validacion reclamo de equipaje'!H:I,2,0)</f>
        <v>Nacional</v>
      </c>
      <c r="M4690" s="51" t="s">
        <v>615</v>
      </c>
    </row>
    <row r="4691" spans="1:13" x14ac:dyDescent="0.25">
      <c r="A4691">
        <v>2222</v>
      </c>
      <c r="B4691" s="47" t="str">
        <f>VLOOKUP(Tabla6[[#This Row],['# Vuelo]],'Validacion reclamo de equipaje'!P:Q,2,0)</f>
        <v>INTERAVIÓN</v>
      </c>
      <c r="C4691" s="52">
        <v>0.24236111111111111</v>
      </c>
      <c r="D4691" s="52">
        <v>0.24861111111111112</v>
      </c>
      <c r="E4691" s="53">
        <f>'Reclamo de equipaje rediseñado'!$D4691-'Reclamo de equipaje rediseñado'!$C4691</f>
        <v>6.2500000000000056E-3</v>
      </c>
      <c r="F4691" s="52">
        <v>0.25138888888888888</v>
      </c>
      <c r="G4691" s="53">
        <f t="shared" si="73"/>
        <v>2.7777777777777679E-3</v>
      </c>
      <c r="H4691" s="54">
        <v>41808</v>
      </c>
      <c r="I4691" s="55" t="s">
        <v>536</v>
      </c>
      <c r="J4691" s="55">
        <v>320</v>
      </c>
      <c r="K4691" s="55">
        <f>VLOOKUP(J4691,'Validacion reclamo de equipaje'!L:M,2,0)</f>
        <v>179</v>
      </c>
      <c r="L4691" s="55" t="str">
        <f>VLOOKUP(I4691,'Validacion reclamo de equipaje'!H:I,2,0)</f>
        <v>Nacional</v>
      </c>
      <c r="M4691" s="55" t="s">
        <v>615</v>
      </c>
    </row>
    <row r="4692" spans="1:13" x14ac:dyDescent="0.25">
      <c r="A4692">
        <v>2222</v>
      </c>
      <c r="B4692" s="47" t="str">
        <f>VLOOKUP(Tabla6[[#This Row],['# Vuelo]],'Validacion reclamo de equipaje'!P:Q,2,0)</f>
        <v>INTERAVIÓN</v>
      </c>
      <c r="C4692" s="48">
        <v>0.24791666666666667</v>
      </c>
      <c r="D4692" s="48">
        <v>0.25625000000000003</v>
      </c>
      <c r="E4692" s="49">
        <f>'Reclamo de equipaje rediseñado'!$D4692-'Reclamo de equipaje rediseñado'!$C4692</f>
        <v>8.3333333333333592E-3</v>
      </c>
      <c r="F4692" s="48">
        <v>0.25833333333333336</v>
      </c>
      <c r="G4692" s="49">
        <f t="shared" si="73"/>
        <v>2.0833333333333259E-3</v>
      </c>
      <c r="H4692" s="50">
        <v>41809</v>
      </c>
      <c r="I4692" s="51" t="s">
        <v>536</v>
      </c>
      <c r="J4692" s="51">
        <v>320</v>
      </c>
      <c r="K4692" s="51">
        <f>VLOOKUP(J4692,'Validacion reclamo de equipaje'!L:M,2,0)</f>
        <v>179</v>
      </c>
      <c r="L4692" s="51" t="str">
        <f>VLOOKUP(I4692,'Validacion reclamo de equipaje'!H:I,2,0)</f>
        <v>Nacional</v>
      </c>
      <c r="M4692" s="51" t="s">
        <v>615</v>
      </c>
    </row>
    <row r="4693" spans="1:13" x14ac:dyDescent="0.25">
      <c r="A4693">
        <v>2222</v>
      </c>
      <c r="B4693" s="47" t="str">
        <f>VLOOKUP(Tabla6[[#This Row],['# Vuelo]],'Validacion reclamo de equipaje'!P:Q,2,0)</f>
        <v>INTERAVIÓN</v>
      </c>
      <c r="C4693" s="52">
        <v>0.24722222222222223</v>
      </c>
      <c r="D4693" s="52">
        <v>0.25138888888888888</v>
      </c>
      <c r="E4693" s="53">
        <f>'Reclamo de equipaje rediseñado'!$D4693-'Reclamo de equipaje rediseñado'!$C4693</f>
        <v>4.1666666666666519E-3</v>
      </c>
      <c r="F4693" s="52">
        <v>0.25694444444444448</v>
      </c>
      <c r="G4693" s="53">
        <f t="shared" si="73"/>
        <v>5.5555555555555913E-3</v>
      </c>
      <c r="H4693" s="54">
        <v>41813</v>
      </c>
      <c r="I4693" s="55" t="s">
        <v>536</v>
      </c>
      <c r="J4693" s="55">
        <v>320</v>
      </c>
      <c r="K4693" s="55">
        <f>VLOOKUP(J4693,'Validacion reclamo de equipaje'!L:M,2,0)</f>
        <v>179</v>
      </c>
      <c r="L4693" s="55" t="str">
        <f>VLOOKUP(I4693,'Validacion reclamo de equipaje'!H:I,2,0)</f>
        <v>Nacional</v>
      </c>
      <c r="M4693" s="55" t="s">
        <v>615</v>
      </c>
    </row>
    <row r="4694" spans="1:13" x14ac:dyDescent="0.25">
      <c r="A4694">
        <v>2220</v>
      </c>
      <c r="B4694" s="47" t="str">
        <f>VLOOKUP(Tabla6[[#This Row],['# Vuelo]],'Validacion reclamo de equipaje'!P:Q,2,0)</f>
        <v>INTERAVIÓN</v>
      </c>
      <c r="C4694" s="48">
        <v>0.8340277777777777</v>
      </c>
      <c r="D4694" s="48">
        <v>0.84027777777777779</v>
      </c>
      <c r="E4694" s="49">
        <f>'Reclamo de equipaje rediseñado'!$D4694-'Reclamo de equipaje rediseñado'!$C4694</f>
        <v>6.2500000000000888E-3</v>
      </c>
      <c r="F4694" s="48">
        <v>0.84583333333333333</v>
      </c>
      <c r="G4694" s="49">
        <f t="shared" si="73"/>
        <v>5.5555555555555358E-3</v>
      </c>
      <c r="H4694" s="50">
        <v>41791</v>
      </c>
      <c r="I4694" s="51" t="s">
        <v>536</v>
      </c>
      <c r="J4694" s="51">
        <v>320</v>
      </c>
      <c r="K4694" s="51">
        <f>VLOOKUP(J4694,'Validacion reclamo de equipaje'!L:M,2,0)</f>
        <v>179</v>
      </c>
      <c r="L4694" s="51" t="str">
        <f>VLOOKUP(I4694,'Validacion reclamo de equipaje'!H:I,2,0)</f>
        <v>Nacional</v>
      </c>
      <c r="M4694" s="51" t="s">
        <v>615</v>
      </c>
    </row>
    <row r="4695" spans="1:13" x14ac:dyDescent="0.25">
      <c r="A4695">
        <v>2220</v>
      </c>
      <c r="B4695" s="47" t="str">
        <f>VLOOKUP(Tabla6[[#This Row],['# Vuelo]],'Validacion reclamo de equipaje'!P:Q,2,0)</f>
        <v>INTERAVIÓN</v>
      </c>
      <c r="C4695" s="52">
        <v>0.8569444444444444</v>
      </c>
      <c r="D4695" s="52">
        <v>0.8666666666666667</v>
      </c>
      <c r="E4695" s="53">
        <f>'Reclamo de equipaje rediseñado'!$D4695-'Reclamo de equipaje rediseñado'!$C4695</f>
        <v>9.7222222222222987E-3</v>
      </c>
      <c r="F4695" s="52">
        <v>0.88194444444444453</v>
      </c>
      <c r="G4695" s="53">
        <f t="shared" si="73"/>
        <v>1.5277777777777835E-2</v>
      </c>
      <c r="H4695" s="54">
        <v>41796</v>
      </c>
      <c r="I4695" s="55" t="s">
        <v>536</v>
      </c>
      <c r="J4695" s="55">
        <v>320</v>
      </c>
      <c r="K4695" s="55">
        <f>VLOOKUP(J4695,'Validacion reclamo de equipaje'!L:M,2,0)</f>
        <v>179</v>
      </c>
      <c r="L4695" s="55" t="str">
        <f>VLOOKUP(I4695,'Validacion reclamo de equipaje'!H:I,2,0)</f>
        <v>Nacional</v>
      </c>
      <c r="M4695" s="55" t="s">
        <v>615</v>
      </c>
    </row>
    <row r="4696" spans="1:13" x14ac:dyDescent="0.25">
      <c r="A4696">
        <v>2220</v>
      </c>
      <c r="B4696" s="47" t="str">
        <f>VLOOKUP(Tabla6[[#This Row],['# Vuelo]],'Validacion reclamo de equipaje'!P:Q,2,0)</f>
        <v>INTERAVIÓN</v>
      </c>
      <c r="C4696" s="48">
        <v>0.71597222222222223</v>
      </c>
      <c r="D4696" s="48">
        <v>0.72083333333333333</v>
      </c>
      <c r="E4696" s="49">
        <f>'Reclamo de equipaje rediseñado'!$D4696-'Reclamo de equipaje rediseñado'!$C4696</f>
        <v>4.8611111111110938E-3</v>
      </c>
      <c r="F4696" s="48">
        <v>0.72569444444444453</v>
      </c>
      <c r="G4696" s="49">
        <f t="shared" si="73"/>
        <v>4.8611111111112049E-3</v>
      </c>
      <c r="H4696" s="50">
        <v>41797</v>
      </c>
      <c r="I4696" s="51" t="s">
        <v>536</v>
      </c>
      <c r="J4696" s="51">
        <v>320</v>
      </c>
      <c r="K4696" s="51">
        <f>VLOOKUP(J4696,'Validacion reclamo de equipaje'!L:M,2,0)</f>
        <v>179</v>
      </c>
      <c r="L4696" s="51" t="str">
        <f>VLOOKUP(I4696,'Validacion reclamo de equipaje'!H:I,2,0)</f>
        <v>Nacional</v>
      </c>
      <c r="M4696" s="51" t="s">
        <v>615</v>
      </c>
    </row>
    <row r="4697" spans="1:13" x14ac:dyDescent="0.25">
      <c r="A4697">
        <v>2220</v>
      </c>
      <c r="B4697" s="47" t="str">
        <f>VLOOKUP(Tabla6[[#This Row],['# Vuelo]],'Validacion reclamo de equipaje'!P:Q,2,0)</f>
        <v>INTERAVIÓN</v>
      </c>
      <c r="C4697" s="52">
        <v>0.7993055555555556</v>
      </c>
      <c r="D4697" s="52">
        <v>0.80486111111111114</v>
      </c>
      <c r="E4697" s="53">
        <f>'Reclamo de equipaje rediseñado'!$D4697-'Reclamo de equipaje rediseñado'!$C4697</f>
        <v>5.5555555555555358E-3</v>
      </c>
      <c r="F4697" s="52">
        <v>0.81111111111111101</v>
      </c>
      <c r="G4697" s="53">
        <f t="shared" si="73"/>
        <v>6.2499999999998668E-3</v>
      </c>
      <c r="H4697" s="54">
        <v>41799</v>
      </c>
      <c r="I4697" s="55" t="s">
        <v>536</v>
      </c>
      <c r="J4697" s="55">
        <v>320</v>
      </c>
      <c r="K4697" s="55">
        <f>VLOOKUP(J4697,'Validacion reclamo de equipaje'!L:M,2,0)</f>
        <v>179</v>
      </c>
      <c r="L4697" s="55" t="str">
        <f>VLOOKUP(I4697,'Validacion reclamo de equipaje'!H:I,2,0)</f>
        <v>Nacional</v>
      </c>
      <c r="M4697" s="55" t="s">
        <v>615</v>
      </c>
    </row>
    <row r="4698" spans="1:13" x14ac:dyDescent="0.25">
      <c r="A4698">
        <v>2220</v>
      </c>
      <c r="B4698" s="47" t="str">
        <f>VLOOKUP(Tabla6[[#This Row],['# Vuelo]],'Validacion reclamo de equipaje'!P:Q,2,0)</f>
        <v>INTERAVIÓN</v>
      </c>
      <c r="C4698" s="48">
        <v>0.88888888888888884</v>
      </c>
      <c r="D4698" s="48">
        <v>0.90277777777777779</v>
      </c>
      <c r="E4698" s="49">
        <f>'Reclamo de equipaje rediseñado'!$D4698-'Reclamo de equipaje rediseñado'!$C4698</f>
        <v>1.3888888888888951E-2</v>
      </c>
      <c r="F4698" s="48">
        <v>0.91249999999999998</v>
      </c>
      <c r="G4698" s="49">
        <f t="shared" si="73"/>
        <v>9.7222222222221877E-3</v>
      </c>
      <c r="H4698" s="50">
        <v>41804</v>
      </c>
      <c r="I4698" s="51" t="s">
        <v>536</v>
      </c>
      <c r="J4698" s="51">
        <v>320</v>
      </c>
      <c r="K4698" s="51">
        <f>VLOOKUP(J4698,'Validacion reclamo de equipaje'!L:M,2,0)</f>
        <v>179</v>
      </c>
      <c r="L4698" s="51" t="str">
        <f>VLOOKUP(I4698,'Validacion reclamo de equipaje'!H:I,2,0)</f>
        <v>Nacional</v>
      </c>
      <c r="M4698" s="51" t="s">
        <v>615</v>
      </c>
    </row>
    <row r="4699" spans="1:13" x14ac:dyDescent="0.25">
      <c r="A4699">
        <v>2220</v>
      </c>
      <c r="B4699" s="47" t="str">
        <f>VLOOKUP(Tabla6[[#This Row],['# Vuelo]],'Validacion reclamo de equipaje'!P:Q,2,0)</f>
        <v>INTERAVIÓN</v>
      </c>
      <c r="C4699" s="52">
        <v>0.72569444444444453</v>
      </c>
      <c r="D4699" s="52">
        <v>0.7319444444444444</v>
      </c>
      <c r="E4699" s="53">
        <f>'Reclamo de equipaje rediseñado'!$D4699-'Reclamo de equipaje rediseñado'!$C4699</f>
        <v>6.2499999999998668E-3</v>
      </c>
      <c r="F4699" s="52">
        <v>0.73819444444444438</v>
      </c>
      <c r="G4699" s="53">
        <f t="shared" si="73"/>
        <v>6.2499999999999778E-3</v>
      </c>
      <c r="H4699" s="54">
        <v>41805</v>
      </c>
      <c r="I4699" s="55" t="s">
        <v>536</v>
      </c>
      <c r="J4699" s="55">
        <v>320</v>
      </c>
      <c r="K4699" s="55">
        <f>VLOOKUP(J4699,'Validacion reclamo de equipaje'!L:M,2,0)</f>
        <v>179</v>
      </c>
      <c r="L4699" s="55" t="str">
        <f>VLOOKUP(I4699,'Validacion reclamo de equipaje'!H:I,2,0)</f>
        <v>Nacional</v>
      </c>
      <c r="M4699" s="55" t="s">
        <v>615</v>
      </c>
    </row>
    <row r="4700" spans="1:13" x14ac:dyDescent="0.25">
      <c r="A4700">
        <v>2220</v>
      </c>
      <c r="B4700" s="47" t="str">
        <f>VLOOKUP(Tabla6[[#This Row],['# Vuelo]],'Validacion reclamo de equipaje'!P:Q,2,0)</f>
        <v>INTERAVIÓN</v>
      </c>
      <c r="C4700" s="48">
        <v>0.85972222222222217</v>
      </c>
      <c r="D4700" s="48">
        <v>0.87013888888888891</v>
      </c>
      <c r="E4700" s="49">
        <f>'Reclamo de equipaje rediseñado'!$D4700-'Reclamo de equipaje rediseñado'!$C4700</f>
        <v>1.0416666666666741E-2</v>
      </c>
      <c r="F4700" s="48">
        <v>0.87361111111111101</v>
      </c>
      <c r="G4700" s="49">
        <f t="shared" si="73"/>
        <v>3.4722222222220989E-3</v>
      </c>
      <c r="H4700" s="50">
        <v>41810</v>
      </c>
      <c r="I4700" s="51" t="s">
        <v>536</v>
      </c>
      <c r="J4700" s="51">
        <v>320</v>
      </c>
      <c r="K4700" s="51">
        <f>VLOOKUP(J4700,'Validacion reclamo de equipaje'!L:M,2,0)</f>
        <v>179</v>
      </c>
      <c r="L4700" s="51" t="str">
        <f>VLOOKUP(I4700,'Validacion reclamo de equipaje'!H:I,2,0)</f>
        <v>Nacional</v>
      </c>
      <c r="M4700" s="51" t="s">
        <v>615</v>
      </c>
    </row>
    <row r="4701" spans="1:13" x14ac:dyDescent="0.25">
      <c r="A4701">
        <v>2220</v>
      </c>
      <c r="B4701" s="47" t="str">
        <f>VLOOKUP(Tabla6[[#This Row],['# Vuelo]],'Validacion reclamo de equipaje'!P:Q,2,0)</f>
        <v>INTERAVIÓN</v>
      </c>
      <c r="C4701" s="52">
        <v>0.69236111111111109</v>
      </c>
      <c r="D4701" s="52">
        <v>0.70000000000000007</v>
      </c>
      <c r="E4701" s="53">
        <f>'Reclamo de equipaje rediseñado'!$D4701-'Reclamo de equipaje rediseñado'!$C4701</f>
        <v>7.6388888888889728E-3</v>
      </c>
      <c r="F4701" s="52">
        <v>0.70208333333333339</v>
      </c>
      <c r="G4701" s="53">
        <f t="shared" si="73"/>
        <v>2.0833333333333259E-3</v>
      </c>
      <c r="H4701" s="54">
        <v>41811</v>
      </c>
      <c r="I4701" s="55" t="s">
        <v>536</v>
      </c>
      <c r="J4701" s="55">
        <v>320</v>
      </c>
      <c r="K4701" s="55">
        <f>VLOOKUP(J4701,'Validacion reclamo de equipaje'!L:M,2,0)</f>
        <v>179</v>
      </c>
      <c r="L4701" s="55" t="str">
        <f>VLOOKUP(I4701,'Validacion reclamo de equipaje'!H:I,2,0)</f>
        <v>Nacional</v>
      </c>
      <c r="M4701" s="55" t="s">
        <v>615</v>
      </c>
    </row>
    <row r="4702" spans="1:13" x14ac:dyDescent="0.25">
      <c r="A4702">
        <v>2220</v>
      </c>
      <c r="B4702" s="47" t="str">
        <f>VLOOKUP(Tabla6[[#This Row],['# Vuelo]],'Validacion reclamo de equipaje'!P:Q,2,0)</f>
        <v>INTERAVIÓN</v>
      </c>
      <c r="C4702" s="48">
        <v>0.89583333333333337</v>
      </c>
      <c r="D4702" s="48">
        <v>0.90555555555555556</v>
      </c>
      <c r="E4702" s="49">
        <f>'Reclamo de equipaje rediseñado'!$D4702-'Reclamo de equipaje rediseñado'!$C4702</f>
        <v>9.7222222222221877E-3</v>
      </c>
      <c r="F4702" s="48">
        <v>0.91180555555555554</v>
      </c>
      <c r="G4702" s="49">
        <f t="shared" si="73"/>
        <v>6.2499999999999778E-3</v>
      </c>
      <c r="H4702" s="50">
        <v>41812</v>
      </c>
      <c r="I4702" s="51" t="s">
        <v>536</v>
      </c>
      <c r="J4702" s="51">
        <v>320</v>
      </c>
      <c r="K4702" s="51">
        <f>VLOOKUP(J4702,'Validacion reclamo de equipaje'!L:M,2,0)</f>
        <v>179</v>
      </c>
      <c r="L4702" s="51" t="str">
        <f>VLOOKUP(I4702,'Validacion reclamo de equipaje'!H:I,2,0)</f>
        <v>Nacional</v>
      </c>
      <c r="M4702" s="51" t="s">
        <v>615</v>
      </c>
    </row>
    <row r="4703" spans="1:13" x14ac:dyDescent="0.25">
      <c r="A4703">
        <v>2218</v>
      </c>
      <c r="B4703" s="47" t="str">
        <f>VLOOKUP(Tabla6[[#This Row],['# Vuelo]],'Validacion reclamo de equipaje'!P:Q,2,0)</f>
        <v>INTERAVIÓN</v>
      </c>
      <c r="C4703" s="52">
        <v>4.6527777777777779E-2</v>
      </c>
      <c r="D4703" s="52">
        <v>5.2083333333333336E-2</v>
      </c>
      <c r="E4703" s="53">
        <f>'Reclamo de equipaje rediseñado'!$D4703-'Reclamo de equipaje rediseñado'!$C4703</f>
        <v>5.5555555555555566E-3</v>
      </c>
      <c r="F4703" s="52">
        <v>6.0416666666666667E-2</v>
      </c>
      <c r="G4703" s="53">
        <f t="shared" si="73"/>
        <v>8.3333333333333315E-3</v>
      </c>
      <c r="H4703" s="54">
        <v>41791</v>
      </c>
      <c r="I4703" s="55" t="s">
        <v>536</v>
      </c>
      <c r="J4703" s="55">
        <v>320</v>
      </c>
      <c r="K4703" s="55">
        <f>VLOOKUP(J4703,'Validacion reclamo de equipaje'!L:M,2,0)</f>
        <v>179</v>
      </c>
      <c r="L4703" s="55" t="str">
        <f>VLOOKUP(I4703,'Validacion reclamo de equipaje'!H:I,2,0)</f>
        <v>Nacional</v>
      </c>
      <c r="M4703" s="55" t="s">
        <v>615</v>
      </c>
    </row>
    <row r="4704" spans="1:13" x14ac:dyDescent="0.25">
      <c r="A4704">
        <v>2218</v>
      </c>
      <c r="B4704" s="47" t="str">
        <f>VLOOKUP(Tabla6[[#This Row],['# Vuelo]],'Validacion reclamo de equipaje'!P:Q,2,0)</f>
        <v>INTERAVIÓN</v>
      </c>
      <c r="C4704" s="48">
        <v>0.89583333333333337</v>
      </c>
      <c r="D4704" s="48">
        <v>0.90208333333333324</v>
      </c>
      <c r="E4704" s="49">
        <f>'Reclamo de equipaje rediseñado'!$D4704-'Reclamo de equipaje rediseñado'!$C4704</f>
        <v>6.2499999999998668E-3</v>
      </c>
      <c r="F4704" s="48">
        <v>0.90625</v>
      </c>
      <c r="G4704" s="49">
        <f t="shared" si="73"/>
        <v>4.1666666666667629E-3</v>
      </c>
      <c r="H4704" s="50">
        <v>41792</v>
      </c>
      <c r="I4704" s="51" t="s">
        <v>536</v>
      </c>
      <c r="J4704" s="51">
        <v>320</v>
      </c>
      <c r="K4704" s="51">
        <f>VLOOKUP(J4704,'Validacion reclamo de equipaje'!L:M,2,0)</f>
        <v>179</v>
      </c>
      <c r="L4704" s="51" t="str">
        <f>VLOOKUP(I4704,'Validacion reclamo de equipaje'!H:I,2,0)</f>
        <v>Nacional</v>
      </c>
      <c r="M4704" s="51" t="s">
        <v>615</v>
      </c>
    </row>
    <row r="4705" spans="1:13" x14ac:dyDescent="0.25">
      <c r="A4705">
        <v>2218</v>
      </c>
      <c r="B4705" s="47" t="str">
        <f>VLOOKUP(Tabla6[[#This Row],['# Vuelo]],'Validacion reclamo de equipaje'!P:Q,2,0)</f>
        <v>INTERAVIÓN</v>
      </c>
      <c r="C4705" s="52">
        <v>0.90069444444444446</v>
      </c>
      <c r="D4705" s="52">
        <v>0.90694444444444444</v>
      </c>
      <c r="E4705" s="53">
        <f>'Reclamo de equipaje rediseñado'!$D4705-'Reclamo de equipaje rediseñado'!$C4705</f>
        <v>6.2499999999999778E-3</v>
      </c>
      <c r="F4705" s="52">
        <v>0.90972222222222221</v>
      </c>
      <c r="G4705" s="53">
        <f t="shared" si="73"/>
        <v>2.7777777777777679E-3</v>
      </c>
      <c r="H4705" s="54">
        <v>41793</v>
      </c>
      <c r="I4705" s="55" t="s">
        <v>536</v>
      </c>
      <c r="J4705" s="55">
        <v>320</v>
      </c>
      <c r="K4705" s="55">
        <f>VLOOKUP(J4705,'Validacion reclamo de equipaje'!L:M,2,0)</f>
        <v>179</v>
      </c>
      <c r="L4705" s="55" t="str">
        <f>VLOOKUP(I4705,'Validacion reclamo de equipaje'!H:I,2,0)</f>
        <v>Nacional</v>
      </c>
      <c r="M4705" s="55" t="s">
        <v>615</v>
      </c>
    </row>
    <row r="4706" spans="1:13" x14ac:dyDescent="0.25">
      <c r="A4706">
        <v>2218</v>
      </c>
      <c r="B4706" s="47" t="str">
        <f>VLOOKUP(Tabla6[[#This Row],['# Vuelo]],'Validacion reclamo de equipaje'!P:Q,2,0)</f>
        <v>INTERAVIÓN</v>
      </c>
      <c r="C4706" s="48">
        <v>0.89583333333333337</v>
      </c>
      <c r="D4706" s="48">
        <v>0.90277777777777779</v>
      </c>
      <c r="E4706" s="49">
        <f>'Reclamo de equipaje rediseñado'!$D4706-'Reclamo de equipaje rediseñado'!$C4706</f>
        <v>6.9444444444444198E-3</v>
      </c>
      <c r="F4706" s="48">
        <v>0.90763888888888899</v>
      </c>
      <c r="G4706" s="49">
        <f t="shared" si="73"/>
        <v>4.8611111111112049E-3</v>
      </c>
      <c r="H4706" s="50">
        <v>41794</v>
      </c>
      <c r="I4706" s="51" t="s">
        <v>536</v>
      </c>
      <c r="J4706" s="51">
        <v>320</v>
      </c>
      <c r="K4706" s="51">
        <f>VLOOKUP(J4706,'Validacion reclamo de equipaje'!L:M,2,0)</f>
        <v>179</v>
      </c>
      <c r="L4706" s="51" t="str">
        <f>VLOOKUP(I4706,'Validacion reclamo de equipaje'!H:I,2,0)</f>
        <v>Nacional</v>
      </c>
      <c r="M4706" s="51" t="s">
        <v>615</v>
      </c>
    </row>
    <row r="4707" spans="1:13" x14ac:dyDescent="0.25">
      <c r="A4707">
        <v>2218</v>
      </c>
      <c r="B4707" s="47" t="str">
        <f>VLOOKUP(Tabla6[[#This Row],['# Vuelo]],'Validacion reclamo de equipaje'!P:Q,2,0)</f>
        <v>INTERAVIÓN</v>
      </c>
      <c r="C4707" s="52">
        <v>0.89027777777777783</v>
      </c>
      <c r="D4707" s="52">
        <v>0.91111111111111109</v>
      </c>
      <c r="E4707" s="53">
        <f>'Reclamo de equipaje rediseñado'!$D4707-'Reclamo de equipaje rediseñado'!$C4707</f>
        <v>2.0833333333333259E-2</v>
      </c>
      <c r="F4707" s="52">
        <v>0.91527777777777775</v>
      </c>
      <c r="G4707" s="53">
        <f t="shared" si="73"/>
        <v>4.1666666666666519E-3</v>
      </c>
      <c r="H4707" s="54">
        <v>41795</v>
      </c>
      <c r="I4707" s="55" t="s">
        <v>536</v>
      </c>
      <c r="J4707" s="55">
        <v>320</v>
      </c>
      <c r="K4707" s="55">
        <f>VLOOKUP(J4707,'Validacion reclamo de equipaje'!L:M,2,0)</f>
        <v>179</v>
      </c>
      <c r="L4707" s="55" t="str">
        <f>VLOOKUP(I4707,'Validacion reclamo de equipaje'!H:I,2,0)</f>
        <v>Nacional</v>
      </c>
      <c r="M4707" s="55" t="s">
        <v>615</v>
      </c>
    </row>
    <row r="4708" spans="1:13" x14ac:dyDescent="0.25">
      <c r="A4708">
        <v>2218</v>
      </c>
      <c r="B4708" s="47" t="str">
        <f>VLOOKUP(Tabla6[[#This Row],['# Vuelo]],'Validacion reclamo de equipaje'!P:Q,2,0)</f>
        <v>INTERAVIÓN</v>
      </c>
      <c r="C4708" s="48">
        <v>0.91041666666666676</v>
      </c>
      <c r="D4708" s="48">
        <v>0.91666666666666663</v>
      </c>
      <c r="E4708" s="49">
        <f>'Reclamo de equipaje rediseñado'!$D4708-'Reclamo de equipaje rediseñado'!$C4708</f>
        <v>6.2499999999998668E-3</v>
      </c>
      <c r="F4708" s="48">
        <v>0.93333333333333324</v>
      </c>
      <c r="G4708" s="49">
        <f t="shared" si="73"/>
        <v>1.6666666666666607E-2</v>
      </c>
      <c r="H4708" s="50">
        <v>41796</v>
      </c>
      <c r="I4708" s="51" t="s">
        <v>536</v>
      </c>
      <c r="J4708" s="51">
        <v>320</v>
      </c>
      <c r="K4708" s="51">
        <f>VLOOKUP(J4708,'Validacion reclamo de equipaje'!L:M,2,0)</f>
        <v>179</v>
      </c>
      <c r="L4708" s="51" t="str">
        <f>VLOOKUP(I4708,'Validacion reclamo de equipaje'!H:I,2,0)</f>
        <v>Nacional</v>
      </c>
      <c r="M4708" s="51" t="s">
        <v>615</v>
      </c>
    </row>
    <row r="4709" spans="1:13" x14ac:dyDescent="0.25">
      <c r="A4709">
        <v>2218</v>
      </c>
      <c r="B4709" s="47" t="str">
        <f>VLOOKUP(Tabla6[[#This Row],['# Vuelo]],'Validacion reclamo de equipaje'!P:Q,2,0)</f>
        <v>INTERAVIÓN</v>
      </c>
      <c r="C4709" s="52">
        <v>0.98749999999999993</v>
      </c>
      <c r="D4709" s="52">
        <v>0.99861111111111101</v>
      </c>
      <c r="E4709" s="53">
        <f>'Reclamo de equipaje rediseñado'!$D4709-'Reclamo de equipaje rediseñado'!$C4709</f>
        <v>1.1111111111111072E-2</v>
      </c>
      <c r="F4709" s="52">
        <v>1.0041666666666667</v>
      </c>
      <c r="G4709" s="53">
        <f t="shared" si="73"/>
        <v>5.5555555555556468E-3</v>
      </c>
      <c r="H4709" s="54">
        <v>41798</v>
      </c>
      <c r="I4709" s="55" t="s">
        <v>536</v>
      </c>
      <c r="J4709" s="55">
        <v>320</v>
      </c>
      <c r="K4709" s="55">
        <f>VLOOKUP(J4709,'Validacion reclamo de equipaje'!L:M,2,0)</f>
        <v>179</v>
      </c>
      <c r="L4709" s="55" t="str">
        <f>VLOOKUP(I4709,'Validacion reclamo de equipaje'!H:I,2,0)</f>
        <v>Nacional</v>
      </c>
      <c r="M4709" s="55" t="s">
        <v>615</v>
      </c>
    </row>
    <row r="4710" spans="1:13" x14ac:dyDescent="0.25">
      <c r="A4710">
        <v>2218</v>
      </c>
      <c r="B4710" s="47" t="str">
        <f>VLOOKUP(Tabla6[[#This Row],['# Vuelo]],'Validacion reclamo de equipaje'!P:Q,2,0)</f>
        <v>INTERAVIÓN</v>
      </c>
      <c r="C4710" s="48">
        <v>0.90486111111111101</v>
      </c>
      <c r="D4710" s="48">
        <v>0.90833333333333333</v>
      </c>
      <c r="E4710" s="49">
        <f>'Reclamo de equipaje rediseñado'!$D4710-'Reclamo de equipaje rediseñado'!$C4710</f>
        <v>3.4722222222223209E-3</v>
      </c>
      <c r="F4710" s="48">
        <v>0.91319444444444453</v>
      </c>
      <c r="G4710" s="49">
        <f t="shared" si="73"/>
        <v>4.8611111111112049E-3</v>
      </c>
      <c r="H4710" s="50">
        <v>41799</v>
      </c>
      <c r="I4710" s="51" t="s">
        <v>536</v>
      </c>
      <c r="J4710" s="51">
        <v>320</v>
      </c>
      <c r="K4710" s="51">
        <f>VLOOKUP(J4710,'Validacion reclamo de equipaje'!L:M,2,0)</f>
        <v>179</v>
      </c>
      <c r="L4710" s="51" t="str">
        <f>VLOOKUP(I4710,'Validacion reclamo de equipaje'!H:I,2,0)</f>
        <v>Nacional</v>
      </c>
      <c r="M4710" s="51" t="s">
        <v>615</v>
      </c>
    </row>
    <row r="4711" spans="1:13" x14ac:dyDescent="0.25">
      <c r="A4711">
        <v>2218</v>
      </c>
      <c r="B4711" s="47" t="str">
        <f>VLOOKUP(Tabla6[[#This Row],['# Vuelo]],'Validacion reclamo de equipaje'!P:Q,2,0)</f>
        <v>INTERAVIÓN</v>
      </c>
      <c r="C4711" s="52">
        <v>0.5756944444444444</v>
      </c>
      <c r="D4711" s="52">
        <v>0.58263888888888882</v>
      </c>
      <c r="E4711" s="53">
        <f>'Reclamo de equipaje rediseñado'!$D4711-'Reclamo de equipaje rediseñado'!$C4711</f>
        <v>6.9444444444444198E-3</v>
      </c>
      <c r="F4711" s="52">
        <v>0.59305555555555556</v>
      </c>
      <c r="G4711" s="53">
        <f t="shared" si="73"/>
        <v>1.0416666666666741E-2</v>
      </c>
      <c r="H4711" s="54">
        <v>41800</v>
      </c>
      <c r="I4711" s="55" t="s">
        <v>536</v>
      </c>
      <c r="J4711" s="55">
        <v>320</v>
      </c>
      <c r="K4711" s="55">
        <f>VLOOKUP(J4711,'Validacion reclamo de equipaje'!L:M,2,0)</f>
        <v>179</v>
      </c>
      <c r="L4711" s="55" t="str">
        <f>VLOOKUP(I4711,'Validacion reclamo de equipaje'!H:I,2,0)</f>
        <v>Nacional</v>
      </c>
      <c r="M4711" s="55" t="s">
        <v>615</v>
      </c>
    </row>
    <row r="4712" spans="1:13" x14ac:dyDescent="0.25">
      <c r="A4712">
        <v>2218</v>
      </c>
      <c r="B4712" s="47" t="str">
        <f>VLOOKUP(Tabla6[[#This Row],['# Vuelo]],'Validacion reclamo de equipaje'!P:Q,2,0)</f>
        <v>INTERAVIÓN</v>
      </c>
      <c r="C4712" s="48">
        <v>0.52083333333333337</v>
      </c>
      <c r="D4712" s="48">
        <v>0.52638888888888891</v>
      </c>
      <c r="E4712" s="49">
        <f>'Reclamo de equipaje rediseñado'!$D4712-'Reclamo de equipaje rediseñado'!$C4712</f>
        <v>5.5555555555555358E-3</v>
      </c>
      <c r="F4712" s="48">
        <v>0.53541666666666665</v>
      </c>
      <c r="G4712" s="49">
        <f t="shared" si="73"/>
        <v>9.0277777777777457E-3</v>
      </c>
      <c r="H4712" s="50">
        <v>41801</v>
      </c>
      <c r="I4712" s="51" t="s">
        <v>536</v>
      </c>
      <c r="J4712" s="51">
        <v>320</v>
      </c>
      <c r="K4712" s="51">
        <f>VLOOKUP(J4712,'Validacion reclamo de equipaje'!L:M,2,0)</f>
        <v>179</v>
      </c>
      <c r="L4712" s="51" t="str">
        <f>VLOOKUP(I4712,'Validacion reclamo de equipaje'!H:I,2,0)</f>
        <v>Nacional</v>
      </c>
      <c r="M4712" s="51" t="s">
        <v>615</v>
      </c>
    </row>
    <row r="4713" spans="1:13" x14ac:dyDescent="0.25">
      <c r="A4713">
        <v>2218</v>
      </c>
      <c r="B4713" s="47" t="str">
        <f>VLOOKUP(Tabla6[[#This Row],['# Vuelo]],'Validacion reclamo de equipaje'!P:Q,2,0)</f>
        <v>INTERAVIÓN</v>
      </c>
      <c r="C4713" s="52">
        <v>0.56597222222222221</v>
      </c>
      <c r="D4713" s="52">
        <v>0.57430555555555551</v>
      </c>
      <c r="E4713" s="53">
        <f>'Reclamo de equipaje rediseñado'!$D4713-'Reclamo de equipaje rediseñado'!$C4713</f>
        <v>8.3333333333333037E-3</v>
      </c>
      <c r="F4713" s="52">
        <v>0.58472222222222225</v>
      </c>
      <c r="G4713" s="53">
        <f t="shared" si="73"/>
        <v>1.0416666666666741E-2</v>
      </c>
      <c r="H4713" s="54">
        <v>41802</v>
      </c>
      <c r="I4713" s="55" t="s">
        <v>536</v>
      </c>
      <c r="J4713" s="55">
        <v>320</v>
      </c>
      <c r="K4713" s="55">
        <f>VLOOKUP(J4713,'Validacion reclamo de equipaje'!L:M,2,0)</f>
        <v>179</v>
      </c>
      <c r="L4713" s="55" t="str">
        <f>VLOOKUP(I4713,'Validacion reclamo de equipaje'!H:I,2,0)</f>
        <v>Nacional</v>
      </c>
      <c r="M4713" s="55" t="s">
        <v>615</v>
      </c>
    </row>
    <row r="4714" spans="1:13" x14ac:dyDescent="0.25">
      <c r="A4714">
        <v>2218</v>
      </c>
      <c r="B4714" s="47" t="str">
        <f>VLOOKUP(Tabla6[[#This Row],['# Vuelo]],'Validacion reclamo de equipaje'!P:Q,2,0)</f>
        <v>INTERAVIÓN</v>
      </c>
      <c r="C4714" s="48">
        <v>0.44444444444444442</v>
      </c>
      <c r="D4714" s="48">
        <v>0.45</v>
      </c>
      <c r="E4714" s="49">
        <f>'Reclamo de equipaje rediseñado'!$D4714-'Reclamo de equipaje rediseñado'!$C4714</f>
        <v>5.5555555555555913E-3</v>
      </c>
      <c r="F4714" s="48">
        <v>0.45208333333333334</v>
      </c>
      <c r="G4714" s="49">
        <f t="shared" si="73"/>
        <v>2.0833333333333259E-3</v>
      </c>
      <c r="H4714" s="50">
        <v>41803</v>
      </c>
      <c r="I4714" s="51" t="s">
        <v>536</v>
      </c>
      <c r="J4714" s="51">
        <v>320</v>
      </c>
      <c r="K4714" s="51">
        <f>VLOOKUP(J4714,'Validacion reclamo de equipaje'!L:M,2,0)</f>
        <v>179</v>
      </c>
      <c r="L4714" s="51" t="str">
        <f>VLOOKUP(I4714,'Validacion reclamo de equipaje'!H:I,2,0)</f>
        <v>Nacional</v>
      </c>
      <c r="M4714" s="51" t="s">
        <v>615</v>
      </c>
    </row>
    <row r="4715" spans="1:13" x14ac:dyDescent="0.25">
      <c r="A4715">
        <v>2218</v>
      </c>
      <c r="B4715" s="47" t="str">
        <f>VLOOKUP(Tabla6[[#This Row],['# Vuelo]],'Validacion reclamo de equipaje'!P:Q,2,0)</f>
        <v>INTERAVIÓN</v>
      </c>
      <c r="C4715" s="52">
        <v>0.78333333333333333</v>
      </c>
      <c r="D4715" s="52">
        <v>0.79166666666666663</v>
      </c>
      <c r="E4715" s="53">
        <f>'Reclamo de equipaje rediseñado'!$D4715-'Reclamo de equipaje rediseñado'!$C4715</f>
        <v>8.3333333333333037E-3</v>
      </c>
      <c r="F4715" s="52">
        <v>0.79652777777777783</v>
      </c>
      <c r="G4715" s="53">
        <f t="shared" si="73"/>
        <v>4.8611111111112049E-3</v>
      </c>
      <c r="H4715" s="54">
        <v>41805</v>
      </c>
      <c r="I4715" s="55" t="s">
        <v>536</v>
      </c>
      <c r="J4715" s="55">
        <v>320</v>
      </c>
      <c r="K4715" s="55">
        <f>VLOOKUP(J4715,'Validacion reclamo de equipaje'!L:M,2,0)</f>
        <v>179</v>
      </c>
      <c r="L4715" s="55" t="str">
        <f>VLOOKUP(I4715,'Validacion reclamo de equipaje'!H:I,2,0)</f>
        <v>Nacional</v>
      </c>
      <c r="M4715" s="55" t="s">
        <v>615</v>
      </c>
    </row>
    <row r="4716" spans="1:13" x14ac:dyDescent="0.25">
      <c r="A4716">
        <v>2218</v>
      </c>
      <c r="B4716" s="47" t="str">
        <f>VLOOKUP(Tabla6[[#This Row],['# Vuelo]],'Validacion reclamo de equipaje'!P:Q,2,0)</f>
        <v>INTERAVIÓN</v>
      </c>
      <c r="C4716" s="48">
        <v>0.91249999999999998</v>
      </c>
      <c r="D4716" s="48">
        <v>0.92222222222222217</v>
      </c>
      <c r="E4716" s="49">
        <f>'Reclamo de equipaje rediseñado'!$D4716-'Reclamo de equipaje rediseñado'!$C4716</f>
        <v>9.7222222222221877E-3</v>
      </c>
      <c r="F4716" s="48">
        <v>0.93819444444444444</v>
      </c>
      <c r="G4716" s="49">
        <f t="shared" si="73"/>
        <v>1.5972222222222276E-2</v>
      </c>
      <c r="H4716" s="50">
        <v>41806</v>
      </c>
      <c r="I4716" s="51" t="s">
        <v>536</v>
      </c>
      <c r="J4716" s="51">
        <v>320</v>
      </c>
      <c r="K4716" s="51">
        <f>VLOOKUP(J4716,'Validacion reclamo de equipaje'!L:M,2,0)</f>
        <v>179</v>
      </c>
      <c r="L4716" s="51" t="str">
        <f>VLOOKUP(I4716,'Validacion reclamo de equipaje'!H:I,2,0)</f>
        <v>Nacional</v>
      </c>
      <c r="M4716" s="51" t="s">
        <v>615</v>
      </c>
    </row>
    <row r="4717" spans="1:13" x14ac:dyDescent="0.25">
      <c r="A4717">
        <v>2218</v>
      </c>
      <c r="B4717" s="47" t="str">
        <f>VLOOKUP(Tabla6[[#This Row],['# Vuelo]],'Validacion reclamo de equipaje'!P:Q,2,0)</f>
        <v>INTERAVIÓN</v>
      </c>
      <c r="C4717" s="52">
        <v>0.68194444444444446</v>
      </c>
      <c r="D4717" s="52">
        <v>0.69236111111111109</v>
      </c>
      <c r="E4717" s="53">
        <f>'Reclamo de equipaje rediseñado'!$D4717-'Reclamo de equipaje rediseñado'!$C4717</f>
        <v>1.041666666666663E-2</v>
      </c>
      <c r="F4717" s="52">
        <v>0.69444444444444453</v>
      </c>
      <c r="G4717" s="53">
        <f t="shared" si="73"/>
        <v>2.083333333333437E-3</v>
      </c>
      <c r="H4717" s="54">
        <v>41807</v>
      </c>
      <c r="I4717" s="55" t="s">
        <v>536</v>
      </c>
      <c r="J4717" s="55">
        <v>320</v>
      </c>
      <c r="K4717" s="55">
        <f>VLOOKUP(J4717,'Validacion reclamo de equipaje'!L:M,2,0)</f>
        <v>179</v>
      </c>
      <c r="L4717" s="55" t="str">
        <f>VLOOKUP(I4717,'Validacion reclamo de equipaje'!H:I,2,0)</f>
        <v>Nacional</v>
      </c>
      <c r="M4717" s="55" t="s">
        <v>615</v>
      </c>
    </row>
    <row r="4718" spans="1:13" x14ac:dyDescent="0.25">
      <c r="A4718">
        <v>2218</v>
      </c>
      <c r="B4718" s="47" t="str">
        <f>VLOOKUP(Tabla6[[#This Row],['# Vuelo]],'Validacion reclamo de equipaje'!P:Q,2,0)</f>
        <v>INTERAVIÓN</v>
      </c>
      <c r="C4718" s="48">
        <v>0.90902777777777777</v>
      </c>
      <c r="D4718" s="48">
        <v>0.9159722222222223</v>
      </c>
      <c r="E4718" s="49">
        <f>'Reclamo de equipaje rediseñado'!$D4718-'Reclamo de equipaje rediseñado'!$C4718</f>
        <v>6.9444444444445308E-3</v>
      </c>
      <c r="F4718" s="48">
        <v>0.92361111111111116</v>
      </c>
      <c r="G4718" s="49">
        <f t="shared" si="73"/>
        <v>7.6388888888888618E-3</v>
      </c>
      <c r="H4718" s="50">
        <v>41808</v>
      </c>
      <c r="I4718" s="51" t="s">
        <v>536</v>
      </c>
      <c r="J4718" s="51">
        <v>320</v>
      </c>
      <c r="K4718" s="51">
        <f>VLOOKUP(J4718,'Validacion reclamo de equipaje'!L:M,2,0)</f>
        <v>179</v>
      </c>
      <c r="L4718" s="51" t="str">
        <f>VLOOKUP(I4718,'Validacion reclamo de equipaje'!H:I,2,0)</f>
        <v>Nacional</v>
      </c>
      <c r="M4718" s="51" t="s">
        <v>615</v>
      </c>
    </row>
    <row r="4719" spans="1:13" x14ac:dyDescent="0.25">
      <c r="A4719">
        <v>2218</v>
      </c>
      <c r="B4719" s="47" t="str">
        <f>VLOOKUP(Tabla6[[#This Row],['# Vuelo]],'Validacion reclamo de equipaje'!P:Q,2,0)</f>
        <v>INTERAVIÓN</v>
      </c>
      <c r="C4719" s="52">
        <v>0.91875000000000007</v>
      </c>
      <c r="D4719" s="52">
        <v>0.9277777777777777</v>
      </c>
      <c r="E4719" s="53">
        <f>'Reclamo de equipaje rediseñado'!$D4719-'Reclamo de equipaje rediseñado'!$C4719</f>
        <v>9.0277777777776347E-3</v>
      </c>
      <c r="F4719" s="52">
        <v>0.93263888888888891</v>
      </c>
      <c r="G4719" s="53">
        <f t="shared" si="73"/>
        <v>4.8611111111112049E-3</v>
      </c>
      <c r="H4719" s="54">
        <v>41809</v>
      </c>
      <c r="I4719" s="55" t="s">
        <v>536</v>
      </c>
      <c r="J4719" s="55">
        <v>320</v>
      </c>
      <c r="K4719" s="55">
        <f>VLOOKUP(J4719,'Validacion reclamo de equipaje'!L:M,2,0)</f>
        <v>179</v>
      </c>
      <c r="L4719" s="55" t="str">
        <f>VLOOKUP(I4719,'Validacion reclamo de equipaje'!H:I,2,0)</f>
        <v>Nacional</v>
      </c>
      <c r="M4719" s="55" t="s">
        <v>615</v>
      </c>
    </row>
    <row r="4720" spans="1:13" x14ac:dyDescent="0.25">
      <c r="A4720">
        <v>2218</v>
      </c>
      <c r="B4720" s="47" t="str">
        <f>VLOOKUP(Tabla6[[#This Row],['# Vuelo]],'Validacion reclamo de equipaje'!P:Q,2,0)</f>
        <v>INTERAVIÓN</v>
      </c>
      <c r="C4720" s="48">
        <v>0.96250000000000002</v>
      </c>
      <c r="D4720" s="48">
        <v>0.97916666666666663</v>
      </c>
      <c r="E4720" s="49">
        <f>'Reclamo de equipaje rediseñado'!$D4720-'Reclamo de equipaje rediseñado'!$C4720</f>
        <v>1.6666666666666607E-2</v>
      </c>
      <c r="F4720" s="48">
        <v>0.98402777777777783</v>
      </c>
      <c r="G4720" s="49">
        <f t="shared" si="73"/>
        <v>4.8611111111112049E-3</v>
      </c>
      <c r="H4720" s="50">
        <v>41810</v>
      </c>
      <c r="I4720" s="51" t="s">
        <v>536</v>
      </c>
      <c r="J4720" s="51">
        <v>320</v>
      </c>
      <c r="K4720" s="51">
        <f>VLOOKUP(J4720,'Validacion reclamo de equipaje'!L:M,2,0)</f>
        <v>179</v>
      </c>
      <c r="L4720" s="51" t="str">
        <f>VLOOKUP(I4720,'Validacion reclamo de equipaje'!H:I,2,0)</f>
        <v>Nacional</v>
      </c>
      <c r="M4720" s="51" t="s">
        <v>615</v>
      </c>
    </row>
    <row r="4721" spans="1:13" x14ac:dyDescent="0.25">
      <c r="A4721">
        <v>2218</v>
      </c>
      <c r="B4721" s="47" t="str">
        <f>VLOOKUP(Tabla6[[#This Row],['# Vuelo]],'Validacion reclamo de equipaje'!P:Q,2,0)</f>
        <v>INTERAVIÓN</v>
      </c>
      <c r="C4721" s="52">
        <v>0.92222222222222217</v>
      </c>
      <c r="D4721" s="52">
        <v>0.93263888888888891</v>
      </c>
      <c r="E4721" s="53">
        <f>'Reclamo de equipaje rediseñado'!$D4721-'Reclamo de equipaje rediseñado'!$C4721</f>
        <v>1.0416666666666741E-2</v>
      </c>
      <c r="F4721" s="52">
        <v>0.94236111111111109</v>
      </c>
      <c r="G4721" s="53">
        <f t="shared" si="73"/>
        <v>9.7222222222221877E-3</v>
      </c>
      <c r="H4721" s="54">
        <v>41812</v>
      </c>
      <c r="I4721" s="55" t="s">
        <v>536</v>
      </c>
      <c r="J4721" s="55">
        <v>320</v>
      </c>
      <c r="K4721" s="55">
        <f>VLOOKUP(J4721,'Validacion reclamo de equipaje'!L:M,2,0)</f>
        <v>179</v>
      </c>
      <c r="L4721" s="55" t="str">
        <f>VLOOKUP(I4721,'Validacion reclamo de equipaje'!H:I,2,0)</f>
        <v>Nacional</v>
      </c>
      <c r="M4721" s="55" t="s">
        <v>615</v>
      </c>
    </row>
    <row r="4722" spans="1:13" x14ac:dyDescent="0.25">
      <c r="A4722">
        <v>2218</v>
      </c>
      <c r="B4722" s="47" t="str">
        <f>VLOOKUP(Tabla6[[#This Row],['# Vuelo]],'Validacion reclamo de equipaje'!P:Q,2,0)</f>
        <v>INTERAVIÓN</v>
      </c>
      <c r="C4722" s="48">
        <v>0.89583333333333337</v>
      </c>
      <c r="D4722" s="48">
        <v>0.90277777777777779</v>
      </c>
      <c r="E4722" s="49">
        <f>'Reclamo de equipaje rediseñado'!$D4722-'Reclamo de equipaje rediseñado'!$C4722</f>
        <v>6.9444444444444198E-3</v>
      </c>
      <c r="F4722" s="48">
        <v>0.91805555555555562</v>
      </c>
      <c r="G4722" s="49">
        <f t="shared" si="73"/>
        <v>1.5277777777777835E-2</v>
      </c>
      <c r="H4722" s="50">
        <v>41813</v>
      </c>
      <c r="I4722" s="51" t="s">
        <v>536</v>
      </c>
      <c r="J4722" s="51">
        <v>320</v>
      </c>
      <c r="K4722" s="51">
        <f>VLOOKUP(J4722,'Validacion reclamo de equipaje'!L:M,2,0)</f>
        <v>179</v>
      </c>
      <c r="L4722" s="51" t="str">
        <f>VLOOKUP(I4722,'Validacion reclamo de equipaje'!H:I,2,0)</f>
        <v>Nacional</v>
      </c>
      <c r="M4722" s="51" t="s">
        <v>615</v>
      </c>
    </row>
    <row r="4723" spans="1:13" x14ac:dyDescent="0.25">
      <c r="A4723">
        <v>2216</v>
      </c>
      <c r="B4723" s="47" t="str">
        <f>VLOOKUP(Tabla6[[#This Row],['# Vuelo]],'Validacion reclamo de equipaje'!P:Q,2,0)</f>
        <v>INTERAVIÓN</v>
      </c>
      <c r="C4723" s="52">
        <v>0.68125000000000002</v>
      </c>
      <c r="D4723" s="52">
        <v>0.68819444444444444</v>
      </c>
      <c r="E4723" s="53">
        <f>'Reclamo de equipaje rediseñado'!$D4723-'Reclamo de equipaje rediseñado'!$C4723</f>
        <v>6.9444444444444198E-3</v>
      </c>
      <c r="F4723" s="52">
        <v>0.69305555555555554</v>
      </c>
      <c r="G4723" s="53">
        <f t="shared" si="73"/>
        <v>4.8611111111110938E-3</v>
      </c>
      <c r="H4723" s="54">
        <v>41791</v>
      </c>
      <c r="I4723" s="55" t="s">
        <v>536</v>
      </c>
      <c r="J4723" s="55">
        <v>320</v>
      </c>
      <c r="K4723" s="55">
        <f>VLOOKUP(J4723,'Validacion reclamo de equipaje'!L:M,2,0)</f>
        <v>179</v>
      </c>
      <c r="L4723" s="55" t="str">
        <f>VLOOKUP(I4723,'Validacion reclamo de equipaje'!H:I,2,0)</f>
        <v>Nacional</v>
      </c>
      <c r="M4723" s="55" t="s">
        <v>615</v>
      </c>
    </row>
    <row r="4724" spans="1:13" x14ac:dyDescent="0.25">
      <c r="A4724">
        <v>2216</v>
      </c>
      <c r="B4724" s="47" t="str">
        <f>VLOOKUP(Tabla6[[#This Row],['# Vuelo]],'Validacion reclamo de equipaje'!P:Q,2,0)</f>
        <v>INTERAVIÓN</v>
      </c>
      <c r="C4724" s="48">
        <v>0.84791666666666676</v>
      </c>
      <c r="D4724" s="48">
        <v>0.8534722222222223</v>
      </c>
      <c r="E4724" s="49">
        <f>'Reclamo de equipaje rediseñado'!$D4724-'Reclamo de equipaje rediseñado'!$C4724</f>
        <v>5.5555555555555358E-3</v>
      </c>
      <c r="F4724" s="48">
        <v>0.85833333333333339</v>
      </c>
      <c r="G4724" s="49">
        <f t="shared" si="73"/>
        <v>4.8611111111110938E-3</v>
      </c>
      <c r="H4724" s="50">
        <v>41792</v>
      </c>
      <c r="I4724" s="51" t="s">
        <v>536</v>
      </c>
      <c r="J4724" s="51">
        <v>320</v>
      </c>
      <c r="K4724" s="51">
        <f>VLOOKUP(J4724,'Validacion reclamo de equipaje'!L:M,2,0)</f>
        <v>179</v>
      </c>
      <c r="L4724" s="51" t="str">
        <f>VLOOKUP(I4724,'Validacion reclamo de equipaje'!H:I,2,0)</f>
        <v>Nacional</v>
      </c>
      <c r="M4724" s="51" t="s">
        <v>615</v>
      </c>
    </row>
    <row r="4725" spans="1:13" x14ac:dyDescent="0.25">
      <c r="A4725">
        <v>2216</v>
      </c>
      <c r="B4725" s="47" t="str">
        <f>VLOOKUP(Tabla6[[#This Row],['# Vuelo]],'Validacion reclamo de equipaje'!P:Q,2,0)</f>
        <v>INTERAVIÓN</v>
      </c>
      <c r="C4725" s="52">
        <v>0.84722222222222221</v>
      </c>
      <c r="D4725" s="52">
        <v>0.85416666666666663</v>
      </c>
      <c r="E4725" s="53">
        <f>'Reclamo de equipaje rediseñado'!$D4725-'Reclamo de equipaje rediseñado'!$C4725</f>
        <v>6.9444444444444198E-3</v>
      </c>
      <c r="F4725" s="52">
        <v>0.86111111111111116</v>
      </c>
      <c r="G4725" s="53">
        <f t="shared" si="73"/>
        <v>6.9444444444445308E-3</v>
      </c>
      <c r="H4725" s="54">
        <v>41793</v>
      </c>
      <c r="I4725" s="55" t="s">
        <v>536</v>
      </c>
      <c r="J4725" s="55">
        <v>320</v>
      </c>
      <c r="K4725" s="55">
        <f>VLOOKUP(J4725,'Validacion reclamo de equipaje'!L:M,2,0)</f>
        <v>179</v>
      </c>
      <c r="L4725" s="55" t="str">
        <f>VLOOKUP(I4725,'Validacion reclamo de equipaje'!H:I,2,0)</f>
        <v>Nacional</v>
      </c>
      <c r="M4725" s="55" t="s">
        <v>615</v>
      </c>
    </row>
    <row r="4726" spans="1:13" x14ac:dyDescent="0.25">
      <c r="A4726">
        <v>2216</v>
      </c>
      <c r="B4726" s="47" t="str">
        <f>VLOOKUP(Tabla6[[#This Row],['# Vuelo]],'Validacion reclamo de equipaje'!P:Q,2,0)</f>
        <v>INTERAVIÓN</v>
      </c>
      <c r="C4726" s="48">
        <v>0.85138888888888886</v>
      </c>
      <c r="D4726" s="48">
        <v>0.86111111111111116</v>
      </c>
      <c r="E4726" s="49">
        <f>'Reclamo de equipaje rediseñado'!$D4726-'Reclamo de equipaje rediseñado'!$C4726</f>
        <v>9.7222222222222987E-3</v>
      </c>
      <c r="F4726" s="48">
        <v>0.8666666666666667</v>
      </c>
      <c r="G4726" s="49">
        <f t="shared" si="73"/>
        <v>5.5555555555555358E-3</v>
      </c>
      <c r="H4726" s="50">
        <v>41796</v>
      </c>
      <c r="I4726" s="51" t="s">
        <v>536</v>
      </c>
      <c r="J4726" s="51">
        <v>320</v>
      </c>
      <c r="K4726" s="51">
        <f>VLOOKUP(J4726,'Validacion reclamo de equipaje'!L:M,2,0)</f>
        <v>179</v>
      </c>
      <c r="L4726" s="51" t="str">
        <f>VLOOKUP(I4726,'Validacion reclamo de equipaje'!H:I,2,0)</f>
        <v>Nacional</v>
      </c>
      <c r="M4726" s="51" t="s">
        <v>615</v>
      </c>
    </row>
    <row r="4727" spans="1:13" x14ac:dyDescent="0.25">
      <c r="A4727">
        <v>2216</v>
      </c>
      <c r="B4727" s="47" t="str">
        <f>VLOOKUP(Tabla6[[#This Row],['# Vuelo]],'Validacion reclamo de equipaje'!P:Q,2,0)</f>
        <v>INTERAVIÓN</v>
      </c>
      <c r="C4727" s="52">
        <v>0.65972222222222221</v>
      </c>
      <c r="D4727" s="52">
        <v>0.66527777777777775</v>
      </c>
      <c r="E4727" s="53">
        <f>'Reclamo de equipaje rediseñado'!$D4727-'Reclamo de equipaje rediseñado'!$C4727</f>
        <v>5.5555555555555358E-3</v>
      </c>
      <c r="F4727" s="52">
        <v>0.67222222222222217</v>
      </c>
      <c r="G4727" s="53">
        <f t="shared" si="73"/>
        <v>6.9444444444444198E-3</v>
      </c>
      <c r="H4727" s="54">
        <v>41798</v>
      </c>
      <c r="I4727" s="55" t="s">
        <v>536</v>
      </c>
      <c r="J4727" s="55">
        <v>320</v>
      </c>
      <c r="K4727" s="55">
        <f>VLOOKUP(J4727,'Validacion reclamo de equipaje'!L:M,2,0)</f>
        <v>179</v>
      </c>
      <c r="L4727" s="55" t="str">
        <f>VLOOKUP(I4727,'Validacion reclamo de equipaje'!H:I,2,0)</f>
        <v>Nacional</v>
      </c>
      <c r="M4727" s="55" t="s">
        <v>615</v>
      </c>
    </row>
    <row r="4728" spans="1:13" x14ac:dyDescent="0.25">
      <c r="A4728">
        <v>2216</v>
      </c>
      <c r="B4728" s="47" t="str">
        <f>VLOOKUP(Tabla6[[#This Row],['# Vuelo]],'Validacion reclamo de equipaje'!P:Q,2,0)</f>
        <v>INTERAVIÓN</v>
      </c>
      <c r="C4728" s="48">
        <v>0.84027777777777779</v>
      </c>
      <c r="D4728" s="48">
        <v>0.84583333333333333</v>
      </c>
      <c r="E4728" s="49">
        <f>'Reclamo de equipaje rediseñado'!$D4728-'Reclamo de equipaje rediseñado'!$C4728</f>
        <v>5.5555555555555358E-3</v>
      </c>
      <c r="F4728" s="48">
        <v>0.8520833333333333</v>
      </c>
      <c r="G4728" s="49">
        <f t="shared" si="73"/>
        <v>6.2499999999999778E-3</v>
      </c>
      <c r="H4728" s="50">
        <v>41799</v>
      </c>
      <c r="I4728" s="51" t="s">
        <v>536</v>
      </c>
      <c r="J4728" s="51">
        <v>320</v>
      </c>
      <c r="K4728" s="51">
        <f>VLOOKUP(J4728,'Validacion reclamo de equipaje'!L:M,2,0)</f>
        <v>179</v>
      </c>
      <c r="L4728" s="51" t="str">
        <f>VLOOKUP(I4728,'Validacion reclamo de equipaje'!H:I,2,0)</f>
        <v>Nacional</v>
      </c>
      <c r="M4728" s="51" t="s">
        <v>615</v>
      </c>
    </row>
    <row r="4729" spans="1:13" x14ac:dyDescent="0.25">
      <c r="A4729">
        <v>2216</v>
      </c>
      <c r="B4729" s="47" t="str">
        <f>VLOOKUP(Tabla6[[#This Row],['# Vuelo]],'Validacion reclamo de equipaje'!P:Q,2,0)</f>
        <v>INTERAVIÓN</v>
      </c>
      <c r="C4729" s="52">
        <v>0.84166666666666667</v>
      </c>
      <c r="D4729" s="52">
        <v>0.84722222222222221</v>
      </c>
      <c r="E4729" s="53">
        <f>'Reclamo de equipaje rediseñado'!$D4729-'Reclamo de equipaje rediseñado'!$C4729</f>
        <v>5.5555555555555358E-3</v>
      </c>
      <c r="F4729" s="52">
        <v>0.8520833333333333</v>
      </c>
      <c r="G4729" s="53">
        <f t="shared" si="73"/>
        <v>4.8611111111110938E-3</v>
      </c>
      <c r="H4729" s="54">
        <v>41801</v>
      </c>
      <c r="I4729" s="55" t="s">
        <v>536</v>
      </c>
      <c r="J4729" s="55">
        <v>320</v>
      </c>
      <c r="K4729" s="55">
        <f>VLOOKUP(J4729,'Validacion reclamo de equipaje'!L:M,2,0)</f>
        <v>179</v>
      </c>
      <c r="L4729" s="55" t="str">
        <f>VLOOKUP(I4729,'Validacion reclamo de equipaje'!H:I,2,0)</f>
        <v>Nacional</v>
      </c>
      <c r="M4729" s="55" t="s">
        <v>615</v>
      </c>
    </row>
    <row r="4730" spans="1:13" x14ac:dyDescent="0.25">
      <c r="A4730">
        <v>2216</v>
      </c>
      <c r="B4730" s="47" t="str">
        <f>VLOOKUP(Tabla6[[#This Row],['# Vuelo]],'Validacion reclamo de equipaje'!P:Q,2,0)</f>
        <v>INTERAVIÓN</v>
      </c>
      <c r="C4730" s="48">
        <v>0.56458333333333333</v>
      </c>
      <c r="D4730" s="48">
        <v>0.57361111111111118</v>
      </c>
      <c r="E4730" s="49">
        <f>'Reclamo de equipaje rediseñado'!$D4730-'Reclamo de equipaje rediseñado'!$C4730</f>
        <v>9.0277777777778567E-3</v>
      </c>
      <c r="F4730" s="48">
        <v>0.58333333333333337</v>
      </c>
      <c r="G4730" s="49">
        <f t="shared" si="73"/>
        <v>9.7222222222221877E-3</v>
      </c>
      <c r="H4730" s="50">
        <v>41802</v>
      </c>
      <c r="I4730" s="51" t="s">
        <v>536</v>
      </c>
      <c r="J4730" s="51">
        <v>320</v>
      </c>
      <c r="K4730" s="51">
        <f>VLOOKUP(J4730,'Validacion reclamo de equipaje'!L:M,2,0)</f>
        <v>179</v>
      </c>
      <c r="L4730" s="51" t="str">
        <f>VLOOKUP(I4730,'Validacion reclamo de equipaje'!H:I,2,0)</f>
        <v>Nacional</v>
      </c>
      <c r="M4730" s="51" t="s">
        <v>615</v>
      </c>
    </row>
    <row r="4731" spans="1:13" x14ac:dyDescent="0.25">
      <c r="A4731">
        <v>2216</v>
      </c>
      <c r="B4731" s="47" t="str">
        <f>VLOOKUP(Tabla6[[#This Row],['# Vuelo]],'Validacion reclamo de equipaje'!P:Q,2,0)</f>
        <v>INTERAVIÓN</v>
      </c>
      <c r="C4731" s="52">
        <v>0.44444444444444442</v>
      </c>
      <c r="D4731" s="52">
        <v>0.45555555555555555</v>
      </c>
      <c r="E4731" s="53">
        <f>'Reclamo de equipaje rediseñado'!$D4731-'Reclamo de equipaje rediseñado'!$C4731</f>
        <v>1.1111111111111127E-2</v>
      </c>
      <c r="F4731" s="52">
        <v>0.46180555555555558</v>
      </c>
      <c r="G4731" s="53">
        <f t="shared" si="73"/>
        <v>6.2500000000000333E-3</v>
      </c>
      <c r="H4731" s="54">
        <v>41803</v>
      </c>
      <c r="I4731" s="55" t="s">
        <v>536</v>
      </c>
      <c r="J4731" s="55">
        <v>320</v>
      </c>
      <c r="K4731" s="55">
        <f>VLOOKUP(J4731,'Validacion reclamo de equipaje'!L:M,2,0)</f>
        <v>179</v>
      </c>
      <c r="L4731" s="55" t="str">
        <f>VLOOKUP(I4731,'Validacion reclamo de equipaje'!H:I,2,0)</f>
        <v>Nacional</v>
      </c>
      <c r="M4731" s="55" t="s">
        <v>615</v>
      </c>
    </row>
    <row r="4732" spans="1:13" x14ac:dyDescent="0.25">
      <c r="A4732">
        <v>2216</v>
      </c>
      <c r="B4732" s="47" t="str">
        <f>VLOOKUP(Tabla6[[#This Row],['# Vuelo]],'Validacion reclamo de equipaje'!P:Q,2,0)</f>
        <v>INTERAVIÓN</v>
      </c>
      <c r="C4732" s="48">
        <v>0.45416666666666666</v>
      </c>
      <c r="D4732" s="48">
        <v>0.46458333333333335</v>
      </c>
      <c r="E4732" s="49">
        <f>'Reclamo de equipaje rediseñado'!$D4732-'Reclamo de equipaje rediseñado'!$C4732</f>
        <v>1.0416666666666685E-2</v>
      </c>
      <c r="F4732" s="48">
        <v>0.47986111111111113</v>
      </c>
      <c r="G4732" s="49">
        <f t="shared" si="73"/>
        <v>1.5277777777777779E-2</v>
      </c>
      <c r="H4732" s="50">
        <v>41805</v>
      </c>
      <c r="I4732" s="51" t="s">
        <v>536</v>
      </c>
      <c r="J4732" s="51">
        <v>320</v>
      </c>
      <c r="K4732" s="51">
        <f>VLOOKUP(J4732,'Validacion reclamo de equipaje'!L:M,2,0)</f>
        <v>179</v>
      </c>
      <c r="L4732" s="51" t="str">
        <f>VLOOKUP(I4732,'Validacion reclamo de equipaje'!H:I,2,0)</f>
        <v>Nacional</v>
      </c>
      <c r="M4732" s="51" t="s">
        <v>615</v>
      </c>
    </row>
    <row r="4733" spans="1:13" x14ac:dyDescent="0.25">
      <c r="A4733">
        <v>2216</v>
      </c>
      <c r="B4733" s="47" t="str">
        <f>VLOOKUP(Tabla6[[#This Row],['# Vuelo]],'Validacion reclamo de equipaje'!P:Q,2,0)</f>
        <v>INTERAVIÓN</v>
      </c>
      <c r="C4733" s="52">
        <v>0.90902777777777777</v>
      </c>
      <c r="D4733" s="52">
        <v>0.9194444444444444</v>
      </c>
      <c r="E4733" s="53">
        <f>'Reclamo de equipaje rediseñado'!$D4733-'Reclamo de equipaje rediseñado'!$C4733</f>
        <v>1.041666666666663E-2</v>
      </c>
      <c r="F4733" s="52">
        <v>0.93472222222222223</v>
      </c>
      <c r="G4733" s="53">
        <f t="shared" si="73"/>
        <v>1.5277777777777835E-2</v>
      </c>
      <c r="H4733" s="54">
        <v>41806</v>
      </c>
      <c r="I4733" s="55" t="s">
        <v>536</v>
      </c>
      <c r="J4733" s="55">
        <v>320</v>
      </c>
      <c r="K4733" s="55">
        <f>VLOOKUP(J4733,'Validacion reclamo de equipaje'!L:M,2,0)</f>
        <v>179</v>
      </c>
      <c r="L4733" s="55" t="str">
        <f>VLOOKUP(I4733,'Validacion reclamo de equipaje'!H:I,2,0)</f>
        <v>Nacional</v>
      </c>
      <c r="M4733" s="55" t="s">
        <v>615</v>
      </c>
    </row>
    <row r="4734" spans="1:13" x14ac:dyDescent="0.25">
      <c r="A4734">
        <v>2216</v>
      </c>
      <c r="B4734" s="47" t="str">
        <f>VLOOKUP(Tabla6[[#This Row],['# Vuelo]],'Validacion reclamo de equipaje'!P:Q,2,0)</f>
        <v>INTERAVIÓN</v>
      </c>
      <c r="C4734" s="48">
        <v>0.87777777777777777</v>
      </c>
      <c r="D4734" s="48">
        <v>0.89097222222222217</v>
      </c>
      <c r="E4734" s="49">
        <f>'Reclamo de equipaje rediseñado'!$D4734-'Reclamo de equipaje rediseñado'!$C4734</f>
        <v>1.3194444444444398E-2</v>
      </c>
      <c r="F4734" s="48">
        <v>0.8965277777777777</v>
      </c>
      <c r="G4734" s="49">
        <f t="shared" si="73"/>
        <v>5.5555555555555358E-3</v>
      </c>
      <c r="H4734" s="50">
        <v>41807</v>
      </c>
      <c r="I4734" s="51" t="s">
        <v>536</v>
      </c>
      <c r="J4734" s="51">
        <v>320</v>
      </c>
      <c r="K4734" s="51">
        <f>VLOOKUP(J4734,'Validacion reclamo de equipaje'!L:M,2,0)</f>
        <v>179</v>
      </c>
      <c r="L4734" s="51" t="str">
        <f>VLOOKUP(I4734,'Validacion reclamo de equipaje'!H:I,2,0)</f>
        <v>Nacional</v>
      </c>
      <c r="M4734" s="51" t="s">
        <v>615</v>
      </c>
    </row>
    <row r="4735" spans="1:13" x14ac:dyDescent="0.25">
      <c r="A4735">
        <v>2216</v>
      </c>
      <c r="B4735" s="47" t="str">
        <f>VLOOKUP(Tabla6[[#This Row],['# Vuelo]],'Validacion reclamo de equipaje'!P:Q,2,0)</f>
        <v>INTERAVIÓN</v>
      </c>
      <c r="C4735" s="52">
        <v>0.85486111111111107</v>
      </c>
      <c r="D4735" s="52">
        <v>0.8618055555555556</v>
      </c>
      <c r="E4735" s="53">
        <f>'Reclamo de equipaje rediseñado'!$D4735-'Reclamo de equipaje rediseñado'!$C4735</f>
        <v>6.9444444444445308E-3</v>
      </c>
      <c r="F4735" s="52">
        <v>0.86736111111111114</v>
      </c>
      <c r="G4735" s="53">
        <f t="shared" si="73"/>
        <v>5.5555555555555358E-3</v>
      </c>
      <c r="H4735" s="54">
        <v>41808</v>
      </c>
      <c r="I4735" s="55" t="s">
        <v>536</v>
      </c>
      <c r="J4735" s="55">
        <v>320</v>
      </c>
      <c r="K4735" s="55">
        <f>VLOOKUP(J4735,'Validacion reclamo de equipaje'!L:M,2,0)</f>
        <v>179</v>
      </c>
      <c r="L4735" s="55" t="str">
        <f>VLOOKUP(I4735,'Validacion reclamo de equipaje'!H:I,2,0)</f>
        <v>Nacional</v>
      </c>
      <c r="M4735" s="55" t="s">
        <v>615</v>
      </c>
    </row>
    <row r="4736" spans="1:13" x14ac:dyDescent="0.25">
      <c r="A4736">
        <v>2216</v>
      </c>
      <c r="B4736" s="47" t="str">
        <f>VLOOKUP(Tabla6[[#This Row],['# Vuelo]],'Validacion reclamo de equipaje'!P:Q,2,0)</f>
        <v>INTERAVIÓN</v>
      </c>
      <c r="C4736" s="48">
        <v>0.87708333333333333</v>
      </c>
      <c r="D4736" s="48">
        <v>0.88680555555555562</v>
      </c>
      <c r="E4736" s="49">
        <f>'Reclamo de equipaje rediseñado'!$D4736-'Reclamo de equipaje rediseñado'!$C4736</f>
        <v>9.7222222222222987E-3</v>
      </c>
      <c r="F4736" s="48">
        <v>0.89097222222222217</v>
      </c>
      <c r="G4736" s="49">
        <f t="shared" si="73"/>
        <v>4.1666666666665408E-3</v>
      </c>
      <c r="H4736" s="50">
        <v>41809</v>
      </c>
      <c r="I4736" s="51" t="s">
        <v>536</v>
      </c>
      <c r="J4736" s="51">
        <v>320</v>
      </c>
      <c r="K4736" s="51">
        <f>VLOOKUP(J4736,'Validacion reclamo de equipaje'!L:M,2,0)</f>
        <v>179</v>
      </c>
      <c r="L4736" s="51" t="str">
        <f>VLOOKUP(I4736,'Validacion reclamo de equipaje'!H:I,2,0)</f>
        <v>Nacional</v>
      </c>
      <c r="M4736" s="51" t="s">
        <v>615</v>
      </c>
    </row>
    <row r="4737" spans="1:13" x14ac:dyDescent="0.25">
      <c r="A4737">
        <v>2216</v>
      </c>
      <c r="B4737" s="47" t="str">
        <f>VLOOKUP(Tabla6[[#This Row],['# Vuelo]],'Validacion reclamo de equipaje'!P:Q,2,0)</f>
        <v>INTERAVIÓN</v>
      </c>
      <c r="C4737" s="52">
        <v>0.8666666666666667</v>
      </c>
      <c r="D4737" s="52">
        <v>0.87777777777777777</v>
      </c>
      <c r="E4737" s="53">
        <f>'Reclamo de equipaje rediseñado'!$D4737-'Reclamo de equipaje rediseñado'!$C4737</f>
        <v>1.1111111111111072E-2</v>
      </c>
      <c r="F4737" s="52">
        <v>0.88680555555555562</v>
      </c>
      <c r="G4737" s="53">
        <f t="shared" si="73"/>
        <v>9.0277777777778567E-3</v>
      </c>
      <c r="H4737" s="54">
        <v>41810</v>
      </c>
      <c r="I4737" s="55" t="s">
        <v>536</v>
      </c>
      <c r="J4737" s="55">
        <v>320</v>
      </c>
      <c r="K4737" s="55">
        <f>VLOOKUP(J4737,'Validacion reclamo de equipaje'!L:M,2,0)</f>
        <v>179</v>
      </c>
      <c r="L4737" s="55" t="str">
        <f>VLOOKUP(I4737,'Validacion reclamo de equipaje'!H:I,2,0)</f>
        <v>Nacional</v>
      </c>
      <c r="M4737" s="55" t="s">
        <v>615</v>
      </c>
    </row>
    <row r="4738" spans="1:13" x14ac:dyDescent="0.25">
      <c r="A4738">
        <v>2216</v>
      </c>
      <c r="B4738" s="47" t="str">
        <f>VLOOKUP(Tabla6[[#This Row],['# Vuelo]],'Validacion reclamo de equipaje'!P:Q,2,0)</f>
        <v>INTERAVIÓN</v>
      </c>
      <c r="C4738" s="48">
        <v>0.82986111111111116</v>
      </c>
      <c r="D4738" s="48">
        <v>0.83819444444444446</v>
      </c>
      <c r="E4738" s="49">
        <f>'Reclamo de equipaje rediseñado'!$D4738-'Reclamo de equipaje rediseñado'!$C4738</f>
        <v>8.3333333333333037E-3</v>
      </c>
      <c r="F4738" s="48">
        <v>0.84652777777777777</v>
      </c>
      <c r="G4738" s="49">
        <f t="shared" si="73"/>
        <v>8.3333333333333037E-3</v>
      </c>
      <c r="H4738" s="50">
        <v>41811</v>
      </c>
      <c r="I4738" s="51" t="s">
        <v>536</v>
      </c>
      <c r="J4738" s="51">
        <v>320</v>
      </c>
      <c r="K4738" s="51">
        <f>VLOOKUP(J4738,'Validacion reclamo de equipaje'!L:M,2,0)</f>
        <v>179</v>
      </c>
      <c r="L4738" s="51" t="str">
        <f>VLOOKUP(I4738,'Validacion reclamo de equipaje'!H:I,2,0)</f>
        <v>Nacional</v>
      </c>
      <c r="M4738" s="51" t="s">
        <v>615</v>
      </c>
    </row>
    <row r="4739" spans="1:13" x14ac:dyDescent="0.25">
      <c r="A4739">
        <v>2216</v>
      </c>
      <c r="B4739" s="47" t="str">
        <f>VLOOKUP(Tabla6[[#This Row],['# Vuelo]],'Validacion reclamo de equipaje'!P:Q,2,0)</f>
        <v>INTERAVIÓN</v>
      </c>
      <c r="C4739" s="52">
        <v>0.69027777777777777</v>
      </c>
      <c r="D4739" s="52">
        <v>0.69444444444444453</v>
      </c>
      <c r="E4739" s="53">
        <f>'Reclamo de equipaje rediseñado'!$D4739-'Reclamo de equipaje rediseñado'!$C4739</f>
        <v>4.1666666666667629E-3</v>
      </c>
      <c r="F4739" s="52">
        <v>0.70138888888888884</v>
      </c>
      <c r="G4739" s="53">
        <f t="shared" ref="G4739:G4802" si="74">F4739-D4739</f>
        <v>6.9444444444443088E-3</v>
      </c>
      <c r="H4739" s="54">
        <v>41812</v>
      </c>
      <c r="I4739" s="55" t="s">
        <v>536</v>
      </c>
      <c r="J4739" s="55">
        <v>320</v>
      </c>
      <c r="K4739" s="55">
        <f>VLOOKUP(J4739,'Validacion reclamo de equipaje'!L:M,2,0)</f>
        <v>179</v>
      </c>
      <c r="L4739" s="55" t="str">
        <f>VLOOKUP(I4739,'Validacion reclamo de equipaje'!H:I,2,0)</f>
        <v>Nacional</v>
      </c>
      <c r="M4739" s="55" t="s">
        <v>615</v>
      </c>
    </row>
    <row r="4740" spans="1:13" x14ac:dyDescent="0.25">
      <c r="A4740">
        <v>2214</v>
      </c>
      <c r="B4740" s="47" t="str">
        <f>VLOOKUP(Tabla6[[#This Row],['# Vuelo]],'Validacion reclamo de equipaje'!P:Q,2,0)</f>
        <v>INTERAVIÓN</v>
      </c>
      <c r="C4740" s="48">
        <v>0.73472222222222217</v>
      </c>
      <c r="D4740" s="48">
        <v>0.74444444444444446</v>
      </c>
      <c r="E4740" s="49">
        <f>'Reclamo de equipaje rediseñado'!$D4740-'Reclamo de equipaje rediseñado'!$C4740</f>
        <v>9.7222222222222987E-3</v>
      </c>
      <c r="F4740" s="48">
        <v>0.75</v>
      </c>
      <c r="G4740" s="49">
        <f t="shared" si="74"/>
        <v>5.5555555555555358E-3</v>
      </c>
      <c r="H4740" s="50">
        <v>41801</v>
      </c>
      <c r="I4740" s="51" t="s">
        <v>536</v>
      </c>
      <c r="J4740" s="51">
        <v>320</v>
      </c>
      <c r="K4740" s="51">
        <f>VLOOKUP(J4740,'Validacion reclamo de equipaje'!L:M,2,0)</f>
        <v>179</v>
      </c>
      <c r="L4740" s="51" t="str">
        <f>VLOOKUP(I4740,'Validacion reclamo de equipaje'!H:I,2,0)</f>
        <v>Nacional</v>
      </c>
      <c r="M4740" s="51" t="s">
        <v>615</v>
      </c>
    </row>
    <row r="4741" spans="1:13" x14ac:dyDescent="0.25">
      <c r="A4741">
        <v>2214</v>
      </c>
      <c r="B4741" s="47" t="str">
        <f>VLOOKUP(Tabla6[[#This Row],['# Vuelo]],'Validacion reclamo de equipaje'!P:Q,2,0)</f>
        <v>INTERAVIÓN</v>
      </c>
      <c r="C4741" s="52">
        <v>0.31805555555555554</v>
      </c>
      <c r="D4741" s="52">
        <v>0.32708333333333334</v>
      </c>
      <c r="E4741" s="53">
        <f>'Reclamo de equipaje rediseñado'!$D4741-'Reclamo de equipaje rediseñado'!$C4741</f>
        <v>9.0277777777778012E-3</v>
      </c>
      <c r="F4741" s="52">
        <v>0.33194444444444443</v>
      </c>
      <c r="G4741" s="53">
        <f t="shared" si="74"/>
        <v>4.8611111111110938E-3</v>
      </c>
      <c r="H4741" s="54">
        <v>41810</v>
      </c>
      <c r="I4741" s="55" t="s">
        <v>536</v>
      </c>
      <c r="J4741" s="55">
        <v>320</v>
      </c>
      <c r="K4741" s="55">
        <f>VLOOKUP(J4741,'Validacion reclamo de equipaje'!L:M,2,0)</f>
        <v>179</v>
      </c>
      <c r="L4741" s="55" t="str">
        <f>VLOOKUP(I4741,'Validacion reclamo de equipaje'!H:I,2,0)</f>
        <v>Nacional</v>
      </c>
      <c r="M4741" s="55" t="s">
        <v>615</v>
      </c>
    </row>
    <row r="4742" spans="1:13" x14ac:dyDescent="0.25">
      <c r="A4742">
        <v>2212</v>
      </c>
      <c r="B4742" s="47" t="str">
        <f>VLOOKUP(Tabla6[[#This Row],['# Vuelo]],'Validacion reclamo de equipaje'!P:Q,2,0)</f>
        <v>INTERAVIÓN</v>
      </c>
      <c r="C4742" s="48">
        <v>0.93958333333333333</v>
      </c>
      <c r="D4742" s="48">
        <v>0.94444444444444453</v>
      </c>
      <c r="E4742" s="49">
        <f>'Reclamo de equipaje rediseñado'!$D4742-'Reclamo de equipaje rediseñado'!$C4742</f>
        <v>4.8611111111112049E-3</v>
      </c>
      <c r="F4742" s="48">
        <v>0.94861111111111107</v>
      </c>
      <c r="G4742" s="49">
        <f t="shared" si="74"/>
        <v>4.1666666666665408E-3</v>
      </c>
      <c r="H4742" s="50">
        <v>41792</v>
      </c>
      <c r="I4742" s="51" t="s">
        <v>536</v>
      </c>
      <c r="J4742" s="51">
        <v>320</v>
      </c>
      <c r="K4742" s="51">
        <f>VLOOKUP(J4742,'Validacion reclamo de equipaje'!L:M,2,0)</f>
        <v>179</v>
      </c>
      <c r="L4742" s="51" t="str">
        <f>VLOOKUP(I4742,'Validacion reclamo de equipaje'!H:I,2,0)</f>
        <v>Nacional</v>
      </c>
      <c r="M4742" s="51" t="s">
        <v>615</v>
      </c>
    </row>
    <row r="4743" spans="1:13" x14ac:dyDescent="0.25">
      <c r="A4743">
        <v>2212</v>
      </c>
      <c r="B4743" s="47" t="str">
        <f>VLOOKUP(Tabla6[[#This Row],['# Vuelo]],'Validacion reclamo de equipaje'!P:Q,2,0)</f>
        <v>INTERAVIÓN</v>
      </c>
      <c r="C4743" s="52">
        <v>0.9472222222222223</v>
      </c>
      <c r="D4743" s="52">
        <v>0.9590277777777777</v>
      </c>
      <c r="E4743" s="53">
        <f>'Reclamo de equipaje rediseñado'!$D4743-'Reclamo de equipaje rediseñado'!$C4743</f>
        <v>1.1805555555555403E-2</v>
      </c>
      <c r="F4743" s="52">
        <v>0.96180555555555547</v>
      </c>
      <c r="G4743" s="53">
        <f t="shared" si="74"/>
        <v>2.7777777777777679E-3</v>
      </c>
      <c r="H4743" s="54">
        <v>41795</v>
      </c>
      <c r="I4743" s="55" t="s">
        <v>536</v>
      </c>
      <c r="J4743" s="55">
        <v>320</v>
      </c>
      <c r="K4743" s="55">
        <f>VLOOKUP(J4743,'Validacion reclamo de equipaje'!L:M,2,0)</f>
        <v>179</v>
      </c>
      <c r="L4743" s="55" t="str">
        <f>VLOOKUP(I4743,'Validacion reclamo de equipaje'!H:I,2,0)</f>
        <v>Nacional</v>
      </c>
      <c r="M4743" s="55" t="s">
        <v>615</v>
      </c>
    </row>
    <row r="4744" spans="1:13" x14ac:dyDescent="0.25">
      <c r="A4744">
        <v>2212</v>
      </c>
      <c r="B4744" s="47" t="str">
        <f>VLOOKUP(Tabla6[[#This Row],['# Vuelo]],'Validacion reclamo de equipaje'!P:Q,2,0)</f>
        <v>INTERAVIÓN</v>
      </c>
      <c r="C4744" s="48">
        <v>0.9458333333333333</v>
      </c>
      <c r="D4744" s="48">
        <v>0.95000000000000007</v>
      </c>
      <c r="E4744" s="49">
        <f>'Reclamo de equipaje rediseñado'!$D4744-'Reclamo de equipaje rediseñado'!$C4744</f>
        <v>4.1666666666667629E-3</v>
      </c>
      <c r="F4744" s="48">
        <v>0.95694444444444438</v>
      </c>
      <c r="G4744" s="49">
        <f t="shared" si="74"/>
        <v>6.9444444444443088E-3</v>
      </c>
      <c r="H4744" s="50">
        <v>41796</v>
      </c>
      <c r="I4744" s="51" t="s">
        <v>536</v>
      </c>
      <c r="J4744" s="51">
        <v>320</v>
      </c>
      <c r="K4744" s="51">
        <f>VLOOKUP(J4744,'Validacion reclamo de equipaje'!L:M,2,0)</f>
        <v>179</v>
      </c>
      <c r="L4744" s="51" t="str">
        <f>VLOOKUP(I4744,'Validacion reclamo de equipaje'!H:I,2,0)</f>
        <v>Nacional</v>
      </c>
      <c r="M4744" s="51" t="s">
        <v>615</v>
      </c>
    </row>
    <row r="4745" spans="1:13" x14ac:dyDescent="0.25">
      <c r="A4745">
        <v>2212</v>
      </c>
      <c r="B4745" s="47" t="str">
        <f>VLOOKUP(Tabla6[[#This Row],['# Vuelo]],'Validacion reclamo de equipaje'!P:Q,2,0)</f>
        <v>INTERAVIÓN</v>
      </c>
      <c r="C4745" s="52">
        <v>0.92986111111111114</v>
      </c>
      <c r="D4745" s="52">
        <v>0.93263888888888891</v>
      </c>
      <c r="E4745" s="53">
        <f>'Reclamo de equipaje rediseñado'!$D4745-'Reclamo de equipaje rediseñado'!$C4745</f>
        <v>2.7777777777777679E-3</v>
      </c>
      <c r="F4745" s="52">
        <v>0.93472222222222223</v>
      </c>
      <c r="G4745" s="53">
        <f t="shared" si="74"/>
        <v>2.0833333333333259E-3</v>
      </c>
      <c r="H4745" s="54">
        <v>41799</v>
      </c>
      <c r="I4745" s="55" t="s">
        <v>536</v>
      </c>
      <c r="J4745" s="55">
        <v>320</v>
      </c>
      <c r="K4745" s="55">
        <f>VLOOKUP(J4745,'Validacion reclamo de equipaje'!L:M,2,0)</f>
        <v>179</v>
      </c>
      <c r="L4745" s="55" t="str">
        <f>VLOOKUP(I4745,'Validacion reclamo de equipaje'!H:I,2,0)</f>
        <v>Nacional</v>
      </c>
      <c r="M4745" s="55" t="s">
        <v>615</v>
      </c>
    </row>
    <row r="4746" spans="1:13" x14ac:dyDescent="0.25">
      <c r="A4746">
        <v>2212</v>
      </c>
      <c r="B4746" s="47" t="str">
        <f>VLOOKUP(Tabla6[[#This Row],['# Vuelo]],'Validacion reclamo de equipaje'!P:Q,2,0)</f>
        <v>INTERAVIÓN</v>
      </c>
      <c r="C4746" s="48">
        <v>0.57013888888888886</v>
      </c>
      <c r="D4746" s="48">
        <v>0.57847222222222217</v>
      </c>
      <c r="E4746" s="49">
        <f>'Reclamo de equipaje rediseñado'!$D4746-'Reclamo de equipaje rediseñado'!$C4746</f>
        <v>8.3333333333333037E-3</v>
      </c>
      <c r="F4746" s="48">
        <v>0.58750000000000002</v>
      </c>
      <c r="G4746" s="49">
        <f t="shared" si="74"/>
        <v>9.0277777777778567E-3</v>
      </c>
      <c r="H4746" s="50">
        <v>41802</v>
      </c>
      <c r="I4746" s="51" t="s">
        <v>536</v>
      </c>
      <c r="J4746" s="51">
        <v>320</v>
      </c>
      <c r="K4746" s="51">
        <f>VLOOKUP(J4746,'Validacion reclamo de equipaje'!L:M,2,0)</f>
        <v>179</v>
      </c>
      <c r="L4746" s="51" t="str">
        <f>VLOOKUP(I4746,'Validacion reclamo de equipaje'!H:I,2,0)</f>
        <v>Nacional</v>
      </c>
      <c r="M4746" s="51" t="s">
        <v>615</v>
      </c>
    </row>
    <row r="4747" spans="1:13" x14ac:dyDescent="0.25">
      <c r="A4747">
        <v>2212</v>
      </c>
      <c r="B4747" s="47" t="str">
        <f>VLOOKUP(Tabla6[[#This Row],['# Vuelo]],'Validacion reclamo de equipaje'!P:Q,2,0)</f>
        <v>INTERAVIÓN</v>
      </c>
      <c r="C4747" s="52">
        <v>0.43402777777777773</v>
      </c>
      <c r="D4747" s="52">
        <v>0.4375</v>
      </c>
      <c r="E4747" s="53">
        <f>'Reclamo de equipaje rediseñado'!$D4747-'Reclamo de equipaje rediseñado'!$C4747</f>
        <v>3.4722222222222654E-3</v>
      </c>
      <c r="F4747" s="52">
        <v>0.44375000000000003</v>
      </c>
      <c r="G4747" s="53">
        <f t="shared" si="74"/>
        <v>6.2500000000000333E-3</v>
      </c>
      <c r="H4747" s="54">
        <v>41803</v>
      </c>
      <c r="I4747" s="55" t="s">
        <v>536</v>
      </c>
      <c r="J4747" s="55">
        <v>320</v>
      </c>
      <c r="K4747" s="55">
        <f>VLOOKUP(J4747,'Validacion reclamo de equipaje'!L:M,2,0)</f>
        <v>179</v>
      </c>
      <c r="L4747" s="55" t="str">
        <f>VLOOKUP(I4747,'Validacion reclamo de equipaje'!H:I,2,0)</f>
        <v>Nacional</v>
      </c>
      <c r="M4747" s="55" t="s">
        <v>615</v>
      </c>
    </row>
    <row r="4748" spans="1:13" x14ac:dyDescent="0.25">
      <c r="A4748">
        <v>2212</v>
      </c>
      <c r="B4748" s="47" t="str">
        <f>VLOOKUP(Tabla6[[#This Row],['# Vuelo]],'Validacion reclamo de equipaje'!P:Q,2,0)</f>
        <v>INTERAVIÓN</v>
      </c>
      <c r="C4748" s="48">
        <v>0.90694444444444444</v>
      </c>
      <c r="D4748" s="48">
        <v>0.90972222222222221</v>
      </c>
      <c r="E4748" s="49">
        <f>'Reclamo de equipaje rediseñado'!$D4748-'Reclamo de equipaje rediseñado'!$C4748</f>
        <v>2.7777777777777679E-3</v>
      </c>
      <c r="F4748" s="48">
        <v>0.92638888888888893</v>
      </c>
      <c r="G4748" s="49">
        <f t="shared" si="74"/>
        <v>1.6666666666666718E-2</v>
      </c>
      <c r="H4748" s="50">
        <v>41806</v>
      </c>
      <c r="I4748" s="51" t="s">
        <v>536</v>
      </c>
      <c r="J4748" s="51">
        <v>320</v>
      </c>
      <c r="K4748" s="51">
        <f>VLOOKUP(J4748,'Validacion reclamo de equipaje'!L:M,2,0)</f>
        <v>179</v>
      </c>
      <c r="L4748" s="51" t="str">
        <f>VLOOKUP(I4748,'Validacion reclamo de equipaje'!H:I,2,0)</f>
        <v>Nacional</v>
      </c>
      <c r="M4748" s="51" t="s">
        <v>615</v>
      </c>
    </row>
    <row r="4749" spans="1:13" x14ac:dyDescent="0.25">
      <c r="A4749">
        <v>2212</v>
      </c>
      <c r="B4749" s="47" t="str">
        <f>VLOOKUP(Tabla6[[#This Row],['# Vuelo]],'Validacion reclamo de equipaje'!P:Q,2,0)</f>
        <v>INTERAVIÓN</v>
      </c>
      <c r="C4749" s="52">
        <v>0.95347222222222217</v>
      </c>
      <c r="D4749" s="52">
        <v>0.96388888888888891</v>
      </c>
      <c r="E4749" s="53">
        <f>'Reclamo de equipaje rediseñado'!$D4749-'Reclamo de equipaje rediseñado'!$C4749</f>
        <v>1.0416666666666741E-2</v>
      </c>
      <c r="F4749" s="52">
        <v>0.96736111111111101</v>
      </c>
      <c r="G4749" s="53">
        <f t="shared" si="74"/>
        <v>3.4722222222220989E-3</v>
      </c>
      <c r="H4749" s="54">
        <v>41809</v>
      </c>
      <c r="I4749" s="55" t="s">
        <v>536</v>
      </c>
      <c r="J4749" s="55">
        <v>320</v>
      </c>
      <c r="K4749" s="55">
        <f>VLOOKUP(J4749,'Validacion reclamo de equipaje'!L:M,2,0)</f>
        <v>179</v>
      </c>
      <c r="L4749" s="55" t="str">
        <f>VLOOKUP(I4749,'Validacion reclamo de equipaje'!H:I,2,0)</f>
        <v>Nacional</v>
      </c>
      <c r="M4749" s="55" t="s">
        <v>615</v>
      </c>
    </row>
    <row r="4750" spans="1:13" x14ac:dyDescent="0.25">
      <c r="A4750">
        <v>2212</v>
      </c>
      <c r="B4750" s="47" t="str">
        <f>VLOOKUP(Tabla6[[#This Row],['# Vuelo]],'Validacion reclamo de equipaje'!P:Q,2,0)</f>
        <v>INTERAVIÓN</v>
      </c>
      <c r="C4750" s="48">
        <v>0.96458333333333324</v>
      </c>
      <c r="D4750" s="48">
        <v>0.97569444444444453</v>
      </c>
      <c r="E4750" s="49">
        <f>'Reclamo de equipaje rediseñado'!$D4750-'Reclamo de equipaje rediseñado'!$C4750</f>
        <v>1.1111111111111294E-2</v>
      </c>
      <c r="F4750" s="48">
        <v>0.9819444444444444</v>
      </c>
      <c r="G4750" s="49">
        <f t="shared" si="74"/>
        <v>6.2499999999998668E-3</v>
      </c>
      <c r="H4750" s="50">
        <v>41810</v>
      </c>
      <c r="I4750" s="51" t="s">
        <v>536</v>
      </c>
      <c r="J4750" s="51">
        <v>320</v>
      </c>
      <c r="K4750" s="51">
        <f>VLOOKUP(J4750,'Validacion reclamo de equipaje'!L:M,2,0)</f>
        <v>179</v>
      </c>
      <c r="L4750" s="51" t="str">
        <f>VLOOKUP(I4750,'Validacion reclamo de equipaje'!H:I,2,0)</f>
        <v>Nacional</v>
      </c>
      <c r="M4750" s="51" t="s">
        <v>615</v>
      </c>
    </row>
    <row r="4751" spans="1:13" x14ac:dyDescent="0.25">
      <c r="A4751">
        <v>2212</v>
      </c>
      <c r="B4751" s="47" t="str">
        <f>VLOOKUP(Tabla6[[#This Row],['# Vuelo]],'Validacion reclamo de equipaje'!P:Q,2,0)</f>
        <v>INTERAVIÓN</v>
      </c>
      <c r="C4751" s="52">
        <v>0.98472222222222217</v>
      </c>
      <c r="D4751" s="52">
        <v>0.99305555555555547</v>
      </c>
      <c r="E4751" s="53">
        <f>'Reclamo de equipaje rediseñado'!$D4751-'Reclamo de equipaje rediseñado'!$C4751</f>
        <v>8.3333333333333037E-3</v>
      </c>
      <c r="F4751" s="52">
        <v>0.99791666666666667</v>
      </c>
      <c r="G4751" s="53">
        <f t="shared" si="74"/>
        <v>4.8611111111112049E-3</v>
      </c>
      <c r="H4751" s="54">
        <v>41813</v>
      </c>
      <c r="I4751" s="55" t="s">
        <v>536</v>
      </c>
      <c r="J4751" s="55">
        <v>320</v>
      </c>
      <c r="K4751" s="55">
        <f>VLOOKUP(J4751,'Validacion reclamo de equipaje'!L:M,2,0)</f>
        <v>179</v>
      </c>
      <c r="L4751" s="55" t="str">
        <f>VLOOKUP(I4751,'Validacion reclamo de equipaje'!H:I,2,0)</f>
        <v>Nacional</v>
      </c>
      <c r="M4751" s="55" t="s">
        <v>615</v>
      </c>
    </row>
    <row r="4752" spans="1:13" x14ac:dyDescent="0.25">
      <c r="A4752">
        <v>2210</v>
      </c>
      <c r="B4752" s="47" t="str">
        <f>VLOOKUP(Tabla6[[#This Row],['# Vuelo]],'Validacion reclamo de equipaje'!P:Q,2,0)</f>
        <v>INTERAVIÓN</v>
      </c>
      <c r="C4752" s="48">
        <v>0.42430555555555555</v>
      </c>
      <c r="D4752" s="48">
        <v>0.43472222222222223</v>
      </c>
      <c r="E4752" s="49">
        <f>'Reclamo de equipaje rediseñado'!$D4752-'Reclamo de equipaje rediseñado'!$C4752</f>
        <v>1.0416666666666685E-2</v>
      </c>
      <c r="F4752" s="48">
        <v>0.43888888888888888</v>
      </c>
      <c r="G4752" s="49">
        <f t="shared" si="74"/>
        <v>4.1666666666666519E-3</v>
      </c>
      <c r="H4752" s="50">
        <v>41791</v>
      </c>
      <c r="I4752" s="51" t="s">
        <v>536</v>
      </c>
      <c r="J4752" s="51">
        <v>320</v>
      </c>
      <c r="K4752" s="51">
        <f>VLOOKUP(J4752,'Validacion reclamo de equipaje'!L:M,2,0)</f>
        <v>179</v>
      </c>
      <c r="L4752" s="51" t="str">
        <f>VLOOKUP(I4752,'Validacion reclamo de equipaje'!H:I,2,0)</f>
        <v>Nacional</v>
      </c>
      <c r="M4752" s="51" t="s">
        <v>615</v>
      </c>
    </row>
    <row r="4753" spans="1:13" x14ac:dyDescent="0.25">
      <c r="A4753">
        <v>2210</v>
      </c>
      <c r="B4753" s="47" t="str">
        <f>VLOOKUP(Tabla6[[#This Row],['# Vuelo]],'Validacion reclamo de equipaje'!P:Q,2,0)</f>
        <v>INTERAVIÓN</v>
      </c>
      <c r="C4753" s="52">
        <v>0.43611111111111112</v>
      </c>
      <c r="D4753" s="52">
        <v>0.44027777777777777</v>
      </c>
      <c r="E4753" s="53">
        <f>'Reclamo de equipaje rediseñado'!$D4753-'Reclamo de equipaje rediseñado'!$C4753</f>
        <v>4.1666666666666519E-3</v>
      </c>
      <c r="F4753" s="52">
        <v>0.4458333333333333</v>
      </c>
      <c r="G4753" s="53">
        <f t="shared" si="74"/>
        <v>5.5555555555555358E-3</v>
      </c>
      <c r="H4753" s="54">
        <v>41792</v>
      </c>
      <c r="I4753" s="55" t="s">
        <v>536</v>
      </c>
      <c r="J4753" s="55">
        <v>320</v>
      </c>
      <c r="K4753" s="55">
        <f>VLOOKUP(J4753,'Validacion reclamo de equipaje'!L:M,2,0)</f>
        <v>179</v>
      </c>
      <c r="L4753" s="55" t="str">
        <f>VLOOKUP(I4753,'Validacion reclamo de equipaje'!H:I,2,0)</f>
        <v>Nacional</v>
      </c>
      <c r="M4753" s="55" t="s">
        <v>615</v>
      </c>
    </row>
    <row r="4754" spans="1:13" x14ac:dyDescent="0.25">
      <c r="A4754">
        <v>2210</v>
      </c>
      <c r="B4754" s="47" t="str">
        <f>VLOOKUP(Tabla6[[#This Row],['# Vuelo]],'Validacion reclamo de equipaje'!P:Q,2,0)</f>
        <v>INTERAVIÓN</v>
      </c>
      <c r="C4754" s="48">
        <v>0.4375</v>
      </c>
      <c r="D4754" s="48">
        <v>0.44305555555555554</v>
      </c>
      <c r="E4754" s="49">
        <f>'Reclamo de equipaje rediseñado'!$D4754-'Reclamo de equipaje rediseñado'!$C4754</f>
        <v>5.5555555555555358E-3</v>
      </c>
      <c r="F4754" s="48">
        <v>0.44791666666666669</v>
      </c>
      <c r="G4754" s="49">
        <f t="shared" si="74"/>
        <v>4.8611111111111494E-3</v>
      </c>
      <c r="H4754" s="50">
        <v>41793</v>
      </c>
      <c r="I4754" s="51" t="s">
        <v>536</v>
      </c>
      <c r="J4754" s="51">
        <v>320</v>
      </c>
      <c r="K4754" s="51">
        <f>VLOOKUP(J4754,'Validacion reclamo de equipaje'!L:M,2,0)</f>
        <v>179</v>
      </c>
      <c r="L4754" s="51" t="str">
        <f>VLOOKUP(I4754,'Validacion reclamo de equipaje'!H:I,2,0)</f>
        <v>Nacional</v>
      </c>
      <c r="M4754" s="51" t="s">
        <v>615</v>
      </c>
    </row>
    <row r="4755" spans="1:13" x14ac:dyDescent="0.25">
      <c r="A4755">
        <v>2210</v>
      </c>
      <c r="B4755" s="47" t="str">
        <f>VLOOKUP(Tabla6[[#This Row],['# Vuelo]],'Validacion reclamo de equipaje'!P:Q,2,0)</f>
        <v>INTERAVIÓN</v>
      </c>
      <c r="C4755" s="52">
        <v>0.43402777777777773</v>
      </c>
      <c r="D4755" s="52">
        <v>0.44027777777777777</v>
      </c>
      <c r="E4755" s="53">
        <f>'Reclamo de equipaje rediseñado'!$D4755-'Reclamo de equipaje rediseñado'!$C4755</f>
        <v>6.2500000000000333E-3</v>
      </c>
      <c r="F4755" s="52">
        <v>0.44791666666666669</v>
      </c>
      <c r="G4755" s="53">
        <f t="shared" si="74"/>
        <v>7.6388888888889173E-3</v>
      </c>
      <c r="H4755" s="54">
        <v>41794</v>
      </c>
      <c r="I4755" s="55" t="s">
        <v>536</v>
      </c>
      <c r="J4755" s="55">
        <v>320</v>
      </c>
      <c r="K4755" s="55">
        <f>VLOOKUP(J4755,'Validacion reclamo de equipaje'!L:M,2,0)</f>
        <v>179</v>
      </c>
      <c r="L4755" s="55" t="str">
        <f>VLOOKUP(I4755,'Validacion reclamo de equipaje'!H:I,2,0)</f>
        <v>Nacional</v>
      </c>
      <c r="M4755" s="55" t="s">
        <v>615</v>
      </c>
    </row>
    <row r="4756" spans="1:13" x14ac:dyDescent="0.25">
      <c r="A4756">
        <v>2210</v>
      </c>
      <c r="B4756" s="47" t="str">
        <f>VLOOKUP(Tabla6[[#This Row],['# Vuelo]],'Validacion reclamo de equipaje'!P:Q,2,0)</f>
        <v>INTERAVIÓN</v>
      </c>
      <c r="C4756" s="48">
        <v>0.43611111111111112</v>
      </c>
      <c r="D4756" s="48">
        <v>0.43958333333333338</v>
      </c>
      <c r="E4756" s="49">
        <f>'Reclamo de equipaje rediseñado'!$D4756-'Reclamo de equipaje rediseñado'!$C4756</f>
        <v>3.4722222222222654E-3</v>
      </c>
      <c r="F4756" s="48">
        <v>0.4465277777777778</v>
      </c>
      <c r="G4756" s="49">
        <f t="shared" si="74"/>
        <v>6.9444444444444198E-3</v>
      </c>
      <c r="H4756" s="50">
        <v>41795</v>
      </c>
      <c r="I4756" s="51" t="s">
        <v>536</v>
      </c>
      <c r="J4756" s="51">
        <v>320</v>
      </c>
      <c r="K4756" s="51">
        <f>VLOOKUP(J4756,'Validacion reclamo de equipaje'!L:M,2,0)</f>
        <v>179</v>
      </c>
      <c r="L4756" s="51" t="str">
        <f>VLOOKUP(I4756,'Validacion reclamo de equipaje'!H:I,2,0)</f>
        <v>Nacional</v>
      </c>
      <c r="M4756" s="51" t="s">
        <v>615</v>
      </c>
    </row>
    <row r="4757" spans="1:13" x14ac:dyDescent="0.25">
      <c r="A4757">
        <v>2210</v>
      </c>
      <c r="B4757" s="47" t="str">
        <f>VLOOKUP(Tabla6[[#This Row],['# Vuelo]],'Validacion reclamo de equipaje'!P:Q,2,0)</f>
        <v>INTERAVIÓN</v>
      </c>
      <c r="C4757" s="52">
        <v>0.43611111111111112</v>
      </c>
      <c r="D4757" s="52">
        <v>0.43958333333333338</v>
      </c>
      <c r="E4757" s="53">
        <f>'Reclamo de equipaje rediseñado'!$D4757-'Reclamo de equipaje rediseñado'!$C4757</f>
        <v>3.4722222222222654E-3</v>
      </c>
      <c r="F4757" s="52">
        <v>0.4465277777777778</v>
      </c>
      <c r="G4757" s="53">
        <f t="shared" si="74"/>
        <v>6.9444444444444198E-3</v>
      </c>
      <c r="H4757" s="54">
        <v>41795</v>
      </c>
      <c r="I4757" s="55" t="s">
        <v>536</v>
      </c>
      <c r="J4757" s="55">
        <v>320</v>
      </c>
      <c r="K4757" s="55">
        <f>VLOOKUP(J4757,'Validacion reclamo de equipaje'!L:M,2,0)</f>
        <v>179</v>
      </c>
      <c r="L4757" s="55" t="str">
        <f>VLOOKUP(I4757,'Validacion reclamo de equipaje'!H:I,2,0)</f>
        <v>Nacional</v>
      </c>
      <c r="M4757" s="55" t="s">
        <v>615</v>
      </c>
    </row>
    <row r="4758" spans="1:13" x14ac:dyDescent="0.25">
      <c r="A4758">
        <v>2210</v>
      </c>
      <c r="B4758" s="47" t="str">
        <f>VLOOKUP(Tabla6[[#This Row],['# Vuelo]],'Validacion reclamo de equipaje'!P:Q,2,0)</f>
        <v>INTERAVIÓN</v>
      </c>
      <c r="C4758" s="48">
        <v>0.43055555555555558</v>
      </c>
      <c r="D4758" s="48">
        <v>0.43402777777777773</v>
      </c>
      <c r="E4758" s="49">
        <f>'Reclamo de equipaje rediseñado'!$D4758-'Reclamo de equipaje rediseñado'!$C4758</f>
        <v>3.4722222222221544E-3</v>
      </c>
      <c r="F4758" s="48">
        <v>0.44097222222222227</v>
      </c>
      <c r="G4758" s="49">
        <f t="shared" si="74"/>
        <v>6.9444444444445308E-3</v>
      </c>
      <c r="H4758" s="50">
        <v>41796</v>
      </c>
      <c r="I4758" s="51" t="s">
        <v>536</v>
      </c>
      <c r="J4758" s="51">
        <v>320</v>
      </c>
      <c r="K4758" s="51">
        <f>VLOOKUP(J4758,'Validacion reclamo de equipaje'!L:M,2,0)</f>
        <v>179</v>
      </c>
      <c r="L4758" s="51" t="str">
        <f>VLOOKUP(I4758,'Validacion reclamo de equipaje'!H:I,2,0)</f>
        <v>Nacional</v>
      </c>
      <c r="M4758" s="51" t="s">
        <v>615</v>
      </c>
    </row>
    <row r="4759" spans="1:13" x14ac:dyDescent="0.25">
      <c r="A4759">
        <v>2210</v>
      </c>
      <c r="B4759" s="47" t="str">
        <f>VLOOKUP(Tabla6[[#This Row],['# Vuelo]],'Validacion reclamo de equipaje'!P:Q,2,0)</f>
        <v>INTERAVIÓN</v>
      </c>
      <c r="C4759" s="52">
        <v>0.43611111111111112</v>
      </c>
      <c r="D4759" s="52">
        <v>0.44097222222222227</v>
      </c>
      <c r="E4759" s="53">
        <f>'Reclamo de equipaje rediseñado'!$D4759-'Reclamo de equipaje rediseñado'!$C4759</f>
        <v>4.8611111111111494E-3</v>
      </c>
      <c r="F4759" s="52">
        <v>0.45069444444444445</v>
      </c>
      <c r="G4759" s="53">
        <f t="shared" si="74"/>
        <v>9.7222222222221877E-3</v>
      </c>
      <c r="H4759" s="54">
        <v>41797</v>
      </c>
      <c r="I4759" s="55" t="s">
        <v>536</v>
      </c>
      <c r="J4759" s="55">
        <v>320</v>
      </c>
      <c r="K4759" s="55">
        <f>VLOOKUP(J4759,'Validacion reclamo de equipaje'!L:M,2,0)</f>
        <v>179</v>
      </c>
      <c r="L4759" s="55" t="str">
        <f>VLOOKUP(I4759,'Validacion reclamo de equipaje'!H:I,2,0)</f>
        <v>Nacional</v>
      </c>
      <c r="M4759" s="55" t="s">
        <v>615</v>
      </c>
    </row>
    <row r="4760" spans="1:13" x14ac:dyDescent="0.25">
      <c r="A4760">
        <v>2210</v>
      </c>
      <c r="B4760" s="47" t="str">
        <f>VLOOKUP(Tabla6[[#This Row],['# Vuelo]],'Validacion reclamo de equipaje'!P:Q,2,0)</f>
        <v>INTERAVIÓN</v>
      </c>
      <c r="C4760" s="48">
        <v>0.42638888888888887</v>
      </c>
      <c r="D4760" s="48">
        <v>0.43055555555555558</v>
      </c>
      <c r="E4760" s="49">
        <f>'Reclamo de equipaje rediseñado'!$D4760-'Reclamo de equipaje rediseñado'!$C4760</f>
        <v>4.1666666666667074E-3</v>
      </c>
      <c r="F4760" s="48">
        <v>0.43611111111111112</v>
      </c>
      <c r="G4760" s="49">
        <f t="shared" si="74"/>
        <v>5.5555555555555358E-3</v>
      </c>
      <c r="H4760" s="50">
        <v>41798</v>
      </c>
      <c r="I4760" s="51" t="s">
        <v>536</v>
      </c>
      <c r="J4760" s="51">
        <v>320</v>
      </c>
      <c r="K4760" s="51">
        <f>VLOOKUP(J4760,'Validacion reclamo de equipaje'!L:M,2,0)</f>
        <v>179</v>
      </c>
      <c r="L4760" s="51" t="str">
        <f>VLOOKUP(I4760,'Validacion reclamo de equipaje'!H:I,2,0)</f>
        <v>Nacional</v>
      </c>
      <c r="M4760" s="51" t="s">
        <v>615</v>
      </c>
    </row>
    <row r="4761" spans="1:13" x14ac:dyDescent="0.25">
      <c r="A4761">
        <v>2210</v>
      </c>
      <c r="B4761" s="47" t="str">
        <f>VLOOKUP(Tabla6[[#This Row],['# Vuelo]],'Validacion reclamo de equipaje'!P:Q,2,0)</f>
        <v>INTERAVIÓN</v>
      </c>
      <c r="C4761" s="52">
        <v>0.43333333333333335</v>
      </c>
      <c r="D4761" s="52">
        <v>0.4368055555555555</v>
      </c>
      <c r="E4761" s="53">
        <f>'Reclamo de equipaje rediseñado'!$D4761-'Reclamo de equipaje rediseñado'!$C4761</f>
        <v>3.4722222222221544E-3</v>
      </c>
      <c r="F4761" s="52">
        <v>0.43958333333333338</v>
      </c>
      <c r="G4761" s="53">
        <f t="shared" si="74"/>
        <v>2.7777777777778789E-3</v>
      </c>
      <c r="H4761" s="54">
        <v>41799</v>
      </c>
      <c r="I4761" s="55" t="s">
        <v>536</v>
      </c>
      <c r="J4761" s="55">
        <v>320</v>
      </c>
      <c r="K4761" s="55">
        <f>VLOOKUP(J4761,'Validacion reclamo de equipaje'!L:M,2,0)</f>
        <v>179</v>
      </c>
      <c r="L4761" s="55" t="str">
        <f>VLOOKUP(I4761,'Validacion reclamo de equipaje'!H:I,2,0)</f>
        <v>Nacional</v>
      </c>
      <c r="M4761" s="55" t="s">
        <v>615</v>
      </c>
    </row>
    <row r="4762" spans="1:13" x14ac:dyDescent="0.25">
      <c r="A4762">
        <v>2210</v>
      </c>
      <c r="B4762" s="47" t="str">
        <f>VLOOKUP(Tabla6[[#This Row],['# Vuelo]],'Validacion reclamo de equipaje'!P:Q,2,0)</f>
        <v>INTERAVIÓN</v>
      </c>
      <c r="C4762" s="48">
        <v>0.90902777777777777</v>
      </c>
      <c r="D4762" s="48">
        <v>0.91249999999999998</v>
      </c>
      <c r="E4762" s="49">
        <f>'Reclamo de equipaje rediseñado'!$D4762-'Reclamo de equipaje rediseñado'!$C4762</f>
        <v>3.4722222222222099E-3</v>
      </c>
      <c r="F4762" s="48">
        <v>0.91736111111111107</v>
      </c>
      <c r="G4762" s="49">
        <f t="shared" si="74"/>
        <v>4.8611111111110938E-3</v>
      </c>
      <c r="H4762" s="50">
        <v>41801</v>
      </c>
      <c r="I4762" s="51" t="s">
        <v>536</v>
      </c>
      <c r="J4762" s="51">
        <v>320</v>
      </c>
      <c r="K4762" s="51">
        <f>VLOOKUP(J4762,'Validacion reclamo de equipaje'!L:M,2,0)</f>
        <v>179</v>
      </c>
      <c r="L4762" s="51" t="str">
        <f>VLOOKUP(I4762,'Validacion reclamo de equipaje'!H:I,2,0)</f>
        <v>Nacional</v>
      </c>
      <c r="M4762" s="51" t="s">
        <v>615</v>
      </c>
    </row>
    <row r="4763" spans="1:13" x14ac:dyDescent="0.25">
      <c r="A4763">
        <v>2210</v>
      </c>
      <c r="B4763" s="47" t="str">
        <f>VLOOKUP(Tabla6[[#This Row],['# Vuelo]],'Validacion reclamo de equipaje'!P:Q,2,0)</f>
        <v>INTERAVIÓN</v>
      </c>
      <c r="C4763" s="52">
        <v>0.53888888888888886</v>
      </c>
      <c r="D4763" s="52">
        <v>0.54097222222222219</v>
      </c>
      <c r="E4763" s="53">
        <f>'Reclamo de equipaje rediseñado'!$D4763-'Reclamo de equipaje rediseñado'!$C4763</f>
        <v>2.0833333333333259E-3</v>
      </c>
      <c r="F4763" s="52">
        <v>0.5444444444444444</v>
      </c>
      <c r="G4763" s="53">
        <f t="shared" si="74"/>
        <v>3.4722222222222099E-3</v>
      </c>
      <c r="H4763" s="54">
        <v>41801</v>
      </c>
      <c r="I4763" s="55" t="s">
        <v>536</v>
      </c>
      <c r="J4763" s="55">
        <v>320</v>
      </c>
      <c r="K4763" s="55">
        <f>VLOOKUP(J4763,'Validacion reclamo de equipaje'!L:M,2,0)</f>
        <v>179</v>
      </c>
      <c r="L4763" s="55" t="str">
        <f>VLOOKUP(I4763,'Validacion reclamo de equipaje'!H:I,2,0)</f>
        <v>Nacional</v>
      </c>
      <c r="M4763" s="55" t="s">
        <v>615</v>
      </c>
    </row>
    <row r="4764" spans="1:13" x14ac:dyDescent="0.25">
      <c r="A4764">
        <v>2210</v>
      </c>
      <c r="B4764" s="47" t="str">
        <f>VLOOKUP(Tabla6[[#This Row],['# Vuelo]],'Validacion reclamo de equipaje'!P:Q,2,0)</f>
        <v>INTERAVIÓN</v>
      </c>
      <c r="C4764" s="48">
        <v>0.19999999999999998</v>
      </c>
      <c r="D4764" s="48">
        <v>0.21458333333333335</v>
      </c>
      <c r="E4764" s="49">
        <f>'Reclamo de equipaje rediseñado'!$D4764-'Reclamo de equipaje rediseñado'!$C4764</f>
        <v>1.4583333333333365E-2</v>
      </c>
      <c r="F4764" s="48">
        <v>0.23263888888888887</v>
      </c>
      <c r="G4764" s="49">
        <f t="shared" si="74"/>
        <v>1.8055555555555519E-2</v>
      </c>
      <c r="H4764" s="50">
        <v>41802</v>
      </c>
      <c r="I4764" s="51" t="s">
        <v>536</v>
      </c>
      <c r="J4764" s="51">
        <v>320</v>
      </c>
      <c r="K4764" s="51">
        <f>VLOOKUP(J4764,'Validacion reclamo de equipaje'!L:M,2,0)</f>
        <v>179</v>
      </c>
      <c r="L4764" s="51" t="str">
        <f>VLOOKUP(I4764,'Validacion reclamo de equipaje'!H:I,2,0)</f>
        <v>Nacional</v>
      </c>
      <c r="M4764" s="51" t="s">
        <v>615</v>
      </c>
    </row>
    <row r="4765" spans="1:13" x14ac:dyDescent="0.25">
      <c r="A4765">
        <v>2210</v>
      </c>
      <c r="B4765" s="47" t="str">
        <f>VLOOKUP(Tabla6[[#This Row],['# Vuelo]],'Validacion reclamo de equipaje'!P:Q,2,0)</f>
        <v>INTERAVIÓN</v>
      </c>
      <c r="C4765" s="52">
        <v>0.94444444444444453</v>
      </c>
      <c r="D4765" s="52">
        <v>0.94791666666666663</v>
      </c>
      <c r="E4765" s="53">
        <f>'Reclamo de equipaje rediseñado'!$D4765-'Reclamo de equipaje rediseñado'!$C4765</f>
        <v>3.4722222222220989E-3</v>
      </c>
      <c r="F4765" s="52">
        <v>0.95347222222222217</v>
      </c>
      <c r="G4765" s="53">
        <f t="shared" si="74"/>
        <v>5.5555555555555358E-3</v>
      </c>
      <c r="H4765" s="54">
        <v>41803</v>
      </c>
      <c r="I4765" s="55" t="s">
        <v>536</v>
      </c>
      <c r="J4765" s="55">
        <v>320</v>
      </c>
      <c r="K4765" s="55">
        <f>VLOOKUP(J4765,'Validacion reclamo de equipaje'!L:M,2,0)</f>
        <v>179</v>
      </c>
      <c r="L4765" s="55" t="str">
        <f>VLOOKUP(I4765,'Validacion reclamo de equipaje'!H:I,2,0)</f>
        <v>Nacional</v>
      </c>
      <c r="M4765" s="55" t="s">
        <v>615</v>
      </c>
    </row>
    <row r="4766" spans="1:13" x14ac:dyDescent="0.25">
      <c r="A4766">
        <v>2210</v>
      </c>
      <c r="B4766" s="47" t="str">
        <f>VLOOKUP(Tabla6[[#This Row],['# Vuelo]],'Validacion reclamo de equipaje'!P:Q,2,0)</f>
        <v>INTERAVIÓN</v>
      </c>
      <c r="C4766" s="48">
        <v>0.88611111111111107</v>
      </c>
      <c r="D4766" s="48">
        <v>0.8930555555555556</v>
      </c>
      <c r="E4766" s="49">
        <f>'Reclamo de equipaje rediseñado'!$D4766-'Reclamo de equipaje rediseñado'!$C4766</f>
        <v>6.9444444444445308E-3</v>
      </c>
      <c r="F4766" s="48">
        <v>0.9</v>
      </c>
      <c r="G4766" s="49">
        <f t="shared" si="74"/>
        <v>6.9444444444444198E-3</v>
      </c>
      <c r="H4766" s="50">
        <v>41804</v>
      </c>
      <c r="I4766" s="51" t="s">
        <v>536</v>
      </c>
      <c r="J4766" s="51">
        <v>320</v>
      </c>
      <c r="K4766" s="51">
        <f>VLOOKUP(J4766,'Validacion reclamo de equipaje'!L:M,2,0)</f>
        <v>179</v>
      </c>
      <c r="L4766" s="51" t="str">
        <f>VLOOKUP(I4766,'Validacion reclamo de equipaje'!H:I,2,0)</f>
        <v>Nacional</v>
      </c>
      <c r="M4766" s="51" t="s">
        <v>615</v>
      </c>
    </row>
    <row r="4767" spans="1:13" x14ac:dyDescent="0.25">
      <c r="A4767">
        <v>2210</v>
      </c>
      <c r="B4767" s="47" t="str">
        <f>VLOOKUP(Tabla6[[#This Row],['# Vuelo]],'Validacion reclamo de equipaje'!P:Q,2,0)</f>
        <v>INTERAVIÓN</v>
      </c>
      <c r="C4767" s="52">
        <v>0.57638888888888895</v>
      </c>
      <c r="D4767" s="52">
        <v>0.59166666666666667</v>
      </c>
      <c r="E4767" s="53">
        <f>'Reclamo de equipaje rediseñado'!$D4767-'Reclamo de equipaje rediseñado'!$C4767</f>
        <v>1.5277777777777724E-2</v>
      </c>
      <c r="F4767" s="52">
        <v>0.59652777777777777</v>
      </c>
      <c r="G4767" s="53">
        <f t="shared" si="74"/>
        <v>4.8611111111110938E-3</v>
      </c>
      <c r="H4767" s="54">
        <v>41805</v>
      </c>
      <c r="I4767" s="55" t="s">
        <v>536</v>
      </c>
      <c r="J4767" s="55">
        <v>320</v>
      </c>
      <c r="K4767" s="55">
        <f>VLOOKUP(J4767,'Validacion reclamo de equipaje'!L:M,2,0)</f>
        <v>179</v>
      </c>
      <c r="L4767" s="55" t="str">
        <f>VLOOKUP(I4767,'Validacion reclamo de equipaje'!H:I,2,0)</f>
        <v>Nacional</v>
      </c>
      <c r="M4767" s="55" t="s">
        <v>615</v>
      </c>
    </row>
    <row r="4768" spans="1:13" x14ac:dyDescent="0.25">
      <c r="A4768">
        <v>2210</v>
      </c>
      <c r="B4768" s="47" t="str">
        <f>VLOOKUP(Tabla6[[#This Row],['# Vuelo]],'Validacion reclamo de equipaje'!P:Q,2,0)</f>
        <v>INTERAVIÓN</v>
      </c>
      <c r="C4768" s="48">
        <v>0.75902777777777775</v>
      </c>
      <c r="D4768" s="48">
        <v>0.7680555555555556</v>
      </c>
      <c r="E4768" s="49">
        <f>'Reclamo de equipaje rediseñado'!$D4768-'Reclamo de equipaje rediseñado'!$C4768</f>
        <v>9.0277777777778567E-3</v>
      </c>
      <c r="F4768" s="48">
        <v>0.77708333333333324</v>
      </c>
      <c r="G4768" s="49">
        <f t="shared" si="74"/>
        <v>9.0277777777776347E-3</v>
      </c>
      <c r="H4768" s="50">
        <v>41806</v>
      </c>
      <c r="I4768" s="51" t="s">
        <v>536</v>
      </c>
      <c r="J4768" s="51">
        <v>320</v>
      </c>
      <c r="K4768" s="51">
        <f>VLOOKUP(J4768,'Validacion reclamo de equipaje'!L:M,2,0)</f>
        <v>179</v>
      </c>
      <c r="L4768" s="51" t="str">
        <f>VLOOKUP(I4768,'Validacion reclamo de equipaje'!H:I,2,0)</f>
        <v>Nacional</v>
      </c>
      <c r="M4768" s="51" t="s">
        <v>615</v>
      </c>
    </row>
    <row r="4769" spans="1:13" x14ac:dyDescent="0.25">
      <c r="A4769">
        <v>2210</v>
      </c>
      <c r="B4769" s="47" t="str">
        <f>VLOOKUP(Tabla6[[#This Row],['# Vuelo]],'Validacion reclamo de equipaje'!P:Q,2,0)</f>
        <v>INTERAVIÓN</v>
      </c>
      <c r="C4769" s="52">
        <v>0.26250000000000001</v>
      </c>
      <c r="D4769" s="52">
        <v>0.27708333333333335</v>
      </c>
      <c r="E4769" s="53">
        <f>'Reclamo de equipaje rediseñado'!$D4769-'Reclamo de equipaje rediseñado'!$C4769</f>
        <v>1.4583333333333337E-2</v>
      </c>
      <c r="F4769" s="52">
        <v>0.29930555555555555</v>
      </c>
      <c r="G4769" s="53">
        <f t="shared" si="74"/>
        <v>2.2222222222222199E-2</v>
      </c>
      <c r="H4769" s="54">
        <v>41807</v>
      </c>
      <c r="I4769" s="55" t="s">
        <v>536</v>
      </c>
      <c r="J4769" s="55">
        <v>320</v>
      </c>
      <c r="K4769" s="55">
        <f>VLOOKUP(J4769,'Validacion reclamo de equipaje'!L:M,2,0)</f>
        <v>179</v>
      </c>
      <c r="L4769" s="55" t="str">
        <f>VLOOKUP(I4769,'Validacion reclamo de equipaje'!H:I,2,0)</f>
        <v>Nacional</v>
      </c>
      <c r="M4769" s="55" t="s">
        <v>615</v>
      </c>
    </row>
    <row r="4770" spans="1:13" x14ac:dyDescent="0.25">
      <c r="A4770">
        <v>2210</v>
      </c>
      <c r="B4770" s="47" t="str">
        <f>VLOOKUP(Tabla6[[#This Row],['# Vuelo]],'Validacion reclamo de equipaje'!P:Q,2,0)</f>
        <v>INTERAVIÓN</v>
      </c>
      <c r="C4770" s="48">
        <v>0.43888888888888888</v>
      </c>
      <c r="D4770" s="48">
        <v>0.44791666666666669</v>
      </c>
      <c r="E4770" s="49">
        <f>'Reclamo de equipaje rediseñado'!$D4770-'Reclamo de equipaje rediseñado'!$C4770</f>
        <v>9.0277777777778012E-3</v>
      </c>
      <c r="F4770" s="48">
        <v>0.45555555555555555</v>
      </c>
      <c r="G4770" s="49">
        <f t="shared" si="74"/>
        <v>7.6388888888888618E-3</v>
      </c>
      <c r="H4770" s="50">
        <v>41808</v>
      </c>
      <c r="I4770" s="51" t="s">
        <v>536</v>
      </c>
      <c r="J4770" s="51">
        <v>320</v>
      </c>
      <c r="K4770" s="51">
        <f>VLOOKUP(J4770,'Validacion reclamo de equipaje'!L:M,2,0)</f>
        <v>179</v>
      </c>
      <c r="L4770" s="51" t="str">
        <f>VLOOKUP(I4770,'Validacion reclamo de equipaje'!H:I,2,0)</f>
        <v>Nacional</v>
      </c>
      <c r="M4770" s="51" t="s">
        <v>615</v>
      </c>
    </row>
    <row r="4771" spans="1:13" x14ac:dyDescent="0.25">
      <c r="A4771">
        <v>2210</v>
      </c>
      <c r="B4771" s="47" t="str">
        <f>VLOOKUP(Tabla6[[#This Row],['# Vuelo]],'Validacion reclamo de equipaje'!P:Q,2,0)</f>
        <v>INTERAVIÓN</v>
      </c>
      <c r="C4771" s="52">
        <v>0.43611111111111112</v>
      </c>
      <c r="D4771" s="52">
        <v>0.44027777777777777</v>
      </c>
      <c r="E4771" s="53">
        <f>'Reclamo de equipaje rediseñado'!$D4771-'Reclamo de equipaje rediseñado'!$C4771</f>
        <v>4.1666666666666519E-3</v>
      </c>
      <c r="F4771" s="52">
        <v>0.44305555555555554</v>
      </c>
      <c r="G4771" s="53">
        <f t="shared" si="74"/>
        <v>2.7777777777777679E-3</v>
      </c>
      <c r="H4771" s="54">
        <v>41809</v>
      </c>
      <c r="I4771" s="55" t="s">
        <v>536</v>
      </c>
      <c r="J4771" s="55">
        <v>320</v>
      </c>
      <c r="K4771" s="55">
        <f>VLOOKUP(J4771,'Validacion reclamo de equipaje'!L:M,2,0)</f>
        <v>179</v>
      </c>
      <c r="L4771" s="55" t="str">
        <f>VLOOKUP(I4771,'Validacion reclamo de equipaje'!H:I,2,0)</f>
        <v>Nacional</v>
      </c>
      <c r="M4771" s="55" t="s">
        <v>615</v>
      </c>
    </row>
    <row r="4772" spans="1:13" x14ac:dyDescent="0.25">
      <c r="A4772">
        <v>2210</v>
      </c>
      <c r="B4772" s="47" t="str">
        <f>VLOOKUP(Tabla6[[#This Row],['# Vuelo]],'Validacion reclamo de equipaje'!P:Q,2,0)</f>
        <v>INTERAVIÓN</v>
      </c>
      <c r="C4772" s="48">
        <v>0.43888888888888888</v>
      </c>
      <c r="D4772" s="48">
        <v>0.44444444444444442</v>
      </c>
      <c r="E4772" s="49">
        <f>'Reclamo de equipaje rediseñado'!$D4772-'Reclamo de equipaje rediseñado'!$C4772</f>
        <v>5.5555555555555358E-3</v>
      </c>
      <c r="F4772" s="48">
        <v>0.44930555555555557</v>
      </c>
      <c r="G4772" s="49">
        <f t="shared" si="74"/>
        <v>4.8611111111111494E-3</v>
      </c>
      <c r="H4772" s="50">
        <v>41810</v>
      </c>
      <c r="I4772" s="51" t="s">
        <v>536</v>
      </c>
      <c r="J4772" s="51">
        <v>320</v>
      </c>
      <c r="K4772" s="51">
        <f>VLOOKUP(J4772,'Validacion reclamo de equipaje'!L:M,2,0)</f>
        <v>179</v>
      </c>
      <c r="L4772" s="51" t="str">
        <f>VLOOKUP(I4772,'Validacion reclamo de equipaje'!H:I,2,0)</f>
        <v>Nacional</v>
      </c>
      <c r="M4772" s="51" t="s">
        <v>615</v>
      </c>
    </row>
    <row r="4773" spans="1:13" x14ac:dyDescent="0.25">
      <c r="A4773">
        <v>2210</v>
      </c>
      <c r="B4773" s="47" t="str">
        <f>VLOOKUP(Tabla6[[#This Row],['# Vuelo]],'Validacion reclamo de equipaje'!P:Q,2,0)</f>
        <v>INTERAVIÓN</v>
      </c>
      <c r="C4773" s="52">
        <v>0.44097222222222227</v>
      </c>
      <c r="D4773" s="52">
        <v>0.44722222222222219</v>
      </c>
      <c r="E4773" s="53">
        <f>'Reclamo de equipaje rediseñado'!$D4773-'Reclamo de equipaje rediseñado'!$C4773</f>
        <v>6.2499999999999223E-3</v>
      </c>
      <c r="F4773" s="52">
        <v>0.4513888888888889</v>
      </c>
      <c r="G4773" s="53">
        <f t="shared" si="74"/>
        <v>4.1666666666667074E-3</v>
      </c>
      <c r="H4773" s="54">
        <v>41811</v>
      </c>
      <c r="I4773" s="55" t="s">
        <v>536</v>
      </c>
      <c r="J4773" s="55">
        <v>320</v>
      </c>
      <c r="K4773" s="55">
        <f>VLOOKUP(J4773,'Validacion reclamo de equipaje'!L:M,2,0)</f>
        <v>179</v>
      </c>
      <c r="L4773" s="55" t="str">
        <f>VLOOKUP(I4773,'Validacion reclamo de equipaje'!H:I,2,0)</f>
        <v>Nacional</v>
      </c>
      <c r="M4773" s="55" t="s">
        <v>615</v>
      </c>
    </row>
    <row r="4774" spans="1:13" x14ac:dyDescent="0.25">
      <c r="A4774">
        <v>2210</v>
      </c>
      <c r="B4774" s="47" t="str">
        <f>VLOOKUP(Tabla6[[#This Row],['# Vuelo]],'Validacion reclamo de equipaje'!P:Q,2,0)</f>
        <v>INTERAVIÓN</v>
      </c>
      <c r="C4774" s="48">
        <v>0.44097222222222227</v>
      </c>
      <c r="D4774" s="48">
        <v>0.44375000000000003</v>
      </c>
      <c r="E4774" s="49">
        <f>'Reclamo de equipaje rediseñado'!$D4774-'Reclamo de equipaje rediseñado'!$C4774</f>
        <v>2.7777777777777679E-3</v>
      </c>
      <c r="F4774" s="48">
        <v>0.45069444444444445</v>
      </c>
      <c r="G4774" s="49">
        <f t="shared" si="74"/>
        <v>6.9444444444444198E-3</v>
      </c>
      <c r="H4774" s="50">
        <v>41813</v>
      </c>
      <c r="I4774" s="51" t="s">
        <v>536</v>
      </c>
      <c r="J4774" s="51">
        <v>320</v>
      </c>
      <c r="K4774" s="51">
        <f>VLOOKUP(J4774,'Validacion reclamo de equipaje'!L:M,2,0)</f>
        <v>179</v>
      </c>
      <c r="L4774" s="51" t="str">
        <f>VLOOKUP(I4774,'Validacion reclamo de equipaje'!H:I,2,0)</f>
        <v>Nacional</v>
      </c>
      <c r="M4774" s="51" t="s">
        <v>615</v>
      </c>
    </row>
    <row r="4775" spans="1:13" x14ac:dyDescent="0.25">
      <c r="A4775">
        <v>2210</v>
      </c>
      <c r="B4775" s="47" t="str">
        <f>VLOOKUP(Tabla6[[#This Row],['# Vuelo]],'Validacion reclamo de equipaje'!P:Q,2,0)</f>
        <v>INTERAVIÓN</v>
      </c>
      <c r="C4775" s="52">
        <v>0.43611111111111112</v>
      </c>
      <c r="D4775" s="52">
        <v>0.44166666666666665</v>
      </c>
      <c r="E4775" s="53">
        <f>'Reclamo de equipaje rediseñado'!$D4775-'Reclamo de equipaje rediseñado'!$C4775</f>
        <v>5.5555555555555358E-3</v>
      </c>
      <c r="F4775" s="52">
        <v>0.4465277777777778</v>
      </c>
      <c r="G4775" s="53">
        <f t="shared" si="74"/>
        <v>4.8611111111111494E-3</v>
      </c>
      <c r="H4775" s="54">
        <v>41812</v>
      </c>
      <c r="I4775" s="55" t="s">
        <v>536</v>
      </c>
      <c r="J4775" s="55">
        <v>320</v>
      </c>
      <c r="K4775" s="55">
        <f>VLOOKUP(J4775,'Validacion reclamo de equipaje'!L:M,2,0)</f>
        <v>179</v>
      </c>
      <c r="L4775" s="55" t="str">
        <f>VLOOKUP(I4775,'Validacion reclamo de equipaje'!H:I,2,0)</f>
        <v>Nacional</v>
      </c>
      <c r="M4775" s="55" t="s">
        <v>615</v>
      </c>
    </row>
    <row r="4776" spans="1:13" x14ac:dyDescent="0.25">
      <c r="A4776">
        <v>2208</v>
      </c>
      <c r="B4776" s="47" t="str">
        <f>VLOOKUP(Tabla6[[#This Row],['# Vuelo]],'Validacion reclamo de equipaje'!P:Q,2,0)</f>
        <v>INTERAVIÓN</v>
      </c>
      <c r="C4776" s="48">
        <v>0.38194444444444442</v>
      </c>
      <c r="D4776" s="48">
        <v>0.38750000000000001</v>
      </c>
      <c r="E4776" s="49">
        <f>'Reclamo de equipaje rediseñado'!$D4776-'Reclamo de equipaje rediseñado'!$C4776</f>
        <v>5.5555555555555913E-3</v>
      </c>
      <c r="F4776" s="48">
        <v>0.39097222222222222</v>
      </c>
      <c r="G4776" s="49">
        <f t="shared" si="74"/>
        <v>3.4722222222222099E-3</v>
      </c>
      <c r="H4776" s="50">
        <v>41792</v>
      </c>
      <c r="I4776" s="51" t="s">
        <v>536</v>
      </c>
      <c r="J4776" s="51">
        <v>320</v>
      </c>
      <c r="K4776" s="51">
        <f>VLOOKUP(J4776,'Validacion reclamo de equipaje'!L:M,2,0)</f>
        <v>179</v>
      </c>
      <c r="L4776" s="51" t="str">
        <f>VLOOKUP(I4776,'Validacion reclamo de equipaje'!H:I,2,0)</f>
        <v>Nacional</v>
      </c>
      <c r="M4776" s="51" t="s">
        <v>615</v>
      </c>
    </row>
    <row r="4777" spans="1:13" x14ac:dyDescent="0.25">
      <c r="A4777">
        <v>2208</v>
      </c>
      <c r="B4777" s="47" t="str">
        <f>VLOOKUP(Tabla6[[#This Row],['# Vuelo]],'Validacion reclamo de equipaje'!P:Q,2,0)</f>
        <v>INTERAVIÓN</v>
      </c>
      <c r="C4777" s="52">
        <v>0.3923611111111111</v>
      </c>
      <c r="D4777" s="52">
        <v>0.39999999999999997</v>
      </c>
      <c r="E4777" s="53">
        <f>'Reclamo de equipaje rediseñado'!$D4777-'Reclamo de equipaje rediseñado'!$C4777</f>
        <v>7.6388888888888618E-3</v>
      </c>
      <c r="F4777" s="52">
        <v>0.40486111111111112</v>
      </c>
      <c r="G4777" s="53">
        <f t="shared" si="74"/>
        <v>4.8611111111111494E-3</v>
      </c>
      <c r="H4777" s="54">
        <v>41795</v>
      </c>
      <c r="I4777" s="55" t="s">
        <v>536</v>
      </c>
      <c r="J4777" s="55">
        <v>320</v>
      </c>
      <c r="K4777" s="55">
        <f>VLOOKUP(J4777,'Validacion reclamo de equipaje'!L:M,2,0)</f>
        <v>179</v>
      </c>
      <c r="L4777" s="55" t="str">
        <f>VLOOKUP(I4777,'Validacion reclamo de equipaje'!H:I,2,0)</f>
        <v>Nacional</v>
      </c>
      <c r="M4777" s="55" t="s">
        <v>615</v>
      </c>
    </row>
    <row r="4778" spans="1:13" x14ac:dyDescent="0.25">
      <c r="A4778">
        <v>2208</v>
      </c>
      <c r="B4778" s="47" t="str">
        <f>VLOOKUP(Tabla6[[#This Row],['# Vuelo]],'Validacion reclamo de equipaje'!P:Q,2,0)</f>
        <v>INTERAVIÓN</v>
      </c>
      <c r="C4778" s="48">
        <v>0.43055555555555558</v>
      </c>
      <c r="D4778" s="48">
        <v>0.43402777777777773</v>
      </c>
      <c r="E4778" s="49">
        <f>'Reclamo de equipaje rediseñado'!$D4778-'Reclamo de equipaje rediseñado'!$C4778</f>
        <v>3.4722222222221544E-3</v>
      </c>
      <c r="F4778" s="48">
        <v>0.44097222222222227</v>
      </c>
      <c r="G4778" s="49">
        <f t="shared" si="74"/>
        <v>6.9444444444445308E-3</v>
      </c>
      <c r="H4778" s="50">
        <v>41796</v>
      </c>
      <c r="I4778" s="51" t="s">
        <v>536</v>
      </c>
      <c r="J4778" s="51">
        <v>320</v>
      </c>
      <c r="K4778" s="51">
        <f>VLOOKUP(J4778,'Validacion reclamo de equipaje'!L:M,2,0)</f>
        <v>179</v>
      </c>
      <c r="L4778" s="51" t="str">
        <f>VLOOKUP(I4778,'Validacion reclamo de equipaje'!H:I,2,0)</f>
        <v>Nacional</v>
      </c>
      <c r="M4778" s="51" t="s">
        <v>615</v>
      </c>
    </row>
    <row r="4779" spans="1:13" x14ac:dyDescent="0.25">
      <c r="A4779">
        <v>2208</v>
      </c>
      <c r="B4779" s="47" t="str">
        <f>VLOOKUP(Tabla6[[#This Row],['# Vuelo]],'Validacion reclamo de equipaje'!P:Q,2,0)</f>
        <v>INTERAVIÓN</v>
      </c>
      <c r="C4779" s="52">
        <v>0.38958333333333334</v>
      </c>
      <c r="D4779" s="52">
        <v>0.39513888888888887</v>
      </c>
      <c r="E4779" s="53">
        <f>'Reclamo de equipaje rediseñado'!$D4779-'Reclamo de equipaje rediseñado'!$C4779</f>
        <v>5.5555555555555358E-3</v>
      </c>
      <c r="F4779" s="52">
        <v>0.40069444444444446</v>
      </c>
      <c r="G4779" s="53">
        <f t="shared" si="74"/>
        <v>5.5555555555555913E-3</v>
      </c>
      <c r="H4779" s="54">
        <v>41797</v>
      </c>
      <c r="I4779" s="55" t="s">
        <v>536</v>
      </c>
      <c r="J4779" s="55">
        <v>320</v>
      </c>
      <c r="K4779" s="55">
        <f>VLOOKUP(J4779,'Validacion reclamo de equipaje'!L:M,2,0)</f>
        <v>179</v>
      </c>
      <c r="L4779" s="55" t="str">
        <f>VLOOKUP(I4779,'Validacion reclamo de equipaje'!H:I,2,0)</f>
        <v>Nacional</v>
      </c>
      <c r="M4779" s="55" t="s">
        <v>615</v>
      </c>
    </row>
    <row r="4780" spans="1:13" x14ac:dyDescent="0.25">
      <c r="A4780">
        <v>2208</v>
      </c>
      <c r="B4780" s="47" t="str">
        <f>VLOOKUP(Tabla6[[#This Row],['# Vuelo]],'Validacion reclamo de equipaje'!P:Q,2,0)</f>
        <v>INTERAVIÓN</v>
      </c>
      <c r="C4780" s="48">
        <v>0.38541666666666669</v>
      </c>
      <c r="D4780" s="48">
        <v>0.39027777777777778</v>
      </c>
      <c r="E4780" s="49">
        <f>'Reclamo de equipaje rediseñado'!$D4780-'Reclamo de equipaje rediseñado'!$C4780</f>
        <v>4.8611111111110938E-3</v>
      </c>
      <c r="F4780" s="48">
        <v>0.39583333333333331</v>
      </c>
      <c r="G4780" s="49">
        <f t="shared" si="74"/>
        <v>5.5555555555555358E-3</v>
      </c>
      <c r="H4780" s="50">
        <v>41799</v>
      </c>
      <c r="I4780" s="51" t="s">
        <v>536</v>
      </c>
      <c r="J4780" s="51">
        <v>320</v>
      </c>
      <c r="K4780" s="51">
        <f>VLOOKUP(J4780,'Validacion reclamo de equipaje'!L:M,2,0)</f>
        <v>179</v>
      </c>
      <c r="L4780" s="51" t="str">
        <f>VLOOKUP(I4780,'Validacion reclamo de equipaje'!H:I,2,0)</f>
        <v>Nacional</v>
      </c>
      <c r="M4780" s="51" t="s">
        <v>615</v>
      </c>
    </row>
    <row r="4781" spans="1:13" x14ac:dyDescent="0.25">
      <c r="A4781">
        <v>2208</v>
      </c>
      <c r="B4781" s="47" t="str">
        <f>VLOOKUP(Tabla6[[#This Row],['# Vuelo]],'Validacion reclamo de equipaje'!P:Q,2,0)</f>
        <v>INTERAVIÓN</v>
      </c>
      <c r="C4781" s="52">
        <v>0.20416666666666669</v>
      </c>
      <c r="D4781" s="52">
        <v>0.21805555555555556</v>
      </c>
      <c r="E4781" s="53">
        <f>'Reclamo de equipaje rediseñado'!$D4781-'Reclamo de equipaje rediseñado'!$C4781</f>
        <v>1.3888888888888867E-2</v>
      </c>
      <c r="F4781" s="52">
        <v>0.25</v>
      </c>
      <c r="G4781" s="53">
        <f t="shared" si="74"/>
        <v>3.1944444444444442E-2</v>
      </c>
      <c r="H4781" s="54">
        <v>41802</v>
      </c>
      <c r="I4781" s="55" t="s">
        <v>536</v>
      </c>
      <c r="J4781" s="55">
        <v>320</v>
      </c>
      <c r="K4781" s="55">
        <f>VLOOKUP(J4781,'Validacion reclamo de equipaje'!L:M,2,0)</f>
        <v>179</v>
      </c>
      <c r="L4781" s="55" t="str">
        <f>VLOOKUP(I4781,'Validacion reclamo de equipaje'!H:I,2,0)</f>
        <v>Nacional</v>
      </c>
      <c r="M4781" s="55" t="s">
        <v>615</v>
      </c>
    </row>
    <row r="4782" spans="1:13" x14ac:dyDescent="0.25">
      <c r="A4782">
        <v>2208</v>
      </c>
      <c r="B4782" s="47" t="str">
        <f>VLOOKUP(Tabla6[[#This Row],['# Vuelo]],'Validacion reclamo de equipaje'!P:Q,2,0)</f>
        <v>INTERAVIÓN</v>
      </c>
      <c r="C4782" s="48">
        <v>0.95694444444444438</v>
      </c>
      <c r="D4782" s="48">
        <v>0.96875</v>
      </c>
      <c r="E4782" s="49">
        <f>'Reclamo de equipaje rediseñado'!$D4782-'Reclamo de equipaje rediseñado'!$C4782</f>
        <v>1.1805555555555625E-2</v>
      </c>
      <c r="F4782" s="48">
        <v>0.97222222222222221</v>
      </c>
      <c r="G4782" s="49">
        <f t="shared" si="74"/>
        <v>3.4722222222222099E-3</v>
      </c>
      <c r="H4782" s="50">
        <v>41803</v>
      </c>
      <c r="I4782" s="51" t="s">
        <v>536</v>
      </c>
      <c r="J4782" s="51">
        <v>320</v>
      </c>
      <c r="K4782" s="51">
        <f>VLOOKUP(J4782,'Validacion reclamo de equipaje'!L:M,2,0)</f>
        <v>179</v>
      </c>
      <c r="L4782" s="51" t="str">
        <f>VLOOKUP(I4782,'Validacion reclamo de equipaje'!H:I,2,0)</f>
        <v>Nacional</v>
      </c>
      <c r="M4782" s="51" t="s">
        <v>615</v>
      </c>
    </row>
    <row r="4783" spans="1:13" x14ac:dyDescent="0.25">
      <c r="A4783">
        <v>2208</v>
      </c>
      <c r="B4783" s="47" t="str">
        <f>VLOOKUP(Tabla6[[#This Row],['# Vuelo]],'Validacion reclamo de equipaje'!P:Q,2,0)</f>
        <v>INTERAVIÓN</v>
      </c>
      <c r="C4783" s="52">
        <v>0.89583333333333337</v>
      </c>
      <c r="D4783" s="52">
        <v>0.89861111111111114</v>
      </c>
      <c r="E4783" s="53">
        <f>'Reclamo de equipaje rediseñado'!$D4783-'Reclamo de equipaje rediseñado'!$C4783</f>
        <v>2.7777777777777679E-3</v>
      </c>
      <c r="F4783" s="52">
        <v>0.91527777777777775</v>
      </c>
      <c r="G4783" s="53">
        <f t="shared" si="74"/>
        <v>1.6666666666666607E-2</v>
      </c>
      <c r="H4783" s="54">
        <v>41804</v>
      </c>
      <c r="I4783" s="55" t="s">
        <v>536</v>
      </c>
      <c r="J4783" s="55">
        <v>320</v>
      </c>
      <c r="K4783" s="55">
        <f>VLOOKUP(J4783,'Validacion reclamo de equipaje'!L:M,2,0)</f>
        <v>179</v>
      </c>
      <c r="L4783" s="55" t="str">
        <f>VLOOKUP(I4783,'Validacion reclamo de equipaje'!H:I,2,0)</f>
        <v>Nacional</v>
      </c>
      <c r="M4783" s="55" t="s">
        <v>615</v>
      </c>
    </row>
    <row r="4784" spans="1:13" x14ac:dyDescent="0.25">
      <c r="A4784">
        <v>2208</v>
      </c>
      <c r="B4784" s="47" t="str">
        <f>VLOOKUP(Tabla6[[#This Row],['# Vuelo]],'Validacion reclamo de equipaje'!P:Q,2,0)</f>
        <v>INTERAVIÓN</v>
      </c>
      <c r="C4784" s="48">
        <v>0.84513888888888899</v>
      </c>
      <c r="D4784" s="48">
        <v>0.8569444444444444</v>
      </c>
      <c r="E4784" s="49">
        <f>'Reclamo de equipaje rediseñado'!$D4784-'Reclamo de equipaje rediseñado'!$C4784</f>
        <v>1.1805555555555403E-2</v>
      </c>
      <c r="F4784" s="48">
        <v>0.86805555555555547</v>
      </c>
      <c r="G4784" s="49">
        <f t="shared" si="74"/>
        <v>1.1111111111111072E-2</v>
      </c>
      <c r="H4784" s="50">
        <v>41806</v>
      </c>
      <c r="I4784" s="51" t="s">
        <v>536</v>
      </c>
      <c r="J4784" s="51">
        <v>320</v>
      </c>
      <c r="K4784" s="51">
        <f>VLOOKUP(J4784,'Validacion reclamo de equipaje'!L:M,2,0)</f>
        <v>179</v>
      </c>
      <c r="L4784" s="51" t="str">
        <f>VLOOKUP(I4784,'Validacion reclamo de equipaje'!H:I,2,0)</f>
        <v>Nacional</v>
      </c>
      <c r="M4784" s="51" t="s">
        <v>615</v>
      </c>
    </row>
    <row r="4785" spans="1:13" x14ac:dyDescent="0.25">
      <c r="A4785">
        <v>2208</v>
      </c>
      <c r="B4785" s="47" t="str">
        <f>VLOOKUP(Tabla6[[#This Row],['# Vuelo]],'Validacion reclamo de equipaje'!P:Q,2,0)</f>
        <v>INTERAVIÓN</v>
      </c>
      <c r="C4785" s="52">
        <v>0.37638888888888888</v>
      </c>
      <c r="D4785" s="52">
        <v>0.3833333333333333</v>
      </c>
      <c r="E4785" s="53">
        <f>'Reclamo de equipaje rediseñado'!$D4785-'Reclamo de equipaje rediseñado'!$C4785</f>
        <v>6.9444444444444198E-3</v>
      </c>
      <c r="F4785" s="52">
        <v>0.38958333333333334</v>
      </c>
      <c r="G4785" s="53">
        <f t="shared" si="74"/>
        <v>6.2500000000000333E-3</v>
      </c>
      <c r="H4785" s="54">
        <v>41809</v>
      </c>
      <c r="I4785" s="55" t="s">
        <v>536</v>
      </c>
      <c r="J4785" s="55">
        <v>320</v>
      </c>
      <c r="K4785" s="55">
        <f>VLOOKUP(J4785,'Validacion reclamo de equipaje'!L:M,2,0)</f>
        <v>179</v>
      </c>
      <c r="L4785" s="55" t="str">
        <f>VLOOKUP(I4785,'Validacion reclamo de equipaje'!H:I,2,0)</f>
        <v>Nacional</v>
      </c>
      <c r="M4785" s="55" t="s">
        <v>615</v>
      </c>
    </row>
    <row r="4786" spans="1:13" x14ac:dyDescent="0.25">
      <c r="A4786">
        <v>2208</v>
      </c>
      <c r="B4786" s="47" t="str">
        <f>VLOOKUP(Tabla6[[#This Row],['# Vuelo]],'Validacion reclamo de equipaje'!P:Q,2,0)</f>
        <v>INTERAVIÓN</v>
      </c>
      <c r="C4786" s="48">
        <v>0.37847222222222227</v>
      </c>
      <c r="D4786" s="48">
        <v>0.3833333333333333</v>
      </c>
      <c r="E4786" s="49">
        <f>'Reclamo de equipaje rediseñado'!$D4786-'Reclamo de equipaje rediseñado'!$C4786</f>
        <v>4.8611111111110383E-3</v>
      </c>
      <c r="F4786" s="48">
        <v>0.38611111111111113</v>
      </c>
      <c r="G4786" s="49">
        <f t="shared" si="74"/>
        <v>2.7777777777778234E-3</v>
      </c>
      <c r="H4786" s="50">
        <v>41810</v>
      </c>
      <c r="I4786" s="51" t="s">
        <v>536</v>
      </c>
      <c r="J4786" s="51">
        <v>320</v>
      </c>
      <c r="K4786" s="51">
        <f>VLOOKUP(J4786,'Validacion reclamo de equipaje'!L:M,2,0)</f>
        <v>179</v>
      </c>
      <c r="L4786" s="51" t="str">
        <f>VLOOKUP(I4786,'Validacion reclamo de equipaje'!H:I,2,0)</f>
        <v>Nacional</v>
      </c>
      <c r="M4786" s="51" t="s">
        <v>615</v>
      </c>
    </row>
    <row r="4787" spans="1:13" x14ac:dyDescent="0.25">
      <c r="A4787">
        <v>2208</v>
      </c>
      <c r="B4787" s="47" t="str">
        <f>VLOOKUP(Tabla6[[#This Row],['# Vuelo]],'Validacion reclamo de equipaje'!P:Q,2,0)</f>
        <v>INTERAVIÓN</v>
      </c>
      <c r="C4787" s="52">
        <v>0.4069444444444445</v>
      </c>
      <c r="D4787" s="52">
        <v>0.41319444444444442</v>
      </c>
      <c r="E4787" s="53">
        <f>'Reclamo de equipaje rediseñado'!$D4787-'Reclamo de equipaje rediseñado'!$C4787</f>
        <v>6.2499999999999223E-3</v>
      </c>
      <c r="F4787" s="52">
        <v>0.41875000000000001</v>
      </c>
      <c r="G4787" s="53">
        <f t="shared" si="74"/>
        <v>5.5555555555555913E-3</v>
      </c>
      <c r="H4787" s="54">
        <v>41811</v>
      </c>
      <c r="I4787" s="55" t="s">
        <v>536</v>
      </c>
      <c r="J4787" s="55">
        <v>320</v>
      </c>
      <c r="K4787" s="55">
        <f>VLOOKUP(J4787,'Validacion reclamo de equipaje'!L:M,2,0)</f>
        <v>179</v>
      </c>
      <c r="L4787" s="55" t="str">
        <f>VLOOKUP(I4787,'Validacion reclamo de equipaje'!H:I,2,0)</f>
        <v>Nacional</v>
      </c>
      <c r="M4787" s="55" t="s">
        <v>615</v>
      </c>
    </row>
    <row r="4788" spans="1:13" x14ac:dyDescent="0.25">
      <c r="A4788">
        <v>2208</v>
      </c>
      <c r="B4788" s="47" t="str">
        <f>VLOOKUP(Tabla6[[#This Row],['# Vuelo]],'Validacion reclamo de equipaje'!P:Q,2,0)</f>
        <v>INTERAVIÓN</v>
      </c>
      <c r="C4788" s="48">
        <v>0.3888888888888889</v>
      </c>
      <c r="D4788" s="48">
        <v>0.39930555555555558</v>
      </c>
      <c r="E4788" s="49">
        <f>'Reclamo de equipaje rediseñado'!$D4788-'Reclamo de equipaje rediseñado'!$C4788</f>
        <v>1.0416666666666685E-2</v>
      </c>
      <c r="F4788" s="48">
        <v>0.40277777777777773</v>
      </c>
      <c r="G4788" s="49">
        <f t="shared" si="74"/>
        <v>3.4722222222221544E-3</v>
      </c>
      <c r="H4788" s="50">
        <v>41813</v>
      </c>
      <c r="I4788" s="51" t="s">
        <v>536</v>
      </c>
      <c r="J4788" s="51">
        <v>320</v>
      </c>
      <c r="K4788" s="51">
        <f>VLOOKUP(J4788,'Validacion reclamo de equipaje'!L:M,2,0)</f>
        <v>179</v>
      </c>
      <c r="L4788" s="51" t="str">
        <f>VLOOKUP(I4788,'Validacion reclamo de equipaje'!H:I,2,0)</f>
        <v>Nacional</v>
      </c>
      <c r="M4788" s="51" t="s">
        <v>615</v>
      </c>
    </row>
    <row r="4789" spans="1:13" x14ac:dyDescent="0.25">
      <c r="A4789">
        <v>2206</v>
      </c>
      <c r="B4789" s="47" t="str">
        <f>VLOOKUP(Tabla6[[#This Row],['# Vuelo]],'Validacion reclamo de equipaje'!P:Q,2,0)</f>
        <v>INTERAVIÓN</v>
      </c>
      <c r="C4789" s="52">
        <v>0.47222222222222227</v>
      </c>
      <c r="D4789" s="52">
        <v>0.47569444444444442</v>
      </c>
      <c r="E4789" s="53">
        <f>'Reclamo de equipaje rediseñado'!$D4789-'Reclamo de equipaje rediseñado'!$C4789</f>
        <v>3.4722222222221544E-3</v>
      </c>
      <c r="F4789" s="52">
        <v>0.4861111111111111</v>
      </c>
      <c r="G4789" s="53">
        <f t="shared" si="74"/>
        <v>1.0416666666666685E-2</v>
      </c>
      <c r="H4789" s="54">
        <v>41794</v>
      </c>
      <c r="I4789" s="55" t="s">
        <v>536</v>
      </c>
      <c r="J4789" s="55">
        <v>320</v>
      </c>
      <c r="K4789" s="55">
        <f>VLOOKUP(J4789,'Validacion reclamo de equipaje'!L:M,2,0)</f>
        <v>179</v>
      </c>
      <c r="L4789" s="55" t="str">
        <f>VLOOKUP(I4789,'Validacion reclamo de equipaje'!H:I,2,0)</f>
        <v>Nacional</v>
      </c>
      <c r="M4789" s="55" t="s">
        <v>615</v>
      </c>
    </row>
    <row r="4790" spans="1:13" x14ac:dyDescent="0.25">
      <c r="A4790">
        <v>2206</v>
      </c>
      <c r="B4790" s="47" t="str">
        <f>VLOOKUP(Tabla6[[#This Row],['# Vuelo]],'Validacion reclamo de equipaje'!P:Q,2,0)</f>
        <v>INTERAVIÓN</v>
      </c>
      <c r="C4790" s="48">
        <v>0.48055555555555557</v>
      </c>
      <c r="D4790" s="48">
        <v>0.48680555555555555</v>
      </c>
      <c r="E4790" s="49">
        <f>'Reclamo de equipaje rediseñado'!$D4790-'Reclamo de equipaje rediseñado'!$C4790</f>
        <v>6.2499999999999778E-3</v>
      </c>
      <c r="F4790" s="48">
        <v>0.49236111111111108</v>
      </c>
      <c r="G4790" s="49">
        <f t="shared" si="74"/>
        <v>5.5555555555555358E-3</v>
      </c>
      <c r="H4790" s="50">
        <v>41795</v>
      </c>
      <c r="I4790" s="51" t="s">
        <v>536</v>
      </c>
      <c r="J4790" s="51">
        <v>320</v>
      </c>
      <c r="K4790" s="51">
        <f>VLOOKUP(J4790,'Validacion reclamo de equipaje'!L:M,2,0)</f>
        <v>179</v>
      </c>
      <c r="L4790" s="51" t="str">
        <f>VLOOKUP(I4790,'Validacion reclamo de equipaje'!H:I,2,0)</f>
        <v>Nacional</v>
      </c>
      <c r="M4790" s="51" t="s">
        <v>615</v>
      </c>
    </row>
    <row r="4791" spans="1:13" x14ac:dyDescent="0.25">
      <c r="A4791">
        <v>2206</v>
      </c>
      <c r="B4791" s="47" t="str">
        <f>VLOOKUP(Tabla6[[#This Row],['# Vuelo]],'Validacion reclamo de equipaje'!P:Q,2,0)</f>
        <v>INTERAVIÓN</v>
      </c>
      <c r="C4791" s="52">
        <v>0.47569444444444442</v>
      </c>
      <c r="D4791" s="52">
        <v>0.4909722222222222</v>
      </c>
      <c r="E4791" s="53">
        <f>'Reclamo de equipaje rediseñado'!$D4791-'Reclamo de equipaje rediseñado'!$C4791</f>
        <v>1.5277777777777779E-2</v>
      </c>
      <c r="F4791" s="52">
        <v>0.49652777777777773</v>
      </c>
      <c r="G4791" s="53">
        <f t="shared" si="74"/>
        <v>5.5555555555555358E-3</v>
      </c>
      <c r="H4791" s="54">
        <v>41796</v>
      </c>
      <c r="I4791" s="55" t="s">
        <v>536</v>
      </c>
      <c r="J4791" s="55">
        <v>320</v>
      </c>
      <c r="K4791" s="55">
        <f>VLOOKUP(J4791,'Validacion reclamo de equipaje'!L:M,2,0)</f>
        <v>179</v>
      </c>
      <c r="L4791" s="55" t="str">
        <f>VLOOKUP(I4791,'Validacion reclamo de equipaje'!H:I,2,0)</f>
        <v>Nacional</v>
      </c>
      <c r="M4791" s="55" t="s">
        <v>615</v>
      </c>
    </row>
    <row r="4792" spans="1:13" x14ac:dyDescent="0.25">
      <c r="A4792">
        <v>2206</v>
      </c>
      <c r="B4792" s="47" t="str">
        <f>VLOOKUP(Tabla6[[#This Row],['# Vuelo]],'Validacion reclamo de equipaje'!P:Q,2,0)</f>
        <v>INTERAVIÓN</v>
      </c>
      <c r="C4792" s="48">
        <v>0.4861111111111111</v>
      </c>
      <c r="D4792" s="48">
        <v>0.49305555555555558</v>
      </c>
      <c r="E4792" s="49">
        <f>'Reclamo de equipaje rediseñado'!$D4792-'Reclamo de equipaje rediseñado'!$C4792</f>
        <v>6.9444444444444753E-3</v>
      </c>
      <c r="F4792" s="48">
        <v>0.49513888888888885</v>
      </c>
      <c r="G4792" s="49">
        <f t="shared" si="74"/>
        <v>2.0833333333332704E-3</v>
      </c>
      <c r="H4792" s="50">
        <v>41799</v>
      </c>
      <c r="I4792" s="51" t="s">
        <v>536</v>
      </c>
      <c r="J4792" s="51">
        <v>320</v>
      </c>
      <c r="K4792" s="51">
        <f>VLOOKUP(J4792,'Validacion reclamo de equipaje'!L:M,2,0)</f>
        <v>179</v>
      </c>
      <c r="L4792" s="51" t="str">
        <f>VLOOKUP(I4792,'Validacion reclamo de equipaje'!H:I,2,0)</f>
        <v>Nacional</v>
      </c>
      <c r="M4792" s="51" t="s">
        <v>615</v>
      </c>
    </row>
    <row r="4793" spans="1:13" x14ac:dyDescent="0.25">
      <c r="A4793">
        <v>2206</v>
      </c>
      <c r="B4793" s="47" t="str">
        <f>VLOOKUP(Tabla6[[#This Row],['# Vuelo]],'Validacion reclamo de equipaje'!P:Q,2,0)</f>
        <v>INTERAVIÓN</v>
      </c>
      <c r="C4793" s="52">
        <v>0.83888888888888891</v>
      </c>
      <c r="D4793" s="52">
        <v>0.84583333333333333</v>
      </c>
      <c r="E4793" s="53">
        <f>'Reclamo de equipaje rediseñado'!$D4793-'Reclamo de equipaje rediseñado'!$C4793</f>
        <v>6.9444444444444198E-3</v>
      </c>
      <c r="F4793" s="52">
        <v>0.85833333333333339</v>
      </c>
      <c r="G4793" s="53">
        <f t="shared" si="74"/>
        <v>1.2500000000000067E-2</v>
      </c>
      <c r="H4793" s="54">
        <v>41801</v>
      </c>
      <c r="I4793" s="55" t="s">
        <v>536</v>
      </c>
      <c r="J4793" s="55">
        <v>320</v>
      </c>
      <c r="K4793" s="55">
        <f>VLOOKUP(J4793,'Validacion reclamo de equipaje'!L:M,2,0)</f>
        <v>179</v>
      </c>
      <c r="L4793" s="55" t="str">
        <f>VLOOKUP(I4793,'Validacion reclamo de equipaje'!H:I,2,0)</f>
        <v>Nacional</v>
      </c>
      <c r="M4793" s="55" t="s">
        <v>615</v>
      </c>
    </row>
    <row r="4794" spans="1:13" x14ac:dyDescent="0.25">
      <c r="A4794">
        <v>2206</v>
      </c>
      <c r="B4794" s="47" t="str">
        <f>VLOOKUP(Tabla6[[#This Row],['# Vuelo]],'Validacion reclamo de equipaje'!P:Q,2,0)</f>
        <v>INTERAVIÓN</v>
      </c>
      <c r="C4794" s="48">
        <v>0.21458333333333335</v>
      </c>
      <c r="D4794" s="48">
        <v>0.24513888888888888</v>
      </c>
      <c r="E4794" s="49">
        <f>'Reclamo de equipaje rediseñado'!$D4794-'Reclamo de equipaje rediseñado'!$C4794</f>
        <v>3.055555555555553E-2</v>
      </c>
      <c r="F4794" s="48">
        <v>0.28402777777777777</v>
      </c>
      <c r="G4794" s="49">
        <f t="shared" si="74"/>
        <v>3.888888888888889E-2</v>
      </c>
      <c r="H4794" s="50">
        <v>41802</v>
      </c>
      <c r="I4794" s="51" t="s">
        <v>536</v>
      </c>
      <c r="J4794" s="51">
        <v>320</v>
      </c>
      <c r="K4794" s="51">
        <f>VLOOKUP(J4794,'Validacion reclamo de equipaje'!L:M,2,0)</f>
        <v>179</v>
      </c>
      <c r="L4794" s="51" t="str">
        <f>VLOOKUP(I4794,'Validacion reclamo de equipaje'!H:I,2,0)</f>
        <v>Nacional</v>
      </c>
      <c r="M4794" s="51" t="s">
        <v>615</v>
      </c>
    </row>
    <row r="4795" spans="1:13" x14ac:dyDescent="0.25">
      <c r="A4795">
        <v>2206</v>
      </c>
      <c r="B4795" s="47" t="str">
        <f>VLOOKUP(Tabla6[[#This Row],['# Vuelo]],'Validacion reclamo de equipaje'!P:Q,2,0)</f>
        <v>INTERAVIÓN</v>
      </c>
      <c r="C4795" s="52">
        <v>0.95624999999999993</v>
      </c>
      <c r="D4795" s="52">
        <v>0.9604166666666667</v>
      </c>
      <c r="E4795" s="53">
        <f>'Reclamo de equipaje rediseñado'!$D4795-'Reclamo de equipaje rediseñado'!$C4795</f>
        <v>4.1666666666667629E-3</v>
      </c>
      <c r="F4795" s="52">
        <v>0.96388888888888891</v>
      </c>
      <c r="G4795" s="53">
        <f t="shared" si="74"/>
        <v>3.4722222222222099E-3</v>
      </c>
      <c r="H4795" s="54">
        <v>41803</v>
      </c>
      <c r="I4795" s="55" t="s">
        <v>536</v>
      </c>
      <c r="J4795" s="55">
        <v>320</v>
      </c>
      <c r="K4795" s="55">
        <f>VLOOKUP(J4795,'Validacion reclamo de equipaje'!L:M,2,0)</f>
        <v>179</v>
      </c>
      <c r="L4795" s="55" t="str">
        <f>VLOOKUP(I4795,'Validacion reclamo de equipaje'!H:I,2,0)</f>
        <v>Nacional</v>
      </c>
      <c r="M4795" s="55" t="s">
        <v>615</v>
      </c>
    </row>
    <row r="4796" spans="1:13" x14ac:dyDescent="0.25">
      <c r="A4796">
        <v>2206</v>
      </c>
      <c r="B4796" s="47" t="str">
        <f>VLOOKUP(Tabla6[[#This Row],['# Vuelo]],'Validacion reclamo de equipaje'!P:Q,2,0)</f>
        <v>INTERAVIÓN</v>
      </c>
      <c r="C4796" s="48">
        <v>0.75902777777777775</v>
      </c>
      <c r="D4796" s="48">
        <v>0.7680555555555556</v>
      </c>
      <c r="E4796" s="49">
        <f>'Reclamo de equipaje rediseñado'!$D4796-'Reclamo de equipaje rediseñado'!$C4796</f>
        <v>9.0277777777778567E-3</v>
      </c>
      <c r="F4796" s="48">
        <v>0.77708333333333324</v>
      </c>
      <c r="G4796" s="49">
        <f t="shared" si="74"/>
        <v>9.0277777777776347E-3</v>
      </c>
      <c r="H4796" s="50">
        <v>41806</v>
      </c>
      <c r="I4796" s="51" t="s">
        <v>536</v>
      </c>
      <c r="J4796" s="51">
        <v>320</v>
      </c>
      <c r="K4796" s="51">
        <f>VLOOKUP(J4796,'Validacion reclamo de equipaje'!L:M,2,0)</f>
        <v>179</v>
      </c>
      <c r="L4796" s="51" t="str">
        <f>VLOOKUP(I4796,'Validacion reclamo de equipaje'!H:I,2,0)</f>
        <v>Nacional</v>
      </c>
      <c r="M4796" s="51" t="s">
        <v>615</v>
      </c>
    </row>
    <row r="4797" spans="1:13" x14ac:dyDescent="0.25">
      <c r="A4797">
        <v>2206</v>
      </c>
      <c r="B4797" s="47" t="str">
        <f>VLOOKUP(Tabla6[[#This Row],['# Vuelo]],'Validacion reclamo de equipaje'!P:Q,2,0)</f>
        <v>INTERAVIÓN</v>
      </c>
      <c r="C4797" s="52">
        <v>0.47500000000000003</v>
      </c>
      <c r="D4797" s="52">
        <v>0.48472222222222222</v>
      </c>
      <c r="E4797" s="53">
        <f>'Reclamo de equipaje rediseñado'!$D4797-'Reclamo de equipaje rediseñado'!$C4797</f>
        <v>9.7222222222221877E-3</v>
      </c>
      <c r="F4797" s="52">
        <v>0.49305555555555558</v>
      </c>
      <c r="G4797" s="53">
        <f t="shared" si="74"/>
        <v>8.3333333333333592E-3</v>
      </c>
      <c r="H4797" s="54">
        <v>41808</v>
      </c>
      <c r="I4797" s="55" t="s">
        <v>536</v>
      </c>
      <c r="J4797" s="55">
        <v>320</v>
      </c>
      <c r="K4797" s="55">
        <f>VLOOKUP(J4797,'Validacion reclamo de equipaje'!L:M,2,0)</f>
        <v>179</v>
      </c>
      <c r="L4797" s="55" t="str">
        <f>VLOOKUP(I4797,'Validacion reclamo de equipaje'!H:I,2,0)</f>
        <v>Nacional</v>
      </c>
      <c r="M4797" s="55" t="s">
        <v>615</v>
      </c>
    </row>
    <row r="4798" spans="1:13" x14ac:dyDescent="0.25">
      <c r="A4798">
        <v>2206</v>
      </c>
      <c r="B4798" s="47" t="str">
        <f>VLOOKUP(Tabla6[[#This Row],['# Vuelo]],'Validacion reclamo de equipaje'!P:Q,2,0)</f>
        <v>INTERAVIÓN</v>
      </c>
      <c r="C4798" s="48">
        <v>0.47986111111111113</v>
      </c>
      <c r="D4798" s="48">
        <v>0.4861111111111111</v>
      </c>
      <c r="E4798" s="49">
        <f>'Reclamo de equipaje rediseñado'!$D4798-'Reclamo de equipaje rediseñado'!$C4798</f>
        <v>6.2499999999999778E-3</v>
      </c>
      <c r="F4798" s="48">
        <v>0.4909722222222222</v>
      </c>
      <c r="G4798" s="49">
        <f t="shared" si="74"/>
        <v>4.8611111111110938E-3</v>
      </c>
      <c r="H4798" s="50">
        <v>41809</v>
      </c>
      <c r="I4798" s="51" t="s">
        <v>536</v>
      </c>
      <c r="J4798" s="51">
        <v>320</v>
      </c>
      <c r="K4798" s="51">
        <f>VLOOKUP(J4798,'Validacion reclamo de equipaje'!L:M,2,0)</f>
        <v>179</v>
      </c>
      <c r="L4798" s="51" t="str">
        <f>VLOOKUP(I4798,'Validacion reclamo de equipaje'!H:I,2,0)</f>
        <v>Nacional</v>
      </c>
      <c r="M4798" s="51" t="s">
        <v>615</v>
      </c>
    </row>
    <row r="4799" spans="1:13" x14ac:dyDescent="0.25">
      <c r="A4799">
        <v>2206</v>
      </c>
      <c r="B4799" s="47" t="str">
        <f>VLOOKUP(Tabla6[[#This Row],['# Vuelo]],'Validacion reclamo de equipaje'!P:Q,2,0)</f>
        <v>INTERAVIÓN</v>
      </c>
      <c r="C4799" s="52">
        <v>0.4993055555555555</v>
      </c>
      <c r="D4799" s="52">
        <v>0.50347222222222221</v>
      </c>
      <c r="E4799" s="53">
        <f>'Reclamo de equipaje rediseñado'!$D4799-'Reclamo de equipaje rediseñado'!$C4799</f>
        <v>4.1666666666667074E-3</v>
      </c>
      <c r="F4799" s="52">
        <v>0.51111111111111118</v>
      </c>
      <c r="G4799" s="53">
        <f t="shared" si="74"/>
        <v>7.6388888888889728E-3</v>
      </c>
      <c r="H4799" s="54">
        <v>41810</v>
      </c>
      <c r="I4799" s="55" t="s">
        <v>536</v>
      </c>
      <c r="J4799" s="55">
        <v>320</v>
      </c>
      <c r="K4799" s="55">
        <f>VLOOKUP(J4799,'Validacion reclamo de equipaje'!L:M,2,0)</f>
        <v>179</v>
      </c>
      <c r="L4799" s="55" t="str">
        <f>VLOOKUP(I4799,'Validacion reclamo de equipaje'!H:I,2,0)</f>
        <v>Nacional</v>
      </c>
      <c r="M4799" s="55" t="s">
        <v>615</v>
      </c>
    </row>
    <row r="4800" spans="1:13" x14ac:dyDescent="0.25">
      <c r="A4800">
        <v>2206</v>
      </c>
      <c r="B4800" s="47" t="str">
        <f>VLOOKUP(Tabla6[[#This Row],['# Vuelo]],'Validacion reclamo de equipaje'!P:Q,2,0)</f>
        <v>INTERAVIÓN</v>
      </c>
      <c r="C4800" s="48">
        <v>0.46319444444444446</v>
      </c>
      <c r="D4800" s="48">
        <v>0.4770833333333333</v>
      </c>
      <c r="E4800" s="49">
        <f>'Reclamo de equipaje rediseñado'!$D4800-'Reclamo de equipaje rediseñado'!$C4800</f>
        <v>1.388888888888884E-2</v>
      </c>
      <c r="F4800" s="48">
        <v>0.48125000000000001</v>
      </c>
      <c r="G4800" s="49">
        <f t="shared" si="74"/>
        <v>4.1666666666667074E-3</v>
      </c>
      <c r="H4800" s="50">
        <v>41813</v>
      </c>
      <c r="I4800" s="51" t="s">
        <v>536</v>
      </c>
      <c r="J4800" s="51">
        <v>320</v>
      </c>
      <c r="K4800" s="51">
        <f>VLOOKUP(J4800,'Validacion reclamo de equipaje'!L:M,2,0)</f>
        <v>179</v>
      </c>
      <c r="L4800" s="51" t="str">
        <f>VLOOKUP(I4800,'Validacion reclamo de equipaje'!H:I,2,0)</f>
        <v>Nacional</v>
      </c>
      <c r="M4800" s="51" t="s">
        <v>615</v>
      </c>
    </row>
    <row r="4801" spans="1:13" x14ac:dyDescent="0.25">
      <c r="A4801">
        <v>2204</v>
      </c>
      <c r="B4801" s="47" t="str">
        <f>VLOOKUP(Tabla6[[#This Row],['# Vuelo]],'Validacion reclamo de equipaje'!P:Q,2,0)</f>
        <v>INTERAVIÓN</v>
      </c>
      <c r="C4801" s="52">
        <v>0.36388888888888887</v>
      </c>
      <c r="D4801" s="52">
        <v>0.36944444444444446</v>
      </c>
      <c r="E4801" s="53">
        <f>'Reclamo de equipaje rediseñado'!$D4801-'Reclamo de equipaje rediseñado'!$C4801</f>
        <v>5.5555555555555913E-3</v>
      </c>
      <c r="F4801" s="52">
        <v>0.375</v>
      </c>
      <c r="G4801" s="53">
        <f t="shared" si="74"/>
        <v>5.5555555555555358E-3</v>
      </c>
      <c r="H4801" s="54">
        <v>41793</v>
      </c>
      <c r="I4801" s="55" t="s">
        <v>536</v>
      </c>
      <c r="J4801" s="55">
        <v>320</v>
      </c>
      <c r="K4801" s="55">
        <f>VLOOKUP(J4801,'Validacion reclamo de equipaje'!L:M,2,0)</f>
        <v>179</v>
      </c>
      <c r="L4801" s="55" t="str">
        <f>VLOOKUP(I4801,'Validacion reclamo de equipaje'!H:I,2,0)</f>
        <v>Nacional</v>
      </c>
      <c r="M4801" s="55" t="s">
        <v>615</v>
      </c>
    </row>
    <row r="4802" spans="1:13" x14ac:dyDescent="0.25">
      <c r="A4802">
        <v>2204</v>
      </c>
      <c r="B4802" s="47" t="str">
        <f>VLOOKUP(Tabla6[[#This Row],['# Vuelo]],'Validacion reclamo de equipaje'!P:Q,2,0)</f>
        <v>INTERAVIÓN</v>
      </c>
      <c r="C4802" s="48">
        <v>0.37291666666666662</v>
      </c>
      <c r="D4802" s="48">
        <v>0.37847222222222227</v>
      </c>
      <c r="E4802" s="49">
        <f>'Reclamo de equipaje rediseñado'!$D4802-'Reclamo de equipaje rediseñado'!$C4802</f>
        <v>5.5555555555556468E-3</v>
      </c>
      <c r="F4802" s="48">
        <v>0.3833333333333333</v>
      </c>
      <c r="G4802" s="49">
        <f t="shared" si="74"/>
        <v>4.8611111111110383E-3</v>
      </c>
      <c r="H4802" s="50">
        <v>41794</v>
      </c>
      <c r="I4802" s="51" t="s">
        <v>536</v>
      </c>
      <c r="J4802" s="51">
        <v>320</v>
      </c>
      <c r="K4802" s="51">
        <f>VLOOKUP(J4802,'Validacion reclamo de equipaje'!L:M,2,0)</f>
        <v>179</v>
      </c>
      <c r="L4802" s="51" t="str">
        <f>VLOOKUP(I4802,'Validacion reclamo de equipaje'!H:I,2,0)</f>
        <v>Nacional</v>
      </c>
      <c r="M4802" s="51" t="s">
        <v>615</v>
      </c>
    </row>
    <row r="4803" spans="1:13" x14ac:dyDescent="0.25">
      <c r="A4803">
        <v>2204</v>
      </c>
      <c r="B4803" s="47" t="str">
        <f>VLOOKUP(Tabla6[[#This Row],['# Vuelo]],'Validacion reclamo de equipaje'!P:Q,2,0)</f>
        <v>INTERAVIÓN</v>
      </c>
      <c r="C4803" s="52">
        <v>0.37986111111111115</v>
      </c>
      <c r="D4803" s="52">
        <v>0.3833333333333333</v>
      </c>
      <c r="E4803" s="53">
        <f>'Reclamo de equipaje rediseñado'!$D4803-'Reclamo de equipaje rediseñado'!$C4803</f>
        <v>3.4722222222221544E-3</v>
      </c>
      <c r="F4803" s="52">
        <v>0.39027777777777778</v>
      </c>
      <c r="G4803" s="53">
        <f t="shared" ref="G4803:G4866" si="75">F4803-D4803</f>
        <v>6.9444444444444753E-3</v>
      </c>
      <c r="H4803" s="54">
        <v>41795</v>
      </c>
      <c r="I4803" s="55" t="s">
        <v>536</v>
      </c>
      <c r="J4803" s="55">
        <v>320</v>
      </c>
      <c r="K4803" s="55">
        <f>VLOOKUP(J4803,'Validacion reclamo de equipaje'!L:M,2,0)</f>
        <v>179</v>
      </c>
      <c r="L4803" s="55" t="str">
        <f>VLOOKUP(I4803,'Validacion reclamo de equipaje'!H:I,2,0)</f>
        <v>Nacional</v>
      </c>
      <c r="M4803" s="55" t="s">
        <v>615</v>
      </c>
    </row>
    <row r="4804" spans="1:13" x14ac:dyDescent="0.25">
      <c r="A4804">
        <v>2204</v>
      </c>
      <c r="B4804" s="47" t="str">
        <f>VLOOKUP(Tabla6[[#This Row],['# Vuelo]],'Validacion reclamo de equipaje'!P:Q,2,0)</f>
        <v>INTERAVIÓN</v>
      </c>
      <c r="C4804" s="48">
        <v>0.38819444444444445</v>
      </c>
      <c r="D4804" s="48">
        <v>0.39999999999999997</v>
      </c>
      <c r="E4804" s="49">
        <f>'Reclamo de equipaje rediseñado'!$D4804-'Reclamo de equipaje rediseñado'!$C4804</f>
        <v>1.1805555555555514E-2</v>
      </c>
      <c r="F4804" s="48">
        <v>0.40347222222222223</v>
      </c>
      <c r="G4804" s="49">
        <f t="shared" si="75"/>
        <v>3.4722222222222654E-3</v>
      </c>
      <c r="H4804" s="50">
        <v>41795</v>
      </c>
      <c r="I4804" s="51" t="s">
        <v>536</v>
      </c>
      <c r="J4804" s="51">
        <v>320</v>
      </c>
      <c r="K4804" s="51">
        <f>VLOOKUP(J4804,'Validacion reclamo de equipaje'!L:M,2,0)</f>
        <v>179</v>
      </c>
      <c r="L4804" s="51" t="str">
        <f>VLOOKUP(I4804,'Validacion reclamo de equipaje'!H:I,2,0)</f>
        <v>Nacional</v>
      </c>
      <c r="M4804" s="51" t="s">
        <v>615</v>
      </c>
    </row>
    <row r="4805" spans="1:13" x14ac:dyDescent="0.25">
      <c r="A4805">
        <v>2204</v>
      </c>
      <c r="B4805" s="47" t="str">
        <f>VLOOKUP(Tabla6[[#This Row],['# Vuelo]],'Validacion reclamo de equipaje'!P:Q,2,0)</f>
        <v>INTERAVIÓN</v>
      </c>
      <c r="C4805" s="52">
        <v>0.3576388888888889</v>
      </c>
      <c r="D4805" s="52">
        <v>0.36458333333333331</v>
      </c>
      <c r="E4805" s="53">
        <f>'Reclamo de equipaje rediseñado'!$D4805-'Reclamo de equipaje rediseñado'!$C4805</f>
        <v>6.9444444444444198E-3</v>
      </c>
      <c r="F4805" s="52">
        <v>0.36944444444444446</v>
      </c>
      <c r="G4805" s="53">
        <f t="shared" si="75"/>
        <v>4.8611111111111494E-3</v>
      </c>
      <c r="H4805" s="54">
        <v>41796</v>
      </c>
      <c r="I4805" s="55" t="s">
        <v>536</v>
      </c>
      <c r="J4805" s="55">
        <v>320</v>
      </c>
      <c r="K4805" s="55">
        <f>VLOOKUP(J4805,'Validacion reclamo de equipaje'!L:M,2,0)</f>
        <v>179</v>
      </c>
      <c r="L4805" s="55" t="str">
        <f>VLOOKUP(I4805,'Validacion reclamo de equipaje'!H:I,2,0)</f>
        <v>Nacional</v>
      </c>
      <c r="M4805" s="55" t="s">
        <v>615</v>
      </c>
    </row>
    <row r="4806" spans="1:13" x14ac:dyDescent="0.25">
      <c r="A4806">
        <v>2204</v>
      </c>
      <c r="B4806" s="47" t="str">
        <f>VLOOKUP(Tabla6[[#This Row],['# Vuelo]],'Validacion reclamo de equipaje'!P:Q,2,0)</f>
        <v>INTERAVIÓN</v>
      </c>
      <c r="C4806" s="48">
        <v>0.36805555555555558</v>
      </c>
      <c r="D4806" s="48">
        <v>0.37152777777777773</v>
      </c>
      <c r="E4806" s="49">
        <f>'Reclamo de equipaje rediseñado'!$D4806-'Reclamo de equipaje rediseñado'!$C4806</f>
        <v>3.4722222222221544E-3</v>
      </c>
      <c r="F4806" s="48">
        <v>0.3756944444444445</v>
      </c>
      <c r="G4806" s="49">
        <f t="shared" si="75"/>
        <v>4.1666666666667629E-3</v>
      </c>
      <c r="H4806" s="50">
        <v>41799</v>
      </c>
      <c r="I4806" s="51" t="s">
        <v>536</v>
      </c>
      <c r="J4806" s="51">
        <v>320</v>
      </c>
      <c r="K4806" s="51">
        <f>VLOOKUP(J4806,'Validacion reclamo de equipaje'!L:M,2,0)</f>
        <v>179</v>
      </c>
      <c r="L4806" s="51" t="str">
        <f>VLOOKUP(I4806,'Validacion reclamo de equipaje'!H:I,2,0)</f>
        <v>Nacional</v>
      </c>
      <c r="M4806" s="51" t="s">
        <v>615</v>
      </c>
    </row>
    <row r="4807" spans="1:13" x14ac:dyDescent="0.25">
      <c r="A4807">
        <v>2204</v>
      </c>
      <c r="B4807" s="47" t="str">
        <f>VLOOKUP(Tabla6[[#This Row],['# Vuelo]],'Validacion reclamo de equipaje'!P:Q,2,0)</f>
        <v>INTERAVIÓN</v>
      </c>
      <c r="C4807" s="52">
        <v>0.95138888888888884</v>
      </c>
      <c r="D4807" s="52">
        <v>0.97569444444444453</v>
      </c>
      <c r="E4807" s="53">
        <f>'Reclamo de equipaje rediseñado'!$D4807-'Reclamo de equipaje rediseñado'!$C4807</f>
        <v>2.4305555555555691E-2</v>
      </c>
      <c r="F4807" s="52">
        <v>0.98263888888888884</v>
      </c>
      <c r="G4807" s="53">
        <f t="shared" si="75"/>
        <v>6.9444444444443088E-3</v>
      </c>
      <c r="H4807" s="54">
        <v>41801</v>
      </c>
      <c r="I4807" s="55" t="s">
        <v>536</v>
      </c>
      <c r="J4807" s="55">
        <v>320</v>
      </c>
      <c r="K4807" s="55">
        <f>VLOOKUP(J4807,'Validacion reclamo de equipaje'!L:M,2,0)</f>
        <v>179</v>
      </c>
      <c r="L4807" s="55" t="str">
        <f>VLOOKUP(I4807,'Validacion reclamo de equipaje'!H:I,2,0)</f>
        <v>Nacional</v>
      </c>
      <c r="M4807" s="55" t="s">
        <v>615</v>
      </c>
    </row>
    <row r="4808" spans="1:13" x14ac:dyDescent="0.25">
      <c r="A4808">
        <v>2204</v>
      </c>
      <c r="B4808" s="47" t="str">
        <f>VLOOKUP(Tabla6[[#This Row],['# Vuelo]],'Validacion reclamo de equipaje'!P:Q,2,0)</f>
        <v>INTERAVIÓN</v>
      </c>
      <c r="C4808" s="48">
        <v>0.54027777777777775</v>
      </c>
      <c r="D4808" s="48">
        <v>0.55208333333333337</v>
      </c>
      <c r="E4808" s="49">
        <f>'Reclamo de equipaje rediseñado'!$D4808-'Reclamo de equipaje rediseñado'!$C4808</f>
        <v>1.1805555555555625E-2</v>
      </c>
      <c r="F4808" s="48">
        <v>0.56597222222222221</v>
      </c>
      <c r="G4808" s="49">
        <f t="shared" si="75"/>
        <v>1.388888888888884E-2</v>
      </c>
      <c r="H4808" s="50">
        <v>41801</v>
      </c>
      <c r="I4808" s="51" t="s">
        <v>536</v>
      </c>
      <c r="J4808" s="51">
        <v>320</v>
      </c>
      <c r="K4808" s="51">
        <f>VLOOKUP(J4808,'Validacion reclamo de equipaje'!L:M,2,0)</f>
        <v>179</v>
      </c>
      <c r="L4808" s="51" t="str">
        <f>VLOOKUP(I4808,'Validacion reclamo de equipaje'!H:I,2,0)</f>
        <v>Nacional</v>
      </c>
      <c r="M4808" s="51" t="s">
        <v>615</v>
      </c>
    </row>
    <row r="4809" spans="1:13" x14ac:dyDescent="0.25">
      <c r="A4809">
        <v>2204</v>
      </c>
      <c r="B4809" s="47" t="str">
        <f>VLOOKUP(Tabla6[[#This Row],['# Vuelo]],'Validacion reclamo de equipaje'!P:Q,2,0)</f>
        <v>INTERAVIÓN</v>
      </c>
      <c r="C4809" s="52">
        <v>0.19930555555555554</v>
      </c>
      <c r="D4809" s="52">
        <v>0.21249999999999999</v>
      </c>
      <c r="E4809" s="53">
        <f>'Reclamo de equipaje rediseñado'!$D4809-'Reclamo de equipaje rediseñado'!$C4809</f>
        <v>1.3194444444444453E-2</v>
      </c>
      <c r="F4809" s="52">
        <v>0.23750000000000002</v>
      </c>
      <c r="G4809" s="53">
        <f t="shared" si="75"/>
        <v>2.5000000000000022E-2</v>
      </c>
      <c r="H4809" s="54">
        <v>41802</v>
      </c>
      <c r="I4809" s="55" t="s">
        <v>536</v>
      </c>
      <c r="J4809" s="55">
        <v>320</v>
      </c>
      <c r="K4809" s="55">
        <f>VLOOKUP(J4809,'Validacion reclamo de equipaje'!L:M,2,0)</f>
        <v>179</v>
      </c>
      <c r="L4809" s="55" t="str">
        <f>VLOOKUP(I4809,'Validacion reclamo de equipaje'!H:I,2,0)</f>
        <v>Nacional</v>
      </c>
      <c r="M4809" s="55" t="s">
        <v>615</v>
      </c>
    </row>
    <row r="4810" spans="1:13" x14ac:dyDescent="0.25">
      <c r="A4810">
        <v>2204</v>
      </c>
      <c r="B4810" s="47" t="str">
        <f>VLOOKUP(Tabla6[[#This Row],['# Vuelo]],'Validacion reclamo de equipaje'!P:Q,2,0)</f>
        <v>INTERAVIÓN</v>
      </c>
      <c r="C4810" s="48">
        <v>0.90208333333333324</v>
      </c>
      <c r="D4810" s="48">
        <v>0.90694444444444444</v>
      </c>
      <c r="E4810" s="49">
        <f>'Reclamo de equipaje rediseñado'!$D4810-'Reclamo de equipaje rediseñado'!$C4810</f>
        <v>4.8611111111112049E-3</v>
      </c>
      <c r="F4810" s="48">
        <v>0.91527777777777775</v>
      </c>
      <c r="G4810" s="49">
        <f t="shared" si="75"/>
        <v>8.3333333333333037E-3</v>
      </c>
      <c r="H4810" s="50">
        <v>41803</v>
      </c>
      <c r="I4810" s="51" t="s">
        <v>536</v>
      </c>
      <c r="J4810" s="51">
        <v>320</v>
      </c>
      <c r="K4810" s="51">
        <f>VLOOKUP(J4810,'Validacion reclamo de equipaje'!L:M,2,0)</f>
        <v>179</v>
      </c>
      <c r="L4810" s="51" t="str">
        <f>VLOOKUP(I4810,'Validacion reclamo de equipaje'!H:I,2,0)</f>
        <v>Nacional</v>
      </c>
      <c r="M4810" s="51" t="s">
        <v>615</v>
      </c>
    </row>
    <row r="4811" spans="1:13" x14ac:dyDescent="0.25">
      <c r="A4811">
        <v>2204</v>
      </c>
      <c r="B4811" s="47" t="str">
        <f>VLOOKUP(Tabla6[[#This Row],['# Vuelo]],'Validacion reclamo de equipaje'!P:Q,2,0)</f>
        <v>INTERAVIÓN</v>
      </c>
      <c r="C4811" s="52">
        <v>0.76388888888888884</v>
      </c>
      <c r="D4811" s="52">
        <v>0.77222222222222225</v>
      </c>
      <c r="E4811" s="53">
        <f>'Reclamo de equipaje rediseñado'!$D4811-'Reclamo de equipaje rediseñado'!$C4811</f>
        <v>8.3333333333334147E-3</v>
      </c>
      <c r="F4811" s="52">
        <v>0.78263888888888899</v>
      </c>
      <c r="G4811" s="53">
        <f t="shared" si="75"/>
        <v>1.0416666666666741E-2</v>
      </c>
      <c r="H4811" s="54">
        <v>41806</v>
      </c>
      <c r="I4811" s="55" t="s">
        <v>536</v>
      </c>
      <c r="J4811" s="55">
        <v>320</v>
      </c>
      <c r="K4811" s="55">
        <f>VLOOKUP(J4811,'Validacion reclamo de equipaje'!L:M,2,0)</f>
        <v>179</v>
      </c>
      <c r="L4811" s="55" t="str">
        <f>VLOOKUP(I4811,'Validacion reclamo de equipaje'!H:I,2,0)</f>
        <v>Nacional</v>
      </c>
      <c r="M4811" s="55" t="s">
        <v>615</v>
      </c>
    </row>
    <row r="4812" spans="1:13" x14ac:dyDescent="0.25">
      <c r="A4812">
        <v>2204</v>
      </c>
      <c r="B4812" s="47" t="str">
        <f>VLOOKUP(Tabla6[[#This Row],['# Vuelo]],'Validacion reclamo de equipaje'!P:Q,2,0)</f>
        <v>INTERAVIÓN</v>
      </c>
      <c r="C4812" s="48">
        <v>0.24930555555555556</v>
      </c>
      <c r="D4812" s="48">
        <v>0.26597222222222222</v>
      </c>
      <c r="E4812" s="49">
        <f>'Reclamo de equipaje rediseñado'!$D4812-'Reclamo de equipaje rediseñado'!$C4812</f>
        <v>1.6666666666666663E-2</v>
      </c>
      <c r="F4812" s="48">
        <v>0.28611111111111115</v>
      </c>
      <c r="G4812" s="49">
        <f t="shared" si="75"/>
        <v>2.0138888888888928E-2</v>
      </c>
      <c r="H4812" s="50">
        <v>41807</v>
      </c>
      <c r="I4812" s="51" t="s">
        <v>536</v>
      </c>
      <c r="J4812" s="51">
        <v>320</v>
      </c>
      <c r="K4812" s="51">
        <f>VLOOKUP(J4812,'Validacion reclamo de equipaje'!L:M,2,0)</f>
        <v>179</v>
      </c>
      <c r="L4812" s="51" t="str">
        <f>VLOOKUP(I4812,'Validacion reclamo de equipaje'!H:I,2,0)</f>
        <v>Nacional</v>
      </c>
      <c r="M4812" s="51" t="s">
        <v>615</v>
      </c>
    </row>
    <row r="4813" spans="1:13" x14ac:dyDescent="0.25">
      <c r="A4813">
        <v>2204</v>
      </c>
      <c r="B4813" s="47" t="str">
        <f>VLOOKUP(Tabla6[[#This Row],['# Vuelo]],'Validacion reclamo de equipaje'!P:Q,2,0)</f>
        <v>INTERAVIÓN</v>
      </c>
      <c r="C4813" s="52">
        <v>0.38958333333333334</v>
      </c>
      <c r="D4813" s="52">
        <v>0.40208333333333335</v>
      </c>
      <c r="E4813" s="53">
        <f>'Reclamo de equipaje rediseñado'!$D4813-'Reclamo de equipaje rediseñado'!$C4813</f>
        <v>1.2500000000000011E-2</v>
      </c>
      <c r="F4813" s="52">
        <v>0.40347222222222223</v>
      </c>
      <c r="G4813" s="53">
        <f t="shared" si="75"/>
        <v>1.388888888888884E-3</v>
      </c>
      <c r="H4813" s="54">
        <v>41808</v>
      </c>
      <c r="I4813" s="55" t="s">
        <v>536</v>
      </c>
      <c r="J4813" s="55">
        <v>320</v>
      </c>
      <c r="K4813" s="55">
        <f>VLOOKUP(J4813,'Validacion reclamo de equipaje'!L:M,2,0)</f>
        <v>179</v>
      </c>
      <c r="L4813" s="55" t="str">
        <f>VLOOKUP(I4813,'Validacion reclamo de equipaje'!H:I,2,0)</f>
        <v>Nacional</v>
      </c>
      <c r="M4813" s="55" t="s">
        <v>615</v>
      </c>
    </row>
    <row r="4814" spans="1:13" x14ac:dyDescent="0.25">
      <c r="A4814">
        <v>2204</v>
      </c>
      <c r="B4814" s="47" t="str">
        <f>VLOOKUP(Tabla6[[#This Row],['# Vuelo]],'Validacion reclamo de equipaje'!P:Q,2,0)</f>
        <v>INTERAVIÓN</v>
      </c>
      <c r="C4814" s="48">
        <v>0.3659722222222222</v>
      </c>
      <c r="D4814" s="48">
        <v>0.37222222222222223</v>
      </c>
      <c r="E4814" s="49">
        <f>'Reclamo de equipaje rediseñado'!$D4814-'Reclamo de equipaje rediseñado'!$C4814</f>
        <v>6.2500000000000333E-3</v>
      </c>
      <c r="F4814" s="48">
        <v>0.37847222222222227</v>
      </c>
      <c r="G4814" s="49">
        <f t="shared" si="75"/>
        <v>6.2500000000000333E-3</v>
      </c>
      <c r="H4814" s="50">
        <v>41809</v>
      </c>
      <c r="I4814" s="51" t="s">
        <v>536</v>
      </c>
      <c r="J4814" s="51">
        <v>320</v>
      </c>
      <c r="K4814" s="51">
        <f>VLOOKUP(J4814,'Validacion reclamo de equipaje'!L:M,2,0)</f>
        <v>179</v>
      </c>
      <c r="L4814" s="51" t="str">
        <f>VLOOKUP(I4814,'Validacion reclamo de equipaje'!H:I,2,0)</f>
        <v>Nacional</v>
      </c>
      <c r="M4814" s="51" t="s">
        <v>615</v>
      </c>
    </row>
    <row r="4815" spans="1:13" x14ac:dyDescent="0.25">
      <c r="A4815">
        <v>2204</v>
      </c>
      <c r="B4815" s="47" t="str">
        <f>VLOOKUP(Tabla6[[#This Row],['# Vuelo]],'Validacion reclamo de equipaje'!P:Q,2,0)</f>
        <v>INTERAVIÓN</v>
      </c>
      <c r="C4815" s="52">
        <v>0.35625000000000001</v>
      </c>
      <c r="D4815" s="52">
        <v>0.36041666666666666</v>
      </c>
      <c r="E4815" s="53">
        <f>'Reclamo de equipaje rediseñado'!$D4815-'Reclamo de equipaje rediseñado'!$C4815</f>
        <v>4.1666666666666519E-3</v>
      </c>
      <c r="F4815" s="52">
        <v>0.36874999999999997</v>
      </c>
      <c r="G4815" s="53">
        <f t="shared" si="75"/>
        <v>8.3333333333333037E-3</v>
      </c>
      <c r="H4815" s="54">
        <v>41810</v>
      </c>
      <c r="I4815" s="55" t="s">
        <v>536</v>
      </c>
      <c r="J4815" s="55">
        <v>320</v>
      </c>
      <c r="K4815" s="55">
        <f>VLOOKUP(J4815,'Validacion reclamo de equipaje'!L:M,2,0)</f>
        <v>179</v>
      </c>
      <c r="L4815" s="55" t="str">
        <f>VLOOKUP(I4815,'Validacion reclamo de equipaje'!H:I,2,0)</f>
        <v>Nacional</v>
      </c>
      <c r="M4815" s="55" t="s">
        <v>615</v>
      </c>
    </row>
    <row r="4816" spans="1:13" x14ac:dyDescent="0.25">
      <c r="A4816">
        <v>2204</v>
      </c>
      <c r="B4816" s="47" t="str">
        <f>VLOOKUP(Tabla6[[#This Row],['# Vuelo]],'Validacion reclamo de equipaje'!P:Q,2,0)</f>
        <v>INTERAVIÓN</v>
      </c>
      <c r="C4816" s="48">
        <v>0.36180555555555555</v>
      </c>
      <c r="D4816" s="48">
        <v>0.36527777777777781</v>
      </c>
      <c r="E4816" s="49">
        <f>'Reclamo de equipaje rediseñado'!$D4816-'Reclamo de equipaje rediseñado'!$C4816</f>
        <v>3.4722222222222654E-3</v>
      </c>
      <c r="F4816" s="48">
        <v>0.37222222222222223</v>
      </c>
      <c r="G4816" s="49">
        <f t="shared" si="75"/>
        <v>6.9444444444444198E-3</v>
      </c>
      <c r="H4816" s="50">
        <v>41813</v>
      </c>
      <c r="I4816" s="51" t="s">
        <v>536</v>
      </c>
      <c r="J4816" s="51">
        <v>320</v>
      </c>
      <c r="K4816" s="51">
        <f>VLOOKUP(J4816,'Validacion reclamo de equipaje'!L:M,2,0)</f>
        <v>179</v>
      </c>
      <c r="L4816" s="51" t="str">
        <f>VLOOKUP(I4816,'Validacion reclamo de equipaje'!H:I,2,0)</f>
        <v>Nacional</v>
      </c>
      <c r="M4816" s="51" t="s">
        <v>615</v>
      </c>
    </row>
    <row r="4817" spans="1:13" x14ac:dyDescent="0.25">
      <c r="A4817">
        <v>2202</v>
      </c>
      <c r="B4817" s="47" t="str">
        <f>VLOOKUP(Tabla6[[#This Row],['# Vuelo]],'Validacion reclamo de equipaje'!P:Q,2,0)</f>
        <v>INTERAVIÓN</v>
      </c>
      <c r="C4817" s="52">
        <v>0.55277777777777781</v>
      </c>
      <c r="D4817" s="52">
        <v>0.55833333333333335</v>
      </c>
      <c r="E4817" s="53">
        <f>'Reclamo de equipaje rediseñado'!$D4817-'Reclamo de equipaje rediseñado'!$C4817</f>
        <v>5.5555555555555358E-3</v>
      </c>
      <c r="F4817" s="52">
        <v>0.56388888888888888</v>
      </c>
      <c r="G4817" s="53">
        <f t="shared" si="75"/>
        <v>5.5555555555555358E-3</v>
      </c>
      <c r="H4817" s="54">
        <v>41791</v>
      </c>
      <c r="I4817" s="55" t="s">
        <v>536</v>
      </c>
      <c r="J4817" s="55">
        <v>320</v>
      </c>
      <c r="K4817" s="55">
        <f>VLOOKUP(J4817,'Validacion reclamo de equipaje'!L:M,2,0)</f>
        <v>179</v>
      </c>
      <c r="L4817" s="55" t="str">
        <f>VLOOKUP(I4817,'Validacion reclamo de equipaje'!H:I,2,0)</f>
        <v>Nacional</v>
      </c>
      <c r="M4817" s="55" t="s">
        <v>615</v>
      </c>
    </row>
    <row r="4818" spans="1:13" x14ac:dyDescent="0.25">
      <c r="A4818">
        <v>2202</v>
      </c>
      <c r="B4818" s="47" t="str">
        <f>VLOOKUP(Tabla6[[#This Row],['# Vuelo]],'Validacion reclamo de equipaje'!P:Q,2,0)</f>
        <v>INTERAVIÓN</v>
      </c>
      <c r="C4818" s="48">
        <v>0.55694444444444446</v>
      </c>
      <c r="D4818" s="48">
        <v>0.56041666666666667</v>
      </c>
      <c r="E4818" s="49">
        <f>'Reclamo de equipaje rediseñado'!$D4818-'Reclamo de equipaje rediseñado'!$C4818</f>
        <v>3.4722222222222099E-3</v>
      </c>
      <c r="F4818" s="48">
        <v>0.56527777777777777</v>
      </c>
      <c r="G4818" s="49">
        <f t="shared" si="75"/>
        <v>4.8611111111110938E-3</v>
      </c>
      <c r="H4818" s="50">
        <v>41792</v>
      </c>
      <c r="I4818" s="51" t="s">
        <v>536</v>
      </c>
      <c r="J4818" s="51">
        <v>320</v>
      </c>
      <c r="K4818" s="51">
        <f>VLOOKUP(J4818,'Validacion reclamo de equipaje'!L:M,2,0)</f>
        <v>179</v>
      </c>
      <c r="L4818" s="51" t="str">
        <f>VLOOKUP(I4818,'Validacion reclamo de equipaje'!H:I,2,0)</f>
        <v>Nacional</v>
      </c>
      <c r="M4818" s="51" t="s">
        <v>615</v>
      </c>
    </row>
    <row r="4819" spans="1:13" x14ac:dyDescent="0.25">
      <c r="A4819">
        <v>2202</v>
      </c>
      <c r="B4819" s="47" t="str">
        <f>VLOOKUP(Tabla6[[#This Row],['# Vuelo]],'Validacion reclamo de equipaje'!P:Q,2,0)</f>
        <v>INTERAVIÓN</v>
      </c>
      <c r="C4819" s="52">
        <v>0.55277777777777781</v>
      </c>
      <c r="D4819" s="52">
        <v>0.55902777777777779</v>
      </c>
      <c r="E4819" s="53">
        <f>'Reclamo de equipaje rediseñado'!$D4819-'Reclamo de equipaje rediseñado'!$C4819</f>
        <v>6.2499999999999778E-3</v>
      </c>
      <c r="F4819" s="52">
        <v>0.56666666666666665</v>
      </c>
      <c r="G4819" s="53">
        <f t="shared" si="75"/>
        <v>7.6388888888888618E-3</v>
      </c>
      <c r="H4819" s="54">
        <v>41793</v>
      </c>
      <c r="I4819" s="55" t="s">
        <v>536</v>
      </c>
      <c r="J4819" s="55">
        <v>320</v>
      </c>
      <c r="K4819" s="55">
        <f>VLOOKUP(J4819,'Validacion reclamo de equipaje'!L:M,2,0)</f>
        <v>179</v>
      </c>
      <c r="L4819" s="55" t="str">
        <f>VLOOKUP(I4819,'Validacion reclamo de equipaje'!H:I,2,0)</f>
        <v>Nacional</v>
      </c>
      <c r="M4819" s="55" t="s">
        <v>615</v>
      </c>
    </row>
    <row r="4820" spans="1:13" x14ac:dyDescent="0.25">
      <c r="A4820">
        <v>2202</v>
      </c>
      <c r="B4820" s="47" t="str">
        <f>VLOOKUP(Tabla6[[#This Row],['# Vuelo]],'Validacion reclamo de equipaje'!P:Q,2,0)</f>
        <v>INTERAVIÓN</v>
      </c>
      <c r="C4820" s="48">
        <v>0.55902777777777779</v>
      </c>
      <c r="D4820" s="48">
        <v>0.5625</v>
      </c>
      <c r="E4820" s="49">
        <f>'Reclamo de equipaje rediseñado'!$D4820-'Reclamo de equipaje rediseñado'!$C4820</f>
        <v>3.4722222222222099E-3</v>
      </c>
      <c r="F4820" s="48">
        <v>0.56736111111111109</v>
      </c>
      <c r="G4820" s="49">
        <f t="shared" si="75"/>
        <v>4.8611111111110938E-3</v>
      </c>
      <c r="H4820" s="50">
        <v>41794</v>
      </c>
      <c r="I4820" s="51" t="s">
        <v>536</v>
      </c>
      <c r="J4820" s="51">
        <v>320</v>
      </c>
      <c r="K4820" s="51">
        <f>VLOOKUP(J4820,'Validacion reclamo de equipaje'!L:M,2,0)</f>
        <v>179</v>
      </c>
      <c r="L4820" s="51" t="str">
        <f>VLOOKUP(I4820,'Validacion reclamo de equipaje'!H:I,2,0)</f>
        <v>Nacional</v>
      </c>
      <c r="M4820" s="51" t="s">
        <v>615</v>
      </c>
    </row>
    <row r="4821" spans="1:13" x14ac:dyDescent="0.25">
      <c r="A4821">
        <v>2202</v>
      </c>
      <c r="B4821" s="47" t="str">
        <f>VLOOKUP(Tabla6[[#This Row],['# Vuelo]],'Validacion reclamo de equipaje'!P:Q,2,0)</f>
        <v>INTERAVIÓN</v>
      </c>
      <c r="C4821" s="52">
        <v>0.55555555555555558</v>
      </c>
      <c r="D4821" s="52">
        <v>0.55902777777777779</v>
      </c>
      <c r="E4821" s="53">
        <f>'Reclamo de equipaje rediseñado'!$D4821-'Reclamo de equipaje rediseñado'!$C4821</f>
        <v>3.4722222222222099E-3</v>
      </c>
      <c r="F4821" s="52">
        <v>0.56736111111111109</v>
      </c>
      <c r="G4821" s="53">
        <f t="shared" si="75"/>
        <v>8.3333333333333037E-3</v>
      </c>
      <c r="H4821" s="54">
        <v>41795</v>
      </c>
      <c r="I4821" s="55" t="s">
        <v>536</v>
      </c>
      <c r="J4821" s="55">
        <v>320</v>
      </c>
      <c r="K4821" s="55">
        <f>VLOOKUP(J4821,'Validacion reclamo de equipaje'!L:M,2,0)</f>
        <v>179</v>
      </c>
      <c r="L4821" s="55" t="str">
        <f>VLOOKUP(I4821,'Validacion reclamo de equipaje'!H:I,2,0)</f>
        <v>Nacional</v>
      </c>
      <c r="M4821" s="55" t="s">
        <v>615</v>
      </c>
    </row>
    <row r="4822" spans="1:13" x14ac:dyDescent="0.25">
      <c r="A4822">
        <v>2202</v>
      </c>
      <c r="B4822" s="47" t="str">
        <f>VLOOKUP(Tabla6[[#This Row],['# Vuelo]],'Validacion reclamo de equipaje'!P:Q,2,0)</f>
        <v>INTERAVIÓN</v>
      </c>
      <c r="C4822" s="48">
        <v>4.1666666666666664E-2</v>
      </c>
      <c r="D4822" s="48">
        <v>4.7916666666666663E-2</v>
      </c>
      <c r="E4822" s="49">
        <f>'Reclamo de equipaje rediseñado'!$D4822-'Reclamo de equipaje rediseñado'!$C4822</f>
        <v>6.2499999999999986E-3</v>
      </c>
      <c r="F4822" s="48">
        <v>5.2083333333333336E-2</v>
      </c>
      <c r="G4822" s="49">
        <f t="shared" si="75"/>
        <v>4.1666666666666727E-3</v>
      </c>
      <c r="H4822" s="50">
        <v>41796</v>
      </c>
      <c r="I4822" s="51" t="s">
        <v>536</v>
      </c>
      <c r="J4822" s="51">
        <v>320</v>
      </c>
      <c r="K4822" s="51">
        <f>VLOOKUP(J4822,'Validacion reclamo de equipaje'!L:M,2,0)</f>
        <v>179</v>
      </c>
      <c r="L4822" s="51" t="str">
        <f>VLOOKUP(I4822,'Validacion reclamo de equipaje'!H:I,2,0)</f>
        <v>Nacional</v>
      </c>
      <c r="M4822" s="51" t="s">
        <v>615</v>
      </c>
    </row>
    <row r="4823" spans="1:13" x14ac:dyDescent="0.25">
      <c r="A4823">
        <v>2202</v>
      </c>
      <c r="B4823" s="47" t="str">
        <f>VLOOKUP(Tabla6[[#This Row],['# Vuelo]],'Validacion reclamo de equipaje'!P:Q,2,0)</f>
        <v>INTERAVIÓN</v>
      </c>
      <c r="C4823" s="52">
        <v>0.5541666666666667</v>
      </c>
      <c r="D4823" s="52">
        <v>0.55555555555555558</v>
      </c>
      <c r="E4823" s="53">
        <f>'Reclamo de equipaje rediseñado'!$D4823-'Reclamo de equipaje rediseñado'!$C4823</f>
        <v>1.388888888888884E-3</v>
      </c>
      <c r="F4823" s="52">
        <v>0.55763888888888891</v>
      </c>
      <c r="G4823" s="53">
        <f t="shared" si="75"/>
        <v>2.0833333333333259E-3</v>
      </c>
      <c r="H4823" s="54">
        <v>41799</v>
      </c>
      <c r="I4823" s="55" t="s">
        <v>536</v>
      </c>
      <c r="J4823" s="55">
        <v>320</v>
      </c>
      <c r="K4823" s="55">
        <f>VLOOKUP(J4823,'Validacion reclamo de equipaje'!L:M,2,0)</f>
        <v>179</v>
      </c>
      <c r="L4823" s="55" t="str">
        <f>VLOOKUP(I4823,'Validacion reclamo de equipaje'!H:I,2,0)</f>
        <v>Nacional</v>
      </c>
      <c r="M4823" s="55" t="s">
        <v>615</v>
      </c>
    </row>
    <row r="4824" spans="1:13" x14ac:dyDescent="0.25">
      <c r="A4824">
        <v>2202</v>
      </c>
      <c r="B4824" s="47" t="str">
        <f>VLOOKUP(Tabla6[[#This Row],['# Vuelo]],'Validacion reclamo de equipaje'!P:Q,2,0)</f>
        <v>INTERAVIÓN</v>
      </c>
      <c r="C4824" s="48">
        <v>0.43055555555555558</v>
      </c>
      <c r="D4824" s="48">
        <v>0.44236111111111115</v>
      </c>
      <c r="E4824" s="49">
        <f>'Reclamo de equipaje rediseñado'!$D4824-'Reclamo de equipaje rediseñado'!$C4824</f>
        <v>1.1805555555555569E-2</v>
      </c>
      <c r="F4824" s="48">
        <v>0.44930555555555557</v>
      </c>
      <c r="G4824" s="49">
        <f t="shared" si="75"/>
        <v>6.9444444444444198E-3</v>
      </c>
      <c r="H4824" s="50">
        <v>41801</v>
      </c>
      <c r="I4824" s="51" t="s">
        <v>536</v>
      </c>
      <c r="J4824" s="51">
        <v>320</v>
      </c>
      <c r="K4824" s="51">
        <f>VLOOKUP(J4824,'Validacion reclamo de equipaje'!L:M,2,0)</f>
        <v>179</v>
      </c>
      <c r="L4824" s="51" t="str">
        <f>VLOOKUP(I4824,'Validacion reclamo de equipaje'!H:I,2,0)</f>
        <v>Nacional</v>
      </c>
      <c r="M4824" s="51" t="s">
        <v>615</v>
      </c>
    </row>
    <row r="4825" spans="1:13" x14ac:dyDescent="0.25">
      <c r="A4825">
        <v>2202</v>
      </c>
      <c r="B4825" s="47" t="str">
        <f>VLOOKUP(Tabla6[[#This Row],['# Vuelo]],'Validacion reclamo de equipaje'!P:Q,2,0)</f>
        <v>INTERAVIÓN</v>
      </c>
      <c r="C4825" s="52">
        <v>0.43124999999999997</v>
      </c>
      <c r="D4825" s="52">
        <v>0.43611111111111112</v>
      </c>
      <c r="E4825" s="53">
        <f>'Reclamo de equipaje rediseñado'!$D4825-'Reclamo de equipaje rediseñado'!$C4825</f>
        <v>4.8611111111111494E-3</v>
      </c>
      <c r="F4825" s="52">
        <v>0.44097222222222227</v>
      </c>
      <c r="G4825" s="53">
        <f t="shared" si="75"/>
        <v>4.8611111111111494E-3</v>
      </c>
      <c r="H4825" s="54">
        <v>41801</v>
      </c>
      <c r="I4825" s="55" t="s">
        <v>536</v>
      </c>
      <c r="J4825" s="55">
        <v>320</v>
      </c>
      <c r="K4825" s="55">
        <f>VLOOKUP(J4825,'Validacion reclamo de equipaje'!L:M,2,0)</f>
        <v>179</v>
      </c>
      <c r="L4825" s="55" t="str">
        <f>VLOOKUP(I4825,'Validacion reclamo de equipaje'!H:I,2,0)</f>
        <v>Nacional</v>
      </c>
      <c r="M4825" s="55" t="s">
        <v>615</v>
      </c>
    </row>
    <row r="4826" spans="1:13" x14ac:dyDescent="0.25">
      <c r="A4826">
        <v>2202</v>
      </c>
      <c r="B4826" s="47" t="str">
        <f>VLOOKUP(Tabla6[[#This Row],['# Vuelo]],'Validacion reclamo de equipaje'!P:Q,2,0)</f>
        <v>INTERAVIÓN</v>
      </c>
      <c r="C4826" s="48">
        <v>0.83750000000000002</v>
      </c>
      <c r="D4826" s="48">
        <v>0.84722222222222221</v>
      </c>
      <c r="E4826" s="49">
        <f>'Reclamo de equipaje rediseñado'!$D4826-'Reclamo de equipaje rediseñado'!$C4826</f>
        <v>9.7222222222221877E-3</v>
      </c>
      <c r="F4826" s="48">
        <v>0.8666666666666667</v>
      </c>
      <c r="G4826" s="49">
        <f t="shared" si="75"/>
        <v>1.9444444444444486E-2</v>
      </c>
      <c r="H4826" s="50">
        <v>41802</v>
      </c>
      <c r="I4826" s="51" t="s">
        <v>536</v>
      </c>
      <c r="J4826" s="51">
        <v>320</v>
      </c>
      <c r="K4826" s="51">
        <f>VLOOKUP(J4826,'Validacion reclamo de equipaje'!L:M,2,0)</f>
        <v>179</v>
      </c>
      <c r="L4826" s="51" t="str">
        <f>VLOOKUP(I4826,'Validacion reclamo de equipaje'!H:I,2,0)</f>
        <v>Nacional</v>
      </c>
      <c r="M4826" s="51" t="s">
        <v>615</v>
      </c>
    </row>
    <row r="4827" spans="1:13" x14ac:dyDescent="0.25">
      <c r="A4827">
        <v>2202</v>
      </c>
      <c r="B4827" s="47" t="str">
        <f>VLOOKUP(Tabla6[[#This Row],['# Vuelo]],'Validacion reclamo de equipaje'!P:Q,2,0)</f>
        <v>INTERAVIÓN</v>
      </c>
      <c r="C4827" s="52">
        <v>0.91736111111111107</v>
      </c>
      <c r="D4827" s="52">
        <v>0.92708333333333337</v>
      </c>
      <c r="E4827" s="53">
        <f>'Reclamo de equipaje rediseñado'!$D4827-'Reclamo de equipaje rediseñado'!$C4827</f>
        <v>9.7222222222222987E-3</v>
      </c>
      <c r="F4827" s="52">
        <v>0.92986111111111114</v>
      </c>
      <c r="G4827" s="53">
        <f t="shared" si="75"/>
        <v>2.7777777777777679E-3</v>
      </c>
      <c r="H4827" s="54">
        <v>41803</v>
      </c>
      <c r="I4827" s="55" t="s">
        <v>536</v>
      </c>
      <c r="J4827" s="55">
        <v>320</v>
      </c>
      <c r="K4827" s="55">
        <f>VLOOKUP(J4827,'Validacion reclamo de equipaje'!L:M,2,0)</f>
        <v>179</v>
      </c>
      <c r="L4827" s="55" t="str">
        <f>VLOOKUP(I4827,'Validacion reclamo de equipaje'!H:I,2,0)</f>
        <v>Nacional</v>
      </c>
      <c r="M4827" s="55" t="s">
        <v>615</v>
      </c>
    </row>
    <row r="4828" spans="1:13" x14ac:dyDescent="0.25">
      <c r="A4828">
        <v>2202</v>
      </c>
      <c r="B4828" s="47" t="str">
        <f>VLOOKUP(Tabla6[[#This Row],['# Vuelo]],'Validacion reclamo de equipaje'!P:Q,2,0)</f>
        <v>INTERAVIÓN</v>
      </c>
      <c r="C4828" s="48">
        <v>0.5444444444444444</v>
      </c>
      <c r="D4828" s="48">
        <v>0.55555555555555558</v>
      </c>
      <c r="E4828" s="49">
        <f>'Reclamo de equipaje rediseñado'!$D4828-'Reclamo de equipaje rediseñado'!$C4828</f>
        <v>1.1111111111111183E-2</v>
      </c>
      <c r="F4828" s="48">
        <v>0.56180555555555556</v>
      </c>
      <c r="G4828" s="49">
        <f t="shared" si="75"/>
        <v>6.2499999999999778E-3</v>
      </c>
      <c r="H4828" s="50">
        <v>41805</v>
      </c>
      <c r="I4828" s="51" t="s">
        <v>536</v>
      </c>
      <c r="J4828" s="51">
        <v>320</v>
      </c>
      <c r="K4828" s="51">
        <f>VLOOKUP(J4828,'Validacion reclamo de equipaje'!L:M,2,0)</f>
        <v>179</v>
      </c>
      <c r="L4828" s="51" t="str">
        <f>VLOOKUP(I4828,'Validacion reclamo de equipaje'!H:I,2,0)</f>
        <v>Nacional</v>
      </c>
      <c r="M4828" s="51" t="s">
        <v>615</v>
      </c>
    </row>
    <row r="4829" spans="1:13" x14ac:dyDescent="0.25">
      <c r="A4829">
        <v>2202</v>
      </c>
      <c r="B4829" s="47" t="str">
        <f>VLOOKUP(Tabla6[[#This Row],['# Vuelo]],'Validacion reclamo de equipaje'!P:Q,2,0)</f>
        <v>INTERAVIÓN</v>
      </c>
      <c r="C4829" s="52">
        <v>0.82430555555555562</v>
      </c>
      <c r="D4829" s="52">
        <v>0.83888888888888891</v>
      </c>
      <c r="E4829" s="53">
        <f>'Reclamo de equipaje rediseñado'!$D4829-'Reclamo de equipaje rediseñado'!$C4829</f>
        <v>1.4583333333333282E-2</v>
      </c>
      <c r="F4829" s="52">
        <v>0.85486111111111107</v>
      </c>
      <c r="G4829" s="53">
        <f t="shared" si="75"/>
        <v>1.5972222222222165E-2</v>
      </c>
      <c r="H4829" s="54">
        <v>41806</v>
      </c>
      <c r="I4829" s="55" t="s">
        <v>536</v>
      </c>
      <c r="J4829" s="55">
        <v>320</v>
      </c>
      <c r="K4829" s="55">
        <f>VLOOKUP(J4829,'Validacion reclamo de equipaje'!L:M,2,0)</f>
        <v>179</v>
      </c>
      <c r="L4829" s="55" t="str">
        <f>VLOOKUP(I4829,'Validacion reclamo de equipaje'!H:I,2,0)</f>
        <v>Nacional</v>
      </c>
      <c r="M4829" s="55" t="s">
        <v>615</v>
      </c>
    </row>
    <row r="4830" spans="1:13" x14ac:dyDescent="0.25">
      <c r="A4830">
        <v>2202</v>
      </c>
      <c r="B4830" s="47" t="str">
        <f>VLOOKUP(Tabla6[[#This Row],['# Vuelo]],'Validacion reclamo de equipaje'!P:Q,2,0)</f>
        <v>INTERAVIÓN</v>
      </c>
      <c r="C4830" s="48">
        <v>0.7368055555555556</v>
      </c>
      <c r="D4830" s="48">
        <v>0.74583333333333324</v>
      </c>
      <c r="E4830" s="49">
        <f>'Reclamo de equipaje rediseñado'!$D4830-'Reclamo de equipaje rediseñado'!$C4830</f>
        <v>9.0277777777776347E-3</v>
      </c>
      <c r="F4830" s="48">
        <v>0.76458333333333339</v>
      </c>
      <c r="G4830" s="49">
        <f t="shared" si="75"/>
        <v>1.8750000000000155E-2</v>
      </c>
      <c r="H4830" s="50">
        <v>41807</v>
      </c>
      <c r="I4830" s="51" t="s">
        <v>536</v>
      </c>
      <c r="J4830" s="51">
        <v>320</v>
      </c>
      <c r="K4830" s="51">
        <f>VLOOKUP(J4830,'Validacion reclamo de equipaje'!L:M,2,0)</f>
        <v>179</v>
      </c>
      <c r="L4830" s="51" t="str">
        <f>VLOOKUP(I4830,'Validacion reclamo de equipaje'!H:I,2,0)</f>
        <v>Nacional</v>
      </c>
      <c r="M4830" s="51" t="s">
        <v>615</v>
      </c>
    </row>
    <row r="4831" spans="1:13" x14ac:dyDescent="0.25">
      <c r="A4831">
        <v>2202</v>
      </c>
      <c r="B4831" s="47" t="str">
        <f>VLOOKUP(Tabla6[[#This Row],['# Vuelo]],'Validacion reclamo de equipaje'!P:Q,2,0)</f>
        <v>INTERAVIÓN</v>
      </c>
      <c r="C4831" s="52">
        <v>0.5444444444444444</v>
      </c>
      <c r="D4831" s="52">
        <v>0.55555555555555558</v>
      </c>
      <c r="E4831" s="53">
        <f>'Reclamo de equipaje rediseñado'!$D4831-'Reclamo de equipaje rediseñado'!$C4831</f>
        <v>1.1111111111111183E-2</v>
      </c>
      <c r="F4831" s="52">
        <v>0.5625</v>
      </c>
      <c r="G4831" s="53">
        <f t="shared" si="75"/>
        <v>6.9444444444444198E-3</v>
      </c>
      <c r="H4831" s="54">
        <v>41808</v>
      </c>
      <c r="I4831" s="55" t="s">
        <v>536</v>
      </c>
      <c r="J4831" s="55">
        <v>320</v>
      </c>
      <c r="K4831" s="55">
        <f>VLOOKUP(J4831,'Validacion reclamo de equipaje'!L:M,2,0)</f>
        <v>179</v>
      </c>
      <c r="L4831" s="55" t="str">
        <f>VLOOKUP(I4831,'Validacion reclamo de equipaje'!H:I,2,0)</f>
        <v>Nacional</v>
      </c>
      <c r="M4831" s="55" t="s">
        <v>615</v>
      </c>
    </row>
    <row r="4832" spans="1:13" x14ac:dyDescent="0.25">
      <c r="A4832">
        <v>2202</v>
      </c>
      <c r="B4832" s="47" t="str">
        <f>VLOOKUP(Tabla6[[#This Row],['# Vuelo]],'Validacion reclamo de equipaje'!P:Q,2,0)</f>
        <v>INTERAVIÓN</v>
      </c>
      <c r="C4832" s="48">
        <v>0.55138888888888882</v>
      </c>
      <c r="D4832" s="48">
        <v>0.55694444444444446</v>
      </c>
      <c r="E4832" s="49">
        <f>'Reclamo de equipaje rediseñado'!$D4832-'Reclamo de equipaje rediseñado'!$C4832</f>
        <v>5.5555555555556468E-3</v>
      </c>
      <c r="F4832" s="48">
        <v>0.56180555555555556</v>
      </c>
      <c r="G4832" s="49">
        <f t="shared" si="75"/>
        <v>4.8611111111110938E-3</v>
      </c>
      <c r="H4832" s="50">
        <v>41809</v>
      </c>
      <c r="I4832" s="51" t="s">
        <v>536</v>
      </c>
      <c r="J4832" s="51">
        <v>320</v>
      </c>
      <c r="K4832" s="51">
        <f>VLOOKUP(J4832,'Validacion reclamo de equipaje'!L:M,2,0)</f>
        <v>179</v>
      </c>
      <c r="L4832" s="51" t="str">
        <f>VLOOKUP(I4832,'Validacion reclamo de equipaje'!H:I,2,0)</f>
        <v>Nacional</v>
      </c>
      <c r="M4832" s="51" t="s">
        <v>615</v>
      </c>
    </row>
    <row r="4833" spans="1:13" x14ac:dyDescent="0.25">
      <c r="A4833">
        <v>2202</v>
      </c>
      <c r="B4833" s="47" t="str">
        <f>VLOOKUP(Tabla6[[#This Row],['# Vuelo]],'Validacion reclamo de equipaje'!P:Q,2,0)</f>
        <v>INTERAVIÓN</v>
      </c>
      <c r="C4833" s="52">
        <v>0.55972222222222223</v>
      </c>
      <c r="D4833" s="52">
        <v>0.5625</v>
      </c>
      <c r="E4833" s="53">
        <f>'Reclamo de equipaje rediseñado'!$D4833-'Reclamo de equipaje rediseñado'!$C4833</f>
        <v>2.7777777777777679E-3</v>
      </c>
      <c r="F4833" s="52">
        <v>0.56666666666666665</v>
      </c>
      <c r="G4833" s="53">
        <f t="shared" si="75"/>
        <v>4.1666666666666519E-3</v>
      </c>
      <c r="H4833" s="54">
        <v>41810</v>
      </c>
      <c r="I4833" s="55" t="s">
        <v>536</v>
      </c>
      <c r="J4833" s="55">
        <v>320</v>
      </c>
      <c r="K4833" s="55">
        <f>VLOOKUP(J4833,'Validacion reclamo de equipaje'!L:M,2,0)</f>
        <v>179</v>
      </c>
      <c r="L4833" s="55" t="str">
        <f>VLOOKUP(I4833,'Validacion reclamo de equipaje'!H:I,2,0)</f>
        <v>Nacional</v>
      </c>
      <c r="M4833" s="55" t="s">
        <v>615</v>
      </c>
    </row>
    <row r="4834" spans="1:13" x14ac:dyDescent="0.25">
      <c r="A4834">
        <v>2202</v>
      </c>
      <c r="B4834" s="47" t="str">
        <f>VLOOKUP(Tabla6[[#This Row],['# Vuelo]],'Validacion reclamo de equipaje'!P:Q,2,0)</f>
        <v>INTERAVIÓN</v>
      </c>
      <c r="C4834" s="48">
        <v>0.55277777777777781</v>
      </c>
      <c r="D4834" s="48">
        <v>0.55694444444444446</v>
      </c>
      <c r="E4834" s="49">
        <f>'Reclamo de equipaje rediseñado'!$D4834-'Reclamo de equipaje rediseñado'!$C4834</f>
        <v>4.1666666666666519E-3</v>
      </c>
      <c r="F4834" s="48">
        <v>0.56041666666666667</v>
      </c>
      <c r="G4834" s="49">
        <f t="shared" si="75"/>
        <v>3.4722222222222099E-3</v>
      </c>
      <c r="H4834" s="50">
        <v>41813</v>
      </c>
      <c r="I4834" s="51" t="s">
        <v>536</v>
      </c>
      <c r="J4834" s="51">
        <v>320</v>
      </c>
      <c r="K4834" s="51">
        <f>VLOOKUP(J4834,'Validacion reclamo de equipaje'!L:M,2,0)</f>
        <v>179</v>
      </c>
      <c r="L4834" s="51" t="str">
        <f>VLOOKUP(I4834,'Validacion reclamo de equipaje'!H:I,2,0)</f>
        <v>Nacional</v>
      </c>
      <c r="M4834" s="51" t="s">
        <v>615</v>
      </c>
    </row>
    <row r="4835" spans="1:13" x14ac:dyDescent="0.25">
      <c r="A4835">
        <v>2202</v>
      </c>
      <c r="B4835" s="47" t="str">
        <f>VLOOKUP(Tabla6[[#This Row],['# Vuelo]],'Validacion reclamo de equipaje'!P:Q,2,0)</f>
        <v>INTERAVIÓN</v>
      </c>
      <c r="C4835" s="52">
        <v>0.54305555555555551</v>
      </c>
      <c r="D4835" s="52">
        <v>0.55208333333333337</v>
      </c>
      <c r="E4835" s="53">
        <f>'Reclamo de equipaje rediseñado'!$D4835-'Reclamo de equipaje rediseñado'!$C4835</f>
        <v>9.0277777777778567E-3</v>
      </c>
      <c r="F4835" s="52">
        <v>0.55902777777777779</v>
      </c>
      <c r="G4835" s="53">
        <f t="shared" si="75"/>
        <v>6.9444444444444198E-3</v>
      </c>
      <c r="H4835" s="54">
        <v>41812</v>
      </c>
      <c r="I4835" s="55" t="s">
        <v>536</v>
      </c>
      <c r="J4835" s="55">
        <v>320</v>
      </c>
      <c r="K4835" s="55">
        <f>VLOOKUP(J4835,'Validacion reclamo de equipaje'!L:M,2,0)</f>
        <v>179</v>
      </c>
      <c r="L4835" s="55" t="str">
        <f>VLOOKUP(I4835,'Validacion reclamo de equipaje'!H:I,2,0)</f>
        <v>Nacional</v>
      </c>
      <c r="M4835" s="55" t="s">
        <v>615</v>
      </c>
    </row>
    <row r="4836" spans="1:13" x14ac:dyDescent="0.25">
      <c r="A4836">
        <v>2200</v>
      </c>
      <c r="B4836" s="47" t="str">
        <f>VLOOKUP(Tabla6[[#This Row],['# Vuelo]],'Validacion reclamo de equipaje'!P:Q,2,0)</f>
        <v>INTERAVIÓN</v>
      </c>
      <c r="C4836" s="48">
        <v>0.76250000000000007</v>
      </c>
      <c r="D4836" s="48">
        <v>0.76527777777777783</v>
      </c>
      <c r="E4836" s="49">
        <f>'Reclamo de equipaje rediseñado'!$D4836-'Reclamo de equipaje rediseñado'!$C4836</f>
        <v>2.7777777777777679E-3</v>
      </c>
      <c r="F4836" s="48">
        <v>0.77222222222222225</v>
      </c>
      <c r="G4836" s="49">
        <f t="shared" si="75"/>
        <v>6.9444444444444198E-3</v>
      </c>
      <c r="H4836" s="50">
        <v>41795</v>
      </c>
      <c r="I4836" s="51" t="s">
        <v>536</v>
      </c>
      <c r="J4836" s="51">
        <v>320</v>
      </c>
      <c r="K4836" s="51">
        <f>VLOOKUP(J4836,'Validacion reclamo de equipaje'!L:M,2,0)</f>
        <v>179</v>
      </c>
      <c r="L4836" s="51" t="str">
        <f>VLOOKUP(I4836,'Validacion reclamo de equipaje'!H:I,2,0)</f>
        <v>Nacional</v>
      </c>
      <c r="M4836" s="51" t="s">
        <v>615</v>
      </c>
    </row>
    <row r="4837" spans="1:13" x14ac:dyDescent="0.25">
      <c r="A4837">
        <v>2200</v>
      </c>
      <c r="B4837" s="47" t="str">
        <f>VLOOKUP(Tabla6[[#This Row],['# Vuelo]],'Validacion reclamo de equipaje'!P:Q,2,0)</f>
        <v>INTERAVIÓN</v>
      </c>
      <c r="C4837" s="52">
        <v>0.76388888888888884</v>
      </c>
      <c r="D4837" s="52">
        <v>0.77013888888888893</v>
      </c>
      <c r="E4837" s="53">
        <f>'Reclamo de equipaje rediseñado'!$D4837-'Reclamo de equipaje rediseñado'!$C4837</f>
        <v>6.2500000000000888E-3</v>
      </c>
      <c r="F4837" s="52">
        <v>0.77430555555555547</v>
      </c>
      <c r="G4837" s="53">
        <f t="shared" si="75"/>
        <v>4.1666666666665408E-3</v>
      </c>
      <c r="H4837" s="54">
        <v>41796</v>
      </c>
      <c r="I4837" s="55" t="s">
        <v>536</v>
      </c>
      <c r="J4837" s="55">
        <v>320</v>
      </c>
      <c r="K4837" s="55">
        <f>VLOOKUP(J4837,'Validacion reclamo de equipaje'!L:M,2,0)</f>
        <v>179</v>
      </c>
      <c r="L4837" s="55" t="str">
        <f>VLOOKUP(I4837,'Validacion reclamo de equipaje'!H:I,2,0)</f>
        <v>Nacional</v>
      </c>
      <c r="M4837" s="55" t="s">
        <v>615</v>
      </c>
    </row>
    <row r="4838" spans="1:13" x14ac:dyDescent="0.25">
      <c r="A4838">
        <v>2200</v>
      </c>
      <c r="B4838" s="47" t="str">
        <f>VLOOKUP(Tabla6[[#This Row],['# Vuelo]],'Validacion reclamo de equipaje'!P:Q,2,0)</f>
        <v>INTERAVIÓN</v>
      </c>
      <c r="C4838" s="48">
        <v>0.24444444444444446</v>
      </c>
      <c r="D4838" s="48">
        <v>0.26458333333333334</v>
      </c>
      <c r="E4838" s="49">
        <f>'Reclamo de equipaje rediseñado'!$D4838-'Reclamo de equipaje rediseñado'!$C4838</f>
        <v>2.0138888888888873E-2</v>
      </c>
      <c r="F4838" s="48">
        <v>0.28680555555555554</v>
      </c>
      <c r="G4838" s="49">
        <f t="shared" si="75"/>
        <v>2.2222222222222199E-2</v>
      </c>
      <c r="H4838" s="50">
        <v>41802</v>
      </c>
      <c r="I4838" s="51" t="s">
        <v>536</v>
      </c>
      <c r="J4838" s="51">
        <v>320</v>
      </c>
      <c r="K4838" s="51">
        <f>VLOOKUP(J4838,'Validacion reclamo de equipaje'!L:M,2,0)</f>
        <v>179</v>
      </c>
      <c r="L4838" s="51" t="str">
        <f>VLOOKUP(I4838,'Validacion reclamo de equipaje'!H:I,2,0)</f>
        <v>Nacional</v>
      </c>
      <c r="M4838" s="51" t="s">
        <v>615</v>
      </c>
    </row>
    <row r="4839" spans="1:13" x14ac:dyDescent="0.25">
      <c r="A4839">
        <v>2200</v>
      </c>
      <c r="B4839" s="47" t="str">
        <f>VLOOKUP(Tabla6[[#This Row],['# Vuelo]],'Validacion reclamo de equipaje'!P:Q,2,0)</f>
        <v>INTERAVIÓN</v>
      </c>
      <c r="C4839" s="52">
        <v>0.73541666666666661</v>
      </c>
      <c r="D4839" s="52">
        <v>0.74097222222222225</v>
      </c>
      <c r="E4839" s="53">
        <f>'Reclamo de equipaje rediseñado'!$D4839-'Reclamo de equipaje rediseñado'!$C4839</f>
        <v>5.5555555555556468E-3</v>
      </c>
      <c r="F4839" s="52">
        <v>0.74722222222222223</v>
      </c>
      <c r="G4839" s="53">
        <f t="shared" si="75"/>
        <v>6.2499999999999778E-3</v>
      </c>
      <c r="H4839" s="54">
        <v>41803</v>
      </c>
      <c r="I4839" s="55" t="s">
        <v>536</v>
      </c>
      <c r="J4839" s="55">
        <v>320</v>
      </c>
      <c r="K4839" s="55">
        <f>VLOOKUP(J4839,'Validacion reclamo de equipaje'!L:M,2,0)</f>
        <v>179</v>
      </c>
      <c r="L4839" s="55" t="str">
        <f>VLOOKUP(I4839,'Validacion reclamo de equipaje'!H:I,2,0)</f>
        <v>Nacional</v>
      </c>
      <c r="M4839" s="55" t="s">
        <v>615</v>
      </c>
    </row>
    <row r="4840" spans="1:13" x14ac:dyDescent="0.25">
      <c r="A4840">
        <v>2200</v>
      </c>
      <c r="B4840" s="47" t="str">
        <f>VLOOKUP(Tabla6[[#This Row],['# Vuelo]],'Validacion reclamo de equipaje'!P:Q,2,0)</f>
        <v>INTERAVIÓN</v>
      </c>
      <c r="C4840" s="48">
        <v>0.7583333333333333</v>
      </c>
      <c r="D4840" s="48">
        <v>0.76458333333333339</v>
      </c>
      <c r="E4840" s="49">
        <f>'Reclamo de equipaje rediseñado'!$D4840-'Reclamo de equipaje rediseñado'!$C4840</f>
        <v>6.2500000000000888E-3</v>
      </c>
      <c r="F4840" s="48">
        <v>0.77083333333333337</v>
      </c>
      <c r="G4840" s="49">
        <f t="shared" si="75"/>
        <v>6.2499999999999778E-3</v>
      </c>
      <c r="H4840" s="50">
        <v>41809</v>
      </c>
      <c r="I4840" s="51" t="s">
        <v>536</v>
      </c>
      <c r="J4840" s="51">
        <v>320</v>
      </c>
      <c r="K4840" s="51">
        <f>VLOOKUP(J4840,'Validacion reclamo de equipaje'!L:M,2,0)</f>
        <v>179</v>
      </c>
      <c r="L4840" s="51" t="str">
        <f>VLOOKUP(I4840,'Validacion reclamo de equipaje'!H:I,2,0)</f>
        <v>Nacional</v>
      </c>
      <c r="M4840" s="51" t="s">
        <v>615</v>
      </c>
    </row>
    <row r="4841" spans="1:13" x14ac:dyDescent="0.25">
      <c r="A4841">
        <v>957</v>
      </c>
      <c r="B4841" s="47" t="str">
        <f>VLOOKUP(Tabla6[[#This Row],['# Vuelo]],'Validacion reclamo de equipaje'!P:Q,2,0)</f>
        <v>INTERAVIÓN</v>
      </c>
      <c r="C4841" s="52">
        <v>0.61597222222222225</v>
      </c>
      <c r="D4841" s="52">
        <v>0.62569444444444444</v>
      </c>
      <c r="E4841" s="53">
        <f>'Reclamo de equipaje rediseñado'!$D4841-'Reclamo de equipaje rediseñado'!$C4841</f>
        <v>9.7222222222221877E-3</v>
      </c>
      <c r="F4841" s="52">
        <v>0.6479166666666667</v>
      </c>
      <c r="G4841" s="53">
        <f t="shared" si="75"/>
        <v>2.2222222222222254E-2</v>
      </c>
      <c r="H4841" s="54">
        <v>41791</v>
      </c>
      <c r="I4841" s="55" t="s">
        <v>547</v>
      </c>
      <c r="J4841" s="55">
        <v>320</v>
      </c>
      <c r="K4841" s="55">
        <f>VLOOKUP(J4841,'Validacion reclamo de equipaje'!L:M,2,0)</f>
        <v>179</v>
      </c>
      <c r="L4841" s="55" t="str">
        <f>VLOOKUP(I4841,'Validacion reclamo de equipaje'!H:I,2,0)</f>
        <v>Nacional</v>
      </c>
      <c r="M4841" s="55" t="s">
        <v>615</v>
      </c>
    </row>
    <row r="4842" spans="1:13" x14ac:dyDescent="0.25">
      <c r="A4842">
        <v>957</v>
      </c>
      <c r="B4842" s="47" t="str">
        <f>VLOOKUP(Tabla6[[#This Row],['# Vuelo]],'Validacion reclamo de equipaje'!P:Q,2,0)</f>
        <v>INTERAVIÓN</v>
      </c>
      <c r="C4842" s="48">
        <v>0.63541666666666663</v>
      </c>
      <c r="D4842" s="48">
        <v>0.64236111111111105</v>
      </c>
      <c r="E4842" s="49">
        <f>'Reclamo de equipaje rediseñado'!$D4842-'Reclamo de equipaje rediseñado'!$C4842</f>
        <v>6.9444444444444198E-3</v>
      </c>
      <c r="F4842" s="48">
        <v>0.66666666666666663</v>
      </c>
      <c r="G4842" s="49">
        <f t="shared" si="75"/>
        <v>2.430555555555558E-2</v>
      </c>
      <c r="H4842" s="50">
        <v>41795</v>
      </c>
      <c r="I4842" s="51" t="s">
        <v>547</v>
      </c>
      <c r="J4842" s="51">
        <v>320</v>
      </c>
      <c r="K4842" s="51">
        <f>VLOOKUP(J4842,'Validacion reclamo de equipaje'!L:M,2,0)</f>
        <v>179</v>
      </c>
      <c r="L4842" s="51" t="str">
        <f>VLOOKUP(I4842,'Validacion reclamo de equipaje'!H:I,2,0)</f>
        <v>Nacional</v>
      </c>
      <c r="M4842" s="51" t="s">
        <v>615</v>
      </c>
    </row>
    <row r="4843" spans="1:13" x14ac:dyDescent="0.25">
      <c r="A4843">
        <v>957</v>
      </c>
      <c r="B4843" s="47" t="str">
        <f>VLOOKUP(Tabla6[[#This Row],['# Vuelo]],'Validacion reclamo de equipaje'!P:Q,2,0)</f>
        <v>INTERAVIÓN</v>
      </c>
      <c r="C4843" s="52">
        <v>0.62986111111111109</v>
      </c>
      <c r="D4843" s="52">
        <v>0.63750000000000007</v>
      </c>
      <c r="E4843" s="53">
        <f>'Reclamo de equipaje rediseñado'!$D4843-'Reclamo de equipaje rediseñado'!$C4843</f>
        <v>7.6388888888889728E-3</v>
      </c>
      <c r="F4843" s="52">
        <v>0.66527777777777775</v>
      </c>
      <c r="G4843" s="53">
        <f t="shared" si="75"/>
        <v>2.7777777777777679E-2</v>
      </c>
      <c r="H4843" s="54">
        <v>41798</v>
      </c>
      <c r="I4843" s="55" t="s">
        <v>547</v>
      </c>
      <c r="J4843" s="55">
        <v>320</v>
      </c>
      <c r="K4843" s="55">
        <f>VLOOKUP(J4843,'Validacion reclamo de equipaje'!L:M,2,0)</f>
        <v>179</v>
      </c>
      <c r="L4843" s="55" t="str">
        <f>VLOOKUP(I4843,'Validacion reclamo de equipaje'!H:I,2,0)</f>
        <v>Nacional</v>
      </c>
      <c r="M4843" s="55" t="s">
        <v>615</v>
      </c>
    </row>
    <row r="4844" spans="1:13" x14ac:dyDescent="0.25">
      <c r="A4844">
        <v>957</v>
      </c>
      <c r="B4844" s="47" t="str">
        <f>VLOOKUP(Tabla6[[#This Row],['# Vuelo]],'Validacion reclamo de equipaje'!P:Q,2,0)</f>
        <v>INTERAVIÓN</v>
      </c>
      <c r="C4844" s="48">
        <v>0.84652777777777777</v>
      </c>
      <c r="D4844" s="48">
        <v>0.86111111111111116</v>
      </c>
      <c r="E4844" s="49">
        <f>'Reclamo de equipaje rediseñado'!$D4844-'Reclamo de equipaje rediseñado'!$C4844</f>
        <v>1.4583333333333393E-2</v>
      </c>
      <c r="F4844" s="48">
        <v>0.86805555555555547</v>
      </c>
      <c r="G4844" s="49">
        <f t="shared" si="75"/>
        <v>6.9444444444443088E-3</v>
      </c>
      <c r="H4844" s="50">
        <v>41802</v>
      </c>
      <c r="I4844" s="51" t="s">
        <v>547</v>
      </c>
      <c r="J4844" s="51">
        <v>320</v>
      </c>
      <c r="K4844" s="51">
        <f>VLOOKUP(J4844,'Validacion reclamo de equipaje'!L:M,2,0)</f>
        <v>179</v>
      </c>
      <c r="L4844" s="51" t="str">
        <f>VLOOKUP(I4844,'Validacion reclamo de equipaje'!H:I,2,0)</f>
        <v>Nacional</v>
      </c>
      <c r="M4844" s="51" t="s">
        <v>615</v>
      </c>
    </row>
    <row r="4845" spans="1:13" x14ac:dyDescent="0.25">
      <c r="A4845">
        <v>957</v>
      </c>
      <c r="B4845" s="47" t="str">
        <f>VLOOKUP(Tabla6[[#This Row],['# Vuelo]],'Validacion reclamo de equipaje'!P:Q,2,0)</f>
        <v>INTERAVIÓN</v>
      </c>
      <c r="C4845" s="52">
        <v>0.45555555555555555</v>
      </c>
      <c r="D4845" s="52">
        <v>0.46319444444444446</v>
      </c>
      <c r="E4845" s="53">
        <f>'Reclamo de equipaje rediseñado'!$D4845-'Reclamo de equipaje rediseñado'!$C4845</f>
        <v>7.6388888888889173E-3</v>
      </c>
      <c r="F4845" s="52">
        <v>0.47986111111111113</v>
      </c>
      <c r="G4845" s="53">
        <f t="shared" si="75"/>
        <v>1.6666666666666663E-2</v>
      </c>
      <c r="H4845" s="54">
        <v>41805</v>
      </c>
      <c r="I4845" s="55" t="s">
        <v>547</v>
      </c>
      <c r="J4845" s="55">
        <v>320</v>
      </c>
      <c r="K4845" s="55">
        <f>VLOOKUP(J4845,'Validacion reclamo de equipaje'!L:M,2,0)</f>
        <v>179</v>
      </c>
      <c r="L4845" s="55" t="str">
        <f>VLOOKUP(I4845,'Validacion reclamo de equipaje'!H:I,2,0)</f>
        <v>Nacional</v>
      </c>
      <c r="M4845" s="55" t="s">
        <v>615</v>
      </c>
    </row>
    <row r="4846" spans="1:13" x14ac:dyDescent="0.25">
      <c r="A4846">
        <v>957</v>
      </c>
      <c r="B4846" s="47" t="str">
        <f>VLOOKUP(Tabla6[[#This Row],['# Vuelo]],'Validacion reclamo de equipaje'!P:Q,2,0)</f>
        <v>INTERAVIÓN</v>
      </c>
      <c r="C4846" s="48">
        <v>0.63402777777777775</v>
      </c>
      <c r="D4846" s="48">
        <v>0.64652777777777781</v>
      </c>
      <c r="E4846" s="49">
        <f>'Reclamo de equipaje rediseñado'!$D4846-'Reclamo de equipaje rediseñado'!$C4846</f>
        <v>1.2500000000000067E-2</v>
      </c>
      <c r="F4846" s="48">
        <v>0.65972222222222221</v>
      </c>
      <c r="G4846" s="49">
        <f t="shared" si="75"/>
        <v>1.3194444444444398E-2</v>
      </c>
      <c r="H4846" s="50">
        <v>41809</v>
      </c>
      <c r="I4846" s="51" t="s">
        <v>547</v>
      </c>
      <c r="J4846" s="51">
        <v>320</v>
      </c>
      <c r="K4846" s="51">
        <f>VLOOKUP(J4846,'Validacion reclamo de equipaje'!L:M,2,0)</f>
        <v>179</v>
      </c>
      <c r="L4846" s="51" t="str">
        <f>VLOOKUP(I4846,'Validacion reclamo de equipaje'!H:I,2,0)</f>
        <v>Nacional</v>
      </c>
      <c r="M4846" s="51" t="s">
        <v>615</v>
      </c>
    </row>
    <row r="4847" spans="1:13" x14ac:dyDescent="0.25">
      <c r="A4847">
        <v>957</v>
      </c>
      <c r="B4847" s="47" t="str">
        <f>VLOOKUP(Tabla6[[#This Row],['# Vuelo]],'Validacion reclamo de equipaje'!P:Q,2,0)</f>
        <v>INTERAVIÓN</v>
      </c>
      <c r="C4847" s="52">
        <v>0.63472222222222219</v>
      </c>
      <c r="D4847" s="52">
        <v>0.64236111111111105</v>
      </c>
      <c r="E4847" s="53">
        <f>'Reclamo de equipaje rediseñado'!$D4847-'Reclamo de equipaje rediseñado'!$C4847</f>
        <v>7.6388888888888618E-3</v>
      </c>
      <c r="F4847" s="52">
        <v>0.65972222222222221</v>
      </c>
      <c r="G4847" s="53">
        <f t="shared" si="75"/>
        <v>1.736111111111116E-2</v>
      </c>
      <c r="H4847" s="54">
        <v>41812</v>
      </c>
      <c r="I4847" s="55" t="s">
        <v>547</v>
      </c>
      <c r="J4847" s="55">
        <v>320</v>
      </c>
      <c r="K4847" s="55">
        <f>VLOOKUP(J4847,'Validacion reclamo de equipaje'!L:M,2,0)</f>
        <v>179</v>
      </c>
      <c r="L4847" s="55" t="str">
        <f>VLOOKUP(I4847,'Validacion reclamo de equipaje'!H:I,2,0)</f>
        <v>Nacional</v>
      </c>
      <c r="M4847" s="55" t="s">
        <v>615</v>
      </c>
    </row>
    <row r="4848" spans="1:13" x14ac:dyDescent="0.25">
      <c r="A4848">
        <v>913</v>
      </c>
      <c r="B4848" s="47" t="str">
        <f>VLOOKUP(Tabla6[[#This Row],['# Vuelo]],'Validacion reclamo de equipaje'!P:Q,2,0)</f>
        <v>BARATA Y MORADA</v>
      </c>
      <c r="C4848" s="48">
        <v>0.26250000000000001</v>
      </c>
      <c r="D4848" s="48">
        <v>0.27499999999999997</v>
      </c>
      <c r="E4848" s="49">
        <f>'Reclamo de equipaje rediseñado'!$D4848-'Reclamo de equipaje rediseñado'!$C4848</f>
        <v>1.2499999999999956E-2</v>
      </c>
      <c r="F4848" s="48">
        <v>0.29583333333333334</v>
      </c>
      <c r="G4848" s="49">
        <f t="shared" si="75"/>
        <v>2.083333333333337E-2</v>
      </c>
      <c r="H4848" s="50">
        <v>41806</v>
      </c>
      <c r="I4848" s="51" t="s">
        <v>547</v>
      </c>
      <c r="J4848" s="51" t="s">
        <v>540</v>
      </c>
      <c r="K4848" s="51" t="e">
        <f>VLOOKUP(J4848,'Validacion reclamo de equipaje'!L:M,2,0)</f>
        <v>#N/A</v>
      </c>
      <c r="L4848" s="51" t="str">
        <f>VLOOKUP(I4848,'Validacion reclamo de equipaje'!H:I,2,0)</f>
        <v>Nacional</v>
      </c>
      <c r="M4848" s="51" t="s">
        <v>615</v>
      </c>
    </row>
    <row r="4849" spans="1:13" x14ac:dyDescent="0.25">
      <c r="A4849">
        <v>810</v>
      </c>
      <c r="B4849" s="47" t="str">
        <f>VLOOKUP(Tabla6[[#This Row],['# Vuelo]],'Validacion reclamo de equipaje'!P:Q,2,0)</f>
        <v>INTERAVIÓN</v>
      </c>
      <c r="C4849" s="52">
        <v>0.61527777777777781</v>
      </c>
      <c r="D4849" s="52">
        <v>0.62291666666666667</v>
      </c>
      <c r="E4849" s="53">
        <f>'Reclamo de equipaje rediseñado'!$D4849-'Reclamo de equipaje rediseñado'!$C4849</f>
        <v>7.6388888888888618E-3</v>
      </c>
      <c r="F4849" s="52">
        <v>0.6333333333333333</v>
      </c>
      <c r="G4849" s="53">
        <f t="shared" si="75"/>
        <v>1.041666666666663E-2</v>
      </c>
      <c r="H4849" s="54">
        <v>41792</v>
      </c>
      <c r="I4849" s="55" t="s">
        <v>603</v>
      </c>
      <c r="J4849" s="55">
        <v>320</v>
      </c>
      <c r="K4849" s="55">
        <f>VLOOKUP(J4849,'Validacion reclamo de equipaje'!L:M,2,0)</f>
        <v>179</v>
      </c>
      <c r="L4849" s="55" t="str">
        <f>VLOOKUP(I4849,'Validacion reclamo de equipaje'!H:I,2,0)</f>
        <v>Nacional</v>
      </c>
      <c r="M4849" s="55" t="s">
        <v>615</v>
      </c>
    </row>
    <row r="4850" spans="1:13" x14ac:dyDescent="0.25">
      <c r="A4850">
        <v>810</v>
      </c>
      <c r="B4850" s="47" t="str">
        <f>VLOOKUP(Tabla6[[#This Row],['# Vuelo]],'Validacion reclamo de equipaje'!P:Q,2,0)</f>
        <v>INTERAVIÓN</v>
      </c>
      <c r="C4850" s="48">
        <v>0.61111111111111105</v>
      </c>
      <c r="D4850" s="48">
        <v>0.6166666666666667</v>
      </c>
      <c r="E4850" s="49">
        <f>'Reclamo de equipaje rediseñado'!$D4850-'Reclamo de equipaje rediseñado'!$C4850</f>
        <v>5.5555555555556468E-3</v>
      </c>
      <c r="F4850" s="48">
        <v>0.62361111111111112</v>
      </c>
      <c r="G4850" s="49">
        <f t="shared" si="75"/>
        <v>6.9444444444444198E-3</v>
      </c>
      <c r="H4850" s="50">
        <v>41795</v>
      </c>
      <c r="I4850" s="51" t="s">
        <v>603</v>
      </c>
      <c r="J4850" s="51">
        <v>320</v>
      </c>
      <c r="K4850" s="51">
        <f>VLOOKUP(J4850,'Validacion reclamo de equipaje'!L:M,2,0)</f>
        <v>179</v>
      </c>
      <c r="L4850" s="51" t="str">
        <f>VLOOKUP(I4850,'Validacion reclamo de equipaje'!H:I,2,0)</f>
        <v>Nacional</v>
      </c>
      <c r="M4850" s="51" t="s">
        <v>615</v>
      </c>
    </row>
    <row r="4851" spans="1:13" x14ac:dyDescent="0.25">
      <c r="A4851">
        <v>810</v>
      </c>
      <c r="B4851" s="47" t="str">
        <f>VLOOKUP(Tabla6[[#This Row],['# Vuelo]],'Validacion reclamo de equipaje'!P:Q,2,0)</f>
        <v>INTERAVIÓN</v>
      </c>
      <c r="C4851" s="52">
        <v>0.60555555555555551</v>
      </c>
      <c r="D4851" s="52">
        <v>0.61249999999999993</v>
      </c>
      <c r="E4851" s="53">
        <f>'Reclamo de equipaje rediseñado'!$D4851-'Reclamo de equipaje rediseñado'!$C4851</f>
        <v>6.9444444444444198E-3</v>
      </c>
      <c r="F4851" s="52">
        <v>0.61805555555555558</v>
      </c>
      <c r="G4851" s="53">
        <f t="shared" si="75"/>
        <v>5.5555555555556468E-3</v>
      </c>
      <c r="H4851" s="54">
        <v>41796</v>
      </c>
      <c r="I4851" s="55" t="s">
        <v>603</v>
      </c>
      <c r="J4851" s="55">
        <v>320</v>
      </c>
      <c r="K4851" s="55">
        <f>VLOOKUP(J4851,'Validacion reclamo de equipaje'!L:M,2,0)</f>
        <v>179</v>
      </c>
      <c r="L4851" s="55" t="str">
        <f>VLOOKUP(I4851,'Validacion reclamo de equipaje'!H:I,2,0)</f>
        <v>Nacional</v>
      </c>
      <c r="M4851" s="55" t="s">
        <v>615</v>
      </c>
    </row>
    <row r="4852" spans="1:13" x14ac:dyDescent="0.25">
      <c r="A4852">
        <v>810</v>
      </c>
      <c r="B4852" s="47" t="str">
        <f>VLOOKUP(Tabla6[[#This Row],['# Vuelo]],'Validacion reclamo de equipaje'!P:Q,2,0)</f>
        <v>INTERAVIÓN</v>
      </c>
      <c r="C4852" s="48">
        <v>0.61041666666666672</v>
      </c>
      <c r="D4852" s="48">
        <v>0.61249999999999993</v>
      </c>
      <c r="E4852" s="49">
        <f>'Reclamo de equipaje rediseñado'!$D4852-'Reclamo de equipaje rediseñado'!$C4852</f>
        <v>2.0833333333332149E-3</v>
      </c>
      <c r="F4852" s="48">
        <v>0.62013888888888891</v>
      </c>
      <c r="G4852" s="49">
        <f t="shared" si="75"/>
        <v>7.6388888888889728E-3</v>
      </c>
      <c r="H4852" s="50">
        <v>41799</v>
      </c>
      <c r="I4852" s="51" t="s">
        <v>603</v>
      </c>
      <c r="J4852" s="51">
        <v>320</v>
      </c>
      <c r="K4852" s="51">
        <f>VLOOKUP(J4852,'Validacion reclamo de equipaje'!L:M,2,0)</f>
        <v>179</v>
      </c>
      <c r="L4852" s="51" t="str">
        <f>VLOOKUP(I4852,'Validacion reclamo de equipaje'!H:I,2,0)</f>
        <v>Nacional</v>
      </c>
      <c r="M4852" s="51" t="s">
        <v>615</v>
      </c>
    </row>
    <row r="4853" spans="1:13" x14ac:dyDescent="0.25">
      <c r="A4853">
        <v>810</v>
      </c>
      <c r="B4853" s="47" t="str">
        <f>VLOOKUP(Tabla6[[#This Row],['# Vuelo]],'Validacion reclamo de equipaje'!P:Q,2,0)</f>
        <v>INTERAVIÓN</v>
      </c>
      <c r="C4853" s="52">
        <v>1.0097222222222222</v>
      </c>
      <c r="D4853" s="52">
        <v>1.0159722222222223</v>
      </c>
      <c r="E4853" s="53">
        <f>'Reclamo de equipaje rediseñado'!$D4853-'Reclamo de equipaje rediseñado'!$C4853</f>
        <v>6.2500000000000888E-3</v>
      </c>
      <c r="F4853" s="52">
        <v>1.0229166666666667</v>
      </c>
      <c r="G4853" s="53">
        <f t="shared" si="75"/>
        <v>6.9444444444444198E-3</v>
      </c>
      <c r="H4853" s="54">
        <v>41802</v>
      </c>
      <c r="I4853" s="55" t="s">
        <v>603</v>
      </c>
      <c r="J4853" s="55">
        <v>320</v>
      </c>
      <c r="K4853" s="55">
        <f>VLOOKUP(J4853,'Validacion reclamo de equipaje'!L:M,2,0)</f>
        <v>179</v>
      </c>
      <c r="L4853" s="55" t="str">
        <f>VLOOKUP(I4853,'Validacion reclamo de equipaje'!H:I,2,0)</f>
        <v>Nacional</v>
      </c>
      <c r="M4853" s="55" t="s">
        <v>615</v>
      </c>
    </row>
    <row r="4854" spans="1:13" x14ac:dyDescent="0.25">
      <c r="A4854">
        <v>810</v>
      </c>
      <c r="B4854" s="47" t="str">
        <f>VLOOKUP(Tabla6[[#This Row],['# Vuelo]],'Validacion reclamo de equipaje'!P:Q,2,0)</f>
        <v>INTERAVIÓN</v>
      </c>
      <c r="C4854" s="48">
        <v>0.70138888888888884</v>
      </c>
      <c r="D4854" s="48">
        <v>0.70208333333333339</v>
      </c>
      <c r="E4854" s="49">
        <f>'Reclamo de equipaje rediseñado'!$D4854-'Reclamo de equipaje rediseñado'!$C4854</f>
        <v>6.94444444444553E-4</v>
      </c>
      <c r="F4854" s="48">
        <v>0.7055555555555556</v>
      </c>
      <c r="G4854" s="49">
        <f t="shared" si="75"/>
        <v>3.4722222222222099E-3</v>
      </c>
      <c r="H4854" s="50">
        <v>41803</v>
      </c>
      <c r="I4854" s="51" t="s">
        <v>603</v>
      </c>
      <c r="J4854" s="51">
        <v>320</v>
      </c>
      <c r="K4854" s="51">
        <f>VLOOKUP(J4854,'Validacion reclamo de equipaje'!L:M,2,0)</f>
        <v>179</v>
      </c>
      <c r="L4854" s="51" t="str">
        <f>VLOOKUP(I4854,'Validacion reclamo de equipaje'!H:I,2,0)</f>
        <v>Nacional</v>
      </c>
      <c r="M4854" s="51" t="s">
        <v>615</v>
      </c>
    </row>
    <row r="4855" spans="1:13" x14ac:dyDescent="0.25">
      <c r="A4855">
        <v>810</v>
      </c>
      <c r="B4855" s="47" t="str">
        <f>VLOOKUP(Tabla6[[#This Row],['# Vuelo]],'Validacion reclamo de equipaje'!P:Q,2,0)</f>
        <v>INTERAVIÓN</v>
      </c>
      <c r="C4855" s="52">
        <v>0.70416666666666661</v>
      </c>
      <c r="D4855" s="52">
        <v>0.71111111111111114</v>
      </c>
      <c r="E4855" s="53">
        <f>'Reclamo de equipaje rediseñado'!$D4855-'Reclamo de equipaje rediseñado'!$C4855</f>
        <v>6.9444444444445308E-3</v>
      </c>
      <c r="F4855" s="52">
        <v>0.71875</v>
      </c>
      <c r="G4855" s="53">
        <f t="shared" si="75"/>
        <v>7.6388888888888618E-3</v>
      </c>
      <c r="H4855" s="54">
        <v>41805</v>
      </c>
      <c r="I4855" s="55" t="s">
        <v>603</v>
      </c>
      <c r="J4855" s="55">
        <v>320</v>
      </c>
      <c r="K4855" s="55">
        <f>VLOOKUP(J4855,'Validacion reclamo de equipaje'!L:M,2,0)</f>
        <v>179</v>
      </c>
      <c r="L4855" s="55" t="str">
        <f>VLOOKUP(I4855,'Validacion reclamo de equipaje'!H:I,2,0)</f>
        <v>Nacional</v>
      </c>
      <c r="M4855" s="55" t="s">
        <v>615</v>
      </c>
    </row>
    <row r="4856" spans="1:13" x14ac:dyDescent="0.25">
      <c r="A4856">
        <v>810</v>
      </c>
      <c r="B4856" s="47" t="str">
        <f>VLOOKUP(Tabla6[[#This Row],['# Vuelo]],'Validacion reclamo de equipaje'!P:Q,2,0)</f>
        <v>INTERAVIÓN</v>
      </c>
      <c r="C4856" s="48">
        <v>0.76736111111111116</v>
      </c>
      <c r="D4856" s="48">
        <v>0.77777777777777779</v>
      </c>
      <c r="E4856" s="49">
        <f>'Reclamo de equipaje rediseñado'!$D4856-'Reclamo de equipaje rediseñado'!$C4856</f>
        <v>1.041666666666663E-2</v>
      </c>
      <c r="F4856" s="48">
        <v>0.79166666666666663</v>
      </c>
      <c r="G4856" s="49">
        <f t="shared" si="75"/>
        <v>1.388888888888884E-2</v>
      </c>
      <c r="H4856" s="50">
        <v>41806</v>
      </c>
      <c r="I4856" s="51" t="s">
        <v>603</v>
      </c>
      <c r="J4856" s="51">
        <v>320</v>
      </c>
      <c r="K4856" s="51">
        <f>VLOOKUP(J4856,'Validacion reclamo de equipaje'!L:M,2,0)</f>
        <v>179</v>
      </c>
      <c r="L4856" s="51" t="str">
        <f>VLOOKUP(I4856,'Validacion reclamo de equipaje'!H:I,2,0)</f>
        <v>Nacional</v>
      </c>
      <c r="M4856" s="51" t="s">
        <v>615</v>
      </c>
    </row>
    <row r="4857" spans="1:13" x14ac:dyDescent="0.25">
      <c r="A4857">
        <v>810</v>
      </c>
      <c r="B4857" s="47" t="str">
        <f>VLOOKUP(Tabla6[[#This Row],['# Vuelo]],'Validacion reclamo de equipaje'!P:Q,2,0)</f>
        <v>INTERAVIÓN</v>
      </c>
      <c r="C4857" s="52">
        <v>0.61249999999999993</v>
      </c>
      <c r="D4857" s="52">
        <v>0.62291666666666667</v>
      </c>
      <c r="E4857" s="53">
        <f>'Reclamo de equipaje rediseñado'!$D4857-'Reclamo de equipaje rediseñado'!$C4857</f>
        <v>1.0416666666666741E-2</v>
      </c>
      <c r="F4857" s="52">
        <v>0.62986111111111109</v>
      </c>
      <c r="G4857" s="53">
        <f t="shared" si="75"/>
        <v>6.9444444444444198E-3</v>
      </c>
      <c r="H4857" s="54">
        <v>41809</v>
      </c>
      <c r="I4857" s="55" t="s">
        <v>603</v>
      </c>
      <c r="J4857" s="55">
        <v>320</v>
      </c>
      <c r="K4857" s="55">
        <f>VLOOKUP(J4857,'Validacion reclamo de equipaje'!L:M,2,0)</f>
        <v>179</v>
      </c>
      <c r="L4857" s="55" t="str">
        <f>VLOOKUP(I4857,'Validacion reclamo de equipaje'!H:I,2,0)</f>
        <v>Nacional</v>
      </c>
      <c r="M4857" s="55" t="s">
        <v>615</v>
      </c>
    </row>
    <row r="4858" spans="1:13" x14ac:dyDescent="0.25">
      <c r="A4858">
        <v>810</v>
      </c>
      <c r="B4858" s="47" t="str">
        <f>VLOOKUP(Tabla6[[#This Row],['# Vuelo]],'Validacion reclamo de equipaje'!P:Q,2,0)</f>
        <v>INTERAVIÓN</v>
      </c>
      <c r="C4858" s="48">
        <v>0.61458333333333337</v>
      </c>
      <c r="D4858" s="48">
        <v>0.61875000000000002</v>
      </c>
      <c r="E4858" s="49">
        <f>'Reclamo de equipaje rediseñado'!$D4858-'Reclamo de equipaje rediseñado'!$C4858</f>
        <v>4.1666666666666519E-3</v>
      </c>
      <c r="F4858" s="48">
        <v>0.625</v>
      </c>
      <c r="G4858" s="49">
        <f t="shared" si="75"/>
        <v>6.2499999999999778E-3</v>
      </c>
      <c r="H4858" s="50">
        <v>41810</v>
      </c>
      <c r="I4858" s="51" t="s">
        <v>603</v>
      </c>
      <c r="J4858" s="51">
        <v>320</v>
      </c>
      <c r="K4858" s="51">
        <f>VLOOKUP(J4858,'Validacion reclamo de equipaje'!L:M,2,0)</f>
        <v>179</v>
      </c>
      <c r="L4858" s="51" t="str">
        <f>VLOOKUP(I4858,'Validacion reclamo de equipaje'!H:I,2,0)</f>
        <v>Nacional</v>
      </c>
      <c r="M4858" s="51" t="s">
        <v>615</v>
      </c>
    </row>
    <row r="4859" spans="1:13" x14ac:dyDescent="0.25">
      <c r="A4859">
        <v>810</v>
      </c>
      <c r="B4859" s="47" t="str">
        <f>VLOOKUP(Tabla6[[#This Row],['# Vuelo]],'Validacion reclamo de equipaje'!P:Q,2,0)</f>
        <v>INTERAVIÓN</v>
      </c>
      <c r="C4859" s="52">
        <v>0.61458333333333337</v>
      </c>
      <c r="D4859" s="52">
        <v>0.62291666666666667</v>
      </c>
      <c r="E4859" s="53">
        <f>'Reclamo de equipaje rediseñado'!$D4859-'Reclamo de equipaje rediseñado'!$C4859</f>
        <v>8.3333333333333037E-3</v>
      </c>
      <c r="F4859" s="52">
        <v>0.63055555555555554</v>
      </c>
      <c r="G4859" s="53">
        <f t="shared" si="75"/>
        <v>7.6388888888888618E-3</v>
      </c>
      <c r="H4859" s="54">
        <v>41813</v>
      </c>
      <c r="I4859" s="55" t="s">
        <v>603</v>
      </c>
      <c r="J4859" s="55">
        <v>320</v>
      </c>
      <c r="K4859" s="55">
        <f>VLOOKUP(J4859,'Validacion reclamo de equipaje'!L:M,2,0)</f>
        <v>179</v>
      </c>
      <c r="L4859" s="55" t="str">
        <f>VLOOKUP(I4859,'Validacion reclamo de equipaje'!H:I,2,0)</f>
        <v>Nacional</v>
      </c>
      <c r="M4859" s="55" t="s">
        <v>615</v>
      </c>
    </row>
    <row r="4860" spans="1:13" x14ac:dyDescent="0.25">
      <c r="A4860">
        <v>810</v>
      </c>
      <c r="B4860" s="47" t="str">
        <f>VLOOKUP(Tabla6[[#This Row],['# Vuelo]],'Validacion reclamo de equipaje'!P:Q,2,0)</f>
        <v>INTERAVIÓN</v>
      </c>
      <c r="C4860" s="48">
        <v>0.85486111111111107</v>
      </c>
      <c r="D4860" s="48">
        <v>0.86111111111111116</v>
      </c>
      <c r="E4860" s="49">
        <f>'Reclamo de equipaje rediseñado'!$D4860-'Reclamo de equipaje rediseñado'!$C4860</f>
        <v>6.2500000000000888E-3</v>
      </c>
      <c r="F4860" s="48">
        <v>0.86736111111111114</v>
      </c>
      <c r="G4860" s="49">
        <f t="shared" si="75"/>
        <v>6.2499999999999778E-3</v>
      </c>
      <c r="H4860" s="50">
        <v>41812</v>
      </c>
      <c r="I4860" s="51" t="s">
        <v>603</v>
      </c>
      <c r="J4860" s="51">
        <v>320</v>
      </c>
      <c r="K4860" s="51">
        <f>VLOOKUP(J4860,'Validacion reclamo de equipaje'!L:M,2,0)</f>
        <v>179</v>
      </c>
      <c r="L4860" s="51" t="str">
        <f>VLOOKUP(I4860,'Validacion reclamo de equipaje'!H:I,2,0)</f>
        <v>Nacional</v>
      </c>
      <c r="M4860" s="51" t="s">
        <v>615</v>
      </c>
    </row>
    <row r="4861" spans="1:13" x14ac:dyDescent="0.25">
      <c r="A4861">
        <v>808</v>
      </c>
      <c r="B4861" s="47" t="str">
        <f>VLOOKUP(Tabla6[[#This Row],['# Vuelo]],'Validacion reclamo de equipaje'!P:Q,2,0)</f>
        <v>INTERAVIÓN</v>
      </c>
      <c r="C4861" s="52">
        <v>0.69097222222222221</v>
      </c>
      <c r="D4861" s="52">
        <v>0.70972222222222225</v>
      </c>
      <c r="E4861" s="53">
        <f>'Reclamo de equipaje rediseñado'!$D4861-'Reclamo de equipaje rediseñado'!$C4861</f>
        <v>1.8750000000000044E-2</v>
      </c>
      <c r="F4861" s="52">
        <v>0.71736111111111101</v>
      </c>
      <c r="G4861" s="53">
        <f t="shared" si="75"/>
        <v>7.6388888888887507E-3</v>
      </c>
      <c r="H4861" s="54">
        <v>41791</v>
      </c>
      <c r="I4861" s="55" t="s">
        <v>603</v>
      </c>
      <c r="J4861" s="55">
        <v>320</v>
      </c>
      <c r="K4861" s="55">
        <f>VLOOKUP(J4861,'Validacion reclamo de equipaje'!L:M,2,0)</f>
        <v>179</v>
      </c>
      <c r="L4861" s="55" t="str">
        <f>VLOOKUP(I4861,'Validacion reclamo de equipaje'!H:I,2,0)</f>
        <v>Nacional</v>
      </c>
      <c r="M4861" s="55" t="s">
        <v>615</v>
      </c>
    </row>
    <row r="4862" spans="1:13" x14ac:dyDescent="0.25">
      <c r="A4862">
        <v>808</v>
      </c>
      <c r="B4862" s="47" t="str">
        <f>VLOOKUP(Tabla6[[#This Row],['# Vuelo]],'Validacion reclamo de equipaje'!P:Q,2,0)</f>
        <v>INTERAVIÓN</v>
      </c>
      <c r="C4862" s="48">
        <v>0.71180555555555547</v>
      </c>
      <c r="D4862" s="48">
        <v>0.71736111111111101</v>
      </c>
      <c r="E4862" s="49">
        <f>'Reclamo de equipaje rediseñado'!$D4862-'Reclamo de equipaje rediseñado'!$C4862</f>
        <v>5.5555555555555358E-3</v>
      </c>
      <c r="F4862" s="48">
        <v>0.72083333333333333</v>
      </c>
      <c r="G4862" s="49">
        <f t="shared" si="75"/>
        <v>3.4722222222223209E-3</v>
      </c>
      <c r="H4862" s="50">
        <v>41792</v>
      </c>
      <c r="I4862" s="51" t="s">
        <v>603</v>
      </c>
      <c r="J4862" s="51">
        <v>320</v>
      </c>
      <c r="K4862" s="51">
        <f>VLOOKUP(J4862,'Validacion reclamo de equipaje'!L:M,2,0)</f>
        <v>179</v>
      </c>
      <c r="L4862" s="51" t="str">
        <f>VLOOKUP(I4862,'Validacion reclamo de equipaje'!H:I,2,0)</f>
        <v>Nacional</v>
      </c>
      <c r="M4862" s="51" t="s">
        <v>615</v>
      </c>
    </row>
    <row r="4863" spans="1:13" x14ac:dyDescent="0.25">
      <c r="A4863">
        <v>808</v>
      </c>
      <c r="B4863" s="47" t="str">
        <f>VLOOKUP(Tabla6[[#This Row],['# Vuelo]],'Validacion reclamo de equipaje'!P:Q,2,0)</f>
        <v>INTERAVIÓN</v>
      </c>
      <c r="C4863" s="52">
        <v>0.71527777777777779</v>
      </c>
      <c r="D4863" s="52">
        <v>0.71944444444444444</v>
      </c>
      <c r="E4863" s="53">
        <f>'Reclamo de equipaje rediseñado'!$D4863-'Reclamo de equipaje rediseñado'!$C4863</f>
        <v>4.1666666666666519E-3</v>
      </c>
      <c r="F4863" s="52">
        <v>0.7284722222222223</v>
      </c>
      <c r="G4863" s="53">
        <f t="shared" si="75"/>
        <v>9.0277777777778567E-3</v>
      </c>
      <c r="H4863" s="54">
        <v>41793</v>
      </c>
      <c r="I4863" s="55" t="s">
        <v>603</v>
      </c>
      <c r="J4863" s="55">
        <v>320</v>
      </c>
      <c r="K4863" s="55">
        <f>VLOOKUP(J4863,'Validacion reclamo de equipaje'!L:M,2,0)</f>
        <v>179</v>
      </c>
      <c r="L4863" s="55" t="str">
        <f>VLOOKUP(I4863,'Validacion reclamo de equipaje'!H:I,2,0)</f>
        <v>Nacional</v>
      </c>
      <c r="M4863" s="55" t="s">
        <v>615</v>
      </c>
    </row>
    <row r="4864" spans="1:13" x14ac:dyDescent="0.25">
      <c r="A4864">
        <v>808</v>
      </c>
      <c r="B4864" s="47" t="str">
        <f>VLOOKUP(Tabla6[[#This Row],['# Vuelo]],'Validacion reclamo de equipaje'!P:Q,2,0)</f>
        <v>INTERAVIÓN</v>
      </c>
      <c r="C4864" s="48">
        <v>0.70972222222222225</v>
      </c>
      <c r="D4864" s="48">
        <v>0.71527777777777779</v>
      </c>
      <c r="E4864" s="49">
        <f>'Reclamo de equipaje rediseñado'!$D4864-'Reclamo de equipaje rediseñado'!$C4864</f>
        <v>5.5555555555555358E-3</v>
      </c>
      <c r="F4864" s="48">
        <v>0.72222222222222221</v>
      </c>
      <c r="G4864" s="49">
        <f t="shared" si="75"/>
        <v>6.9444444444444198E-3</v>
      </c>
      <c r="H4864" s="50">
        <v>41794</v>
      </c>
      <c r="I4864" s="51" t="s">
        <v>603</v>
      </c>
      <c r="J4864" s="51">
        <v>320</v>
      </c>
      <c r="K4864" s="51">
        <f>VLOOKUP(J4864,'Validacion reclamo de equipaje'!L:M,2,0)</f>
        <v>179</v>
      </c>
      <c r="L4864" s="51" t="str">
        <f>VLOOKUP(I4864,'Validacion reclamo de equipaje'!H:I,2,0)</f>
        <v>Nacional</v>
      </c>
      <c r="M4864" s="51" t="s">
        <v>615</v>
      </c>
    </row>
    <row r="4865" spans="1:13" x14ac:dyDescent="0.25">
      <c r="A4865">
        <v>808</v>
      </c>
      <c r="B4865" s="47" t="str">
        <f>VLOOKUP(Tabla6[[#This Row],['# Vuelo]],'Validacion reclamo de equipaje'!P:Q,2,0)</f>
        <v>INTERAVIÓN</v>
      </c>
      <c r="C4865" s="52">
        <v>0.7090277777777777</v>
      </c>
      <c r="D4865" s="52">
        <v>0.71875</v>
      </c>
      <c r="E4865" s="53">
        <f>'Reclamo de equipaje rediseñado'!$D4865-'Reclamo de equipaje rediseñado'!$C4865</f>
        <v>9.7222222222222987E-3</v>
      </c>
      <c r="F4865" s="52">
        <v>0.72430555555555554</v>
      </c>
      <c r="G4865" s="53">
        <f t="shared" si="75"/>
        <v>5.5555555555555358E-3</v>
      </c>
      <c r="H4865" s="54">
        <v>41795</v>
      </c>
      <c r="I4865" s="55" t="s">
        <v>603</v>
      </c>
      <c r="J4865" s="55">
        <v>320</v>
      </c>
      <c r="K4865" s="55">
        <f>VLOOKUP(J4865,'Validacion reclamo de equipaje'!L:M,2,0)</f>
        <v>179</v>
      </c>
      <c r="L4865" s="55" t="str">
        <f>VLOOKUP(I4865,'Validacion reclamo de equipaje'!H:I,2,0)</f>
        <v>Nacional</v>
      </c>
      <c r="M4865" s="55" t="s">
        <v>615</v>
      </c>
    </row>
    <row r="4866" spans="1:13" x14ac:dyDescent="0.25">
      <c r="A4866">
        <v>808</v>
      </c>
      <c r="B4866" s="47" t="str">
        <f>VLOOKUP(Tabla6[[#This Row],['# Vuelo]],'Validacion reclamo de equipaje'!P:Q,2,0)</f>
        <v>INTERAVIÓN</v>
      </c>
      <c r="C4866" s="48">
        <v>0.70833333333333337</v>
      </c>
      <c r="D4866" s="48">
        <v>0.71458333333333324</v>
      </c>
      <c r="E4866" s="49">
        <f>'Reclamo de equipaje rediseñado'!$D4866-'Reclamo de equipaje rediseñado'!$C4866</f>
        <v>6.2499999999998668E-3</v>
      </c>
      <c r="F4866" s="48">
        <v>0.71944444444444444</v>
      </c>
      <c r="G4866" s="49">
        <f t="shared" si="75"/>
        <v>4.8611111111112049E-3</v>
      </c>
      <c r="H4866" s="50">
        <v>41796</v>
      </c>
      <c r="I4866" s="51" t="s">
        <v>603</v>
      </c>
      <c r="J4866" s="51">
        <v>320</v>
      </c>
      <c r="K4866" s="51">
        <f>VLOOKUP(J4866,'Validacion reclamo de equipaje'!L:M,2,0)</f>
        <v>179</v>
      </c>
      <c r="L4866" s="51" t="str">
        <f>VLOOKUP(I4866,'Validacion reclamo de equipaje'!H:I,2,0)</f>
        <v>Nacional</v>
      </c>
      <c r="M4866" s="51" t="s">
        <v>615</v>
      </c>
    </row>
    <row r="4867" spans="1:13" x14ac:dyDescent="0.25">
      <c r="A4867">
        <v>808</v>
      </c>
      <c r="B4867" s="47" t="str">
        <f>VLOOKUP(Tabla6[[#This Row],['# Vuelo]],'Validacion reclamo de equipaje'!P:Q,2,0)</f>
        <v>INTERAVIÓN</v>
      </c>
      <c r="C4867" s="52">
        <v>0.70694444444444438</v>
      </c>
      <c r="D4867" s="52">
        <v>0.7270833333333333</v>
      </c>
      <c r="E4867" s="53">
        <f>'Reclamo de equipaje rediseñado'!$D4867-'Reclamo de equipaje rediseñado'!$C4867</f>
        <v>2.0138888888888928E-2</v>
      </c>
      <c r="F4867" s="52">
        <v>0.74305555555555547</v>
      </c>
      <c r="G4867" s="53">
        <f t="shared" ref="G4867:G4930" si="76">F4867-D4867</f>
        <v>1.5972222222222165E-2</v>
      </c>
      <c r="H4867" s="54">
        <v>41797</v>
      </c>
      <c r="I4867" s="55" t="s">
        <v>603</v>
      </c>
      <c r="J4867" s="55">
        <v>320</v>
      </c>
      <c r="K4867" s="55">
        <f>VLOOKUP(J4867,'Validacion reclamo de equipaje'!L:M,2,0)</f>
        <v>179</v>
      </c>
      <c r="L4867" s="55" t="str">
        <f>VLOOKUP(I4867,'Validacion reclamo de equipaje'!H:I,2,0)</f>
        <v>Nacional</v>
      </c>
      <c r="M4867" s="55" t="s">
        <v>615</v>
      </c>
    </row>
    <row r="4868" spans="1:13" x14ac:dyDescent="0.25">
      <c r="A4868">
        <v>808</v>
      </c>
      <c r="B4868" s="47" t="str">
        <f>VLOOKUP(Tabla6[[#This Row],['# Vuelo]],'Validacion reclamo de equipaje'!P:Q,2,0)</f>
        <v>INTERAVIÓN</v>
      </c>
      <c r="C4868" s="48">
        <v>0.70208333333333339</v>
      </c>
      <c r="D4868" s="48">
        <v>0.70833333333333337</v>
      </c>
      <c r="E4868" s="49">
        <f>'Reclamo de equipaje rediseñado'!$D4868-'Reclamo de equipaje rediseñado'!$C4868</f>
        <v>6.2499999999999778E-3</v>
      </c>
      <c r="F4868" s="48">
        <v>0.71597222222222223</v>
      </c>
      <c r="G4868" s="49">
        <f t="shared" si="76"/>
        <v>7.6388888888888618E-3</v>
      </c>
      <c r="H4868" s="50">
        <v>41798</v>
      </c>
      <c r="I4868" s="51" t="s">
        <v>603</v>
      </c>
      <c r="J4868" s="51">
        <v>320</v>
      </c>
      <c r="K4868" s="51">
        <f>VLOOKUP(J4868,'Validacion reclamo de equipaje'!L:M,2,0)</f>
        <v>179</v>
      </c>
      <c r="L4868" s="51" t="str">
        <f>VLOOKUP(I4868,'Validacion reclamo de equipaje'!H:I,2,0)</f>
        <v>Nacional</v>
      </c>
      <c r="M4868" s="51" t="s">
        <v>615</v>
      </c>
    </row>
    <row r="4869" spans="1:13" x14ac:dyDescent="0.25">
      <c r="A4869">
        <v>808</v>
      </c>
      <c r="B4869" s="47" t="str">
        <f>VLOOKUP(Tabla6[[#This Row],['# Vuelo]],'Validacion reclamo de equipaje'!P:Q,2,0)</f>
        <v>INTERAVIÓN</v>
      </c>
      <c r="C4869" s="52">
        <v>0.70138888888888884</v>
      </c>
      <c r="D4869" s="52">
        <v>0.70624999999999993</v>
      </c>
      <c r="E4869" s="53">
        <f>'Reclamo de equipaje rediseñado'!$D4869-'Reclamo de equipaje rediseñado'!$C4869</f>
        <v>4.8611111111110938E-3</v>
      </c>
      <c r="F4869" s="52">
        <v>0.71527777777777779</v>
      </c>
      <c r="G4869" s="53">
        <f t="shared" si="76"/>
        <v>9.0277777777778567E-3</v>
      </c>
      <c r="H4869" s="54">
        <v>41799</v>
      </c>
      <c r="I4869" s="55" t="s">
        <v>603</v>
      </c>
      <c r="J4869" s="55">
        <v>320</v>
      </c>
      <c r="K4869" s="55">
        <f>VLOOKUP(J4869,'Validacion reclamo de equipaje'!L:M,2,0)</f>
        <v>179</v>
      </c>
      <c r="L4869" s="55" t="str">
        <f>VLOOKUP(I4869,'Validacion reclamo de equipaje'!H:I,2,0)</f>
        <v>Nacional</v>
      </c>
      <c r="M4869" s="55" t="s">
        <v>615</v>
      </c>
    </row>
    <row r="4870" spans="1:13" x14ac:dyDescent="0.25">
      <c r="A4870">
        <v>808</v>
      </c>
      <c r="B4870" s="47" t="str">
        <f>VLOOKUP(Tabla6[[#This Row],['# Vuelo]],'Validacion reclamo de equipaje'!P:Q,2,0)</f>
        <v>INTERAVIÓN</v>
      </c>
      <c r="C4870" s="48">
        <v>0.43958333333333338</v>
      </c>
      <c r="D4870" s="48">
        <v>0.44722222222222219</v>
      </c>
      <c r="E4870" s="49">
        <f>'Reclamo de equipaje rediseñado'!$D4870-'Reclamo de equipaje rediseñado'!$C4870</f>
        <v>7.6388888888888062E-3</v>
      </c>
      <c r="F4870" s="48">
        <v>0.45277777777777778</v>
      </c>
      <c r="G4870" s="49">
        <f t="shared" si="76"/>
        <v>5.5555555555555913E-3</v>
      </c>
      <c r="H4870" s="50">
        <v>41801</v>
      </c>
      <c r="I4870" s="51" t="s">
        <v>603</v>
      </c>
      <c r="J4870" s="51">
        <v>320</v>
      </c>
      <c r="K4870" s="51">
        <f>VLOOKUP(J4870,'Validacion reclamo de equipaje'!L:M,2,0)</f>
        <v>179</v>
      </c>
      <c r="L4870" s="51" t="str">
        <f>VLOOKUP(I4870,'Validacion reclamo de equipaje'!H:I,2,0)</f>
        <v>Nacional</v>
      </c>
      <c r="M4870" s="51" t="s">
        <v>615</v>
      </c>
    </row>
    <row r="4871" spans="1:13" x14ac:dyDescent="0.25">
      <c r="A4871">
        <v>808</v>
      </c>
      <c r="B4871" s="47" t="str">
        <f>VLOOKUP(Tabla6[[#This Row],['# Vuelo]],'Validacion reclamo de equipaje'!P:Q,2,0)</f>
        <v>INTERAVIÓN</v>
      </c>
      <c r="C4871" s="52">
        <v>0.25416666666666665</v>
      </c>
      <c r="D4871" s="52">
        <v>0.26944444444444443</v>
      </c>
      <c r="E4871" s="53">
        <f>'Reclamo de equipaje rediseñado'!$D4871-'Reclamo de equipaje rediseñado'!$C4871</f>
        <v>1.5277777777777779E-2</v>
      </c>
      <c r="F4871" s="52">
        <v>0.29097222222222224</v>
      </c>
      <c r="G4871" s="53">
        <f t="shared" si="76"/>
        <v>2.1527777777777812E-2</v>
      </c>
      <c r="H4871" s="54">
        <v>41801</v>
      </c>
      <c r="I4871" s="55" t="s">
        <v>603</v>
      </c>
      <c r="J4871" s="55">
        <v>320</v>
      </c>
      <c r="K4871" s="55">
        <f>VLOOKUP(J4871,'Validacion reclamo de equipaje'!L:M,2,0)</f>
        <v>179</v>
      </c>
      <c r="L4871" s="55" t="str">
        <f>VLOOKUP(I4871,'Validacion reclamo de equipaje'!H:I,2,0)</f>
        <v>Nacional</v>
      </c>
      <c r="M4871" s="55" t="s">
        <v>615</v>
      </c>
    </row>
    <row r="4872" spans="1:13" x14ac:dyDescent="0.25">
      <c r="A4872">
        <v>808</v>
      </c>
      <c r="B4872" s="47" t="str">
        <f>VLOOKUP(Tabla6[[#This Row],['# Vuelo]],'Validacion reclamo de equipaje'!P:Q,2,0)</f>
        <v>INTERAVIÓN</v>
      </c>
      <c r="C4872" s="48">
        <v>0.25</v>
      </c>
      <c r="D4872" s="48">
        <v>0.26666666666666666</v>
      </c>
      <c r="E4872" s="49">
        <f>'Reclamo de equipaje rediseñado'!$D4872-'Reclamo de equipaje rediseñado'!$C4872</f>
        <v>1.6666666666666663E-2</v>
      </c>
      <c r="F4872" s="48">
        <v>0.29097222222222224</v>
      </c>
      <c r="G4872" s="49">
        <f t="shared" si="76"/>
        <v>2.430555555555558E-2</v>
      </c>
      <c r="H4872" s="50">
        <v>41802</v>
      </c>
      <c r="I4872" s="51" t="s">
        <v>603</v>
      </c>
      <c r="J4872" s="51">
        <v>320</v>
      </c>
      <c r="K4872" s="51">
        <f>VLOOKUP(J4872,'Validacion reclamo de equipaje'!L:M,2,0)</f>
        <v>179</v>
      </c>
      <c r="L4872" s="51" t="str">
        <f>VLOOKUP(I4872,'Validacion reclamo de equipaje'!H:I,2,0)</f>
        <v>Nacional</v>
      </c>
      <c r="M4872" s="51" t="s">
        <v>615</v>
      </c>
    </row>
    <row r="4873" spans="1:13" x14ac:dyDescent="0.25">
      <c r="A4873">
        <v>808</v>
      </c>
      <c r="B4873" s="47" t="str">
        <f>VLOOKUP(Tabla6[[#This Row],['# Vuelo]],'Validacion reclamo de equipaje'!P:Q,2,0)</f>
        <v>INTERAVIÓN</v>
      </c>
      <c r="C4873" s="52">
        <v>0.69861111111111107</v>
      </c>
      <c r="D4873" s="52">
        <v>0.70486111111111116</v>
      </c>
      <c r="E4873" s="53">
        <f>'Reclamo de equipaje rediseñado'!$D4873-'Reclamo de equipaje rediseñado'!$C4873</f>
        <v>6.2500000000000888E-3</v>
      </c>
      <c r="F4873" s="52">
        <v>0.7090277777777777</v>
      </c>
      <c r="G4873" s="53">
        <f t="shared" si="76"/>
        <v>4.1666666666665408E-3</v>
      </c>
      <c r="H4873" s="54">
        <v>41803</v>
      </c>
      <c r="I4873" s="55" t="s">
        <v>603</v>
      </c>
      <c r="J4873" s="55">
        <v>320</v>
      </c>
      <c r="K4873" s="55">
        <f>VLOOKUP(J4873,'Validacion reclamo de equipaje'!L:M,2,0)</f>
        <v>179</v>
      </c>
      <c r="L4873" s="55" t="str">
        <f>VLOOKUP(I4873,'Validacion reclamo de equipaje'!H:I,2,0)</f>
        <v>Nacional</v>
      </c>
      <c r="M4873" s="55" t="s">
        <v>615</v>
      </c>
    </row>
    <row r="4874" spans="1:13" x14ac:dyDescent="0.25">
      <c r="A4874">
        <v>808</v>
      </c>
      <c r="B4874" s="47" t="str">
        <f>VLOOKUP(Tabla6[[#This Row],['# Vuelo]],'Validacion reclamo de equipaje'!P:Q,2,0)</f>
        <v>INTERAVIÓN</v>
      </c>
      <c r="C4874" s="48">
        <v>0.84027777777777779</v>
      </c>
      <c r="D4874" s="48">
        <v>0.85625000000000007</v>
      </c>
      <c r="E4874" s="49">
        <f>'Reclamo de equipaje rediseñado'!$D4874-'Reclamo de equipaje rediseñado'!$C4874</f>
        <v>1.5972222222222276E-2</v>
      </c>
      <c r="F4874" s="48">
        <v>0.85833333333333339</v>
      </c>
      <c r="G4874" s="49">
        <f t="shared" si="76"/>
        <v>2.0833333333333259E-3</v>
      </c>
      <c r="H4874" s="50">
        <v>41804</v>
      </c>
      <c r="I4874" s="51" t="s">
        <v>603</v>
      </c>
      <c r="J4874" s="51">
        <v>320</v>
      </c>
      <c r="K4874" s="51">
        <f>VLOOKUP(J4874,'Validacion reclamo de equipaje'!L:M,2,0)</f>
        <v>179</v>
      </c>
      <c r="L4874" s="51" t="str">
        <f>VLOOKUP(I4874,'Validacion reclamo de equipaje'!H:I,2,0)</f>
        <v>Nacional</v>
      </c>
      <c r="M4874" s="51" t="s">
        <v>615</v>
      </c>
    </row>
    <row r="4875" spans="1:13" x14ac:dyDescent="0.25">
      <c r="A4875">
        <v>808</v>
      </c>
      <c r="B4875" s="47" t="str">
        <f>VLOOKUP(Tabla6[[#This Row],['# Vuelo]],'Validacion reclamo de equipaje'!P:Q,2,0)</f>
        <v>INTERAVIÓN</v>
      </c>
      <c r="C4875" s="52">
        <v>0.45</v>
      </c>
      <c r="D4875" s="52">
        <v>0.46388888888888885</v>
      </c>
      <c r="E4875" s="53">
        <f>'Reclamo de equipaje rediseñado'!$D4875-'Reclamo de equipaje rediseñado'!$C4875</f>
        <v>1.388888888888884E-2</v>
      </c>
      <c r="F4875" s="52">
        <v>0.47222222222222227</v>
      </c>
      <c r="G4875" s="53">
        <f t="shared" si="76"/>
        <v>8.3333333333334147E-3</v>
      </c>
      <c r="H4875" s="54">
        <v>41805</v>
      </c>
      <c r="I4875" s="55" t="s">
        <v>603</v>
      </c>
      <c r="J4875" s="55">
        <v>320</v>
      </c>
      <c r="K4875" s="55">
        <f>VLOOKUP(J4875,'Validacion reclamo de equipaje'!L:M,2,0)</f>
        <v>179</v>
      </c>
      <c r="L4875" s="55" t="str">
        <f>VLOOKUP(I4875,'Validacion reclamo de equipaje'!H:I,2,0)</f>
        <v>Nacional</v>
      </c>
      <c r="M4875" s="55" t="s">
        <v>615</v>
      </c>
    </row>
    <row r="4876" spans="1:13" x14ac:dyDescent="0.25">
      <c r="A4876">
        <v>808</v>
      </c>
      <c r="B4876" s="47" t="str">
        <f>VLOOKUP(Tabla6[[#This Row],['# Vuelo]],'Validacion reclamo de equipaje'!P:Q,2,0)</f>
        <v>INTERAVIÓN</v>
      </c>
      <c r="C4876" s="48">
        <v>0.8534722222222223</v>
      </c>
      <c r="D4876" s="48">
        <v>0.86388888888888893</v>
      </c>
      <c r="E4876" s="49">
        <f>'Reclamo de equipaje rediseñado'!$D4876-'Reclamo de equipaje rediseñado'!$C4876</f>
        <v>1.041666666666663E-2</v>
      </c>
      <c r="F4876" s="48">
        <v>0.88263888888888886</v>
      </c>
      <c r="G4876" s="49">
        <f t="shared" si="76"/>
        <v>1.8749999999999933E-2</v>
      </c>
      <c r="H4876" s="50">
        <v>41806</v>
      </c>
      <c r="I4876" s="51" t="s">
        <v>603</v>
      </c>
      <c r="J4876" s="51">
        <v>320</v>
      </c>
      <c r="K4876" s="51">
        <f>VLOOKUP(J4876,'Validacion reclamo de equipaje'!L:M,2,0)</f>
        <v>179</v>
      </c>
      <c r="L4876" s="51" t="str">
        <f>VLOOKUP(I4876,'Validacion reclamo de equipaje'!H:I,2,0)</f>
        <v>Nacional</v>
      </c>
      <c r="M4876" s="51" t="s">
        <v>615</v>
      </c>
    </row>
    <row r="4877" spans="1:13" x14ac:dyDescent="0.25">
      <c r="A4877">
        <v>808</v>
      </c>
      <c r="B4877" s="47" t="str">
        <f>VLOOKUP(Tabla6[[#This Row],['# Vuelo]],'Validacion reclamo de equipaje'!P:Q,2,0)</f>
        <v>INTERAVIÓN</v>
      </c>
      <c r="C4877" s="52">
        <v>0.83888888888888891</v>
      </c>
      <c r="D4877" s="52">
        <v>0.84583333333333333</v>
      </c>
      <c r="E4877" s="53">
        <f>'Reclamo de equipaje rediseñado'!$D4877-'Reclamo de equipaje rediseñado'!$C4877</f>
        <v>6.9444444444444198E-3</v>
      </c>
      <c r="F4877" s="52">
        <v>0.85833333333333339</v>
      </c>
      <c r="G4877" s="53">
        <f t="shared" si="76"/>
        <v>1.2500000000000067E-2</v>
      </c>
      <c r="H4877" s="54">
        <v>41807</v>
      </c>
      <c r="I4877" s="55" t="s">
        <v>603</v>
      </c>
      <c r="J4877" s="55">
        <v>320</v>
      </c>
      <c r="K4877" s="55">
        <f>VLOOKUP(J4877,'Validacion reclamo de equipaje'!L:M,2,0)</f>
        <v>179</v>
      </c>
      <c r="L4877" s="55" t="str">
        <f>VLOOKUP(I4877,'Validacion reclamo de equipaje'!H:I,2,0)</f>
        <v>Nacional</v>
      </c>
      <c r="M4877" s="55" t="s">
        <v>615</v>
      </c>
    </row>
    <row r="4878" spans="1:13" x14ac:dyDescent="0.25">
      <c r="A4878">
        <v>808</v>
      </c>
      <c r="B4878" s="47" t="str">
        <f>VLOOKUP(Tabla6[[#This Row],['# Vuelo]],'Validacion reclamo de equipaje'!P:Q,2,0)</f>
        <v>INTERAVIÓN</v>
      </c>
      <c r="C4878" s="48">
        <v>0.70277777777777783</v>
      </c>
      <c r="D4878" s="48">
        <v>0.70347222222222217</v>
      </c>
      <c r="E4878" s="49">
        <f>'Reclamo de equipaje rediseñado'!$D4878-'Reclamo de equipaje rediseñado'!$C4878</f>
        <v>6.9444444444433095E-4</v>
      </c>
      <c r="F4878" s="48">
        <v>0.71875</v>
      </c>
      <c r="G4878" s="49">
        <f t="shared" si="76"/>
        <v>1.5277777777777835E-2</v>
      </c>
      <c r="H4878" s="50">
        <v>41808</v>
      </c>
      <c r="I4878" s="51" t="s">
        <v>603</v>
      </c>
      <c r="J4878" s="51">
        <v>320</v>
      </c>
      <c r="K4878" s="51">
        <f>VLOOKUP(J4878,'Validacion reclamo de equipaje'!L:M,2,0)</f>
        <v>179</v>
      </c>
      <c r="L4878" s="51" t="str">
        <f>VLOOKUP(I4878,'Validacion reclamo de equipaje'!H:I,2,0)</f>
        <v>Nacional</v>
      </c>
      <c r="M4878" s="51" t="s">
        <v>615</v>
      </c>
    </row>
    <row r="4879" spans="1:13" x14ac:dyDescent="0.25">
      <c r="A4879">
        <v>808</v>
      </c>
      <c r="B4879" s="47" t="str">
        <f>VLOOKUP(Tabla6[[#This Row],['# Vuelo]],'Validacion reclamo de equipaje'!P:Q,2,0)</f>
        <v>INTERAVIÓN</v>
      </c>
      <c r="C4879" s="52">
        <v>0.70624999999999993</v>
      </c>
      <c r="D4879" s="52">
        <v>0.71250000000000002</v>
      </c>
      <c r="E4879" s="53">
        <f>'Reclamo de equipaje rediseñado'!$D4879-'Reclamo de equipaje rediseñado'!$C4879</f>
        <v>6.2500000000000888E-3</v>
      </c>
      <c r="F4879" s="52">
        <v>0.71944444444444444</v>
      </c>
      <c r="G4879" s="53">
        <f t="shared" si="76"/>
        <v>6.9444444444444198E-3</v>
      </c>
      <c r="H4879" s="54">
        <v>41809</v>
      </c>
      <c r="I4879" s="55" t="s">
        <v>603</v>
      </c>
      <c r="J4879" s="55">
        <v>320</v>
      </c>
      <c r="K4879" s="55">
        <f>VLOOKUP(J4879,'Validacion reclamo de equipaje'!L:M,2,0)</f>
        <v>179</v>
      </c>
      <c r="L4879" s="55" t="str">
        <f>VLOOKUP(I4879,'Validacion reclamo de equipaje'!H:I,2,0)</f>
        <v>Nacional</v>
      </c>
      <c r="M4879" s="55" t="s">
        <v>615</v>
      </c>
    </row>
    <row r="4880" spans="1:13" x14ac:dyDescent="0.25">
      <c r="A4880">
        <v>808</v>
      </c>
      <c r="B4880" s="47" t="str">
        <f>VLOOKUP(Tabla6[[#This Row],['# Vuelo]],'Validacion reclamo de equipaje'!P:Q,2,0)</f>
        <v>INTERAVIÓN</v>
      </c>
      <c r="C4880" s="48">
        <v>0.71805555555555556</v>
      </c>
      <c r="D4880" s="48">
        <v>0.72222222222222221</v>
      </c>
      <c r="E4880" s="49">
        <f>'Reclamo de equipaje rediseñado'!$D4880-'Reclamo de equipaje rediseñado'!$C4880</f>
        <v>4.1666666666666519E-3</v>
      </c>
      <c r="F4880" s="48">
        <v>0.73055555555555562</v>
      </c>
      <c r="G4880" s="49">
        <f t="shared" si="76"/>
        <v>8.3333333333334147E-3</v>
      </c>
      <c r="H4880" s="50">
        <v>41810</v>
      </c>
      <c r="I4880" s="51" t="s">
        <v>603</v>
      </c>
      <c r="J4880" s="51">
        <v>320</v>
      </c>
      <c r="K4880" s="51">
        <f>VLOOKUP(J4880,'Validacion reclamo de equipaje'!L:M,2,0)</f>
        <v>179</v>
      </c>
      <c r="L4880" s="51" t="str">
        <f>VLOOKUP(I4880,'Validacion reclamo de equipaje'!H:I,2,0)</f>
        <v>Nacional</v>
      </c>
      <c r="M4880" s="51" t="s">
        <v>615</v>
      </c>
    </row>
    <row r="4881" spans="1:13" x14ac:dyDescent="0.25">
      <c r="A4881">
        <v>808</v>
      </c>
      <c r="B4881" s="47" t="str">
        <f>VLOOKUP(Tabla6[[#This Row],['# Vuelo]],'Validacion reclamo de equipaje'!P:Q,2,0)</f>
        <v>INTERAVIÓN</v>
      </c>
      <c r="C4881" s="52">
        <v>0.71527777777777779</v>
      </c>
      <c r="D4881" s="52">
        <v>0.72222222222222221</v>
      </c>
      <c r="E4881" s="53">
        <f>'Reclamo de equipaje rediseñado'!$D4881-'Reclamo de equipaje rediseñado'!$C4881</f>
        <v>6.9444444444444198E-3</v>
      </c>
      <c r="F4881" s="52">
        <v>0.73125000000000007</v>
      </c>
      <c r="G4881" s="53">
        <f t="shared" si="76"/>
        <v>9.0277777777778567E-3</v>
      </c>
      <c r="H4881" s="54">
        <v>41811</v>
      </c>
      <c r="I4881" s="55" t="s">
        <v>603</v>
      </c>
      <c r="J4881" s="55">
        <v>320</v>
      </c>
      <c r="K4881" s="55">
        <f>VLOOKUP(J4881,'Validacion reclamo de equipaje'!L:M,2,0)</f>
        <v>179</v>
      </c>
      <c r="L4881" s="55" t="str">
        <f>VLOOKUP(I4881,'Validacion reclamo de equipaje'!H:I,2,0)</f>
        <v>Nacional</v>
      </c>
      <c r="M4881" s="55" t="s">
        <v>615</v>
      </c>
    </row>
    <row r="4882" spans="1:13" x14ac:dyDescent="0.25">
      <c r="A4882">
        <v>808</v>
      </c>
      <c r="B4882" s="47" t="str">
        <f>VLOOKUP(Tabla6[[#This Row],['# Vuelo]],'Validacion reclamo de equipaje'!P:Q,2,0)</f>
        <v>INTERAVIÓN</v>
      </c>
      <c r="C4882" s="48">
        <v>0.71875</v>
      </c>
      <c r="D4882" s="48">
        <v>0.72361111111111109</v>
      </c>
      <c r="E4882" s="49">
        <f>'Reclamo de equipaje rediseñado'!$D4882-'Reclamo de equipaje rediseñado'!$C4882</f>
        <v>4.8611111111110938E-3</v>
      </c>
      <c r="F4882" s="48">
        <v>0.72986111111111107</v>
      </c>
      <c r="G4882" s="49">
        <f t="shared" si="76"/>
        <v>6.2499999999999778E-3</v>
      </c>
      <c r="H4882" s="50">
        <v>41813</v>
      </c>
      <c r="I4882" s="51" t="s">
        <v>603</v>
      </c>
      <c r="J4882" s="51">
        <v>320</v>
      </c>
      <c r="K4882" s="51">
        <f>VLOOKUP(J4882,'Validacion reclamo de equipaje'!L:M,2,0)</f>
        <v>179</v>
      </c>
      <c r="L4882" s="51" t="str">
        <f>VLOOKUP(I4882,'Validacion reclamo de equipaje'!H:I,2,0)</f>
        <v>Nacional</v>
      </c>
      <c r="M4882" s="51" t="s">
        <v>615</v>
      </c>
    </row>
    <row r="4883" spans="1:13" x14ac:dyDescent="0.25">
      <c r="A4883">
        <v>413</v>
      </c>
      <c r="B4883" s="47" t="str">
        <f>VLOOKUP(Tabla6[[#This Row],['# Vuelo]],'Validacion reclamo de equipaje'!P:Q,2,0)</f>
        <v>INTERAVIÓN</v>
      </c>
      <c r="C4883" s="52">
        <v>0.55694444444444446</v>
      </c>
      <c r="D4883" s="52">
        <v>0.56388888888888888</v>
      </c>
      <c r="E4883" s="53">
        <f>'Reclamo de equipaje rediseñado'!$D4883-'Reclamo de equipaje rediseñado'!$C4883</f>
        <v>6.9444444444444198E-3</v>
      </c>
      <c r="F4883" s="52">
        <v>0.5756944444444444</v>
      </c>
      <c r="G4883" s="53">
        <f t="shared" si="76"/>
        <v>1.1805555555555514E-2</v>
      </c>
      <c r="H4883" s="54">
        <v>41791</v>
      </c>
      <c r="I4883" s="55" t="s">
        <v>549</v>
      </c>
      <c r="J4883" s="55">
        <v>320</v>
      </c>
      <c r="K4883" s="55">
        <f>VLOOKUP(J4883,'Validacion reclamo de equipaje'!L:M,2,0)</f>
        <v>179</v>
      </c>
      <c r="L4883" s="55" t="str">
        <f>VLOOKUP(I4883,'Validacion reclamo de equipaje'!H:I,2,0)</f>
        <v>Nacional</v>
      </c>
      <c r="M4883" s="55" t="s">
        <v>615</v>
      </c>
    </row>
    <row r="4884" spans="1:13" x14ac:dyDescent="0.25">
      <c r="A4884">
        <v>413</v>
      </c>
      <c r="B4884" s="47" t="str">
        <f>VLOOKUP(Tabla6[[#This Row],['# Vuelo]],'Validacion reclamo de equipaje'!P:Q,2,0)</f>
        <v>INTERAVIÓN</v>
      </c>
      <c r="C4884" s="48">
        <v>0.60486111111111118</v>
      </c>
      <c r="D4884" s="48">
        <v>0.61111111111111105</v>
      </c>
      <c r="E4884" s="49">
        <f>'Reclamo de equipaje rediseñado'!$D4884-'Reclamo de equipaje rediseñado'!$C4884</f>
        <v>6.2499999999998668E-3</v>
      </c>
      <c r="F4884" s="48">
        <v>0.61597222222222225</v>
      </c>
      <c r="G4884" s="49">
        <f t="shared" si="76"/>
        <v>4.8611111111112049E-3</v>
      </c>
      <c r="H4884" s="50">
        <v>41792</v>
      </c>
      <c r="I4884" s="51" t="s">
        <v>549</v>
      </c>
      <c r="J4884" s="51">
        <v>320</v>
      </c>
      <c r="K4884" s="51">
        <f>VLOOKUP(J4884,'Validacion reclamo de equipaje'!L:M,2,0)</f>
        <v>179</v>
      </c>
      <c r="L4884" s="51" t="str">
        <f>VLOOKUP(I4884,'Validacion reclamo de equipaje'!H:I,2,0)</f>
        <v>Nacional</v>
      </c>
      <c r="M4884" s="51" t="s">
        <v>615</v>
      </c>
    </row>
    <row r="4885" spans="1:13" x14ac:dyDescent="0.25">
      <c r="A4885">
        <v>413</v>
      </c>
      <c r="B4885" s="47" t="str">
        <f>VLOOKUP(Tabla6[[#This Row],['# Vuelo]],'Validacion reclamo de equipaje'!P:Q,2,0)</f>
        <v>INTERAVIÓN</v>
      </c>
      <c r="C4885" s="52">
        <v>0.65</v>
      </c>
      <c r="D4885" s="52">
        <v>0.65625</v>
      </c>
      <c r="E4885" s="53">
        <f>'Reclamo de equipaje rediseñado'!$D4885-'Reclamo de equipaje rediseñado'!$C4885</f>
        <v>6.2499999999999778E-3</v>
      </c>
      <c r="F4885" s="52">
        <v>0.66319444444444442</v>
      </c>
      <c r="G4885" s="53">
        <f t="shared" si="76"/>
        <v>6.9444444444444198E-3</v>
      </c>
      <c r="H4885" s="54">
        <v>41793</v>
      </c>
      <c r="I4885" s="55" t="s">
        <v>549</v>
      </c>
      <c r="J4885" s="55">
        <v>320</v>
      </c>
      <c r="K4885" s="55">
        <f>VLOOKUP(J4885,'Validacion reclamo de equipaje'!L:M,2,0)</f>
        <v>179</v>
      </c>
      <c r="L4885" s="55" t="str">
        <f>VLOOKUP(I4885,'Validacion reclamo de equipaje'!H:I,2,0)</f>
        <v>Nacional</v>
      </c>
      <c r="M4885" s="55" t="s">
        <v>615</v>
      </c>
    </row>
    <row r="4886" spans="1:13" x14ac:dyDescent="0.25">
      <c r="A4886">
        <v>413</v>
      </c>
      <c r="B4886" s="47" t="str">
        <f>VLOOKUP(Tabla6[[#This Row],['# Vuelo]],'Validacion reclamo de equipaje'!P:Q,2,0)</f>
        <v>INTERAVIÓN</v>
      </c>
      <c r="C4886" s="48">
        <v>0.59722222222222221</v>
      </c>
      <c r="D4886" s="48">
        <v>0.60416666666666663</v>
      </c>
      <c r="E4886" s="49">
        <f>'Reclamo de equipaje rediseñado'!$D4886-'Reclamo de equipaje rediseñado'!$C4886</f>
        <v>6.9444444444444198E-3</v>
      </c>
      <c r="F4886" s="48">
        <v>0.61805555555555558</v>
      </c>
      <c r="G4886" s="49">
        <f t="shared" si="76"/>
        <v>1.3888888888888951E-2</v>
      </c>
      <c r="H4886" s="50">
        <v>41794</v>
      </c>
      <c r="I4886" s="51" t="s">
        <v>549</v>
      </c>
      <c r="J4886" s="51">
        <v>320</v>
      </c>
      <c r="K4886" s="51">
        <f>VLOOKUP(J4886,'Validacion reclamo de equipaje'!L:M,2,0)</f>
        <v>179</v>
      </c>
      <c r="L4886" s="51" t="str">
        <f>VLOOKUP(I4886,'Validacion reclamo de equipaje'!H:I,2,0)</f>
        <v>Nacional</v>
      </c>
      <c r="M4886" s="51" t="s">
        <v>615</v>
      </c>
    </row>
    <row r="4887" spans="1:13" x14ac:dyDescent="0.25">
      <c r="A4887">
        <v>413</v>
      </c>
      <c r="B4887" s="47" t="str">
        <f>VLOOKUP(Tabla6[[#This Row],['# Vuelo]],'Validacion reclamo de equipaje'!P:Q,2,0)</f>
        <v>INTERAVIÓN</v>
      </c>
      <c r="C4887" s="52">
        <v>0.61319444444444449</v>
      </c>
      <c r="D4887" s="52">
        <v>0.61527777777777781</v>
      </c>
      <c r="E4887" s="53">
        <f>'Reclamo de equipaje rediseñado'!$D4887-'Reclamo de equipaje rediseñado'!$C4887</f>
        <v>2.0833333333333259E-3</v>
      </c>
      <c r="F4887" s="52">
        <v>0.62083333333333335</v>
      </c>
      <c r="G4887" s="53">
        <f t="shared" si="76"/>
        <v>5.5555555555555358E-3</v>
      </c>
      <c r="H4887" s="54">
        <v>41795</v>
      </c>
      <c r="I4887" s="55" t="s">
        <v>549</v>
      </c>
      <c r="J4887" s="55">
        <v>320</v>
      </c>
      <c r="K4887" s="55">
        <f>VLOOKUP(J4887,'Validacion reclamo de equipaje'!L:M,2,0)</f>
        <v>179</v>
      </c>
      <c r="L4887" s="55" t="str">
        <f>VLOOKUP(I4887,'Validacion reclamo de equipaje'!H:I,2,0)</f>
        <v>Nacional</v>
      </c>
      <c r="M4887" s="55" t="s">
        <v>615</v>
      </c>
    </row>
    <row r="4888" spans="1:13" x14ac:dyDescent="0.25">
      <c r="A4888">
        <v>413</v>
      </c>
      <c r="B4888" s="47" t="str">
        <f>VLOOKUP(Tabla6[[#This Row],['# Vuelo]],'Validacion reclamo de equipaje'!P:Q,2,0)</f>
        <v>INTERAVIÓN</v>
      </c>
      <c r="C4888" s="48">
        <v>0.61527777777777781</v>
      </c>
      <c r="D4888" s="48">
        <v>0.62361111111111112</v>
      </c>
      <c r="E4888" s="49">
        <f>'Reclamo de equipaje rediseñado'!$D4888-'Reclamo de equipaje rediseñado'!$C4888</f>
        <v>8.3333333333333037E-3</v>
      </c>
      <c r="F4888" s="48">
        <v>0.63611111111111118</v>
      </c>
      <c r="G4888" s="49">
        <f t="shared" si="76"/>
        <v>1.2500000000000067E-2</v>
      </c>
      <c r="H4888" s="50">
        <v>41796</v>
      </c>
      <c r="I4888" s="51" t="s">
        <v>549</v>
      </c>
      <c r="J4888" s="51">
        <v>320</v>
      </c>
      <c r="K4888" s="51">
        <f>VLOOKUP(J4888,'Validacion reclamo de equipaje'!L:M,2,0)</f>
        <v>179</v>
      </c>
      <c r="L4888" s="51" t="str">
        <f>VLOOKUP(I4888,'Validacion reclamo de equipaje'!H:I,2,0)</f>
        <v>Nacional</v>
      </c>
      <c r="M4888" s="51" t="s">
        <v>615</v>
      </c>
    </row>
    <row r="4889" spans="1:13" x14ac:dyDescent="0.25">
      <c r="A4889">
        <v>413</v>
      </c>
      <c r="B4889" s="47" t="str">
        <f>VLOOKUP(Tabla6[[#This Row],['# Vuelo]],'Validacion reclamo de equipaje'!P:Q,2,0)</f>
        <v>INTERAVIÓN</v>
      </c>
      <c r="C4889" s="52">
        <v>0.6118055555555556</v>
      </c>
      <c r="D4889" s="52">
        <v>0.61805555555555558</v>
      </c>
      <c r="E4889" s="53">
        <f>'Reclamo de equipaje rediseñado'!$D4889-'Reclamo de equipaje rediseñado'!$C4889</f>
        <v>6.2499999999999778E-3</v>
      </c>
      <c r="F4889" s="52">
        <v>0.62847222222222221</v>
      </c>
      <c r="G4889" s="53">
        <f t="shared" si="76"/>
        <v>1.041666666666663E-2</v>
      </c>
      <c r="H4889" s="54">
        <v>41797</v>
      </c>
      <c r="I4889" s="55" t="s">
        <v>549</v>
      </c>
      <c r="J4889" s="55">
        <v>320</v>
      </c>
      <c r="K4889" s="55">
        <f>VLOOKUP(J4889,'Validacion reclamo de equipaje'!L:M,2,0)</f>
        <v>179</v>
      </c>
      <c r="L4889" s="55" t="str">
        <f>VLOOKUP(I4889,'Validacion reclamo de equipaje'!H:I,2,0)</f>
        <v>Nacional</v>
      </c>
      <c r="M4889" s="55" t="s">
        <v>615</v>
      </c>
    </row>
    <row r="4890" spans="1:13" x14ac:dyDescent="0.25">
      <c r="A4890">
        <v>413</v>
      </c>
      <c r="B4890" s="47" t="str">
        <f>VLOOKUP(Tabla6[[#This Row],['# Vuelo]],'Validacion reclamo de equipaje'!P:Q,2,0)</f>
        <v>INTERAVIÓN</v>
      </c>
      <c r="C4890" s="48">
        <v>0.53125</v>
      </c>
      <c r="D4890" s="48">
        <v>0.53819444444444442</v>
      </c>
      <c r="E4890" s="49">
        <f>'Reclamo de equipaje rediseñado'!$D4890-'Reclamo de equipaje rediseñado'!$C4890</f>
        <v>6.9444444444444198E-3</v>
      </c>
      <c r="F4890" s="48">
        <v>0.55069444444444449</v>
      </c>
      <c r="G4890" s="49">
        <f t="shared" si="76"/>
        <v>1.2500000000000067E-2</v>
      </c>
      <c r="H4890" s="50">
        <v>41798</v>
      </c>
      <c r="I4890" s="51" t="s">
        <v>549</v>
      </c>
      <c r="J4890" s="51">
        <v>320</v>
      </c>
      <c r="K4890" s="51">
        <f>VLOOKUP(J4890,'Validacion reclamo de equipaje'!L:M,2,0)</f>
        <v>179</v>
      </c>
      <c r="L4890" s="51" t="str">
        <f>VLOOKUP(I4890,'Validacion reclamo de equipaje'!H:I,2,0)</f>
        <v>Nacional</v>
      </c>
      <c r="M4890" s="51" t="s">
        <v>615</v>
      </c>
    </row>
    <row r="4891" spans="1:13" x14ac:dyDescent="0.25">
      <c r="A4891">
        <v>413</v>
      </c>
      <c r="B4891" s="47" t="str">
        <f>VLOOKUP(Tabla6[[#This Row],['# Vuelo]],'Validacion reclamo de equipaje'!P:Q,2,0)</f>
        <v>INTERAVIÓN</v>
      </c>
      <c r="C4891" s="52">
        <v>0.43958333333333338</v>
      </c>
      <c r="D4891" s="52">
        <v>0.4458333333333333</v>
      </c>
      <c r="E4891" s="53">
        <f>'Reclamo de equipaje rediseñado'!$D4891-'Reclamo de equipaje rediseñado'!$C4891</f>
        <v>6.2499999999999223E-3</v>
      </c>
      <c r="F4891" s="52">
        <v>0.4604166666666667</v>
      </c>
      <c r="G4891" s="53">
        <f t="shared" si="76"/>
        <v>1.4583333333333393E-2</v>
      </c>
      <c r="H4891" s="54">
        <v>41801</v>
      </c>
      <c r="I4891" s="55" t="s">
        <v>549</v>
      </c>
      <c r="J4891" s="55">
        <v>320</v>
      </c>
      <c r="K4891" s="55">
        <f>VLOOKUP(J4891,'Validacion reclamo de equipaje'!L:M,2,0)</f>
        <v>179</v>
      </c>
      <c r="L4891" s="55" t="str">
        <f>VLOOKUP(I4891,'Validacion reclamo de equipaje'!H:I,2,0)</f>
        <v>Nacional</v>
      </c>
      <c r="M4891" s="55" t="s">
        <v>615</v>
      </c>
    </row>
    <row r="4892" spans="1:13" x14ac:dyDescent="0.25">
      <c r="A4892">
        <v>413</v>
      </c>
      <c r="B4892" s="47" t="str">
        <f>VLOOKUP(Tabla6[[#This Row],['# Vuelo]],'Validacion reclamo de equipaje'!P:Q,2,0)</f>
        <v>INTERAVIÓN</v>
      </c>
      <c r="C4892" s="48">
        <v>0.43402777777777773</v>
      </c>
      <c r="D4892" s="48">
        <v>0.43888888888888888</v>
      </c>
      <c r="E4892" s="49">
        <f>'Reclamo de equipaje rediseñado'!$D4892-'Reclamo de equipaje rediseñado'!$C4892</f>
        <v>4.8611111111111494E-3</v>
      </c>
      <c r="F4892" s="48">
        <v>0.44097222222222227</v>
      </c>
      <c r="G4892" s="49">
        <f t="shared" si="76"/>
        <v>2.0833333333333814E-3</v>
      </c>
      <c r="H4892" s="50">
        <v>41801</v>
      </c>
      <c r="I4892" s="51" t="s">
        <v>549</v>
      </c>
      <c r="J4892" s="51">
        <v>320</v>
      </c>
      <c r="K4892" s="51">
        <f>VLOOKUP(J4892,'Validacion reclamo de equipaje'!L:M,2,0)</f>
        <v>179</v>
      </c>
      <c r="L4892" s="51" t="str">
        <f>VLOOKUP(I4892,'Validacion reclamo de equipaje'!H:I,2,0)</f>
        <v>Nacional</v>
      </c>
      <c r="M4892" s="51" t="s">
        <v>615</v>
      </c>
    </row>
    <row r="4893" spans="1:13" x14ac:dyDescent="0.25">
      <c r="A4893">
        <v>413</v>
      </c>
      <c r="B4893" s="47" t="str">
        <f>VLOOKUP(Tabla6[[#This Row],['# Vuelo]],'Validacion reclamo de equipaje'!P:Q,2,0)</f>
        <v>INTERAVIÓN</v>
      </c>
      <c r="C4893" s="52">
        <v>0.84444444444444444</v>
      </c>
      <c r="D4893" s="52">
        <v>0.8569444444444444</v>
      </c>
      <c r="E4893" s="53">
        <f>'Reclamo de equipaje rediseñado'!$D4893-'Reclamo de equipaje rediseñado'!$C4893</f>
        <v>1.2499999999999956E-2</v>
      </c>
      <c r="F4893" s="52">
        <v>0.86111111111111116</v>
      </c>
      <c r="G4893" s="53">
        <f t="shared" si="76"/>
        <v>4.1666666666667629E-3</v>
      </c>
      <c r="H4893" s="54">
        <v>41802</v>
      </c>
      <c r="I4893" s="55" t="s">
        <v>549</v>
      </c>
      <c r="J4893" s="55">
        <v>320</v>
      </c>
      <c r="K4893" s="55">
        <f>VLOOKUP(J4893,'Validacion reclamo de equipaje'!L:M,2,0)</f>
        <v>179</v>
      </c>
      <c r="L4893" s="55" t="str">
        <f>VLOOKUP(I4893,'Validacion reclamo de equipaje'!H:I,2,0)</f>
        <v>Nacional</v>
      </c>
      <c r="M4893" s="55" t="s">
        <v>615</v>
      </c>
    </row>
    <row r="4894" spans="1:13" x14ac:dyDescent="0.25">
      <c r="A4894">
        <v>413</v>
      </c>
      <c r="B4894" s="47" t="str">
        <f>VLOOKUP(Tabla6[[#This Row],['# Vuelo]],'Validacion reclamo de equipaje'!P:Q,2,0)</f>
        <v>INTERAVIÓN</v>
      </c>
      <c r="C4894" s="48">
        <v>0.63402777777777775</v>
      </c>
      <c r="D4894" s="48">
        <v>0.64236111111111105</v>
      </c>
      <c r="E4894" s="49">
        <f>'Reclamo de equipaje rediseñado'!$D4894-'Reclamo de equipaje rediseñado'!$C4894</f>
        <v>8.3333333333333037E-3</v>
      </c>
      <c r="F4894" s="48">
        <v>0.64583333333333337</v>
      </c>
      <c r="G4894" s="49">
        <f t="shared" si="76"/>
        <v>3.4722222222223209E-3</v>
      </c>
      <c r="H4894" s="50">
        <v>41804</v>
      </c>
      <c r="I4894" s="51" t="s">
        <v>549</v>
      </c>
      <c r="J4894" s="51">
        <v>320</v>
      </c>
      <c r="K4894" s="51">
        <f>VLOOKUP(J4894,'Validacion reclamo de equipaje'!L:M,2,0)</f>
        <v>179</v>
      </c>
      <c r="L4894" s="51" t="str">
        <f>VLOOKUP(I4894,'Validacion reclamo de equipaje'!H:I,2,0)</f>
        <v>Nacional</v>
      </c>
      <c r="M4894" s="51" t="s">
        <v>615</v>
      </c>
    </row>
    <row r="4895" spans="1:13" x14ac:dyDescent="0.25">
      <c r="A4895">
        <v>413</v>
      </c>
      <c r="B4895" s="47" t="str">
        <f>VLOOKUP(Tabla6[[#This Row],['# Vuelo]],'Validacion reclamo de equipaje'!P:Q,2,0)</f>
        <v>INTERAVIÓN</v>
      </c>
      <c r="C4895" s="52">
        <v>0.56319444444444444</v>
      </c>
      <c r="D4895" s="52">
        <v>0.5708333333333333</v>
      </c>
      <c r="E4895" s="53">
        <f>'Reclamo de equipaje rediseñado'!$D4895-'Reclamo de equipaje rediseñado'!$C4895</f>
        <v>7.6388888888888618E-3</v>
      </c>
      <c r="F4895" s="52">
        <v>0.57916666666666672</v>
      </c>
      <c r="G4895" s="53">
        <f t="shared" si="76"/>
        <v>8.3333333333334147E-3</v>
      </c>
      <c r="H4895" s="54">
        <v>41805</v>
      </c>
      <c r="I4895" s="55" t="s">
        <v>549</v>
      </c>
      <c r="J4895" s="55">
        <v>320</v>
      </c>
      <c r="K4895" s="55">
        <f>VLOOKUP(J4895,'Validacion reclamo de equipaje'!L:M,2,0)</f>
        <v>179</v>
      </c>
      <c r="L4895" s="55" t="str">
        <f>VLOOKUP(I4895,'Validacion reclamo de equipaje'!H:I,2,0)</f>
        <v>Nacional</v>
      </c>
      <c r="M4895" s="55" t="s">
        <v>615</v>
      </c>
    </row>
    <row r="4896" spans="1:13" x14ac:dyDescent="0.25">
      <c r="A4896">
        <v>413</v>
      </c>
      <c r="B4896" s="47" t="str">
        <f>VLOOKUP(Tabla6[[#This Row],['# Vuelo]],'Validacion reclamo de equipaje'!P:Q,2,0)</f>
        <v>INTERAVIÓN</v>
      </c>
      <c r="C4896" s="48">
        <v>0.84930555555555554</v>
      </c>
      <c r="D4896" s="48">
        <v>0.85763888888888884</v>
      </c>
      <c r="E4896" s="49">
        <f>'Reclamo de equipaje rediseñado'!$D4896-'Reclamo de equipaje rediseñado'!$C4896</f>
        <v>8.3333333333333037E-3</v>
      </c>
      <c r="F4896" s="48">
        <v>0.87638888888888899</v>
      </c>
      <c r="G4896" s="49">
        <f t="shared" si="76"/>
        <v>1.8750000000000155E-2</v>
      </c>
      <c r="H4896" s="50">
        <v>41807</v>
      </c>
      <c r="I4896" s="51" t="s">
        <v>549</v>
      </c>
      <c r="J4896" s="51">
        <v>320</v>
      </c>
      <c r="K4896" s="51">
        <f>VLOOKUP(J4896,'Validacion reclamo de equipaje'!L:M,2,0)</f>
        <v>179</v>
      </c>
      <c r="L4896" s="51" t="str">
        <f>VLOOKUP(I4896,'Validacion reclamo de equipaje'!H:I,2,0)</f>
        <v>Nacional</v>
      </c>
      <c r="M4896" s="51" t="s">
        <v>615</v>
      </c>
    </row>
    <row r="4897" spans="1:13" x14ac:dyDescent="0.25">
      <c r="A4897">
        <v>413</v>
      </c>
      <c r="B4897" s="47" t="str">
        <f>VLOOKUP(Tabla6[[#This Row],['# Vuelo]],'Validacion reclamo de equipaje'!P:Q,2,0)</f>
        <v>INTERAVIÓN</v>
      </c>
      <c r="C4897" s="52">
        <v>0.59375</v>
      </c>
      <c r="D4897" s="52">
        <v>0.60763888888888895</v>
      </c>
      <c r="E4897" s="53">
        <f>'Reclamo de equipaje rediseñado'!$D4897-'Reclamo de equipaje rediseñado'!$C4897</f>
        <v>1.3888888888888951E-2</v>
      </c>
      <c r="F4897" s="52">
        <v>0.61805555555555558</v>
      </c>
      <c r="G4897" s="53">
        <f t="shared" si="76"/>
        <v>1.041666666666663E-2</v>
      </c>
      <c r="H4897" s="54">
        <v>41808</v>
      </c>
      <c r="I4897" s="55" t="s">
        <v>549</v>
      </c>
      <c r="J4897" s="55">
        <v>320</v>
      </c>
      <c r="K4897" s="55">
        <f>VLOOKUP(J4897,'Validacion reclamo de equipaje'!L:M,2,0)</f>
        <v>179</v>
      </c>
      <c r="L4897" s="55" t="str">
        <f>VLOOKUP(I4897,'Validacion reclamo de equipaje'!H:I,2,0)</f>
        <v>Nacional</v>
      </c>
      <c r="M4897" s="55" t="s">
        <v>615</v>
      </c>
    </row>
    <row r="4898" spans="1:13" x14ac:dyDescent="0.25">
      <c r="A4898">
        <v>413</v>
      </c>
      <c r="B4898" s="47" t="str">
        <f>VLOOKUP(Tabla6[[#This Row],['# Vuelo]],'Validacion reclamo de equipaje'!P:Q,2,0)</f>
        <v>INTERAVIÓN</v>
      </c>
      <c r="C4898" s="48">
        <v>0.60138888888888886</v>
      </c>
      <c r="D4898" s="48">
        <v>0.61597222222222225</v>
      </c>
      <c r="E4898" s="49">
        <f>'Reclamo de equipaje rediseñado'!$D4898-'Reclamo de equipaje rediseñado'!$C4898</f>
        <v>1.4583333333333393E-2</v>
      </c>
      <c r="F4898" s="48">
        <v>0.63124999999999998</v>
      </c>
      <c r="G4898" s="49">
        <f t="shared" si="76"/>
        <v>1.5277777777777724E-2</v>
      </c>
      <c r="H4898" s="50">
        <v>41809</v>
      </c>
      <c r="I4898" s="51" t="s">
        <v>549</v>
      </c>
      <c r="J4898" s="51">
        <v>320</v>
      </c>
      <c r="K4898" s="51">
        <f>VLOOKUP(J4898,'Validacion reclamo de equipaje'!L:M,2,0)</f>
        <v>179</v>
      </c>
      <c r="L4898" s="51" t="str">
        <f>VLOOKUP(I4898,'Validacion reclamo de equipaje'!H:I,2,0)</f>
        <v>Nacional</v>
      </c>
      <c r="M4898" s="51" t="s">
        <v>615</v>
      </c>
    </row>
    <row r="4899" spans="1:13" x14ac:dyDescent="0.25">
      <c r="A4899">
        <v>413</v>
      </c>
      <c r="B4899" s="47" t="str">
        <f>VLOOKUP(Tabla6[[#This Row],['# Vuelo]],'Validacion reclamo de equipaje'!P:Q,2,0)</f>
        <v>INTERAVIÓN</v>
      </c>
      <c r="C4899" s="52">
        <v>0.61111111111111105</v>
      </c>
      <c r="D4899" s="52">
        <v>0.61805555555555558</v>
      </c>
      <c r="E4899" s="53">
        <f>'Reclamo de equipaje rediseñado'!$D4899-'Reclamo de equipaje rediseñado'!$C4899</f>
        <v>6.9444444444445308E-3</v>
      </c>
      <c r="F4899" s="52">
        <v>0.62916666666666665</v>
      </c>
      <c r="G4899" s="53">
        <f t="shared" si="76"/>
        <v>1.1111111111111072E-2</v>
      </c>
      <c r="H4899" s="54">
        <v>41810</v>
      </c>
      <c r="I4899" s="55" t="s">
        <v>549</v>
      </c>
      <c r="J4899" s="55">
        <v>320</v>
      </c>
      <c r="K4899" s="55">
        <f>VLOOKUP(J4899,'Validacion reclamo de equipaje'!L:M,2,0)</f>
        <v>179</v>
      </c>
      <c r="L4899" s="55" t="str">
        <f>VLOOKUP(I4899,'Validacion reclamo de equipaje'!H:I,2,0)</f>
        <v>Nacional</v>
      </c>
      <c r="M4899" s="55" t="s">
        <v>615</v>
      </c>
    </row>
    <row r="4900" spans="1:13" x14ac:dyDescent="0.25">
      <c r="A4900">
        <v>413</v>
      </c>
      <c r="B4900" s="47" t="str">
        <f>VLOOKUP(Tabla6[[#This Row],['# Vuelo]],'Validacion reclamo de equipaje'!P:Q,2,0)</f>
        <v>INTERAVIÓN</v>
      </c>
      <c r="C4900" s="48">
        <v>0.60972222222222217</v>
      </c>
      <c r="D4900" s="48">
        <v>0.6166666666666667</v>
      </c>
      <c r="E4900" s="49">
        <f>'Reclamo de equipaje rediseñado'!$D4900-'Reclamo de equipaje rediseñado'!$C4900</f>
        <v>6.9444444444445308E-3</v>
      </c>
      <c r="F4900" s="48">
        <v>0.62847222222222221</v>
      </c>
      <c r="G4900" s="49">
        <f t="shared" si="76"/>
        <v>1.1805555555555514E-2</v>
      </c>
      <c r="H4900" s="50">
        <v>41811</v>
      </c>
      <c r="I4900" s="51" t="s">
        <v>549</v>
      </c>
      <c r="J4900" s="51">
        <v>320</v>
      </c>
      <c r="K4900" s="51">
        <f>VLOOKUP(J4900,'Validacion reclamo de equipaje'!L:M,2,0)</f>
        <v>179</v>
      </c>
      <c r="L4900" s="51" t="str">
        <f>VLOOKUP(I4900,'Validacion reclamo de equipaje'!H:I,2,0)</f>
        <v>Nacional</v>
      </c>
      <c r="M4900" s="51" t="s">
        <v>615</v>
      </c>
    </row>
    <row r="4901" spans="1:13" x14ac:dyDescent="0.25">
      <c r="A4901">
        <v>413</v>
      </c>
      <c r="B4901" s="47" t="str">
        <f>VLOOKUP(Tabla6[[#This Row],['# Vuelo]],'Validacion reclamo de equipaje'!P:Q,2,0)</f>
        <v>INTERAVIÓN</v>
      </c>
      <c r="C4901" s="52">
        <v>0.59305555555555556</v>
      </c>
      <c r="D4901" s="52">
        <v>0.6</v>
      </c>
      <c r="E4901" s="53">
        <f>'Reclamo de equipaje rediseñado'!$D4901-'Reclamo de equipaje rediseñado'!$C4901</f>
        <v>6.9444444444444198E-3</v>
      </c>
      <c r="F4901" s="52">
        <v>0.61041666666666672</v>
      </c>
      <c r="G4901" s="53">
        <f t="shared" si="76"/>
        <v>1.0416666666666741E-2</v>
      </c>
      <c r="H4901" s="54">
        <v>41813</v>
      </c>
      <c r="I4901" s="55" t="s">
        <v>549</v>
      </c>
      <c r="J4901" s="55">
        <v>320</v>
      </c>
      <c r="K4901" s="55">
        <f>VLOOKUP(J4901,'Validacion reclamo de equipaje'!L:M,2,0)</f>
        <v>179</v>
      </c>
      <c r="L4901" s="55" t="str">
        <f>VLOOKUP(I4901,'Validacion reclamo de equipaje'!H:I,2,0)</f>
        <v>Nacional</v>
      </c>
      <c r="M4901" s="55" t="s">
        <v>615</v>
      </c>
    </row>
    <row r="4902" spans="1:13" x14ac:dyDescent="0.25">
      <c r="A4902">
        <v>413</v>
      </c>
      <c r="B4902" s="47" t="str">
        <f>VLOOKUP(Tabla6[[#This Row],['# Vuelo]],'Validacion reclamo de equipaje'!P:Q,2,0)</f>
        <v>INTERAVIÓN</v>
      </c>
      <c r="C4902" s="48">
        <v>0.53125</v>
      </c>
      <c r="D4902" s="48">
        <v>0.53472222222222221</v>
      </c>
      <c r="E4902" s="49">
        <f>'Reclamo de equipaje rediseñado'!$D4902-'Reclamo de equipaje rediseñado'!$C4902</f>
        <v>3.4722222222222099E-3</v>
      </c>
      <c r="F4902" s="48">
        <v>0.54861111111111105</v>
      </c>
      <c r="G4902" s="49">
        <f t="shared" si="76"/>
        <v>1.388888888888884E-2</v>
      </c>
      <c r="H4902" s="50">
        <v>41812</v>
      </c>
      <c r="I4902" s="51" t="s">
        <v>549</v>
      </c>
      <c r="J4902" s="51">
        <v>320</v>
      </c>
      <c r="K4902" s="51">
        <f>VLOOKUP(J4902,'Validacion reclamo de equipaje'!L:M,2,0)</f>
        <v>179</v>
      </c>
      <c r="L4902" s="51" t="str">
        <f>VLOOKUP(I4902,'Validacion reclamo de equipaje'!H:I,2,0)</f>
        <v>Nacional</v>
      </c>
      <c r="M4902" s="51" t="s">
        <v>615</v>
      </c>
    </row>
    <row r="4903" spans="1:13" x14ac:dyDescent="0.25">
      <c r="A4903">
        <v>411</v>
      </c>
      <c r="B4903" s="47" t="str">
        <f>VLOOKUP(Tabla6[[#This Row],['# Vuelo]],'Validacion reclamo de equipaje'!P:Q,2,0)</f>
        <v>INTERAVIÓN</v>
      </c>
      <c r="C4903" s="52">
        <v>0.84861111111111109</v>
      </c>
      <c r="D4903" s="52">
        <v>0.85763888888888884</v>
      </c>
      <c r="E4903" s="53">
        <f>'Reclamo de equipaje rediseñado'!$D4903-'Reclamo de equipaje rediseñado'!$C4903</f>
        <v>9.0277777777777457E-3</v>
      </c>
      <c r="F4903" s="52">
        <v>0.87361111111111101</v>
      </c>
      <c r="G4903" s="53">
        <f t="shared" si="76"/>
        <v>1.5972222222222165E-2</v>
      </c>
      <c r="H4903" s="54">
        <v>41791</v>
      </c>
      <c r="I4903" s="55" t="s">
        <v>549</v>
      </c>
      <c r="J4903" s="55">
        <v>320</v>
      </c>
      <c r="K4903" s="55">
        <f>VLOOKUP(J4903,'Validacion reclamo de equipaje'!L:M,2,0)</f>
        <v>179</v>
      </c>
      <c r="L4903" s="55" t="str">
        <f>VLOOKUP(I4903,'Validacion reclamo de equipaje'!H:I,2,0)</f>
        <v>Nacional</v>
      </c>
      <c r="M4903" s="55" t="s">
        <v>615</v>
      </c>
    </row>
    <row r="4904" spans="1:13" x14ac:dyDescent="0.25">
      <c r="A4904">
        <v>411</v>
      </c>
      <c r="B4904" s="47" t="str">
        <f>VLOOKUP(Tabla6[[#This Row],['# Vuelo]],'Validacion reclamo de equipaje'!P:Q,2,0)</f>
        <v>INTERAVIÓN</v>
      </c>
      <c r="C4904" s="48">
        <v>0.85138888888888886</v>
      </c>
      <c r="D4904" s="48">
        <v>0.86458333333333337</v>
      </c>
      <c r="E4904" s="49">
        <f>'Reclamo de equipaje rediseñado'!$D4904-'Reclamo de equipaje rediseñado'!$C4904</f>
        <v>1.3194444444444509E-2</v>
      </c>
      <c r="F4904" s="48">
        <v>0.87708333333333333</v>
      </c>
      <c r="G4904" s="49">
        <f t="shared" si="76"/>
        <v>1.2499999999999956E-2</v>
      </c>
      <c r="H4904" s="50">
        <v>41795</v>
      </c>
      <c r="I4904" s="51" t="s">
        <v>549</v>
      </c>
      <c r="J4904" s="51">
        <v>320</v>
      </c>
      <c r="K4904" s="51">
        <f>VLOOKUP(J4904,'Validacion reclamo de equipaje'!L:M,2,0)</f>
        <v>179</v>
      </c>
      <c r="L4904" s="51" t="str">
        <f>VLOOKUP(I4904,'Validacion reclamo de equipaje'!H:I,2,0)</f>
        <v>Nacional</v>
      </c>
      <c r="M4904" s="51" t="s">
        <v>615</v>
      </c>
    </row>
    <row r="4905" spans="1:13" x14ac:dyDescent="0.25">
      <c r="A4905">
        <v>411</v>
      </c>
      <c r="B4905" s="47" t="str">
        <f>VLOOKUP(Tabla6[[#This Row],['# Vuelo]],'Validacion reclamo de equipaje'!P:Q,2,0)</f>
        <v>INTERAVIÓN</v>
      </c>
      <c r="C4905" s="52">
        <v>0.80208333333333337</v>
      </c>
      <c r="D4905" s="52">
        <v>0.83472222222222225</v>
      </c>
      <c r="E4905" s="53">
        <f>'Reclamo de equipaje rediseñado'!$D4905-'Reclamo de equipaje rediseñado'!$C4905</f>
        <v>3.2638888888888884E-2</v>
      </c>
      <c r="F4905" s="52">
        <v>0.84444444444444444</v>
      </c>
      <c r="G4905" s="53">
        <f t="shared" si="76"/>
        <v>9.7222222222221877E-3</v>
      </c>
      <c r="H4905" s="54">
        <v>41799</v>
      </c>
      <c r="I4905" s="55" t="s">
        <v>549</v>
      </c>
      <c r="J4905" s="55">
        <v>320</v>
      </c>
      <c r="K4905" s="55">
        <f>VLOOKUP(J4905,'Validacion reclamo de equipaje'!L:M,2,0)</f>
        <v>179</v>
      </c>
      <c r="L4905" s="55" t="str">
        <f>VLOOKUP(I4905,'Validacion reclamo de equipaje'!H:I,2,0)</f>
        <v>Nacional</v>
      </c>
      <c r="M4905" s="55" t="s">
        <v>615</v>
      </c>
    </row>
    <row r="4906" spans="1:13" x14ac:dyDescent="0.25">
      <c r="A4906">
        <v>411</v>
      </c>
      <c r="B4906" s="47" t="str">
        <f>VLOOKUP(Tabla6[[#This Row],['# Vuelo]],'Validacion reclamo de equipaje'!P:Q,2,0)</f>
        <v>INTERAVIÓN</v>
      </c>
      <c r="C4906" s="48">
        <v>0.21527777777777779</v>
      </c>
      <c r="D4906" s="48">
        <v>0.21875</v>
      </c>
      <c r="E4906" s="49">
        <f>'Reclamo de equipaje rediseñado'!$D4906-'Reclamo de equipaje rediseñado'!$C4906</f>
        <v>3.4722222222222099E-3</v>
      </c>
      <c r="F4906" s="48">
        <v>0.23541666666666669</v>
      </c>
      <c r="G4906" s="49">
        <f t="shared" si="76"/>
        <v>1.6666666666666691E-2</v>
      </c>
      <c r="H4906" s="50">
        <v>41802</v>
      </c>
      <c r="I4906" s="51" t="s">
        <v>549</v>
      </c>
      <c r="J4906" s="51">
        <v>320</v>
      </c>
      <c r="K4906" s="51">
        <f>VLOOKUP(J4906,'Validacion reclamo de equipaje'!L:M,2,0)</f>
        <v>179</v>
      </c>
      <c r="L4906" s="51" t="str">
        <f>VLOOKUP(I4906,'Validacion reclamo de equipaje'!H:I,2,0)</f>
        <v>Nacional</v>
      </c>
      <c r="M4906" s="51" t="s">
        <v>615</v>
      </c>
    </row>
    <row r="4907" spans="1:13" x14ac:dyDescent="0.25">
      <c r="A4907">
        <v>411</v>
      </c>
      <c r="B4907" s="47" t="str">
        <f>VLOOKUP(Tabla6[[#This Row],['# Vuelo]],'Validacion reclamo de equipaje'!P:Q,2,0)</f>
        <v>INTERAVIÓN</v>
      </c>
      <c r="C4907" s="52">
        <v>0.71875</v>
      </c>
      <c r="D4907" s="52">
        <v>0.72569444444444453</v>
      </c>
      <c r="E4907" s="53">
        <f>'Reclamo de equipaje rediseñado'!$D4907-'Reclamo de equipaje rediseñado'!$C4907</f>
        <v>6.9444444444445308E-3</v>
      </c>
      <c r="F4907" s="52">
        <v>0.73402777777777783</v>
      </c>
      <c r="G4907" s="53">
        <f t="shared" si="76"/>
        <v>8.3333333333333037E-3</v>
      </c>
      <c r="H4907" s="54">
        <v>41805</v>
      </c>
      <c r="I4907" s="55" t="s">
        <v>549</v>
      </c>
      <c r="J4907" s="55">
        <v>320</v>
      </c>
      <c r="K4907" s="55">
        <f>VLOOKUP(J4907,'Validacion reclamo de equipaje'!L:M,2,0)</f>
        <v>179</v>
      </c>
      <c r="L4907" s="55" t="str">
        <f>VLOOKUP(I4907,'Validacion reclamo de equipaje'!H:I,2,0)</f>
        <v>Nacional</v>
      </c>
      <c r="M4907" s="55" t="s">
        <v>615</v>
      </c>
    </row>
    <row r="4908" spans="1:13" x14ac:dyDescent="0.25">
      <c r="A4908">
        <v>411</v>
      </c>
      <c r="B4908" s="47" t="str">
        <f>VLOOKUP(Tabla6[[#This Row],['# Vuelo]],'Validacion reclamo de equipaje'!P:Q,2,0)</f>
        <v>INTERAVIÓN</v>
      </c>
      <c r="C4908" s="48">
        <v>0.87430555555555556</v>
      </c>
      <c r="D4908" s="48">
        <v>0.88124999999999998</v>
      </c>
      <c r="E4908" s="49">
        <f>'Reclamo de equipaje rediseñado'!$D4908-'Reclamo de equipaje rediseñado'!$C4908</f>
        <v>6.9444444444444198E-3</v>
      </c>
      <c r="F4908" s="48">
        <v>0.8930555555555556</v>
      </c>
      <c r="G4908" s="49">
        <f t="shared" si="76"/>
        <v>1.1805555555555625E-2</v>
      </c>
      <c r="H4908" s="50">
        <v>41809</v>
      </c>
      <c r="I4908" s="51" t="s">
        <v>549</v>
      </c>
      <c r="J4908" s="51">
        <v>320</v>
      </c>
      <c r="K4908" s="51">
        <f>VLOOKUP(J4908,'Validacion reclamo de equipaje'!L:M,2,0)</f>
        <v>179</v>
      </c>
      <c r="L4908" s="51" t="str">
        <f>VLOOKUP(I4908,'Validacion reclamo de equipaje'!H:I,2,0)</f>
        <v>Nacional</v>
      </c>
      <c r="M4908" s="51" t="s">
        <v>615</v>
      </c>
    </row>
    <row r="4909" spans="1:13" x14ac:dyDescent="0.25">
      <c r="A4909">
        <v>411</v>
      </c>
      <c r="B4909" s="47" t="str">
        <f>VLOOKUP(Tabla6[[#This Row],['# Vuelo]],'Validacion reclamo de equipaje'!P:Q,2,0)</f>
        <v>INTERAVIÓN</v>
      </c>
      <c r="C4909" s="52">
        <v>0.83263888888888893</v>
      </c>
      <c r="D4909" s="52">
        <v>0.83888888888888891</v>
      </c>
      <c r="E4909" s="53">
        <f>'Reclamo de equipaje rediseñado'!$D4909-'Reclamo de equipaje rediseñado'!$C4909</f>
        <v>6.2499999999999778E-3</v>
      </c>
      <c r="F4909" s="52">
        <v>0.86597222222222225</v>
      </c>
      <c r="G4909" s="53">
        <f t="shared" si="76"/>
        <v>2.7083333333333348E-2</v>
      </c>
      <c r="H4909" s="54">
        <v>41811</v>
      </c>
      <c r="I4909" s="55" t="s">
        <v>549</v>
      </c>
      <c r="J4909" s="55">
        <v>320</v>
      </c>
      <c r="K4909" s="55">
        <f>VLOOKUP(J4909,'Validacion reclamo de equipaje'!L:M,2,0)</f>
        <v>179</v>
      </c>
      <c r="L4909" s="55" t="str">
        <f>VLOOKUP(I4909,'Validacion reclamo de equipaje'!H:I,2,0)</f>
        <v>Nacional</v>
      </c>
      <c r="M4909" s="55" t="s">
        <v>615</v>
      </c>
    </row>
    <row r="4910" spans="1:13" x14ac:dyDescent="0.25">
      <c r="A4910">
        <v>236</v>
      </c>
      <c r="B4910" s="47" t="str">
        <f>VLOOKUP(Tabla6[[#This Row],['# Vuelo]],'Validacion reclamo de equipaje'!P:Q,2,0)</f>
        <v>INTERAVIÓN</v>
      </c>
      <c r="C4910" s="48">
        <v>0.88055555555555554</v>
      </c>
      <c r="D4910" s="48">
        <v>0.8881944444444444</v>
      </c>
      <c r="E4910" s="49">
        <f>'Reclamo de equipaje rediseñado'!$D4910-'Reclamo de equipaje rediseñado'!$C4910</f>
        <v>7.6388888888888618E-3</v>
      </c>
      <c r="F4910" s="48">
        <v>0.89444444444444438</v>
      </c>
      <c r="G4910" s="49">
        <f t="shared" si="76"/>
        <v>6.2499999999999778E-3</v>
      </c>
      <c r="H4910" s="50">
        <v>41791</v>
      </c>
      <c r="I4910" s="51" t="s">
        <v>543</v>
      </c>
      <c r="J4910" s="51">
        <v>320</v>
      </c>
      <c r="K4910" s="51">
        <f>VLOOKUP(J4910,'Validacion reclamo de equipaje'!L:M,2,0)</f>
        <v>179</v>
      </c>
      <c r="L4910" s="51" t="str">
        <f>VLOOKUP(I4910,'Validacion reclamo de equipaje'!H:I,2,0)</f>
        <v>Nacional</v>
      </c>
      <c r="M4910" s="51" t="s">
        <v>615</v>
      </c>
    </row>
    <row r="4911" spans="1:13" x14ac:dyDescent="0.25">
      <c r="A4911">
        <v>236</v>
      </c>
      <c r="B4911" s="47" t="str">
        <f>VLOOKUP(Tabla6[[#This Row],['# Vuelo]],'Validacion reclamo de equipaje'!P:Q,2,0)</f>
        <v>INTERAVIÓN</v>
      </c>
      <c r="C4911" s="52">
        <v>0.88680555555555562</v>
      </c>
      <c r="D4911" s="52">
        <v>0.89166666666666661</v>
      </c>
      <c r="E4911" s="53">
        <f>'Reclamo de equipaje rediseñado'!$D4911-'Reclamo de equipaje rediseñado'!$C4911</f>
        <v>4.8611111111109828E-3</v>
      </c>
      <c r="F4911" s="52">
        <v>0.8965277777777777</v>
      </c>
      <c r="G4911" s="53">
        <f t="shared" si="76"/>
        <v>4.8611111111110938E-3</v>
      </c>
      <c r="H4911" s="54">
        <v>41792</v>
      </c>
      <c r="I4911" s="55" t="s">
        <v>543</v>
      </c>
      <c r="J4911" s="55">
        <v>320</v>
      </c>
      <c r="K4911" s="55">
        <f>VLOOKUP(J4911,'Validacion reclamo de equipaje'!L:M,2,0)</f>
        <v>179</v>
      </c>
      <c r="L4911" s="55" t="str">
        <f>VLOOKUP(I4911,'Validacion reclamo de equipaje'!H:I,2,0)</f>
        <v>Nacional</v>
      </c>
      <c r="M4911" s="55" t="s">
        <v>615</v>
      </c>
    </row>
    <row r="4912" spans="1:13" x14ac:dyDescent="0.25">
      <c r="A4912">
        <v>236</v>
      </c>
      <c r="B4912" s="47" t="str">
        <f>VLOOKUP(Tabla6[[#This Row],['# Vuelo]],'Validacion reclamo de equipaje'!P:Q,2,0)</f>
        <v>INTERAVIÓN</v>
      </c>
      <c r="C4912" s="48">
        <v>0.85069444444444453</v>
      </c>
      <c r="D4912" s="48">
        <v>0.86944444444444446</v>
      </c>
      <c r="E4912" s="49">
        <f>'Reclamo de equipaje rediseñado'!$D4912-'Reclamo de equipaje rediseñado'!$C4912</f>
        <v>1.8749999999999933E-2</v>
      </c>
      <c r="F4912" s="48">
        <v>0.88194444444444453</v>
      </c>
      <c r="G4912" s="49">
        <f t="shared" si="76"/>
        <v>1.2500000000000067E-2</v>
      </c>
      <c r="H4912" s="50">
        <v>41793</v>
      </c>
      <c r="I4912" s="51" t="s">
        <v>543</v>
      </c>
      <c r="J4912" s="51">
        <v>320</v>
      </c>
      <c r="K4912" s="51">
        <f>VLOOKUP(J4912,'Validacion reclamo de equipaje'!L:M,2,0)</f>
        <v>179</v>
      </c>
      <c r="L4912" s="51" t="str">
        <f>VLOOKUP(I4912,'Validacion reclamo de equipaje'!H:I,2,0)</f>
        <v>Nacional</v>
      </c>
      <c r="M4912" s="51" t="s">
        <v>615</v>
      </c>
    </row>
    <row r="4913" spans="1:13" x14ac:dyDescent="0.25">
      <c r="A4913">
        <v>236</v>
      </c>
      <c r="B4913" s="47" t="str">
        <f>VLOOKUP(Tabla6[[#This Row],['# Vuelo]],'Validacion reclamo de equipaje'!P:Q,2,0)</f>
        <v>INTERAVIÓN</v>
      </c>
      <c r="C4913" s="52">
        <v>0.87777777777777777</v>
      </c>
      <c r="D4913" s="52">
        <v>0.88541666666666663</v>
      </c>
      <c r="E4913" s="53">
        <f>'Reclamo de equipaje rediseñado'!$D4913-'Reclamo de equipaje rediseñado'!$C4913</f>
        <v>7.6388888888888618E-3</v>
      </c>
      <c r="F4913" s="52">
        <v>0.89027777777777783</v>
      </c>
      <c r="G4913" s="53">
        <f t="shared" si="76"/>
        <v>4.8611111111112049E-3</v>
      </c>
      <c r="H4913" s="54">
        <v>41794</v>
      </c>
      <c r="I4913" s="55" t="s">
        <v>543</v>
      </c>
      <c r="J4913" s="55">
        <v>320</v>
      </c>
      <c r="K4913" s="55">
        <f>VLOOKUP(J4913,'Validacion reclamo de equipaje'!L:M,2,0)</f>
        <v>179</v>
      </c>
      <c r="L4913" s="55" t="str">
        <f>VLOOKUP(I4913,'Validacion reclamo de equipaje'!H:I,2,0)</f>
        <v>Nacional</v>
      </c>
      <c r="M4913" s="55" t="s">
        <v>615</v>
      </c>
    </row>
    <row r="4914" spans="1:13" x14ac:dyDescent="0.25">
      <c r="A4914">
        <v>236</v>
      </c>
      <c r="B4914" s="47" t="str">
        <f>VLOOKUP(Tabla6[[#This Row],['# Vuelo]],'Validacion reclamo de equipaje'!P:Q,2,0)</f>
        <v>INTERAVIÓN</v>
      </c>
      <c r="C4914" s="48">
        <v>0.87708333333333333</v>
      </c>
      <c r="D4914" s="48">
        <v>0.88611111111111107</v>
      </c>
      <c r="E4914" s="49">
        <f>'Reclamo de equipaje rediseñado'!$D4914-'Reclamo de equipaje rediseñado'!$C4914</f>
        <v>9.0277777777777457E-3</v>
      </c>
      <c r="F4914" s="48">
        <v>0.89027777777777783</v>
      </c>
      <c r="G4914" s="49">
        <f t="shared" si="76"/>
        <v>4.1666666666667629E-3</v>
      </c>
      <c r="H4914" s="50">
        <v>41795</v>
      </c>
      <c r="I4914" s="51" t="s">
        <v>543</v>
      </c>
      <c r="J4914" s="51">
        <v>320</v>
      </c>
      <c r="K4914" s="51">
        <f>VLOOKUP(J4914,'Validacion reclamo de equipaje'!L:M,2,0)</f>
        <v>179</v>
      </c>
      <c r="L4914" s="51" t="str">
        <f>VLOOKUP(I4914,'Validacion reclamo de equipaje'!H:I,2,0)</f>
        <v>Nacional</v>
      </c>
      <c r="M4914" s="51" t="s">
        <v>615</v>
      </c>
    </row>
    <row r="4915" spans="1:13" x14ac:dyDescent="0.25">
      <c r="A4915">
        <v>236</v>
      </c>
      <c r="B4915" s="47" t="str">
        <f>VLOOKUP(Tabla6[[#This Row],['# Vuelo]],'Validacion reclamo de equipaje'!P:Q,2,0)</f>
        <v>INTERAVIÓN</v>
      </c>
      <c r="C4915" s="52">
        <v>0.93333333333333324</v>
      </c>
      <c r="D4915" s="52">
        <v>0.9472222222222223</v>
      </c>
      <c r="E4915" s="53">
        <f>'Reclamo de equipaje rediseñado'!$D4915-'Reclamo de equipaje rediseñado'!$C4915</f>
        <v>1.3888888888889062E-2</v>
      </c>
      <c r="F4915" s="52">
        <v>0.9506944444444444</v>
      </c>
      <c r="G4915" s="53">
        <f t="shared" si="76"/>
        <v>3.4722222222220989E-3</v>
      </c>
      <c r="H4915" s="54">
        <v>41798</v>
      </c>
      <c r="I4915" s="55" t="s">
        <v>543</v>
      </c>
      <c r="J4915" s="55">
        <v>320</v>
      </c>
      <c r="K4915" s="55">
        <f>VLOOKUP(J4915,'Validacion reclamo de equipaje'!L:M,2,0)</f>
        <v>179</v>
      </c>
      <c r="L4915" s="55" t="str">
        <f>VLOOKUP(I4915,'Validacion reclamo de equipaje'!H:I,2,0)</f>
        <v>Nacional</v>
      </c>
      <c r="M4915" s="55" t="s">
        <v>615</v>
      </c>
    </row>
    <row r="4916" spans="1:13" x14ac:dyDescent="0.25">
      <c r="A4916">
        <v>236</v>
      </c>
      <c r="B4916" s="47" t="str">
        <f>VLOOKUP(Tabla6[[#This Row],['# Vuelo]],'Validacion reclamo de equipaje'!P:Q,2,0)</f>
        <v>INTERAVIÓN</v>
      </c>
      <c r="C4916" s="48">
        <v>0.90277777777777779</v>
      </c>
      <c r="D4916" s="48">
        <v>0.90625</v>
      </c>
      <c r="E4916" s="49">
        <f>'Reclamo de equipaje rediseñado'!$D4916-'Reclamo de equipaje rediseñado'!$C4916</f>
        <v>3.4722222222222099E-3</v>
      </c>
      <c r="F4916" s="48">
        <v>0.91180555555555554</v>
      </c>
      <c r="G4916" s="49">
        <f t="shared" si="76"/>
        <v>5.5555555555555358E-3</v>
      </c>
      <c r="H4916" s="50">
        <v>41799</v>
      </c>
      <c r="I4916" s="51" t="s">
        <v>543</v>
      </c>
      <c r="J4916" s="51">
        <v>320</v>
      </c>
      <c r="K4916" s="51">
        <f>VLOOKUP(J4916,'Validacion reclamo de equipaje'!L:M,2,0)</f>
        <v>179</v>
      </c>
      <c r="L4916" s="51" t="str">
        <f>VLOOKUP(I4916,'Validacion reclamo de equipaje'!H:I,2,0)</f>
        <v>Nacional</v>
      </c>
      <c r="M4916" s="51" t="s">
        <v>615</v>
      </c>
    </row>
    <row r="4917" spans="1:13" x14ac:dyDescent="0.25">
      <c r="A4917">
        <v>236</v>
      </c>
      <c r="B4917" s="47" t="str">
        <f>VLOOKUP(Tabla6[[#This Row],['# Vuelo]],'Validacion reclamo de equipaje'!P:Q,2,0)</f>
        <v>INTERAVIÓN</v>
      </c>
      <c r="C4917" s="52">
        <v>0.88194444444444453</v>
      </c>
      <c r="D4917" s="52">
        <v>0.88888888888888884</v>
      </c>
      <c r="E4917" s="53">
        <f>'Reclamo de equipaje rediseñado'!$D4917-'Reclamo de equipaje rediseñado'!$C4917</f>
        <v>6.9444444444443088E-3</v>
      </c>
      <c r="F4917" s="52">
        <v>0.89583333333333337</v>
      </c>
      <c r="G4917" s="53">
        <f t="shared" si="76"/>
        <v>6.9444444444445308E-3</v>
      </c>
      <c r="H4917" s="54">
        <v>41799</v>
      </c>
      <c r="I4917" s="55" t="s">
        <v>543</v>
      </c>
      <c r="J4917" s="55">
        <v>320</v>
      </c>
      <c r="K4917" s="55">
        <f>VLOOKUP(J4917,'Validacion reclamo de equipaje'!L:M,2,0)</f>
        <v>179</v>
      </c>
      <c r="L4917" s="55" t="str">
        <f>VLOOKUP(I4917,'Validacion reclamo de equipaje'!H:I,2,0)</f>
        <v>Nacional</v>
      </c>
      <c r="M4917" s="55" t="s">
        <v>615</v>
      </c>
    </row>
    <row r="4918" spans="1:13" x14ac:dyDescent="0.25">
      <c r="A4918">
        <v>236</v>
      </c>
      <c r="B4918" s="47" t="str">
        <f>VLOOKUP(Tabla6[[#This Row],['# Vuelo]],'Validacion reclamo de equipaje'!P:Q,2,0)</f>
        <v>INTERAVIÓN</v>
      </c>
      <c r="C4918" s="48">
        <v>0.37847222222222227</v>
      </c>
      <c r="D4918" s="48">
        <v>0.38750000000000001</v>
      </c>
      <c r="E4918" s="49">
        <f>'Reclamo de equipaje rediseñado'!$D4918-'Reclamo de equipaje rediseñado'!$C4918</f>
        <v>9.0277777777777457E-3</v>
      </c>
      <c r="F4918" s="48">
        <v>0.39513888888888887</v>
      </c>
      <c r="G4918" s="49">
        <f t="shared" si="76"/>
        <v>7.6388888888888618E-3</v>
      </c>
      <c r="H4918" s="50">
        <v>41800</v>
      </c>
      <c r="I4918" s="51" t="s">
        <v>543</v>
      </c>
      <c r="J4918" s="51">
        <v>320</v>
      </c>
      <c r="K4918" s="51">
        <f>VLOOKUP(J4918,'Validacion reclamo de equipaje'!L:M,2,0)</f>
        <v>179</v>
      </c>
      <c r="L4918" s="51" t="str">
        <f>VLOOKUP(I4918,'Validacion reclamo de equipaje'!H:I,2,0)</f>
        <v>Nacional</v>
      </c>
      <c r="M4918" s="51" t="s">
        <v>615</v>
      </c>
    </row>
    <row r="4919" spans="1:13" x14ac:dyDescent="0.25">
      <c r="A4919">
        <v>236</v>
      </c>
      <c r="B4919" s="47" t="str">
        <f>VLOOKUP(Tabla6[[#This Row],['# Vuelo]],'Validacion reclamo de equipaje'!P:Q,2,0)</f>
        <v>INTERAVIÓN</v>
      </c>
      <c r="C4919" s="52">
        <v>0.55902777777777779</v>
      </c>
      <c r="D4919" s="52">
        <v>0.56458333333333333</v>
      </c>
      <c r="E4919" s="53">
        <f>'Reclamo de equipaje rediseñado'!$D4919-'Reclamo de equipaje rediseñado'!$C4919</f>
        <v>5.5555555555555358E-3</v>
      </c>
      <c r="F4919" s="52">
        <v>0.5708333333333333</v>
      </c>
      <c r="G4919" s="53">
        <f t="shared" si="76"/>
        <v>6.2499999999999778E-3</v>
      </c>
      <c r="H4919" s="54">
        <v>41801</v>
      </c>
      <c r="I4919" s="55" t="s">
        <v>543</v>
      </c>
      <c r="J4919" s="55">
        <v>320</v>
      </c>
      <c r="K4919" s="55">
        <f>VLOOKUP(J4919,'Validacion reclamo de equipaje'!L:M,2,0)</f>
        <v>179</v>
      </c>
      <c r="L4919" s="55" t="str">
        <f>VLOOKUP(I4919,'Validacion reclamo de equipaje'!H:I,2,0)</f>
        <v>Nacional</v>
      </c>
      <c r="M4919" s="55" t="s">
        <v>615</v>
      </c>
    </row>
    <row r="4920" spans="1:13" x14ac:dyDescent="0.25">
      <c r="A4920">
        <v>236</v>
      </c>
      <c r="B4920" s="47" t="str">
        <f>VLOOKUP(Tabla6[[#This Row],['# Vuelo]],'Validacion reclamo de equipaje'!P:Q,2,0)</f>
        <v>INTERAVIÓN</v>
      </c>
      <c r="C4920" s="48">
        <v>0.57777777777777783</v>
      </c>
      <c r="D4920" s="48">
        <v>0.58194444444444449</v>
      </c>
      <c r="E4920" s="49">
        <f>'Reclamo de equipaje rediseñado'!$D4920-'Reclamo de equipaje rediseñado'!$C4920</f>
        <v>4.1666666666666519E-3</v>
      </c>
      <c r="F4920" s="48">
        <v>0.60347222222222219</v>
      </c>
      <c r="G4920" s="49">
        <f t="shared" si="76"/>
        <v>2.1527777777777701E-2</v>
      </c>
      <c r="H4920" s="50">
        <v>41802</v>
      </c>
      <c r="I4920" s="51" t="s">
        <v>543</v>
      </c>
      <c r="J4920" s="51">
        <v>320</v>
      </c>
      <c r="K4920" s="51">
        <f>VLOOKUP(J4920,'Validacion reclamo de equipaje'!L:M,2,0)</f>
        <v>179</v>
      </c>
      <c r="L4920" s="51" t="str">
        <f>VLOOKUP(I4920,'Validacion reclamo de equipaje'!H:I,2,0)</f>
        <v>Nacional</v>
      </c>
      <c r="M4920" s="51" t="s">
        <v>615</v>
      </c>
    </row>
    <row r="4921" spans="1:13" x14ac:dyDescent="0.25">
      <c r="A4921">
        <v>236</v>
      </c>
      <c r="B4921" s="47" t="str">
        <f>VLOOKUP(Tabla6[[#This Row],['# Vuelo]],'Validacion reclamo de equipaje'!P:Q,2,0)</f>
        <v>INTERAVIÓN</v>
      </c>
      <c r="C4921" s="52">
        <v>0.44444444444444442</v>
      </c>
      <c r="D4921" s="52">
        <v>0.45624999999999999</v>
      </c>
      <c r="E4921" s="53">
        <f>'Reclamo de equipaje rediseñado'!$D4921-'Reclamo de equipaje rediseñado'!$C4921</f>
        <v>1.1805555555555569E-2</v>
      </c>
      <c r="F4921" s="52">
        <v>0.45833333333333331</v>
      </c>
      <c r="G4921" s="53">
        <f t="shared" si="76"/>
        <v>2.0833333333333259E-3</v>
      </c>
      <c r="H4921" s="54">
        <v>41803</v>
      </c>
      <c r="I4921" s="55" t="s">
        <v>543</v>
      </c>
      <c r="J4921" s="55">
        <v>320</v>
      </c>
      <c r="K4921" s="55">
        <f>VLOOKUP(J4921,'Validacion reclamo de equipaje'!L:M,2,0)</f>
        <v>179</v>
      </c>
      <c r="L4921" s="55" t="str">
        <f>VLOOKUP(I4921,'Validacion reclamo de equipaje'!H:I,2,0)</f>
        <v>Nacional</v>
      </c>
      <c r="M4921" s="55" t="s">
        <v>615</v>
      </c>
    </row>
    <row r="4922" spans="1:13" x14ac:dyDescent="0.25">
      <c r="A4922">
        <v>236</v>
      </c>
      <c r="B4922" s="47" t="str">
        <f>VLOOKUP(Tabla6[[#This Row],['# Vuelo]],'Validacion reclamo de equipaje'!P:Q,2,0)</f>
        <v>INTERAVIÓN</v>
      </c>
      <c r="C4922" s="48">
        <v>0.27986111111111112</v>
      </c>
      <c r="D4922" s="48">
        <v>0.29166666666666669</v>
      </c>
      <c r="E4922" s="49">
        <f>'Reclamo de equipaje rediseñado'!$D4922-'Reclamo de equipaje rediseñado'!$C4922</f>
        <v>1.1805555555555569E-2</v>
      </c>
      <c r="F4922" s="48">
        <v>0.3</v>
      </c>
      <c r="G4922" s="49">
        <f t="shared" si="76"/>
        <v>8.3333333333333037E-3</v>
      </c>
      <c r="H4922" s="50">
        <v>41805</v>
      </c>
      <c r="I4922" s="51" t="s">
        <v>543</v>
      </c>
      <c r="J4922" s="51">
        <v>320</v>
      </c>
      <c r="K4922" s="51">
        <f>VLOOKUP(J4922,'Validacion reclamo de equipaje'!L:M,2,0)</f>
        <v>179</v>
      </c>
      <c r="L4922" s="51" t="str">
        <f>VLOOKUP(I4922,'Validacion reclamo de equipaje'!H:I,2,0)</f>
        <v>Nacional</v>
      </c>
      <c r="M4922" s="51" t="s">
        <v>615</v>
      </c>
    </row>
    <row r="4923" spans="1:13" x14ac:dyDescent="0.25">
      <c r="A4923">
        <v>236</v>
      </c>
      <c r="B4923" s="47" t="str">
        <f>VLOOKUP(Tabla6[[#This Row],['# Vuelo]],'Validacion reclamo de equipaje'!P:Q,2,0)</f>
        <v>INTERAVIÓN</v>
      </c>
      <c r="C4923" s="52">
        <v>0.89374999999999993</v>
      </c>
      <c r="D4923" s="52">
        <v>0.90277777777777779</v>
      </c>
      <c r="E4923" s="53">
        <f>'Reclamo de equipaje rediseñado'!$D4923-'Reclamo de equipaje rediseñado'!$C4923</f>
        <v>9.0277777777778567E-3</v>
      </c>
      <c r="F4923" s="52">
        <v>0.92152777777777783</v>
      </c>
      <c r="G4923" s="53">
        <f t="shared" si="76"/>
        <v>1.8750000000000044E-2</v>
      </c>
      <c r="H4923" s="54">
        <v>41806</v>
      </c>
      <c r="I4923" s="55" t="s">
        <v>543</v>
      </c>
      <c r="J4923" s="55">
        <v>320</v>
      </c>
      <c r="K4923" s="55">
        <f>VLOOKUP(J4923,'Validacion reclamo de equipaje'!L:M,2,0)</f>
        <v>179</v>
      </c>
      <c r="L4923" s="55" t="str">
        <f>VLOOKUP(I4923,'Validacion reclamo de equipaje'!H:I,2,0)</f>
        <v>Nacional</v>
      </c>
      <c r="M4923" s="55" t="s">
        <v>615</v>
      </c>
    </row>
    <row r="4924" spans="1:13" x14ac:dyDescent="0.25">
      <c r="A4924">
        <v>236</v>
      </c>
      <c r="B4924" s="47" t="str">
        <f>VLOOKUP(Tabla6[[#This Row],['# Vuelo]],'Validacion reclamo de equipaje'!P:Q,2,0)</f>
        <v>INTERAVIÓN</v>
      </c>
      <c r="C4924" s="48">
        <v>0.82986111111111116</v>
      </c>
      <c r="D4924" s="48">
        <v>0.83888888888888891</v>
      </c>
      <c r="E4924" s="49">
        <f>'Reclamo de equipaje rediseñado'!$D4924-'Reclamo de equipaje rediseñado'!$C4924</f>
        <v>9.0277777777777457E-3</v>
      </c>
      <c r="F4924" s="48">
        <v>0.85277777777777775</v>
      </c>
      <c r="G4924" s="49">
        <f t="shared" si="76"/>
        <v>1.388888888888884E-2</v>
      </c>
      <c r="H4924" s="50">
        <v>41807</v>
      </c>
      <c r="I4924" s="51" t="s">
        <v>543</v>
      </c>
      <c r="J4924" s="51">
        <v>320</v>
      </c>
      <c r="K4924" s="51">
        <f>VLOOKUP(J4924,'Validacion reclamo de equipaje'!L:M,2,0)</f>
        <v>179</v>
      </c>
      <c r="L4924" s="51" t="str">
        <f>VLOOKUP(I4924,'Validacion reclamo de equipaje'!H:I,2,0)</f>
        <v>Nacional</v>
      </c>
      <c r="M4924" s="51" t="s">
        <v>615</v>
      </c>
    </row>
    <row r="4925" spans="1:13" x14ac:dyDescent="0.25">
      <c r="A4925">
        <v>236</v>
      </c>
      <c r="B4925" s="47" t="str">
        <f>VLOOKUP(Tabla6[[#This Row],['# Vuelo]],'Validacion reclamo de equipaje'!P:Q,2,0)</f>
        <v>INTERAVIÓN</v>
      </c>
      <c r="C4925" s="52">
        <v>0.87847222222222221</v>
      </c>
      <c r="D4925" s="52">
        <v>0.89097222222222217</v>
      </c>
      <c r="E4925" s="53">
        <f>'Reclamo de equipaje rediseñado'!$D4925-'Reclamo de equipaje rediseñado'!$C4925</f>
        <v>1.2499999999999956E-2</v>
      </c>
      <c r="F4925" s="52">
        <v>0.89513888888888893</v>
      </c>
      <c r="G4925" s="53">
        <f t="shared" si="76"/>
        <v>4.1666666666667629E-3</v>
      </c>
      <c r="H4925" s="54">
        <v>41808</v>
      </c>
      <c r="I4925" s="55" t="s">
        <v>543</v>
      </c>
      <c r="J4925" s="55">
        <v>320</v>
      </c>
      <c r="K4925" s="55">
        <f>VLOOKUP(J4925,'Validacion reclamo de equipaje'!L:M,2,0)</f>
        <v>179</v>
      </c>
      <c r="L4925" s="55" t="str">
        <f>VLOOKUP(I4925,'Validacion reclamo de equipaje'!H:I,2,0)</f>
        <v>Nacional</v>
      </c>
      <c r="M4925" s="55" t="s">
        <v>615</v>
      </c>
    </row>
    <row r="4926" spans="1:13" x14ac:dyDescent="0.25">
      <c r="A4926">
        <v>236</v>
      </c>
      <c r="B4926" s="47" t="str">
        <f>VLOOKUP(Tabla6[[#This Row],['# Vuelo]],'Validacion reclamo de equipaje'!P:Q,2,0)</f>
        <v>INTERAVIÓN</v>
      </c>
      <c r="C4926" s="48">
        <v>0.99791666666666667</v>
      </c>
      <c r="D4926" s="48">
        <v>1.0083333333333333</v>
      </c>
      <c r="E4926" s="49">
        <f>'Reclamo de equipaje rediseñado'!$D4926-'Reclamo de equipaje rediseñado'!$C4926</f>
        <v>1.041666666666663E-2</v>
      </c>
      <c r="F4926" s="48">
        <v>1.0125</v>
      </c>
      <c r="G4926" s="49">
        <f t="shared" si="76"/>
        <v>4.1666666666666519E-3</v>
      </c>
      <c r="H4926" s="50">
        <v>41809</v>
      </c>
      <c r="I4926" s="51" t="s">
        <v>543</v>
      </c>
      <c r="J4926" s="51">
        <v>320</v>
      </c>
      <c r="K4926" s="51">
        <f>VLOOKUP(J4926,'Validacion reclamo de equipaje'!L:M,2,0)</f>
        <v>179</v>
      </c>
      <c r="L4926" s="51" t="str">
        <f>VLOOKUP(I4926,'Validacion reclamo de equipaje'!H:I,2,0)</f>
        <v>Nacional</v>
      </c>
      <c r="M4926" s="51" t="s">
        <v>615</v>
      </c>
    </row>
    <row r="4927" spans="1:13" x14ac:dyDescent="0.25">
      <c r="A4927">
        <v>236</v>
      </c>
      <c r="B4927" s="47" t="str">
        <f>VLOOKUP(Tabla6[[#This Row],['# Vuelo]],'Validacion reclamo de equipaje'!P:Q,2,0)</f>
        <v>INTERAVIÓN</v>
      </c>
      <c r="C4927" s="52">
        <v>0.88680555555555562</v>
      </c>
      <c r="D4927" s="52">
        <v>0.89444444444444438</v>
      </c>
      <c r="E4927" s="53">
        <f>'Reclamo de equipaje rediseñado'!$D4927-'Reclamo de equipaje rediseñado'!$C4927</f>
        <v>7.6388888888887507E-3</v>
      </c>
      <c r="F4927" s="52">
        <v>0.90208333333333324</v>
      </c>
      <c r="G4927" s="53">
        <f t="shared" si="76"/>
        <v>7.6388888888888618E-3</v>
      </c>
      <c r="H4927" s="54">
        <v>41810</v>
      </c>
      <c r="I4927" s="55" t="s">
        <v>543</v>
      </c>
      <c r="J4927" s="55">
        <v>320</v>
      </c>
      <c r="K4927" s="55">
        <f>VLOOKUP(J4927,'Validacion reclamo de equipaje'!L:M,2,0)</f>
        <v>179</v>
      </c>
      <c r="L4927" s="55" t="str">
        <f>VLOOKUP(I4927,'Validacion reclamo de equipaje'!H:I,2,0)</f>
        <v>Nacional</v>
      </c>
      <c r="M4927" s="55" t="s">
        <v>615</v>
      </c>
    </row>
    <row r="4928" spans="1:13" x14ac:dyDescent="0.25">
      <c r="A4928">
        <v>236</v>
      </c>
      <c r="B4928" s="47" t="str">
        <f>VLOOKUP(Tabla6[[#This Row],['# Vuelo]],'Validacion reclamo de equipaje'!P:Q,2,0)</f>
        <v>INTERAVIÓN</v>
      </c>
      <c r="C4928" s="48">
        <v>0.8833333333333333</v>
      </c>
      <c r="D4928" s="48">
        <v>0.89097222222222217</v>
      </c>
      <c r="E4928" s="49">
        <f>'Reclamo de equipaje rediseñado'!$D4928-'Reclamo de equipaje rediseñado'!$C4928</f>
        <v>7.6388888888888618E-3</v>
      </c>
      <c r="F4928" s="48">
        <v>0.8965277777777777</v>
      </c>
      <c r="G4928" s="49">
        <f t="shared" si="76"/>
        <v>5.5555555555555358E-3</v>
      </c>
      <c r="H4928" s="50">
        <v>41812</v>
      </c>
      <c r="I4928" s="51" t="s">
        <v>543</v>
      </c>
      <c r="J4928" s="51">
        <v>320</v>
      </c>
      <c r="K4928" s="51">
        <f>VLOOKUP(J4928,'Validacion reclamo de equipaje'!L:M,2,0)</f>
        <v>179</v>
      </c>
      <c r="L4928" s="51" t="str">
        <f>VLOOKUP(I4928,'Validacion reclamo de equipaje'!H:I,2,0)</f>
        <v>Nacional</v>
      </c>
      <c r="M4928" s="51" t="s">
        <v>615</v>
      </c>
    </row>
    <row r="4929" spans="1:13" x14ac:dyDescent="0.25">
      <c r="A4929">
        <v>236</v>
      </c>
      <c r="B4929" s="47" t="str">
        <f>VLOOKUP(Tabla6[[#This Row],['# Vuelo]],'Validacion reclamo de equipaje'!P:Q,2,0)</f>
        <v>INTERAVIÓN</v>
      </c>
      <c r="C4929" s="52">
        <v>0.88888888888888884</v>
      </c>
      <c r="D4929" s="52">
        <v>0.89513888888888893</v>
      </c>
      <c r="E4929" s="53">
        <f>'Reclamo de equipaje rediseñado'!$D4929-'Reclamo de equipaje rediseñado'!$C4929</f>
        <v>6.2500000000000888E-3</v>
      </c>
      <c r="F4929" s="52">
        <v>0.90902777777777777</v>
      </c>
      <c r="G4929" s="53">
        <f t="shared" si="76"/>
        <v>1.388888888888884E-2</v>
      </c>
      <c r="H4929" s="54">
        <v>41813</v>
      </c>
      <c r="I4929" s="55" t="s">
        <v>543</v>
      </c>
      <c r="J4929" s="55">
        <v>320</v>
      </c>
      <c r="K4929" s="55">
        <f>VLOOKUP(J4929,'Validacion reclamo de equipaje'!L:M,2,0)</f>
        <v>179</v>
      </c>
      <c r="L4929" s="55" t="str">
        <f>VLOOKUP(I4929,'Validacion reclamo de equipaje'!H:I,2,0)</f>
        <v>Nacional</v>
      </c>
      <c r="M4929" s="55" t="s">
        <v>615</v>
      </c>
    </row>
    <row r="4930" spans="1:13" x14ac:dyDescent="0.25">
      <c r="A4930">
        <v>230</v>
      </c>
      <c r="B4930" s="47" t="str">
        <f>VLOOKUP(Tabla6[[#This Row],['# Vuelo]],'Validacion reclamo de equipaje'!P:Q,2,0)</f>
        <v>INTERAVIÓN</v>
      </c>
      <c r="C4930" s="48">
        <v>0.4201388888888889</v>
      </c>
      <c r="D4930" s="48">
        <v>0.42430555555555555</v>
      </c>
      <c r="E4930" s="49">
        <f>'Reclamo de equipaje rediseñado'!$D4930-'Reclamo de equipaje rediseñado'!$C4930</f>
        <v>4.1666666666666519E-3</v>
      </c>
      <c r="F4930" s="48">
        <v>0.42986111111111108</v>
      </c>
      <c r="G4930" s="49">
        <f t="shared" si="76"/>
        <v>5.5555555555555358E-3</v>
      </c>
      <c r="H4930" s="50">
        <v>41797</v>
      </c>
      <c r="I4930" s="51" t="s">
        <v>548</v>
      </c>
      <c r="J4930" s="51" t="s">
        <v>535</v>
      </c>
      <c r="K4930" s="51">
        <f>VLOOKUP(J4930,'Validacion reclamo de equipaje'!L:M,2,0)</f>
        <v>50</v>
      </c>
      <c r="L4930" s="51" t="str">
        <f>VLOOKUP(I4930,'Validacion reclamo de equipaje'!H:I,2,0)</f>
        <v>Nacional</v>
      </c>
      <c r="M4930" s="51" t="s">
        <v>615</v>
      </c>
    </row>
    <row r="4931" spans="1:13" x14ac:dyDescent="0.25">
      <c r="A4931">
        <v>230</v>
      </c>
      <c r="B4931" s="47" t="str">
        <f>VLOOKUP(Tabla6[[#This Row],['# Vuelo]],'Validacion reclamo de equipaje'!P:Q,2,0)</f>
        <v>INTERAVIÓN</v>
      </c>
      <c r="C4931" s="52">
        <v>0.31944444444444448</v>
      </c>
      <c r="D4931" s="52">
        <v>0.3298611111111111</v>
      </c>
      <c r="E4931" s="53">
        <f>'Reclamo de equipaje rediseñado'!$D4931-'Reclamo de equipaje rediseñado'!$C4931</f>
        <v>1.041666666666663E-2</v>
      </c>
      <c r="F4931" s="52">
        <v>0.33749999999999997</v>
      </c>
      <c r="G4931" s="53">
        <f t="shared" ref="G4931:G4933" si="77">F4931-D4931</f>
        <v>7.6388888888888618E-3</v>
      </c>
      <c r="H4931" s="54">
        <v>41804</v>
      </c>
      <c r="I4931" s="55" t="s">
        <v>548</v>
      </c>
      <c r="J4931" s="55" t="s">
        <v>535</v>
      </c>
      <c r="K4931" s="55">
        <f>VLOOKUP(J4931,'Validacion reclamo de equipaje'!L:M,2,0)</f>
        <v>50</v>
      </c>
      <c r="L4931" s="55" t="str">
        <f>VLOOKUP(I4931,'Validacion reclamo de equipaje'!H:I,2,0)</f>
        <v>Nacional</v>
      </c>
      <c r="M4931" s="55" t="s">
        <v>615</v>
      </c>
    </row>
    <row r="4932" spans="1:13" x14ac:dyDescent="0.25">
      <c r="A4932">
        <v>230</v>
      </c>
      <c r="B4932" s="47" t="str">
        <f>VLOOKUP(Tabla6[[#This Row],['# Vuelo]],'Validacion reclamo de equipaje'!P:Q,2,0)</f>
        <v>INTERAVIÓN</v>
      </c>
      <c r="C4932" s="48">
        <v>0.32500000000000001</v>
      </c>
      <c r="D4932" s="48">
        <v>0.33194444444444443</v>
      </c>
      <c r="E4932" s="49">
        <f>'Reclamo de equipaje rediseñado'!$D4932-'Reclamo de equipaje rediseñado'!$C4932</f>
        <v>6.9444444444444198E-3</v>
      </c>
      <c r="F4932" s="48">
        <v>0.3354166666666667</v>
      </c>
      <c r="G4932" s="49">
        <f t="shared" si="77"/>
        <v>3.4722222222222654E-3</v>
      </c>
      <c r="H4932" s="50">
        <v>41810</v>
      </c>
      <c r="I4932" s="51" t="s">
        <v>548</v>
      </c>
      <c r="J4932" s="51" t="s">
        <v>535</v>
      </c>
      <c r="K4932" s="51">
        <f>VLOOKUP(J4932,'Validacion reclamo de equipaje'!L:M,2,0)</f>
        <v>50</v>
      </c>
      <c r="L4932" s="51" t="str">
        <f>VLOOKUP(I4932,'Validacion reclamo de equipaje'!H:I,2,0)</f>
        <v>Nacional</v>
      </c>
      <c r="M4932" s="51" t="s">
        <v>615</v>
      </c>
    </row>
    <row r="4933" spans="1:13" x14ac:dyDescent="0.25">
      <c r="A4933">
        <v>230</v>
      </c>
      <c r="B4933" s="47" t="str">
        <f>VLOOKUP(Tabla6[[#This Row],['# Vuelo]],'Validacion reclamo de equipaje'!P:Q,2,0)</f>
        <v>INTERAVIÓN</v>
      </c>
      <c r="C4933" s="40">
        <v>0.40138888888888885</v>
      </c>
      <c r="D4933" s="40">
        <v>0.42430555555555555</v>
      </c>
      <c r="E4933" s="41">
        <f>'Reclamo de equipaje rediseñado'!$D4933-'Reclamo de equipaje rediseñado'!$C4933</f>
        <v>2.2916666666666696E-2</v>
      </c>
      <c r="F4933" s="40">
        <v>0.44513888888888892</v>
      </c>
      <c r="G4933" s="41">
        <f t="shared" si="77"/>
        <v>2.083333333333337E-2</v>
      </c>
      <c r="H4933" s="37">
        <v>41811</v>
      </c>
      <c r="I4933" s="25" t="s">
        <v>548</v>
      </c>
      <c r="J4933" s="25" t="s">
        <v>535</v>
      </c>
      <c r="K4933" s="25">
        <f>VLOOKUP(J4933,'Validacion reclamo de equipaje'!L:M,2,0)</f>
        <v>50</v>
      </c>
      <c r="L4933" s="25" t="str">
        <f>VLOOKUP(I4933,'Validacion reclamo de equipaje'!H:I,2,0)</f>
        <v>Nacional</v>
      </c>
      <c r="M4933" s="25" t="s">
        <v>615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'Validacion reclamo de equipaje'!$A$2:$A$19</xm:f>
          </x14:formula1>
          <xm:sqref>B1:B1048576</xm:sqref>
        </x14:dataValidation>
        <x14:dataValidation type="list" allowBlank="1" showInputMessage="1" showErrorMessage="1">
          <x14:formula1>
            <xm:f>'Validacion reclamo de equipaje'!$C$2:$C$223</xm:f>
          </x14:formula1>
          <xm:sqref>A1:A1048576</xm:sqref>
        </x14:dataValidation>
        <x14:dataValidation type="list" allowBlank="1" showInputMessage="1" showErrorMessage="1">
          <x14:formula1>
            <xm:f>'Validacion reclamo de equipaje'!$D$2:$D$3</xm:f>
          </x14:formula1>
          <xm:sqref>L1:L1048576</xm:sqref>
        </x14:dataValidation>
        <x14:dataValidation type="list" allowBlank="1" showInputMessage="1" showErrorMessage="1">
          <x14:formula1>
            <xm:f>'Validacion reclamo de equipaje'!$L$2:$L$19</xm:f>
          </x14:formula1>
          <xm:sqref>J1:J1048576</xm:sqref>
        </x14:dataValidation>
        <x14:dataValidation type="list" allowBlank="1" showInputMessage="1" showErrorMessage="1">
          <x14:formula1>
            <xm:f>'Validacion reclamo de equipaje'!$H$2:$H$57</xm:f>
          </x14:formula1>
          <xm:sqref>I1:I1048576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6"/>
  <sheetViews>
    <sheetView workbookViewId="0">
      <selection activeCell="P1" sqref="P1:Q1048576"/>
    </sheetView>
  </sheetViews>
  <sheetFormatPr baseColWidth="10" defaultRowHeight="15" x14ac:dyDescent="0.25"/>
  <sheetData>
    <row r="1" spans="1:17" x14ac:dyDescent="0.25">
      <c r="A1" t="s">
        <v>524</v>
      </c>
      <c r="C1" t="s">
        <v>525</v>
      </c>
      <c r="D1" t="s">
        <v>529</v>
      </c>
      <c r="H1" t="s">
        <v>532</v>
      </c>
      <c r="I1" t="s">
        <v>529</v>
      </c>
      <c r="L1" t="s">
        <v>530</v>
      </c>
      <c r="M1" t="s">
        <v>531</v>
      </c>
      <c r="P1" t="s">
        <v>525</v>
      </c>
      <c r="Q1" t="s">
        <v>524</v>
      </c>
    </row>
    <row r="2" spans="1:17" x14ac:dyDescent="0.25">
      <c r="A2" t="s">
        <v>533</v>
      </c>
      <c r="C2">
        <v>8851</v>
      </c>
      <c r="D2" t="s">
        <v>534</v>
      </c>
      <c r="H2" t="s">
        <v>536</v>
      </c>
      <c r="I2" t="s">
        <v>534</v>
      </c>
      <c r="L2" t="s">
        <v>535</v>
      </c>
      <c r="M2">
        <v>50</v>
      </c>
      <c r="P2">
        <v>8851</v>
      </c>
      <c r="Q2" t="s">
        <v>533</v>
      </c>
    </row>
    <row r="3" spans="1:17" x14ac:dyDescent="0.25">
      <c r="A3" t="s">
        <v>566</v>
      </c>
      <c r="C3">
        <v>8702</v>
      </c>
      <c r="D3" t="s">
        <v>537</v>
      </c>
      <c r="H3" t="s">
        <v>539</v>
      </c>
      <c r="I3" t="s">
        <v>534</v>
      </c>
      <c r="P3">
        <v>8702</v>
      </c>
      <c r="Q3" t="s">
        <v>533</v>
      </c>
    </row>
    <row r="4" spans="1:17" x14ac:dyDescent="0.25">
      <c r="A4" t="s">
        <v>568</v>
      </c>
      <c r="C4">
        <v>3120</v>
      </c>
      <c r="H4" t="s">
        <v>541</v>
      </c>
      <c r="I4" t="s">
        <v>534</v>
      </c>
      <c r="L4" t="s">
        <v>554</v>
      </c>
      <c r="M4">
        <v>189</v>
      </c>
      <c r="P4">
        <v>3120</v>
      </c>
      <c r="Q4" t="s">
        <v>533</v>
      </c>
    </row>
    <row r="5" spans="1:17" x14ac:dyDescent="0.25">
      <c r="A5" t="s">
        <v>574</v>
      </c>
      <c r="C5">
        <v>2811</v>
      </c>
      <c r="H5" t="s">
        <v>542</v>
      </c>
      <c r="I5" t="s">
        <v>534</v>
      </c>
      <c r="L5" t="s">
        <v>560</v>
      </c>
      <c r="M5">
        <v>126</v>
      </c>
      <c r="P5">
        <v>2811</v>
      </c>
      <c r="Q5" t="s">
        <v>533</v>
      </c>
    </row>
    <row r="6" spans="1:17" x14ac:dyDescent="0.25">
      <c r="A6" t="s">
        <v>576</v>
      </c>
      <c r="C6">
        <v>2625</v>
      </c>
      <c r="H6" t="s">
        <v>545</v>
      </c>
      <c r="I6" t="s">
        <v>534</v>
      </c>
      <c r="L6" t="s">
        <v>565</v>
      </c>
      <c r="M6">
        <v>99</v>
      </c>
      <c r="P6">
        <v>2625</v>
      </c>
      <c r="Q6" t="s">
        <v>533</v>
      </c>
    </row>
    <row r="7" spans="1:17" x14ac:dyDescent="0.25">
      <c r="A7" t="s">
        <v>580</v>
      </c>
      <c r="C7">
        <v>2622</v>
      </c>
      <c r="H7" t="s">
        <v>544</v>
      </c>
      <c r="I7" t="s">
        <v>534</v>
      </c>
      <c r="L7">
        <v>320</v>
      </c>
      <c r="M7">
        <v>179</v>
      </c>
      <c r="P7">
        <v>2622</v>
      </c>
      <c r="Q7" t="s">
        <v>533</v>
      </c>
    </row>
    <row r="8" spans="1:17" x14ac:dyDescent="0.25">
      <c r="A8" t="s">
        <v>584</v>
      </c>
      <c r="C8">
        <v>2621</v>
      </c>
      <c r="H8" t="s">
        <v>547</v>
      </c>
      <c r="I8" t="s">
        <v>534</v>
      </c>
      <c r="L8" t="s">
        <v>571</v>
      </c>
      <c r="M8">
        <v>182</v>
      </c>
      <c r="P8">
        <v>2621</v>
      </c>
      <c r="Q8" t="s">
        <v>533</v>
      </c>
    </row>
    <row r="9" spans="1:17" x14ac:dyDescent="0.25">
      <c r="A9" t="s">
        <v>585</v>
      </c>
      <c r="C9">
        <v>2501</v>
      </c>
      <c r="H9" t="s">
        <v>548</v>
      </c>
      <c r="I9" t="s">
        <v>534</v>
      </c>
      <c r="L9" t="s">
        <v>577</v>
      </c>
      <c r="M9">
        <v>78</v>
      </c>
      <c r="P9">
        <v>2501</v>
      </c>
      <c r="Q9" t="s">
        <v>533</v>
      </c>
    </row>
    <row r="10" spans="1:17" x14ac:dyDescent="0.25">
      <c r="A10" t="s">
        <v>586</v>
      </c>
      <c r="C10">
        <v>2469</v>
      </c>
      <c r="H10" t="s">
        <v>549</v>
      </c>
      <c r="I10" t="s">
        <v>534</v>
      </c>
      <c r="L10" t="s">
        <v>590</v>
      </c>
      <c r="M10">
        <v>78</v>
      </c>
      <c r="P10">
        <v>2469</v>
      </c>
      <c r="Q10" t="s">
        <v>533</v>
      </c>
    </row>
    <row r="11" spans="1:17" x14ac:dyDescent="0.25">
      <c r="A11" t="s">
        <v>589</v>
      </c>
      <c r="C11">
        <v>2335</v>
      </c>
      <c r="H11" t="s">
        <v>543</v>
      </c>
      <c r="I11" t="s">
        <v>534</v>
      </c>
      <c r="L11" t="s">
        <v>572</v>
      </c>
      <c r="M11">
        <v>142</v>
      </c>
      <c r="P11">
        <v>2335</v>
      </c>
      <c r="Q11" t="s">
        <v>533</v>
      </c>
    </row>
    <row r="12" spans="1:17" x14ac:dyDescent="0.25">
      <c r="A12" t="s">
        <v>592</v>
      </c>
      <c r="C12">
        <v>2320</v>
      </c>
      <c r="H12" t="s">
        <v>550</v>
      </c>
      <c r="I12" t="s">
        <v>534</v>
      </c>
      <c r="L12">
        <v>738</v>
      </c>
      <c r="M12">
        <v>189</v>
      </c>
      <c r="P12">
        <v>2320</v>
      </c>
      <c r="Q12" t="s">
        <v>533</v>
      </c>
    </row>
    <row r="13" spans="1:17" x14ac:dyDescent="0.25">
      <c r="A13" t="s">
        <v>587</v>
      </c>
      <c r="C13">
        <v>2301</v>
      </c>
      <c r="H13" t="s">
        <v>551</v>
      </c>
      <c r="I13" t="s">
        <v>534</v>
      </c>
      <c r="L13" t="s">
        <v>604</v>
      </c>
      <c r="M13">
        <v>50</v>
      </c>
      <c r="P13">
        <v>2301</v>
      </c>
      <c r="Q13" t="s">
        <v>533</v>
      </c>
    </row>
    <row r="14" spans="1:17" x14ac:dyDescent="0.25">
      <c r="A14" t="s">
        <v>597</v>
      </c>
      <c r="C14">
        <v>2277</v>
      </c>
      <c r="H14" t="s">
        <v>553</v>
      </c>
      <c r="I14" t="s">
        <v>534</v>
      </c>
      <c r="L14">
        <v>733</v>
      </c>
      <c r="M14">
        <v>169</v>
      </c>
      <c r="P14">
        <v>2277</v>
      </c>
      <c r="Q14" t="s">
        <v>533</v>
      </c>
    </row>
    <row r="15" spans="1:17" x14ac:dyDescent="0.25">
      <c r="A15" t="s">
        <v>598</v>
      </c>
      <c r="C15">
        <v>2219</v>
      </c>
      <c r="H15" t="s">
        <v>555</v>
      </c>
      <c r="I15" t="s">
        <v>537</v>
      </c>
      <c r="L15" t="s">
        <v>554</v>
      </c>
      <c r="M15">
        <v>169</v>
      </c>
      <c r="P15">
        <v>2219</v>
      </c>
      <c r="Q15" t="s">
        <v>533</v>
      </c>
    </row>
    <row r="16" spans="1:17" x14ac:dyDescent="0.25">
      <c r="A16" t="s">
        <v>605</v>
      </c>
      <c r="C16">
        <v>2193</v>
      </c>
      <c r="H16" t="s">
        <v>556</v>
      </c>
      <c r="I16" t="s">
        <v>537</v>
      </c>
      <c r="L16" t="s">
        <v>611</v>
      </c>
      <c r="M16">
        <v>78</v>
      </c>
      <c r="P16">
        <v>2193</v>
      </c>
      <c r="Q16" t="s">
        <v>533</v>
      </c>
    </row>
    <row r="17" spans="1:17" x14ac:dyDescent="0.25">
      <c r="A17" t="s">
        <v>607</v>
      </c>
      <c r="C17">
        <v>2185</v>
      </c>
      <c r="H17" t="s">
        <v>558</v>
      </c>
      <c r="I17" t="s">
        <v>537</v>
      </c>
      <c r="L17">
        <v>737</v>
      </c>
      <c r="M17">
        <v>169</v>
      </c>
      <c r="P17">
        <v>2185</v>
      </c>
      <c r="Q17" t="s">
        <v>533</v>
      </c>
    </row>
    <row r="18" spans="1:17" x14ac:dyDescent="0.25">
      <c r="A18" t="s">
        <v>609</v>
      </c>
      <c r="C18">
        <v>2184</v>
      </c>
      <c r="H18" t="s">
        <v>559</v>
      </c>
      <c r="I18" t="s">
        <v>537</v>
      </c>
      <c r="L18" t="s">
        <v>594</v>
      </c>
      <c r="M18">
        <v>239</v>
      </c>
      <c r="P18">
        <v>2184</v>
      </c>
      <c r="Q18" t="s">
        <v>533</v>
      </c>
    </row>
    <row r="19" spans="1:17" x14ac:dyDescent="0.25">
      <c r="A19" t="s">
        <v>602</v>
      </c>
      <c r="C19">
        <v>2122</v>
      </c>
      <c r="H19" t="s">
        <v>561</v>
      </c>
      <c r="I19" t="s">
        <v>534</v>
      </c>
      <c r="L19" t="s">
        <v>596</v>
      </c>
      <c r="M19">
        <v>179</v>
      </c>
      <c r="P19">
        <v>2122</v>
      </c>
      <c r="Q19" t="s">
        <v>533</v>
      </c>
    </row>
    <row r="20" spans="1:17" x14ac:dyDescent="0.25">
      <c r="C20">
        <v>2121</v>
      </c>
      <c r="H20" t="s">
        <v>558</v>
      </c>
      <c r="I20" t="s">
        <v>534</v>
      </c>
      <c r="P20">
        <v>2121</v>
      </c>
      <c r="Q20" t="s">
        <v>533</v>
      </c>
    </row>
    <row r="21" spans="1:17" x14ac:dyDescent="0.25">
      <c r="C21">
        <v>2058</v>
      </c>
      <c r="H21" t="s">
        <v>567</v>
      </c>
      <c r="I21" t="s">
        <v>537</v>
      </c>
      <c r="P21">
        <v>2058</v>
      </c>
      <c r="Q21" t="s">
        <v>533</v>
      </c>
    </row>
    <row r="22" spans="1:17" x14ac:dyDescent="0.25">
      <c r="C22">
        <v>2028</v>
      </c>
      <c r="H22" t="s">
        <v>569</v>
      </c>
      <c r="I22" t="s">
        <v>537</v>
      </c>
      <c r="P22">
        <v>2028</v>
      </c>
      <c r="Q22" t="s">
        <v>533</v>
      </c>
    </row>
    <row r="23" spans="1:17" x14ac:dyDescent="0.25">
      <c r="C23">
        <v>2027</v>
      </c>
      <c r="H23" t="s">
        <v>538</v>
      </c>
      <c r="I23" t="s">
        <v>537</v>
      </c>
      <c r="P23">
        <v>2027</v>
      </c>
      <c r="Q23" t="s">
        <v>533</v>
      </c>
    </row>
    <row r="24" spans="1:17" x14ac:dyDescent="0.25">
      <c r="C24">
        <v>2015</v>
      </c>
      <c r="H24" t="s">
        <v>570</v>
      </c>
      <c r="I24" t="s">
        <v>537</v>
      </c>
      <c r="P24">
        <v>2015</v>
      </c>
      <c r="Q24" t="s">
        <v>533</v>
      </c>
    </row>
    <row r="25" spans="1:17" x14ac:dyDescent="0.25">
      <c r="C25">
        <v>2012</v>
      </c>
      <c r="H25" t="s">
        <v>575</v>
      </c>
      <c r="I25" t="s">
        <v>537</v>
      </c>
      <c r="P25">
        <v>2012</v>
      </c>
      <c r="Q25" t="s">
        <v>533</v>
      </c>
    </row>
    <row r="26" spans="1:17" x14ac:dyDescent="0.25">
      <c r="C26">
        <v>2011</v>
      </c>
      <c r="H26" t="s">
        <v>578</v>
      </c>
      <c r="I26" t="s">
        <v>537</v>
      </c>
      <c r="P26">
        <v>2011</v>
      </c>
      <c r="Q26" t="s">
        <v>533</v>
      </c>
    </row>
    <row r="27" spans="1:17" x14ac:dyDescent="0.25">
      <c r="C27">
        <v>2010</v>
      </c>
      <c r="H27" t="s">
        <v>579</v>
      </c>
      <c r="I27" t="s">
        <v>537</v>
      </c>
      <c r="P27">
        <v>2010</v>
      </c>
      <c r="Q27" t="s">
        <v>533</v>
      </c>
    </row>
    <row r="28" spans="1:17" x14ac:dyDescent="0.25">
      <c r="C28">
        <v>1114</v>
      </c>
      <c r="H28" t="s">
        <v>547</v>
      </c>
      <c r="I28" t="s">
        <v>537</v>
      </c>
      <c r="P28">
        <v>1114</v>
      </c>
      <c r="Q28" t="s">
        <v>533</v>
      </c>
    </row>
    <row r="29" spans="1:17" x14ac:dyDescent="0.25">
      <c r="C29" t="s">
        <v>546</v>
      </c>
      <c r="H29" t="s">
        <v>581</v>
      </c>
      <c r="I29" t="s">
        <v>534</v>
      </c>
      <c r="P29" t="s">
        <v>546</v>
      </c>
      <c r="Q29" t="s">
        <v>533</v>
      </c>
    </row>
    <row r="30" spans="1:17" x14ac:dyDescent="0.25">
      <c r="C30">
        <v>785</v>
      </c>
      <c r="H30" t="s">
        <v>582</v>
      </c>
      <c r="I30" t="s">
        <v>534</v>
      </c>
      <c r="P30">
        <v>785</v>
      </c>
      <c r="Q30" t="s">
        <v>533</v>
      </c>
    </row>
    <row r="31" spans="1:17" x14ac:dyDescent="0.25">
      <c r="C31">
        <v>783</v>
      </c>
      <c r="H31" t="s">
        <v>583</v>
      </c>
      <c r="I31" t="s">
        <v>537</v>
      </c>
      <c r="P31">
        <v>783</v>
      </c>
      <c r="Q31" t="s">
        <v>533</v>
      </c>
    </row>
    <row r="32" spans="1:17" x14ac:dyDescent="0.25">
      <c r="C32">
        <v>781</v>
      </c>
      <c r="H32" t="s">
        <v>591</v>
      </c>
      <c r="I32" t="s">
        <v>537</v>
      </c>
      <c r="P32">
        <v>781</v>
      </c>
      <c r="Q32" t="s">
        <v>533</v>
      </c>
    </row>
    <row r="33" spans="3:17" x14ac:dyDescent="0.25">
      <c r="C33">
        <v>779</v>
      </c>
      <c r="H33" t="s">
        <v>593</v>
      </c>
      <c r="I33" t="s">
        <v>537</v>
      </c>
      <c r="P33">
        <v>779</v>
      </c>
      <c r="Q33" t="s">
        <v>533</v>
      </c>
    </row>
    <row r="34" spans="3:17" x14ac:dyDescent="0.25">
      <c r="C34">
        <v>775</v>
      </c>
      <c r="H34" t="s">
        <v>569</v>
      </c>
      <c r="I34" t="s">
        <v>534</v>
      </c>
      <c r="P34">
        <v>775</v>
      </c>
      <c r="Q34" t="s">
        <v>533</v>
      </c>
    </row>
    <row r="35" spans="3:17" x14ac:dyDescent="0.25">
      <c r="C35">
        <v>773</v>
      </c>
      <c r="H35" t="s">
        <v>563</v>
      </c>
      <c r="I35" t="s">
        <v>537</v>
      </c>
      <c r="P35">
        <v>773</v>
      </c>
      <c r="Q35" t="s">
        <v>533</v>
      </c>
    </row>
    <row r="36" spans="3:17" x14ac:dyDescent="0.25">
      <c r="C36">
        <v>771</v>
      </c>
      <c r="H36" t="s">
        <v>564</v>
      </c>
      <c r="I36" t="s">
        <v>537</v>
      </c>
      <c r="P36">
        <v>771</v>
      </c>
      <c r="Q36" t="s">
        <v>533</v>
      </c>
    </row>
    <row r="37" spans="3:17" x14ac:dyDescent="0.25">
      <c r="C37">
        <v>663</v>
      </c>
      <c r="H37" t="s">
        <v>595</v>
      </c>
      <c r="I37" t="s">
        <v>537</v>
      </c>
      <c r="P37">
        <v>663</v>
      </c>
      <c r="Q37" t="s">
        <v>533</v>
      </c>
    </row>
    <row r="38" spans="3:17" x14ac:dyDescent="0.25">
      <c r="C38">
        <v>661</v>
      </c>
      <c r="H38" t="s">
        <v>588</v>
      </c>
      <c r="I38" t="s">
        <v>537</v>
      </c>
      <c r="P38">
        <v>661</v>
      </c>
      <c r="Q38" t="s">
        <v>533</v>
      </c>
    </row>
    <row r="39" spans="3:17" x14ac:dyDescent="0.25">
      <c r="C39">
        <v>585</v>
      </c>
      <c r="H39" t="s">
        <v>555</v>
      </c>
      <c r="I39" t="s">
        <v>534</v>
      </c>
      <c r="P39">
        <v>585</v>
      </c>
      <c r="Q39" t="s">
        <v>533</v>
      </c>
    </row>
    <row r="40" spans="3:17" x14ac:dyDescent="0.25">
      <c r="C40">
        <v>466</v>
      </c>
      <c r="H40" t="s">
        <v>573</v>
      </c>
      <c r="I40" t="s">
        <v>534</v>
      </c>
      <c r="P40">
        <v>466</v>
      </c>
      <c r="Q40" t="s">
        <v>533</v>
      </c>
    </row>
    <row r="41" spans="3:17" x14ac:dyDescent="0.25">
      <c r="C41">
        <v>286</v>
      </c>
      <c r="H41" t="s">
        <v>599</v>
      </c>
      <c r="I41" t="s">
        <v>534</v>
      </c>
      <c r="P41">
        <v>286</v>
      </c>
      <c r="Q41" t="s">
        <v>533</v>
      </c>
    </row>
    <row r="42" spans="3:17" x14ac:dyDescent="0.25">
      <c r="C42">
        <v>276</v>
      </c>
      <c r="H42" t="s">
        <v>557</v>
      </c>
      <c r="I42" t="s">
        <v>534</v>
      </c>
      <c r="P42">
        <v>276</v>
      </c>
      <c r="Q42" t="s">
        <v>533</v>
      </c>
    </row>
    <row r="43" spans="3:17" x14ac:dyDescent="0.25">
      <c r="C43">
        <v>254</v>
      </c>
      <c r="H43" t="s">
        <v>600</v>
      </c>
      <c r="I43" t="s">
        <v>534</v>
      </c>
      <c r="P43">
        <v>254</v>
      </c>
      <c r="Q43" t="s">
        <v>533</v>
      </c>
    </row>
    <row r="44" spans="3:17" x14ac:dyDescent="0.25">
      <c r="C44">
        <v>252</v>
      </c>
      <c r="H44" t="s">
        <v>601</v>
      </c>
      <c r="I44" t="s">
        <v>534</v>
      </c>
      <c r="P44">
        <v>252</v>
      </c>
      <c r="Q44" t="s">
        <v>533</v>
      </c>
    </row>
    <row r="45" spans="3:17" x14ac:dyDescent="0.25">
      <c r="C45">
        <v>228</v>
      </c>
      <c r="H45">
        <v>631</v>
      </c>
      <c r="I45" t="s">
        <v>534</v>
      </c>
      <c r="P45">
        <v>228</v>
      </c>
      <c r="Q45" t="s">
        <v>533</v>
      </c>
    </row>
    <row r="46" spans="3:17" x14ac:dyDescent="0.25">
      <c r="C46">
        <v>225</v>
      </c>
      <c r="H46" t="s">
        <v>582</v>
      </c>
      <c r="I46" t="s">
        <v>537</v>
      </c>
      <c r="P46">
        <v>225</v>
      </c>
      <c r="Q46" t="s">
        <v>533</v>
      </c>
    </row>
    <row r="47" spans="3:17" x14ac:dyDescent="0.25">
      <c r="C47">
        <v>224</v>
      </c>
      <c r="H47" t="s">
        <v>552</v>
      </c>
      <c r="I47" t="s">
        <v>534</v>
      </c>
      <c r="P47">
        <v>224</v>
      </c>
      <c r="Q47" t="s">
        <v>533</v>
      </c>
    </row>
    <row r="48" spans="3:17" x14ac:dyDescent="0.25">
      <c r="C48">
        <v>215</v>
      </c>
      <c r="H48" t="s">
        <v>573</v>
      </c>
      <c r="I48" t="s">
        <v>537</v>
      </c>
      <c r="P48">
        <v>215</v>
      </c>
      <c r="Q48" t="s">
        <v>533</v>
      </c>
    </row>
    <row r="49" spans="3:17" x14ac:dyDescent="0.25">
      <c r="C49">
        <v>214</v>
      </c>
      <c r="H49" t="s">
        <v>536</v>
      </c>
      <c r="I49" t="s">
        <v>537</v>
      </c>
      <c r="P49">
        <v>214</v>
      </c>
      <c r="Q49" t="s">
        <v>533</v>
      </c>
    </row>
    <row r="50" spans="3:17" x14ac:dyDescent="0.25">
      <c r="C50">
        <v>186</v>
      </c>
      <c r="H50" t="s">
        <v>603</v>
      </c>
      <c r="I50" t="s">
        <v>534</v>
      </c>
      <c r="P50">
        <v>186</v>
      </c>
      <c r="Q50" t="s">
        <v>533</v>
      </c>
    </row>
    <row r="51" spans="3:17" x14ac:dyDescent="0.25">
      <c r="C51">
        <v>156</v>
      </c>
      <c r="H51" t="s">
        <v>606</v>
      </c>
      <c r="I51" t="s">
        <v>534</v>
      </c>
      <c r="P51">
        <v>156</v>
      </c>
      <c r="Q51" t="s">
        <v>533</v>
      </c>
    </row>
    <row r="52" spans="3:17" x14ac:dyDescent="0.25">
      <c r="C52">
        <v>128</v>
      </c>
      <c r="H52" t="s">
        <v>608</v>
      </c>
      <c r="I52" t="s">
        <v>534</v>
      </c>
      <c r="P52">
        <v>128</v>
      </c>
      <c r="Q52" t="s">
        <v>533</v>
      </c>
    </row>
    <row r="53" spans="3:17" x14ac:dyDescent="0.25">
      <c r="C53">
        <v>126</v>
      </c>
      <c r="H53" t="s">
        <v>610</v>
      </c>
      <c r="I53" t="s">
        <v>537</v>
      </c>
      <c r="P53">
        <v>126</v>
      </c>
      <c r="Q53" t="s">
        <v>533</v>
      </c>
    </row>
    <row r="54" spans="3:17" x14ac:dyDescent="0.25">
      <c r="C54">
        <v>120</v>
      </c>
      <c r="H54">
        <v>620</v>
      </c>
      <c r="I54" t="s">
        <v>534</v>
      </c>
      <c r="P54">
        <v>120</v>
      </c>
      <c r="Q54" t="s">
        <v>533</v>
      </c>
    </row>
    <row r="55" spans="3:17" x14ac:dyDescent="0.25">
      <c r="C55">
        <v>108</v>
      </c>
      <c r="H55" t="s">
        <v>613</v>
      </c>
      <c r="I55" t="s">
        <v>537</v>
      </c>
      <c r="P55">
        <v>108</v>
      </c>
      <c r="Q55" t="s">
        <v>533</v>
      </c>
    </row>
    <row r="56" spans="3:17" x14ac:dyDescent="0.25">
      <c r="C56">
        <v>104</v>
      </c>
      <c r="H56" t="s">
        <v>541</v>
      </c>
      <c r="I56" t="s">
        <v>537</v>
      </c>
      <c r="P56">
        <v>104</v>
      </c>
      <c r="Q56" t="s">
        <v>533</v>
      </c>
    </row>
    <row r="57" spans="3:17" x14ac:dyDescent="0.25">
      <c r="C57">
        <v>102</v>
      </c>
      <c r="H57" t="s">
        <v>543</v>
      </c>
      <c r="I57" t="s">
        <v>537</v>
      </c>
      <c r="P57">
        <v>102</v>
      </c>
      <c r="Q57" t="s">
        <v>533</v>
      </c>
    </row>
    <row r="58" spans="3:17" x14ac:dyDescent="0.25">
      <c r="C58">
        <v>100</v>
      </c>
      <c r="P58">
        <v>100</v>
      </c>
      <c r="Q58" t="s">
        <v>533</v>
      </c>
    </row>
    <row r="59" spans="3:17" x14ac:dyDescent="0.25">
      <c r="C59">
        <v>248</v>
      </c>
      <c r="P59">
        <v>783</v>
      </c>
      <c r="Q59" t="s">
        <v>566</v>
      </c>
    </row>
    <row r="60" spans="3:17" x14ac:dyDescent="0.25">
      <c r="C60">
        <v>242</v>
      </c>
      <c r="P60">
        <v>248</v>
      </c>
      <c r="Q60" t="s">
        <v>566</v>
      </c>
    </row>
    <row r="61" spans="3:17" x14ac:dyDescent="0.25">
      <c r="C61">
        <v>226</v>
      </c>
      <c r="P61">
        <v>242</v>
      </c>
      <c r="Q61" t="s">
        <v>566</v>
      </c>
    </row>
    <row r="62" spans="3:17" x14ac:dyDescent="0.25">
      <c r="C62">
        <v>4525</v>
      </c>
      <c r="P62">
        <v>226</v>
      </c>
      <c r="Q62" t="s">
        <v>566</v>
      </c>
    </row>
    <row r="63" spans="3:17" x14ac:dyDescent="0.25">
      <c r="C63">
        <v>3275</v>
      </c>
      <c r="P63">
        <v>4525</v>
      </c>
      <c r="Q63" t="s">
        <v>568</v>
      </c>
    </row>
    <row r="64" spans="3:17" x14ac:dyDescent="0.25">
      <c r="C64">
        <v>2840</v>
      </c>
      <c r="P64">
        <v>3275</v>
      </c>
      <c r="Q64" t="s">
        <v>568</v>
      </c>
    </row>
    <row r="65" spans="3:17" x14ac:dyDescent="0.25">
      <c r="C65">
        <v>2313</v>
      </c>
      <c r="P65">
        <v>2840</v>
      </c>
      <c r="Q65" t="s">
        <v>568</v>
      </c>
    </row>
    <row r="66" spans="3:17" x14ac:dyDescent="0.25">
      <c r="C66">
        <v>387</v>
      </c>
      <c r="P66">
        <v>2313</v>
      </c>
      <c r="Q66" t="s">
        <v>568</v>
      </c>
    </row>
    <row r="67" spans="3:17" x14ac:dyDescent="0.25">
      <c r="C67">
        <v>332</v>
      </c>
      <c r="P67">
        <v>387</v>
      </c>
      <c r="Q67" t="s">
        <v>568</v>
      </c>
    </row>
    <row r="68" spans="3:17" x14ac:dyDescent="0.25">
      <c r="C68">
        <v>722</v>
      </c>
      <c r="P68">
        <v>332</v>
      </c>
      <c r="Q68" t="s">
        <v>568</v>
      </c>
    </row>
    <row r="69" spans="3:17" x14ac:dyDescent="0.25">
      <c r="C69">
        <v>4560</v>
      </c>
      <c r="P69">
        <v>248</v>
      </c>
      <c r="Q69" t="s">
        <v>568</v>
      </c>
    </row>
    <row r="70" spans="3:17" x14ac:dyDescent="0.25">
      <c r="C70">
        <v>573</v>
      </c>
      <c r="P70">
        <v>242</v>
      </c>
      <c r="Q70" t="s">
        <v>568</v>
      </c>
    </row>
    <row r="71" spans="3:17" x14ac:dyDescent="0.25">
      <c r="C71">
        <v>109</v>
      </c>
      <c r="P71">
        <v>722</v>
      </c>
      <c r="Q71" t="s">
        <v>574</v>
      </c>
    </row>
    <row r="72" spans="3:17" x14ac:dyDescent="0.25">
      <c r="C72">
        <v>5214</v>
      </c>
      <c r="P72">
        <v>4560</v>
      </c>
      <c r="Q72" t="s">
        <v>576</v>
      </c>
    </row>
    <row r="73" spans="3:17" x14ac:dyDescent="0.25">
      <c r="C73">
        <v>2224</v>
      </c>
      <c r="P73">
        <v>573</v>
      </c>
      <c r="Q73" t="s">
        <v>576</v>
      </c>
    </row>
    <row r="74" spans="3:17" x14ac:dyDescent="0.25">
      <c r="C74">
        <v>2222</v>
      </c>
      <c r="P74">
        <v>109</v>
      </c>
      <c r="Q74" t="s">
        <v>576</v>
      </c>
    </row>
    <row r="75" spans="3:17" x14ac:dyDescent="0.25">
      <c r="C75">
        <v>2220</v>
      </c>
      <c r="P75">
        <v>5214</v>
      </c>
      <c r="Q75" t="s">
        <v>580</v>
      </c>
    </row>
    <row r="76" spans="3:17" x14ac:dyDescent="0.25">
      <c r="C76">
        <v>2218</v>
      </c>
      <c r="P76">
        <v>2840</v>
      </c>
      <c r="Q76" t="s">
        <v>580</v>
      </c>
    </row>
    <row r="77" spans="3:17" x14ac:dyDescent="0.25">
      <c r="C77">
        <v>2216</v>
      </c>
      <c r="P77">
        <v>2224</v>
      </c>
      <c r="Q77" t="s">
        <v>580</v>
      </c>
    </row>
    <row r="78" spans="3:17" x14ac:dyDescent="0.25">
      <c r="C78">
        <v>2214</v>
      </c>
      <c r="P78">
        <v>2222</v>
      </c>
      <c r="Q78" t="s">
        <v>580</v>
      </c>
    </row>
    <row r="79" spans="3:17" x14ac:dyDescent="0.25">
      <c r="C79">
        <v>2212</v>
      </c>
      <c r="P79">
        <v>2220</v>
      </c>
      <c r="Q79" t="s">
        <v>580</v>
      </c>
    </row>
    <row r="80" spans="3:17" x14ac:dyDescent="0.25">
      <c r="C80">
        <v>2210</v>
      </c>
      <c r="P80">
        <v>2218</v>
      </c>
      <c r="Q80" t="s">
        <v>580</v>
      </c>
    </row>
    <row r="81" spans="3:17" x14ac:dyDescent="0.25">
      <c r="C81">
        <v>2208</v>
      </c>
      <c r="P81">
        <v>2216</v>
      </c>
      <c r="Q81" t="s">
        <v>580</v>
      </c>
    </row>
    <row r="82" spans="3:17" x14ac:dyDescent="0.25">
      <c r="C82">
        <v>2206</v>
      </c>
      <c r="P82">
        <v>2214</v>
      </c>
      <c r="Q82" t="s">
        <v>580</v>
      </c>
    </row>
    <row r="83" spans="3:17" x14ac:dyDescent="0.25">
      <c r="C83">
        <v>2204</v>
      </c>
      <c r="P83">
        <v>2212</v>
      </c>
      <c r="Q83" t="s">
        <v>580</v>
      </c>
    </row>
    <row r="84" spans="3:17" x14ac:dyDescent="0.25">
      <c r="C84">
        <v>2202</v>
      </c>
      <c r="P84">
        <v>2210</v>
      </c>
      <c r="Q84" t="s">
        <v>580</v>
      </c>
    </row>
    <row r="85" spans="3:17" x14ac:dyDescent="0.25">
      <c r="C85">
        <v>2200</v>
      </c>
      <c r="P85">
        <v>2208</v>
      </c>
      <c r="Q85" t="s">
        <v>580</v>
      </c>
    </row>
    <row r="86" spans="3:17" x14ac:dyDescent="0.25">
      <c r="C86">
        <v>957</v>
      </c>
      <c r="P86">
        <v>2206</v>
      </c>
      <c r="Q86" t="s">
        <v>580</v>
      </c>
    </row>
    <row r="87" spans="3:17" x14ac:dyDescent="0.25">
      <c r="C87">
        <v>810</v>
      </c>
      <c r="P87">
        <v>2204</v>
      </c>
      <c r="Q87" t="s">
        <v>580</v>
      </c>
    </row>
    <row r="88" spans="3:17" x14ac:dyDescent="0.25">
      <c r="C88">
        <v>808</v>
      </c>
      <c r="P88">
        <v>2202</v>
      </c>
      <c r="Q88" t="s">
        <v>580</v>
      </c>
    </row>
    <row r="89" spans="3:17" x14ac:dyDescent="0.25">
      <c r="C89">
        <v>623</v>
      </c>
      <c r="P89">
        <v>2200</v>
      </c>
      <c r="Q89" t="s">
        <v>580</v>
      </c>
    </row>
    <row r="90" spans="3:17" x14ac:dyDescent="0.25">
      <c r="C90">
        <v>417</v>
      </c>
      <c r="P90">
        <v>957</v>
      </c>
      <c r="Q90" t="s">
        <v>580</v>
      </c>
    </row>
    <row r="91" spans="3:17" x14ac:dyDescent="0.25">
      <c r="C91">
        <v>415</v>
      </c>
      <c r="P91">
        <v>810</v>
      </c>
      <c r="Q91" t="s">
        <v>580</v>
      </c>
    </row>
    <row r="92" spans="3:17" x14ac:dyDescent="0.25">
      <c r="C92">
        <v>411</v>
      </c>
      <c r="P92">
        <v>808</v>
      </c>
      <c r="Q92" t="s">
        <v>580</v>
      </c>
    </row>
    <row r="93" spans="3:17" x14ac:dyDescent="0.25">
      <c r="C93">
        <v>236</v>
      </c>
      <c r="P93">
        <v>623</v>
      </c>
      <c r="Q93" t="s">
        <v>580</v>
      </c>
    </row>
    <row r="94" spans="3:17" x14ac:dyDescent="0.25">
      <c r="C94">
        <v>230</v>
      </c>
      <c r="P94">
        <v>417</v>
      </c>
      <c r="Q94" t="s">
        <v>580</v>
      </c>
    </row>
    <row r="95" spans="3:17" x14ac:dyDescent="0.25">
      <c r="C95">
        <v>221</v>
      </c>
      <c r="P95">
        <v>415</v>
      </c>
      <c r="Q95" t="s">
        <v>580</v>
      </c>
    </row>
    <row r="96" spans="3:17" x14ac:dyDescent="0.25">
      <c r="C96">
        <v>21</v>
      </c>
      <c r="P96">
        <v>411</v>
      </c>
      <c r="Q96" t="s">
        <v>580</v>
      </c>
    </row>
    <row r="97" spans="3:17" x14ac:dyDescent="0.25">
      <c r="C97">
        <v>29</v>
      </c>
      <c r="P97">
        <v>248</v>
      </c>
      <c r="Q97" t="s">
        <v>580</v>
      </c>
    </row>
    <row r="98" spans="3:17" x14ac:dyDescent="0.25">
      <c r="C98">
        <v>28</v>
      </c>
      <c r="P98">
        <v>236</v>
      </c>
      <c r="Q98" t="s">
        <v>580</v>
      </c>
    </row>
    <row r="99" spans="3:17" x14ac:dyDescent="0.25">
      <c r="C99">
        <v>26</v>
      </c>
      <c r="P99">
        <v>230</v>
      </c>
      <c r="Q99" t="s">
        <v>580</v>
      </c>
    </row>
    <row r="100" spans="3:17" x14ac:dyDescent="0.25">
      <c r="C100">
        <v>25</v>
      </c>
      <c r="P100">
        <v>221</v>
      </c>
      <c r="Q100" t="s">
        <v>580</v>
      </c>
    </row>
    <row r="101" spans="3:17" x14ac:dyDescent="0.25">
      <c r="C101">
        <v>4394</v>
      </c>
      <c r="P101">
        <v>585</v>
      </c>
      <c r="Q101" t="s">
        <v>584</v>
      </c>
    </row>
    <row r="102" spans="3:17" x14ac:dyDescent="0.25">
      <c r="C102">
        <v>4354</v>
      </c>
      <c r="P102">
        <v>21</v>
      </c>
      <c r="Q102" t="s">
        <v>585</v>
      </c>
    </row>
    <row r="103" spans="3:17" x14ac:dyDescent="0.25">
      <c r="C103">
        <v>4211</v>
      </c>
      <c r="P103">
        <v>29</v>
      </c>
      <c r="Q103" t="s">
        <v>585</v>
      </c>
    </row>
    <row r="104" spans="3:17" x14ac:dyDescent="0.25">
      <c r="C104">
        <v>1590</v>
      </c>
      <c r="P104">
        <v>28</v>
      </c>
      <c r="Q104" t="s">
        <v>585</v>
      </c>
    </row>
    <row r="105" spans="3:17" x14ac:dyDescent="0.25">
      <c r="C105">
        <v>480</v>
      </c>
      <c r="P105">
        <v>26</v>
      </c>
      <c r="Q105" t="s">
        <v>585</v>
      </c>
    </row>
    <row r="106" spans="3:17" x14ac:dyDescent="0.25">
      <c r="C106">
        <v>2879</v>
      </c>
      <c r="P106">
        <v>25</v>
      </c>
      <c r="Q106" t="s">
        <v>585</v>
      </c>
    </row>
    <row r="107" spans="3:17" x14ac:dyDescent="0.25">
      <c r="C107">
        <v>2816</v>
      </c>
      <c r="P107">
        <v>4525</v>
      </c>
      <c r="Q107" t="s">
        <v>586</v>
      </c>
    </row>
    <row r="108" spans="3:17" x14ac:dyDescent="0.25">
      <c r="C108">
        <v>5961</v>
      </c>
      <c r="P108">
        <v>4394</v>
      </c>
      <c r="Q108" t="s">
        <v>586</v>
      </c>
    </row>
    <row r="109" spans="3:17" x14ac:dyDescent="0.25">
      <c r="C109">
        <v>5907</v>
      </c>
      <c r="P109">
        <v>4354</v>
      </c>
      <c r="Q109" t="s">
        <v>586</v>
      </c>
    </row>
    <row r="110" spans="3:17" x14ac:dyDescent="0.25">
      <c r="C110">
        <v>5744</v>
      </c>
      <c r="P110">
        <v>4211</v>
      </c>
      <c r="Q110" t="s">
        <v>586</v>
      </c>
    </row>
    <row r="111" spans="3:17" x14ac:dyDescent="0.25">
      <c r="C111">
        <v>5742</v>
      </c>
      <c r="P111">
        <v>1590</v>
      </c>
      <c r="Q111" t="s">
        <v>586</v>
      </c>
    </row>
    <row r="112" spans="3:17" x14ac:dyDescent="0.25">
      <c r="C112">
        <v>5633</v>
      </c>
      <c r="P112">
        <v>480</v>
      </c>
      <c r="Q112" t="s">
        <v>586</v>
      </c>
    </row>
    <row r="113" spans="3:17" x14ac:dyDescent="0.25">
      <c r="C113">
        <v>5436</v>
      </c>
      <c r="P113">
        <v>332</v>
      </c>
      <c r="Q113" t="s">
        <v>586</v>
      </c>
    </row>
    <row r="114" spans="3:17" x14ac:dyDescent="0.25">
      <c r="C114">
        <v>5434</v>
      </c>
      <c r="P114">
        <v>221</v>
      </c>
      <c r="Q114" t="s">
        <v>586</v>
      </c>
    </row>
    <row r="115" spans="3:17" x14ac:dyDescent="0.25">
      <c r="C115">
        <v>5432</v>
      </c>
      <c r="P115">
        <v>2879</v>
      </c>
      <c r="Q115" t="s">
        <v>589</v>
      </c>
    </row>
    <row r="116" spans="3:17" x14ac:dyDescent="0.25">
      <c r="C116">
        <v>5426</v>
      </c>
      <c r="P116">
        <v>2816</v>
      </c>
      <c r="Q116" t="s">
        <v>589</v>
      </c>
    </row>
    <row r="117" spans="3:17" x14ac:dyDescent="0.25">
      <c r="C117">
        <v>5424</v>
      </c>
      <c r="P117">
        <v>480</v>
      </c>
      <c r="Q117" t="s">
        <v>589</v>
      </c>
    </row>
    <row r="118" spans="3:17" x14ac:dyDescent="0.25">
      <c r="C118">
        <v>5422</v>
      </c>
      <c r="P118">
        <v>5961</v>
      </c>
      <c r="Q118" t="s">
        <v>592</v>
      </c>
    </row>
    <row r="119" spans="3:17" x14ac:dyDescent="0.25">
      <c r="C119">
        <v>4734</v>
      </c>
      <c r="P119">
        <v>5907</v>
      </c>
      <c r="Q119" t="s">
        <v>592</v>
      </c>
    </row>
    <row r="120" spans="3:17" x14ac:dyDescent="0.25">
      <c r="C120">
        <v>3436</v>
      </c>
      <c r="P120">
        <v>5744</v>
      </c>
      <c r="Q120" t="s">
        <v>592</v>
      </c>
    </row>
    <row r="121" spans="3:17" x14ac:dyDescent="0.25">
      <c r="C121">
        <v>2434</v>
      </c>
      <c r="P121">
        <v>5742</v>
      </c>
      <c r="Q121" t="s">
        <v>592</v>
      </c>
    </row>
    <row r="122" spans="3:17" x14ac:dyDescent="0.25">
      <c r="C122">
        <v>975</v>
      </c>
      <c r="P122">
        <v>5633</v>
      </c>
      <c r="Q122" t="s">
        <v>592</v>
      </c>
    </row>
    <row r="123" spans="3:17" x14ac:dyDescent="0.25">
      <c r="C123">
        <v>971</v>
      </c>
      <c r="P123">
        <v>5436</v>
      </c>
      <c r="Q123" t="s">
        <v>592</v>
      </c>
    </row>
    <row r="124" spans="3:17" x14ac:dyDescent="0.25">
      <c r="C124">
        <v>961</v>
      </c>
      <c r="P124">
        <v>5434</v>
      </c>
      <c r="Q124" t="s">
        <v>592</v>
      </c>
    </row>
    <row r="125" spans="3:17" x14ac:dyDescent="0.25">
      <c r="C125">
        <v>959</v>
      </c>
      <c r="P125">
        <v>5432</v>
      </c>
      <c r="Q125" t="s">
        <v>592</v>
      </c>
    </row>
    <row r="126" spans="3:17" x14ac:dyDescent="0.25">
      <c r="C126">
        <v>951</v>
      </c>
      <c r="P126">
        <v>5426</v>
      </c>
      <c r="Q126" t="s">
        <v>592</v>
      </c>
    </row>
    <row r="127" spans="3:17" x14ac:dyDescent="0.25">
      <c r="C127">
        <v>941</v>
      </c>
      <c r="P127">
        <v>5424</v>
      </c>
      <c r="Q127" t="s">
        <v>592</v>
      </c>
    </row>
    <row r="128" spans="3:17" x14ac:dyDescent="0.25">
      <c r="C128">
        <v>931</v>
      </c>
      <c r="P128">
        <v>5422</v>
      </c>
      <c r="Q128" t="s">
        <v>592</v>
      </c>
    </row>
    <row r="129" spans="3:17" x14ac:dyDescent="0.25">
      <c r="C129">
        <v>930</v>
      </c>
      <c r="P129">
        <v>4734</v>
      </c>
      <c r="Q129" t="s">
        <v>592</v>
      </c>
    </row>
    <row r="130" spans="3:17" x14ac:dyDescent="0.25">
      <c r="C130">
        <v>917</v>
      </c>
      <c r="P130">
        <v>4525</v>
      </c>
      <c r="Q130" t="s">
        <v>592</v>
      </c>
    </row>
    <row r="131" spans="3:17" x14ac:dyDescent="0.25">
      <c r="C131">
        <v>915</v>
      </c>
      <c r="P131">
        <v>4354</v>
      </c>
      <c r="Q131" t="s">
        <v>592</v>
      </c>
    </row>
    <row r="132" spans="3:17" x14ac:dyDescent="0.25">
      <c r="C132">
        <v>913</v>
      </c>
      <c r="P132">
        <v>3436</v>
      </c>
      <c r="Q132" t="s">
        <v>592</v>
      </c>
    </row>
    <row r="133" spans="3:17" x14ac:dyDescent="0.25">
      <c r="C133">
        <v>903</v>
      </c>
      <c r="P133">
        <v>2625</v>
      </c>
      <c r="Q133" t="s">
        <v>592</v>
      </c>
    </row>
    <row r="134" spans="3:17" x14ac:dyDescent="0.25">
      <c r="C134">
        <v>752</v>
      </c>
      <c r="P134">
        <v>2434</v>
      </c>
      <c r="Q134" t="s">
        <v>592</v>
      </c>
    </row>
    <row r="135" spans="3:17" x14ac:dyDescent="0.25">
      <c r="C135">
        <v>747</v>
      </c>
      <c r="P135">
        <v>975</v>
      </c>
      <c r="Q135" t="s">
        <v>592</v>
      </c>
    </row>
    <row r="136" spans="3:17" x14ac:dyDescent="0.25">
      <c r="C136">
        <v>744</v>
      </c>
      <c r="P136">
        <v>971</v>
      </c>
      <c r="Q136" t="s">
        <v>592</v>
      </c>
    </row>
    <row r="137" spans="3:17" x14ac:dyDescent="0.25">
      <c r="C137">
        <v>742</v>
      </c>
      <c r="P137">
        <v>961</v>
      </c>
      <c r="Q137" t="s">
        <v>592</v>
      </c>
    </row>
    <row r="138" spans="3:17" x14ac:dyDescent="0.25">
      <c r="C138">
        <v>741</v>
      </c>
      <c r="P138">
        <v>959</v>
      </c>
      <c r="Q138" t="s">
        <v>592</v>
      </c>
    </row>
    <row r="139" spans="3:17" x14ac:dyDescent="0.25">
      <c r="C139">
        <v>738</v>
      </c>
      <c r="P139">
        <v>951</v>
      </c>
      <c r="Q139" t="s">
        <v>592</v>
      </c>
    </row>
    <row r="140" spans="3:17" x14ac:dyDescent="0.25">
      <c r="C140">
        <v>732</v>
      </c>
      <c r="P140">
        <v>941</v>
      </c>
      <c r="Q140" t="s">
        <v>592</v>
      </c>
    </row>
    <row r="141" spans="3:17" x14ac:dyDescent="0.25">
      <c r="C141">
        <v>730</v>
      </c>
      <c r="P141">
        <v>931</v>
      </c>
      <c r="Q141" t="s">
        <v>592</v>
      </c>
    </row>
    <row r="142" spans="3:17" x14ac:dyDescent="0.25">
      <c r="C142">
        <v>724</v>
      </c>
      <c r="P142">
        <v>930</v>
      </c>
      <c r="Q142" t="s">
        <v>592</v>
      </c>
    </row>
    <row r="143" spans="3:17" x14ac:dyDescent="0.25">
      <c r="C143">
        <v>723</v>
      </c>
      <c r="P143">
        <v>917</v>
      </c>
      <c r="Q143" t="s">
        <v>592</v>
      </c>
    </row>
    <row r="144" spans="3:17" x14ac:dyDescent="0.25">
      <c r="C144">
        <v>693</v>
      </c>
      <c r="P144">
        <v>915</v>
      </c>
      <c r="Q144" t="s">
        <v>592</v>
      </c>
    </row>
    <row r="145" spans="3:17" x14ac:dyDescent="0.25">
      <c r="C145">
        <v>691</v>
      </c>
      <c r="P145">
        <v>913</v>
      </c>
      <c r="Q145" t="s">
        <v>592</v>
      </c>
    </row>
    <row r="146" spans="3:17" x14ac:dyDescent="0.25">
      <c r="C146">
        <v>689</v>
      </c>
      <c r="P146">
        <v>903</v>
      </c>
      <c r="Q146" t="s">
        <v>592</v>
      </c>
    </row>
    <row r="147" spans="3:17" x14ac:dyDescent="0.25">
      <c r="C147">
        <v>687</v>
      </c>
      <c r="P147">
        <v>775</v>
      </c>
      <c r="Q147" t="s">
        <v>592</v>
      </c>
    </row>
    <row r="148" spans="3:17" x14ac:dyDescent="0.25">
      <c r="C148">
        <v>683</v>
      </c>
      <c r="P148">
        <v>752</v>
      </c>
      <c r="Q148" t="s">
        <v>592</v>
      </c>
    </row>
    <row r="149" spans="3:17" x14ac:dyDescent="0.25">
      <c r="C149">
        <v>680</v>
      </c>
      <c r="P149">
        <v>747</v>
      </c>
      <c r="Q149" t="s">
        <v>592</v>
      </c>
    </row>
    <row r="150" spans="3:17" x14ac:dyDescent="0.25">
      <c r="C150">
        <v>679</v>
      </c>
      <c r="P150">
        <v>744</v>
      </c>
      <c r="Q150" t="s">
        <v>592</v>
      </c>
    </row>
    <row r="151" spans="3:17" x14ac:dyDescent="0.25">
      <c r="C151">
        <v>677</v>
      </c>
      <c r="P151">
        <v>742</v>
      </c>
      <c r="Q151" t="s">
        <v>592</v>
      </c>
    </row>
    <row r="152" spans="3:17" x14ac:dyDescent="0.25">
      <c r="C152">
        <v>675</v>
      </c>
      <c r="P152">
        <v>741</v>
      </c>
      <c r="Q152" t="s">
        <v>592</v>
      </c>
    </row>
    <row r="153" spans="3:17" x14ac:dyDescent="0.25">
      <c r="C153">
        <v>673</v>
      </c>
      <c r="P153">
        <v>738</v>
      </c>
      <c r="Q153" t="s">
        <v>592</v>
      </c>
    </row>
    <row r="154" spans="3:17" x14ac:dyDescent="0.25">
      <c r="C154">
        <v>671</v>
      </c>
      <c r="P154">
        <v>732</v>
      </c>
      <c r="Q154" t="s">
        <v>592</v>
      </c>
    </row>
    <row r="155" spans="3:17" x14ac:dyDescent="0.25">
      <c r="C155">
        <v>635</v>
      </c>
      <c r="P155">
        <v>730</v>
      </c>
      <c r="Q155" t="s">
        <v>592</v>
      </c>
    </row>
    <row r="156" spans="3:17" x14ac:dyDescent="0.25">
      <c r="C156">
        <v>633</v>
      </c>
      <c r="P156">
        <v>724</v>
      </c>
      <c r="Q156" t="s">
        <v>592</v>
      </c>
    </row>
    <row r="157" spans="3:17" x14ac:dyDescent="0.25">
      <c r="C157">
        <v>631</v>
      </c>
      <c r="P157">
        <v>723</v>
      </c>
      <c r="Q157" t="s">
        <v>592</v>
      </c>
    </row>
    <row r="158" spans="3:17" x14ac:dyDescent="0.25">
      <c r="C158">
        <v>627</v>
      </c>
      <c r="P158">
        <v>693</v>
      </c>
      <c r="Q158" t="s">
        <v>592</v>
      </c>
    </row>
    <row r="159" spans="3:17" x14ac:dyDescent="0.25">
      <c r="C159">
        <v>621</v>
      </c>
      <c r="P159">
        <v>691</v>
      </c>
      <c r="Q159" t="s">
        <v>592</v>
      </c>
    </row>
    <row r="160" spans="3:17" x14ac:dyDescent="0.25">
      <c r="C160">
        <v>475</v>
      </c>
      <c r="P160">
        <v>689</v>
      </c>
      <c r="Q160" t="s">
        <v>592</v>
      </c>
    </row>
    <row r="161" spans="3:17" x14ac:dyDescent="0.25">
      <c r="C161">
        <v>436</v>
      </c>
      <c r="P161">
        <v>687</v>
      </c>
      <c r="Q161" t="s">
        <v>592</v>
      </c>
    </row>
    <row r="162" spans="3:17" x14ac:dyDescent="0.25">
      <c r="C162">
        <v>432</v>
      </c>
      <c r="P162">
        <v>683</v>
      </c>
      <c r="Q162" t="s">
        <v>592</v>
      </c>
    </row>
    <row r="163" spans="3:17" x14ac:dyDescent="0.25">
      <c r="C163">
        <v>430</v>
      </c>
      <c r="P163">
        <v>680</v>
      </c>
      <c r="Q163" t="s">
        <v>592</v>
      </c>
    </row>
    <row r="164" spans="3:17" x14ac:dyDescent="0.25">
      <c r="C164">
        <v>428</v>
      </c>
      <c r="P164">
        <v>679</v>
      </c>
      <c r="Q164" t="s">
        <v>592</v>
      </c>
    </row>
    <row r="165" spans="3:17" x14ac:dyDescent="0.25">
      <c r="C165">
        <v>426</v>
      </c>
      <c r="P165">
        <v>677</v>
      </c>
      <c r="Q165" t="s">
        <v>592</v>
      </c>
    </row>
    <row r="166" spans="3:17" x14ac:dyDescent="0.25">
      <c r="C166">
        <v>424</v>
      </c>
      <c r="P166">
        <v>675</v>
      </c>
      <c r="Q166" t="s">
        <v>592</v>
      </c>
    </row>
    <row r="167" spans="3:17" x14ac:dyDescent="0.25">
      <c r="C167">
        <v>422</v>
      </c>
      <c r="P167">
        <v>673</v>
      </c>
      <c r="Q167" t="s">
        <v>592</v>
      </c>
    </row>
    <row r="168" spans="3:17" x14ac:dyDescent="0.25">
      <c r="C168">
        <v>420</v>
      </c>
      <c r="P168">
        <v>671</v>
      </c>
      <c r="Q168" t="s">
        <v>592</v>
      </c>
    </row>
    <row r="169" spans="3:17" x14ac:dyDescent="0.25">
      <c r="C169">
        <v>419</v>
      </c>
      <c r="P169">
        <v>635</v>
      </c>
      <c r="Q169" t="s">
        <v>592</v>
      </c>
    </row>
    <row r="170" spans="3:17" x14ac:dyDescent="0.25">
      <c r="C170">
        <v>2127</v>
      </c>
      <c r="P170">
        <v>633</v>
      </c>
      <c r="Q170" t="s">
        <v>592</v>
      </c>
    </row>
    <row r="171" spans="3:17" x14ac:dyDescent="0.25">
      <c r="C171">
        <v>2125</v>
      </c>
      <c r="P171">
        <v>631</v>
      </c>
      <c r="Q171" t="s">
        <v>592</v>
      </c>
    </row>
    <row r="172" spans="3:17" x14ac:dyDescent="0.25">
      <c r="C172">
        <v>2119</v>
      </c>
      <c r="P172">
        <v>627</v>
      </c>
      <c r="Q172" t="s">
        <v>592</v>
      </c>
    </row>
    <row r="173" spans="3:17" x14ac:dyDescent="0.25">
      <c r="C173">
        <v>2158</v>
      </c>
      <c r="P173">
        <v>623</v>
      </c>
      <c r="Q173" t="s">
        <v>592</v>
      </c>
    </row>
    <row r="174" spans="3:17" x14ac:dyDescent="0.25">
      <c r="C174">
        <v>2029</v>
      </c>
      <c r="P174">
        <v>621</v>
      </c>
      <c r="Q174" t="s">
        <v>592</v>
      </c>
    </row>
    <row r="175" spans="3:17" x14ac:dyDescent="0.25">
      <c r="C175">
        <v>2024</v>
      </c>
      <c r="P175">
        <v>475</v>
      </c>
      <c r="Q175" t="s">
        <v>592</v>
      </c>
    </row>
    <row r="176" spans="3:17" x14ac:dyDescent="0.25">
      <c r="C176">
        <v>2023</v>
      </c>
      <c r="P176">
        <v>436</v>
      </c>
      <c r="Q176" t="s">
        <v>592</v>
      </c>
    </row>
    <row r="177" spans="3:17" x14ac:dyDescent="0.25">
      <c r="C177">
        <v>2021</v>
      </c>
      <c r="P177">
        <v>432</v>
      </c>
      <c r="Q177" t="s">
        <v>592</v>
      </c>
    </row>
    <row r="178" spans="3:17" x14ac:dyDescent="0.25">
      <c r="C178">
        <v>2005</v>
      </c>
      <c r="P178">
        <v>430</v>
      </c>
      <c r="Q178" t="s">
        <v>592</v>
      </c>
    </row>
    <row r="179" spans="3:17" x14ac:dyDescent="0.25">
      <c r="C179">
        <v>789</v>
      </c>
      <c r="P179">
        <v>428</v>
      </c>
      <c r="Q179" t="s">
        <v>592</v>
      </c>
    </row>
    <row r="180" spans="3:17" x14ac:dyDescent="0.25">
      <c r="C180">
        <v>787</v>
      </c>
      <c r="P180">
        <v>426</v>
      </c>
      <c r="Q180" t="s">
        <v>592</v>
      </c>
    </row>
    <row r="181" spans="3:17" x14ac:dyDescent="0.25">
      <c r="C181">
        <v>460</v>
      </c>
      <c r="P181">
        <v>424</v>
      </c>
      <c r="Q181" t="s">
        <v>592</v>
      </c>
    </row>
    <row r="182" spans="3:17" x14ac:dyDescent="0.25">
      <c r="C182">
        <v>160</v>
      </c>
      <c r="P182">
        <v>422</v>
      </c>
      <c r="Q182" t="s">
        <v>592</v>
      </c>
    </row>
    <row r="183" spans="3:17" x14ac:dyDescent="0.25">
      <c r="C183">
        <v>280</v>
      </c>
      <c r="P183">
        <v>420</v>
      </c>
      <c r="Q183" t="s">
        <v>592</v>
      </c>
    </row>
    <row r="184" spans="3:17" x14ac:dyDescent="0.25">
      <c r="C184">
        <v>4559</v>
      </c>
      <c r="P184">
        <v>419</v>
      </c>
      <c r="Q184" t="s">
        <v>592</v>
      </c>
    </row>
    <row r="185" spans="3:17" x14ac:dyDescent="0.25">
      <c r="C185">
        <v>966</v>
      </c>
      <c r="P185">
        <v>417</v>
      </c>
      <c r="Q185" t="s">
        <v>592</v>
      </c>
    </row>
    <row r="186" spans="3:17" x14ac:dyDescent="0.25">
      <c r="C186">
        <v>6957</v>
      </c>
      <c r="P186">
        <v>221</v>
      </c>
      <c r="Q186" t="s">
        <v>592</v>
      </c>
    </row>
    <row r="187" spans="3:17" x14ac:dyDescent="0.25">
      <c r="C187">
        <v>6808</v>
      </c>
      <c r="P187">
        <v>3275</v>
      </c>
      <c r="Q187" t="s">
        <v>533</v>
      </c>
    </row>
    <row r="188" spans="3:17" x14ac:dyDescent="0.25">
      <c r="C188">
        <v>5210</v>
      </c>
      <c r="P188">
        <v>2127</v>
      </c>
      <c r="Q188" t="s">
        <v>533</v>
      </c>
    </row>
    <row r="189" spans="3:17" x14ac:dyDescent="0.25">
      <c r="C189">
        <v>413</v>
      </c>
      <c r="P189">
        <v>2125</v>
      </c>
      <c r="Q189" t="s">
        <v>533</v>
      </c>
    </row>
    <row r="190" spans="3:17" x14ac:dyDescent="0.25">
      <c r="C190">
        <v>598</v>
      </c>
      <c r="P190">
        <v>2119</v>
      </c>
      <c r="Q190" t="s">
        <v>533</v>
      </c>
    </row>
    <row r="191" spans="3:17" x14ac:dyDescent="0.25">
      <c r="C191">
        <v>587</v>
      </c>
      <c r="P191">
        <v>2158</v>
      </c>
      <c r="Q191" t="s">
        <v>533</v>
      </c>
    </row>
    <row r="192" spans="3:17" x14ac:dyDescent="0.25">
      <c r="C192">
        <v>201</v>
      </c>
      <c r="P192">
        <v>2029</v>
      </c>
      <c r="Q192" t="s">
        <v>533</v>
      </c>
    </row>
    <row r="193" spans="3:17" x14ac:dyDescent="0.25">
      <c r="C193">
        <v>8026</v>
      </c>
      <c r="P193">
        <v>2024</v>
      </c>
      <c r="Q193" t="s">
        <v>533</v>
      </c>
    </row>
    <row r="194" spans="3:17" x14ac:dyDescent="0.25">
      <c r="C194">
        <v>322</v>
      </c>
      <c r="P194">
        <v>2023</v>
      </c>
      <c r="Q194" t="s">
        <v>533</v>
      </c>
    </row>
    <row r="195" spans="3:17" x14ac:dyDescent="0.25">
      <c r="C195">
        <v>4489</v>
      </c>
      <c r="P195">
        <v>2021</v>
      </c>
      <c r="Q195" t="s">
        <v>533</v>
      </c>
    </row>
    <row r="196" spans="3:17" x14ac:dyDescent="0.25">
      <c r="C196">
        <v>2927</v>
      </c>
      <c r="P196">
        <v>2005</v>
      </c>
      <c r="Q196" t="s">
        <v>533</v>
      </c>
    </row>
    <row r="197" spans="3:17" x14ac:dyDescent="0.25">
      <c r="C197">
        <v>150</v>
      </c>
      <c r="P197">
        <v>789</v>
      </c>
      <c r="Q197" t="s">
        <v>533</v>
      </c>
    </row>
    <row r="198" spans="3:17" x14ac:dyDescent="0.25">
      <c r="C198">
        <v>734</v>
      </c>
      <c r="P198">
        <v>787</v>
      </c>
      <c r="Q198" t="s">
        <v>533</v>
      </c>
    </row>
    <row r="199" spans="3:17" x14ac:dyDescent="0.25">
      <c r="C199">
        <v>937</v>
      </c>
      <c r="P199">
        <v>693</v>
      </c>
      <c r="Q199" t="s">
        <v>533</v>
      </c>
    </row>
    <row r="200" spans="3:17" x14ac:dyDescent="0.25">
      <c r="C200">
        <v>955</v>
      </c>
      <c r="P200">
        <v>460</v>
      </c>
      <c r="Q200" t="s">
        <v>533</v>
      </c>
    </row>
    <row r="201" spans="3:17" x14ac:dyDescent="0.25">
      <c r="C201">
        <v>973</v>
      </c>
      <c r="P201">
        <v>160</v>
      </c>
      <c r="Q201" t="s">
        <v>533</v>
      </c>
    </row>
    <row r="202" spans="3:17" x14ac:dyDescent="0.25">
      <c r="C202">
        <v>5428</v>
      </c>
      <c r="P202">
        <v>280</v>
      </c>
      <c r="Q202" t="s">
        <v>587</v>
      </c>
    </row>
    <row r="203" spans="3:17" x14ac:dyDescent="0.25">
      <c r="C203">
        <v>5438</v>
      </c>
      <c r="P203">
        <v>248</v>
      </c>
      <c r="Q203" t="s">
        <v>587</v>
      </c>
    </row>
    <row r="204" spans="3:17" x14ac:dyDescent="0.25">
      <c r="C204">
        <v>6813</v>
      </c>
      <c r="P204">
        <v>242</v>
      </c>
      <c r="Q204" t="s">
        <v>587</v>
      </c>
    </row>
    <row r="205" spans="3:17" x14ac:dyDescent="0.25">
      <c r="C205">
        <v>3228</v>
      </c>
      <c r="P205">
        <v>226</v>
      </c>
      <c r="Q205" t="s">
        <v>587</v>
      </c>
    </row>
    <row r="206" spans="3:17" x14ac:dyDescent="0.25">
      <c r="C206">
        <v>3102</v>
      </c>
      <c r="P206">
        <v>722</v>
      </c>
      <c r="Q206" t="s">
        <v>597</v>
      </c>
    </row>
    <row r="207" spans="3:17" x14ac:dyDescent="0.25">
      <c r="C207">
        <v>3100</v>
      </c>
      <c r="P207">
        <v>4559</v>
      </c>
      <c r="Q207" t="s">
        <v>598</v>
      </c>
    </row>
    <row r="208" spans="3:17" x14ac:dyDescent="0.25">
      <c r="C208">
        <v>2825</v>
      </c>
      <c r="P208">
        <v>966</v>
      </c>
      <c r="Q208" t="s">
        <v>598</v>
      </c>
    </row>
    <row r="209" spans="3:17" x14ac:dyDescent="0.25">
      <c r="C209">
        <v>2820</v>
      </c>
      <c r="P209">
        <v>573</v>
      </c>
      <c r="Q209" t="s">
        <v>598</v>
      </c>
    </row>
    <row r="210" spans="3:17" x14ac:dyDescent="0.25">
      <c r="C210">
        <v>2329</v>
      </c>
      <c r="P210">
        <v>6957</v>
      </c>
      <c r="Q210" t="s">
        <v>580</v>
      </c>
    </row>
    <row r="211" spans="3:17" x14ac:dyDescent="0.25">
      <c r="C211">
        <v>52</v>
      </c>
      <c r="P211">
        <v>6808</v>
      </c>
      <c r="Q211" t="s">
        <v>580</v>
      </c>
    </row>
    <row r="212" spans="3:17" x14ac:dyDescent="0.25">
      <c r="C212">
        <v>2110</v>
      </c>
      <c r="P212">
        <v>5210</v>
      </c>
      <c r="Q212" t="s">
        <v>580</v>
      </c>
    </row>
    <row r="213" spans="3:17" x14ac:dyDescent="0.25">
      <c r="C213">
        <v>1381</v>
      </c>
      <c r="P213">
        <v>413</v>
      </c>
      <c r="Q213" t="s">
        <v>580</v>
      </c>
    </row>
    <row r="214" spans="3:17" x14ac:dyDescent="0.25">
      <c r="C214">
        <v>1160</v>
      </c>
      <c r="P214">
        <v>598</v>
      </c>
      <c r="Q214" t="s">
        <v>605</v>
      </c>
    </row>
    <row r="215" spans="3:17" x14ac:dyDescent="0.25">
      <c r="C215">
        <v>1429</v>
      </c>
      <c r="P215">
        <v>587</v>
      </c>
      <c r="Q215" t="s">
        <v>605</v>
      </c>
    </row>
    <row r="216" spans="3:17" x14ac:dyDescent="0.25">
      <c r="C216">
        <v>1026</v>
      </c>
      <c r="P216">
        <v>585</v>
      </c>
      <c r="Q216" t="s">
        <v>605</v>
      </c>
    </row>
    <row r="217" spans="3:17" x14ac:dyDescent="0.25">
      <c r="C217">
        <v>701</v>
      </c>
      <c r="P217">
        <v>21</v>
      </c>
      <c r="Q217" t="s">
        <v>607</v>
      </c>
    </row>
    <row r="218" spans="3:17" x14ac:dyDescent="0.25">
      <c r="C218">
        <v>375</v>
      </c>
      <c r="P218">
        <v>25</v>
      </c>
      <c r="Q218" t="s">
        <v>607</v>
      </c>
    </row>
    <row r="219" spans="3:17" x14ac:dyDescent="0.25">
      <c r="C219">
        <v>308</v>
      </c>
      <c r="P219">
        <v>26</v>
      </c>
      <c r="Q219" t="s">
        <v>607</v>
      </c>
    </row>
    <row r="220" spans="3:17" x14ac:dyDescent="0.25">
      <c r="C220">
        <v>3224</v>
      </c>
      <c r="P220">
        <v>28</v>
      </c>
      <c r="Q220" t="s">
        <v>607</v>
      </c>
    </row>
    <row r="221" spans="3:17" x14ac:dyDescent="0.25">
      <c r="C221">
        <v>3206</v>
      </c>
      <c r="P221">
        <v>29</v>
      </c>
      <c r="Q221" t="s">
        <v>607</v>
      </c>
    </row>
    <row r="222" spans="3:17" x14ac:dyDescent="0.25">
      <c r="C222">
        <v>3200</v>
      </c>
      <c r="P222">
        <v>201</v>
      </c>
      <c r="Q222" t="s">
        <v>607</v>
      </c>
    </row>
    <row r="223" spans="3:17" x14ac:dyDescent="0.25">
      <c r="C223">
        <v>2236</v>
      </c>
      <c r="P223">
        <v>2121</v>
      </c>
      <c r="Q223" t="s">
        <v>607</v>
      </c>
    </row>
    <row r="224" spans="3:17" x14ac:dyDescent="0.25">
      <c r="P224">
        <v>8026</v>
      </c>
      <c r="Q224" t="s">
        <v>607</v>
      </c>
    </row>
    <row r="225" spans="16:17" x14ac:dyDescent="0.25">
      <c r="P225">
        <v>221</v>
      </c>
      <c r="Q225" t="s">
        <v>609</v>
      </c>
    </row>
    <row r="226" spans="16:17" x14ac:dyDescent="0.25">
      <c r="P226">
        <v>322</v>
      </c>
      <c r="Q226" t="s">
        <v>609</v>
      </c>
    </row>
    <row r="227" spans="16:17" x14ac:dyDescent="0.25">
      <c r="P227">
        <v>480</v>
      </c>
      <c r="Q227" t="s">
        <v>609</v>
      </c>
    </row>
    <row r="228" spans="16:17" x14ac:dyDescent="0.25">
      <c r="P228">
        <v>1590</v>
      </c>
      <c r="Q228" t="s">
        <v>609</v>
      </c>
    </row>
    <row r="229" spans="16:17" x14ac:dyDescent="0.25">
      <c r="P229">
        <v>4211</v>
      </c>
      <c r="Q229" t="s">
        <v>609</v>
      </c>
    </row>
    <row r="230" spans="16:17" x14ac:dyDescent="0.25">
      <c r="P230">
        <v>4354</v>
      </c>
      <c r="Q230" t="s">
        <v>609</v>
      </c>
    </row>
    <row r="231" spans="16:17" x14ac:dyDescent="0.25">
      <c r="P231">
        <v>4394</v>
      </c>
      <c r="Q231" t="s">
        <v>609</v>
      </c>
    </row>
    <row r="232" spans="16:17" x14ac:dyDescent="0.25">
      <c r="P232">
        <v>4489</v>
      </c>
      <c r="Q232" t="s">
        <v>609</v>
      </c>
    </row>
    <row r="233" spans="16:17" x14ac:dyDescent="0.25">
      <c r="P233">
        <v>4525</v>
      </c>
      <c r="Q233" t="s">
        <v>609</v>
      </c>
    </row>
    <row r="234" spans="16:17" x14ac:dyDescent="0.25">
      <c r="P234">
        <v>2927</v>
      </c>
      <c r="Q234" t="s">
        <v>589</v>
      </c>
    </row>
    <row r="235" spans="16:17" x14ac:dyDescent="0.25">
      <c r="P235">
        <v>150</v>
      </c>
      <c r="Q235" t="s">
        <v>592</v>
      </c>
    </row>
    <row r="236" spans="16:17" x14ac:dyDescent="0.25">
      <c r="P236">
        <v>734</v>
      </c>
      <c r="Q236" t="s">
        <v>592</v>
      </c>
    </row>
    <row r="237" spans="16:17" x14ac:dyDescent="0.25">
      <c r="P237">
        <v>937</v>
      </c>
      <c r="Q237" t="s">
        <v>592</v>
      </c>
    </row>
    <row r="238" spans="16:17" x14ac:dyDescent="0.25">
      <c r="P238">
        <v>955</v>
      </c>
      <c r="Q238" t="s">
        <v>592</v>
      </c>
    </row>
    <row r="239" spans="16:17" x14ac:dyDescent="0.25">
      <c r="P239">
        <v>973</v>
      </c>
      <c r="Q239" t="s">
        <v>592</v>
      </c>
    </row>
    <row r="240" spans="16:17" x14ac:dyDescent="0.25">
      <c r="P240">
        <v>5428</v>
      </c>
      <c r="Q240" t="s">
        <v>592</v>
      </c>
    </row>
    <row r="241" spans="16:17" x14ac:dyDescent="0.25">
      <c r="P241">
        <v>5438</v>
      </c>
      <c r="Q241" t="s">
        <v>592</v>
      </c>
    </row>
    <row r="242" spans="16:17" x14ac:dyDescent="0.25">
      <c r="P242">
        <v>6813</v>
      </c>
      <c r="Q242" t="s">
        <v>592</v>
      </c>
    </row>
    <row r="243" spans="16:17" x14ac:dyDescent="0.25">
      <c r="P243">
        <v>3228</v>
      </c>
      <c r="Q243" t="s">
        <v>533</v>
      </c>
    </row>
    <row r="244" spans="16:17" x14ac:dyDescent="0.25">
      <c r="P244">
        <v>3102</v>
      </c>
      <c r="Q244" t="s">
        <v>533</v>
      </c>
    </row>
    <row r="245" spans="16:17" x14ac:dyDescent="0.25">
      <c r="P245">
        <v>3100</v>
      </c>
      <c r="Q245" t="s">
        <v>533</v>
      </c>
    </row>
    <row r="246" spans="16:17" x14ac:dyDescent="0.25">
      <c r="P246">
        <v>2825</v>
      </c>
      <c r="Q246" t="s">
        <v>533</v>
      </c>
    </row>
    <row r="247" spans="16:17" x14ac:dyDescent="0.25">
      <c r="P247">
        <v>2820</v>
      </c>
      <c r="Q247" t="s">
        <v>533</v>
      </c>
    </row>
    <row r="248" spans="16:17" x14ac:dyDescent="0.25">
      <c r="P248">
        <v>2329</v>
      </c>
      <c r="Q248" t="s">
        <v>533</v>
      </c>
    </row>
    <row r="249" spans="16:17" x14ac:dyDescent="0.25">
      <c r="P249">
        <v>52</v>
      </c>
      <c r="Q249" t="s">
        <v>533</v>
      </c>
    </row>
    <row r="250" spans="16:17" x14ac:dyDescent="0.25">
      <c r="P250">
        <v>2110</v>
      </c>
      <c r="Q250" t="s">
        <v>533</v>
      </c>
    </row>
    <row r="251" spans="16:17" x14ac:dyDescent="0.25">
      <c r="P251">
        <v>1381</v>
      </c>
      <c r="Q251" t="s">
        <v>533</v>
      </c>
    </row>
    <row r="252" spans="16:17" x14ac:dyDescent="0.25">
      <c r="P252">
        <v>1160</v>
      </c>
      <c r="Q252" t="s">
        <v>533</v>
      </c>
    </row>
    <row r="253" spans="16:17" x14ac:dyDescent="0.25">
      <c r="P253">
        <v>677</v>
      </c>
      <c r="Q253" t="s">
        <v>533</v>
      </c>
    </row>
    <row r="254" spans="16:17" x14ac:dyDescent="0.25">
      <c r="P254">
        <v>432</v>
      </c>
      <c r="Q254" t="s">
        <v>533</v>
      </c>
    </row>
    <row r="255" spans="16:17" x14ac:dyDescent="0.25">
      <c r="P255">
        <v>428</v>
      </c>
      <c r="Q255" t="s">
        <v>533</v>
      </c>
    </row>
    <row r="256" spans="16:17" x14ac:dyDescent="0.25">
      <c r="P256">
        <v>424</v>
      </c>
      <c r="Q256" t="s">
        <v>533</v>
      </c>
    </row>
    <row r="257" spans="16:17" x14ac:dyDescent="0.25">
      <c r="P257">
        <v>1429</v>
      </c>
      <c r="Q257" t="s">
        <v>568</v>
      </c>
    </row>
    <row r="258" spans="16:17" x14ac:dyDescent="0.25">
      <c r="P258">
        <v>1026</v>
      </c>
      <c r="Q258" t="s">
        <v>568</v>
      </c>
    </row>
    <row r="259" spans="16:17" x14ac:dyDescent="0.25">
      <c r="P259">
        <v>663</v>
      </c>
      <c r="Q259" t="s">
        <v>568</v>
      </c>
    </row>
    <row r="260" spans="16:17" x14ac:dyDescent="0.25">
      <c r="P260">
        <v>971</v>
      </c>
      <c r="Q260" t="s">
        <v>576</v>
      </c>
    </row>
    <row r="261" spans="16:17" x14ac:dyDescent="0.25">
      <c r="P261">
        <v>701</v>
      </c>
      <c r="Q261" t="s">
        <v>576</v>
      </c>
    </row>
    <row r="262" spans="16:17" x14ac:dyDescent="0.25">
      <c r="P262">
        <v>375</v>
      </c>
      <c r="Q262" t="s">
        <v>576</v>
      </c>
    </row>
    <row r="263" spans="16:17" x14ac:dyDescent="0.25">
      <c r="P263">
        <v>308</v>
      </c>
      <c r="Q263" t="s">
        <v>576</v>
      </c>
    </row>
    <row r="264" spans="16:17" x14ac:dyDescent="0.25">
      <c r="P264">
        <v>3224</v>
      </c>
      <c r="Q264" t="s">
        <v>580</v>
      </c>
    </row>
    <row r="265" spans="16:17" x14ac:dyDescent="0.25">
      <c r="P265">
        <v>3206</v>
      </c>
      <c r="Q265" t="s">
        <v>580</v>
      </c>
    </row>
    <row r="266" spans="16:17" x14ac:dyDescent="0.25">
      <c r="P266">
        <v>3200</v>
      </c>
      <c r="Q266" t="s">
        <v>580</v>
      </c>
    </row>
    <row r="267" spans="16:17" x14ac:dyDescent="0.25">
      <c r="P267">
        <v>2236</v>
      </c>
      <c r="Q267" t="s">
        <v>580</v>
      </c>
    </row>
    <row r="268" spans="16:17" x14ac:dyDescent="0.25">
      <c r="P268">
        <v>2200</v>
      </c>
      <c r="Q268" t="s">
        <v>602</v>
      </c>
    </row>
    <row r="269" spans="16:17" x14ac:dyDescent="0.25">
      <c r="P269">
        <v>957</v>
      </c>
      <c r="Q269" t="s">
        <v>602</v>
      </c>
    </row>
    <row r="270" spans="16:17" x14ac:dyDescent="0.25">
      <c r="P270">
        <v>913</v>
      </c>
      <c r="Q270" t="s">
        <v>602</v>
      </c>
    </row>
    <row r="271" spans="16:17" x14ac:dyDescent="0.25">
      <c r="P271">
        <v>810</v>
      </c>
      <c r="Q271" t="s">
        <v>602</v>
      </c>
    </row>
    <row r="272" spans="16:17" x14ac:dyDescent="0.25">
      <c r="P272">
        <v>808</v>
      </c>
      <c r="Q272" t="s">
        <v>602</v>
      </c>
    </row>
    <row r="273" spans="16:17" x14ac:dyDescent="0.25">
      <c r="P273">
        <v>413</v>
      </c>
      <c r="Q273" t="s">
        <v>602</v>
      </c>
    </row>
    <row r="274" spans="16:17" x14ac:dyDescent="0.25">
      <c r="P274">
        <v>411</v>
      </c>
      <c r="Q274" t="s">
        <v>602</v>
      </c>
    </row>
    <row r="275" spans="16:17" x14ac:dyDescent="0.25">
      <c r="P275">
        <v>236</v>
      </c>
      <c r="Q275" t="s">
        <v>602</v>
      </c>
    </row>
    <row r="276" spans="16:17" x14ac:dyDescent="0.25">
      <c r="P276">
        <v>230</v>
      </c>
      <c r="Q276" t="s">
        <v>602</v>
      </c>
    </row>
  </sheetData>
  <autoFilter ref="L1:M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Tablas y Filtros</vt:lpstr>
      <vt:lpstr>Eco Mercado</vt:lpstr>
      <vt:lpstr>Hoja2</vt:lpstr>
      <vt:lpstr>Reclamo de equipaje rediseñado</vt:lpstr>
      <vt:lpstr>Validacion reclamo de equipaje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Santiago</cp:lastModifiedBy>
  <dcterms:created xsi:type="dcterms:W3CDTF">2020-03-17T18:13:51Z</dcterms:created>
  <dcterms:modified xsi:type="dcterms:W3CDTF">2026-06-18T21:52:10Z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9ea29b1e-70a0-4563-9808-f56f26308b55</vt:lpwstr>
  </property>
</Properties>
</file>